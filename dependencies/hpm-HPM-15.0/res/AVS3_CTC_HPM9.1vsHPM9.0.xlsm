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7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10.0\res\"/>
    </mc:Choice>
  </mc:AlternateContent>
  <xr:revisionPtr revIDLastSave="0" documentId="13_ncr:1_{BDEA0BDF-1160-423F-BC43-86BD8A4B26E4}" xr6:coauthVersionLast="36" xr6:coauthVersionMax="36" xr10:uidLastSave="{00000000-0000-0000-0000-000000000000}"/>
  <bookViews>
    <workbookView xWindow="0" yWindow="9000" windowWidth="28215" windowHeight="7305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I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T4" i="29" s="1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T18" i="29" s="1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S48" i="29" s="1"/>
  <c r="P48" i="29"/>
  <c r="R48" i="29" s="1"/>
  <c r="L48" i="29"/>
  <c r="M48" i="29"/>
  <c r="N48" i="29"/>
  <c r="O48" i="29"/>
  <c r="Q48" i="29"/>
  <c r="T48" i="29" s="1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T50" i="29" s="1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T54" i="29" s="1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R74" i="25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G59" i="25"/>
  <c r="F59" i="25"/>
  <c r="E59" i="25"/>
  <c r="D59" i="25"/>
  <c r="I4" i="25"/>
  <c r="R6" i="25"/>
  <c r="H7" i="25"/>
  <c r="J7" i="25" s="1"/>
  <c r="H8" i="25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T57" i="25" s="1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T51" i="20" s="1"/>
  <c r="T78" i="20" s="1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/>
  <c r="E50" i="20"/>
  <c r="F50" i="20"/>
  <c r="G50" i="20"/>
  <c r="H50" i="20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E56" i="20"/>
  <c r="F56" i="20"/>
  <c r="G56" i="20"/>
  <c r="H56" i="20"/>
  <c r="J56" i="20" s="1"/>
  <c r="E57" i="20"/>
  <c r="F57" i="20"/>
  <c r="G57" i="20"/>
  <c r="H57" i="20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J60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J47" i="25"/>
  <c r="J52" i="25"/>
  <c r="J9" i="20"/>
  <c r="J57" i="20"/>
  <c r="AB4" i="10"/>
  <c r="AB5" i="10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12" i="25"/>
  <c r="J24" i="25"/>
  <c r="J8" i="25"/>
  <c r="J36" i="25"/>
  <c r="J50" i="20"/>
  <c r="J45" i="20"/>
  <c r="J48" i="25"/>
  <c r="J3" i="29"/>
  <c r="J63" i="20"/>
  <c r="J37" i="25"/>
  <c r="J13" i="20"/>
  <c r="J59" i="25"/>
  <c r="S62" i="29"/>
  <c r="S47" i="25"/>
  <c r="J55" i="20"/>
  <c r="J42" i="20"/>
  <c r="J3" i="25"/>
  <c r="J47" i="20"/>
  <c r="S53" i="25"/>
  <c r="S9" i="29"/>
  <c r="T57" i="29"/>
  <c r="J48" i="29"/>
  <c r="R56" i="25"/>
  <c r="S31" i="29"/>
  <c r="M12" i="30" s="1"/>
  <c r="S50" i="29"/>
  <c r="J31" i="29"/>
  <c r="J42" i="29"/>
  <c r="J22" i="25"/>
  <c r="T59" i="29"/>
  <c r="T79" i="29" s="1"/>
  <c r="N28" i="30" s="1"/>
  <c r="J10" i="25"/>
  <c r="J61" i="29"/>
  <c r="J4" i="25"/>
  <c r="R25" i="29"/>
  <c r="Z31" i="29"/>
  <c r="V35" i="29"/>
  <c r="AA23" i="29"/>
  <c r="V63" i="25"/>
  <c r="X67" i="27"/>
  <c r="V63" i="27"/>
  <c r="V59" i="20"/>
  <c r="AA51" i="29"/>
  <c r="W59" i="20"/>
  <c r="X43" i="29"/>
  <c r="Z71" i="25"/>
  <c r="W39" i="29"/>
  <c r="Z63" i="27"/>
  <c r="Y63" i="27"/>
  <c r="X67" i="29"/>
  <c r="Z63" i="25"/>
  <c r="W71" i="20"/>
  <c r="AA47" i="29"/>
  <c r="V7" i="29"/>
  <c r="AA63" i="25"/>
  <c r="V19" i="29"/>
  <c r="Y63" i="25"/>
  <c r="W55" i="27"/>
  <c r="X3" i="29"/>
  <c r="AA31" i="29"/>
  <c r="W63" i="27"/>
  <c r="Z7" i="29"/>
  <c r="V31" i="29"/>
  <c r="Z59" i="27"/>
  <c r="AA67" i="20"/>
  <c r="AA15" i="29"/>
  <c r="AA59" i="20"/>
  <c r="V23" i="29"/>
  <c r="Z47" i="29"/>
  <c r="V27" i="29"/>
  <c r="AA55" i="27"/>
  <c r="Z59" i="25"/>
  <c r="Y27" i="29"/>
  <c r="X39" i="29"/>
  <c r="AA67" i="25"/>
  <c r="Y19" i="29"/>
  <c r="Z15" i="29"/>
  <c r="X63" i="27"/>
  <c r="Y67" i="29"/>
  <c r="X47" i="29"/>
  <c r="Z71" i="29"/>
  <c r="X59" i="29"/>
  <c r="Y71" i="20"/>
  <c r="X11" i="29"/>
  <c r="V55" i="27"/>
  <c r="Z55" i="25"/>
  <c r="AA71" i="20"/>
  <c r="Z3" i="29"/>
  <c r="Z71" i="27"/>
  <c r="Y55" i="27"/>
  <c r="AA55" i="25"/>
  <c r="Y55" i="29"/>
  <c r="Z51" i="29"/>
  <c r="Z27" i="29"/>
  <c r="Y7" i="29"/>
  <c r="V39" i="29"/>
  <c r="AA55" i="29"/>
  <c r="V67" i="25"/>
  <c r="X55" i="20"/>
  <c r="Y15" i="29"/>
  <c r="AA71" i="27"/>
  <c r="X63" i="20"/>
  <c r="Z71" i="20"/>
  <c r="Z43" i="29"/>
  <c r="Y71" i="29"/>
  <c r="AA43" i="29"/>
  <c r="Y59" i="27"/>
  <c r="W11" i="29"/>
  <c r="AA39" i="29"/>
  <c r="V71" i="20"/>
  <c r="AA19" i="29"/>
  <c r="W67" i="25"/>
  <c r="Y3" i="29"/>
  <c r="Y11" i="29"/>
  <c r="W59" i="25"/>
  <c r="V67" i="27"/>
  <c r="V47" i="29"/>
  <c r="Y63" i="29"/>
  <c r="Y51" i="29"/>
  <c r="Z11" i="29"/>
  <c r="Y71" i="25"/>
  <c r="Y59" i="25"/>
  <c r="X31" i="29"/>
  <c r="W55" i="25"/>
  <c r="W43" i="29"/>
  <c r="X71" i="25"/>
  <c r="AA71" i="25"/>
  <c r="X67" i="25"/>
  <c r="Z55" i="20"/>
  <c r="W7" i="29"/>
  <c r="V71" i="27"/>
  <c r="AA67" i="27"/>
  <c r="W67" i="20"/>
  <c r="Z23" i="29"/>
  <c r="Y59" i="20"/>
  <c r="AA11" i="29"/>
  <c r="AA59" i="29"/>
  <c r="W51" i="29"/>
  <c r="W63" i="25"/>
  <c r="V63" i="29"/>
  <c r="Z63" i="29"/>
  <c r="W55" i="20"/>
  <c r="X15" i="29"/>
  <c r="Z67" i="25"/>
  <c r="AA35" i="29"/>
  <c r="Y59" i="29"/>
  <c r="Z67" i="29"/>
  <c r="X27" i="29"/>
  <c r="AA71" i="29"/>
  <c r="V59" i="29"/>
  <c r="Z67" i="20"/>
  <c r="Y23" i="29"/>
  <c r="V55" i="25"/>
  <c r="Y43" i="29"/>
  <c r="AA59" i="25"/>
  <c r="X63" i="29"/>
  <c r="V59" i="27"/>
  <c r="W63" i="29"/>
  <c r="W67" i="29"/>
  <c r="Y55" i="20"/>
  <c r="X35" i="29"/>
  <c r="AA55" i="20"/>
  <c r="W59" i="29"/>
  <c r="AA63" i="29"/>
  <c r="X55" i="29"/>
  <c r="Z63" i="20"/>
  <c r="W3" i="29"/>
  <c r="V71" i="29"/>
  <c r="W71" i="29"/>
  <c r="Z55" i="27"/>
  <c r="V15" i="29"/>
  <c r="Z67" i="27"/>
  <c r="X51" i="29"/>
  <c r="Z35" i="29"/>
  <c r="Y67" i="25"/>
  <c r="W71" i="25"/>
  <c r="V71" i="25"/>
  <c r="Y35" i="29"/>
  <c r="X63" i="25"/>
  <c r="X7" i="29"/>
  <c r="V55" i="20"/>
  <c r="X19" i="29"/>
  <c r="V3" i="29"/>
  <c r="Z55" i="29"/>
  <c r="W47" i="29"/>
  <c r="W59" i="27"/>
  <c r="X23" i="29"/>
  <c r="W19" i="29"/>
  <c r="W31" i="29"/>
  <c r="Z59" i="20"/>
  <c r="AA3" i="29"/>
  <c r="W71" i="27"/>
  <c r="X55" i="27"/>
  <c r="W67" i="27"/>
  <c r="Z39" i="29"/>
  <c r="X71" i="29"/>
  <c r="W63" i="20"/>
  <c r="Y47" i="29"/>
  <c r="X59" i="25"/>
  <c r="Y31" i="29"/>
  <c r="X59" i="20"/>
  <c r="V43" i="29"/>
  <c r="AA27" i="29"/>
  <c r="Z19" i="29"/>
  <c r="AA63" i="20"/>
  <c r="X55" i="25"/>
  <c r="V63" i="20"/>
  <c r="V55" i="29"/>
  <c r="Z59" i="29"/>
  <c r="Y55" i="25"/>
  <c r="X59" i="27"/>
  <c r="W15" i="29"/>
  <c r="AA59" i="27"/>
  <c r="Y63" i="20"/>
  <c r="Y67" i="27"/>
  <c r="AA63" i="27"/>
  <c r="V67" i="29"/>
  <c r="AA7" i="29"/>
  <c r="X71" i="20"/>
  <c r="W27" i="29"/>
  <c r="W23" i="29"/>
  <c r="W35" i="29"/>
  <c r="AA67" i="29"/>
  <c r="X67" i="20"/>
  <c r="V11" i="29"/>
  <c r="V51" i="29"/>
  <c r="X71" i="27"/>
  <c r="V67" i="20"/>
  <c r="W55" i="29"/>
  <c r="V59" i="25"/>
  <c r="Y71" i="27"/>
  <c r="Y67" i="20"/>
  <c r="Y39" i="29"/>
  <c r="W35" i="20"/>
  <c r="X39" i="20"/>
  <c r="V19" i="20"/>
  <c r="Z43" i="20"/>
  <c r="W19" i="20"/>
  <c r="Z3" i="20"/>
  <c r="Z35" i="20"/>
  <c r="X47" i="20"/>
  <c r="W43" i="20"/>
  <c r="AA43" i="20"/>
  <c r="W3" i="20"/>
  <c r="AA27" i="20"/>
  <c r="X35" i="20"/>
  <c r="AA23" i="20"/>
  <c r="X23" i="20"/>
  <c r="AA11" i="20"/>
  <c r="Y39" i="20"/>
  <c r="V23" i="20"/>
  <c r="X31" i="20"/>
  <c r="AA7" i="20"/>
  <c r="AA15" i="20"/>
  <c r="W7" i="20"/>
  <c r="Z11" i="20"/>
  <c r="Z39" i="20"/>
  <c r="Z51" i="20"/>
  <c r="AA51" i="20"/>
  <c r="W31" i="20"/>
  <c r="X19" i="20"/>
  <c r="V51" i="20"/>
  <c r="W27" i="20"/>
  <c r="W11" i="20"/>
  <c r="AA35" i="20"/>
  <c r="AA19" i="20"/>
  <c r="Y11" i="20"/>
  <c r="V31" i="20"/>
  <c r="X7" i="20"/>
  <c r="Z7" i="20"/>
  <c r="Z47" i="20"/>
  <c r="Z19" i="20"/>
  <c r="Y27" i="20"/>
  <c r="V15" i="20"/>
  <c r="V11" i="20"/>
  <c r="V27" i="20"/>
  <c r="Z31" i="20"/>
  <c r="Y7" i="20"/>
  <c r="Y19" i="20"/>
  <c r="Z15" i="20"/>
  <c r="Y43" i="20"/>
  <c r="W23" i="20"/>
  <c r="Z27" i="20"/>
  <c r="V3" i="20"/>
  <c r="X51" i="20"/>
  <c r="Y35" i="20"/>
  <c r="Y31" i="20"/>
  <c r="Y47" i="20"/>
  <c r="X11" i="20"/>
  <c r="X43" i="20"/>
  <c r="Z23" i="20"/>
  <c r="X15" i="20"/>
  <c r="W51" i="20"/>
  <c r="V35" i="20"/>
  <c r="V39" i="20"/>
  <c r="AA31" i="20"/>
  <c r="Y15" i="20"/>
  <c r="V43" i="20"/>
  <c r="X3" i="20"/>
  <c r="W47" i="20"/>
  <c r="Y51" i="20"/>
  <c r="V7" i="20"/>
  <c r="AA47" i="20"/>
  <c r="W15" i="20"/>
  <c r="AA39" i="20"/>
  <c r="X27" i="20"/>
  <c r="Y3" i="20"/>
  <c r="Y23" i="20"/>
  <c r="V47" i="20"/>
  <c r="AA3" i="20"/>
  <c r="W39" i="20"/>
  <c r="W39" i="25"/>
  <c r="X27" i="25"/>
  <c r="W27" i="25"/>
  <c r="Z35" i="25"/>
  <c r="V23" i="25"/>
  <c r="Z11" i="25"/>
  <c r="Z23" i="25"/>
  <c r="AA15" i="25"/>
  <c r="AA19" i="25"/>
  <c r="Z27" i="25"/>
  <c r="X23" i="25"/>
  <c r="Z51" i="25"/>
  <c r="Y15" i="25"/>
  <c r="Y19" i="25"/>
  <c r="X19" i="25"/>
  <c r="V7" i="25"/>
  <c r="W35" i="25"/>
  <c r="Z15" i="25"/>
  <c r="Y27" i="25"/>
  <c r="AA27" i="25"/>
  <c r="Y39" i="25"/>
  <c r="X15" i="25"/>
  <c r="Z31" i="25"/>
  <c r="V3" i="25"/>
  <c r="W47" i="25"/>
  <c r="Y3" i="25"/>
  <c r="W11" i="25"/>
  <c r="Z47" i="25"/>
  <c r="W15" i="25"/>
  <c r="V35" i="25"/>
  <c r="AA43" i="25"/>
  <c r="V31" i="25"/>
  <c r="W3" i="25"/>
  <c r="V51" i="25"/>
  <c r="X11" i="25"/>
  <c r="W19" i="25"/>
  <c r="W51" i="25"/>
  <c r="Z43" i="25"/>
  <c r="X31" i="25"/>
  <c r="V43" i="25"/>
  <c r="V19" i="25"/>
  <c r="Y31" i="25"/>
  <c r="V27" i="25"/>
  <c r="AA3" i="25"/>
  <c r="AA47" i="25"/>
  <c r="AA11" i="25"/>
  <c r="W7" i="25"/>
  <c r="V11" i="25"/>
  <c r="X43" i="25"/>
  <c r="X3" i="25"/>
  <c r="W43" i="25"/>
  <c r="X47" i="25"/>
  <c r="AA51" i="25"/>
  <c r="W23" i="25"/>
  <c r="Z7" i="25"/>
  <c r="W31" i="25"/>
  <c r="X7" i="25"/>
  <c r="Z3" i="25"/>
  <c r="Y11" i="25"/>
  <c r="X39" i="25"/>
  <c r="Y51" i="25"/>
  <c r="X51" i="25"/>
  <c r="Y35" i="25"/>
  <c r="Y23" i="25"/>
  <c r="AA23" i="25"/>
  <c r="Y47" i="25"/>
  <c r="V39" i="25"/>
  <c r="Y7" i="25"/>
  <c r="V47" i="25"/>
  <c r="AA7" i="25"/>
  <c r="Z19" i="25"/>
  <c r="V15" i="25"/>
  <c r="Y43" i="25"/>
  <c r="X35" i="25"/>
  <c r="AA31" i="25"/>
  <c r="AA35" i="25"/>
  <c r="AA39" i="25"/>
  <c r="Z39" i="25"/>
  <c r="Y7" i="27"/>
  <c r="Y39" i="27"/>
  <c r="W51" i="27"/>
  <c r="W23" i="27"/>
  <c r="Y35" i="27"/>
  <c r="X19" i="27"/>
  <c r="X7" i="27"/>
  <c r="Y27" i="27"/>
  <c r="V19" i="27"/>
  <c r="Z11" i="27"/>
  <c r="Y23" i="27"/>
  <c r="Z51" i="27"/>
  <c r="Z7" i="27"/>
  <c r="Y43" i="27"/>
  <c r="AA11" i="27"/>
  <c r="Z31" i="27"/>
  <c r="V47" i="27"/>
  <c r="X47" i="27"/>
  <c r="AA51" i="27"/>
  <c r="W43" i="27"/>
  <c r="Z19" i="27"/>
  <c r="X39" i="27"/>
  <c r="AA7" i="27"/>
  <c r="AA19" i="27"/>
  <c r="W19" i="27"/>
  <c r="W39" i="27"/>
  <c r="X43" i="27"/>
  <c r="X11" i="27"/>
  <c r="W7" i="27"/>
  <c r="V11" i="27"/>
  <c r="Y51" i="27"/>
  <c r="Y31" i="27"/>
  <c r="Y11" i="27"/>
  <c r="Z39" i="27"/>
  <c r="Z47" i="27"/>
  <c r="X35" i="27"/>
  <c r="AA47" i="27"/>
  <c r="Y19" i="27"/>
  <c r="V7" i="27"/>
  <c r="Z27" i="27"/>
  <c r="X23" i="27"/>
  <c r="V35" i="27"/>
  <c r="Z43" i="27"/>
  <c r="V31" i="27"/>
  <c r="Y15" i="27"/>
  <c r="Z15" i="27"/>
  <c r="W47" i="27"/>
  <c r="V27" i="27"/>
  <c r="V39" i="27"/>
  <c r="Y47" i="27"/>
  <c r="AA43" i="27"/>
  <c r="W15" i="27"/>
  <c r="X15" i="27"/>
  <c r="Y3" i="27"/>
  <c r="W27" i="27"/>
  <c r="W11" i="27"/>
  <c r="AA31" i="27"/>
  <c r="AA23" i="27"/>
  <c r="V3" i="27"/>
  <c r="AA27" i="27"/>
  <c r="AA3" i="27"/>
  <c r="V51" i="27"/>
  <c r="Z23" i="27"/>
  <c r="X31" i="27"/>
  <c r="V23" i="27"/>
  <c r="W3" i="27"/>
  <c r="X51" i="27"/>
  <c r="X27" i="27"/>
  <c r="Z35" i="27"/>
  <c r="AA39" i="27"/>
  <c r="AA35" i="27"/>
  <c r="AA15" i="27"/>
  <c r="V43" i="27"/>
  <c r="Z3" i="27"/>
  <c r="V15" i="27"/>
  <c r="W31" i="27"/>
  <c r="W35" i="27"/>
  <c r="X3" i="27"/>
  <c r="S44" i="25" l="1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G45" i="30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F48" i="30" s="1"/>
  <c r="T62" i="20"/>
  <c r="T65" i="20"/>
  <c r="S59" i="20"/>
  <c r="T72" i="20"/>
  <c r="S60" i="27"/>
  <c r="S66" i="27"/>
  <c r="T64" i="27"/>
  <c r="S69" i="20"/>
  <c r="F49" i="30" s="1"/>
  <c r="J60" i="27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J79" i="27"/>
  <c r="T62" i="27"/>
  <c r="T68" i="27"/>
  <c r="S63" i="27"/>
  <c r="T60" i="27"/>
  <c r="S72" i="27"/>
  <c r="S62" i="27"/>
  <c r="G19" i="9"/>
  <c r="G55" i="30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S78" i="25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Q82" i="20" s="1"/>
  <c r="S23" i="25"/>
  <c r="S51" i="29"/>
  <c r="R44" i="27"/>
  <c r="S44" i="27"/>
  <c r="Q81" i="29"/>
  <c r="Q82" i="29" s="1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M44" i="30" l="1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M55" i="30"/>
  <c r="F29" i="9"/>
  <c r="R81" i="27"/>
  <c r="R82" i="27" s="1"/>
  <c r="F44" i="30"/>
  <c r="M42" i="30"/>
  <c r="R79" i="25"/>
  <c r="G36" i="9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K3" i="10"/>
  <c r="AO3" i="10"/>
  <c r="AF3" i="10"/>
  <c r="AL3" i="10"/>
  <c r="AI3" i="10"/>
  <c r="AN3" i="10"/>
  <c r="AD3" i="10"/>
  <c r="AP3" i="10"/>
  <c r="AJ3" i="10"/>
  <c r="AG3" i="10"/>
  <c r="AQ3" i="10"/>
  <c r="AE3" i="10"/>
  <c r="M25" i="30" l="1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Q4" i="10"/>
  <c r="AI4" i="10"/>
  <c r="AE4" i="10"/>
  <c r="AN4" i="10"/>
  <c r="AG4" i="10"/>
  <c r="AK4" i="10"/>
  <c r="AF4" i="10"/>
  <c r="AD4" i="10"/>
  <c r="AP4" i="10"/>
  <c r="AO4" i="10"/>
  <c r="AJ4" i="10"/>
  <c r="AL4" i="10"/>
  <c r="AC6" i="10" l="1"/>
  <c r="AG6" i="10"/>
  <c r="AD5" i="10"/>
  <c r="AQ6" i="10"/>
  <c r="AI6" i="10"/>
  <c r="AI5" i="10"/>
  <c r="AE6" i="10"/>
  <c r="AJ6" i="10"/>
  <c r="AO6" i="10"/>
  <c r="AG5" i="10"/>
  <c r="AD6" i="10"/>
  <c r="AF5" i="10"/>
  <c r="AJ5" i="10"/>
  <c r="AL6" i="10"/>
  <c r="AF6" i="10"/>
  <c r="AN5" i="10"/>
  <c r="AP5" i="10"/>
  <c r="AQ5" i="10"/>
  <c r="AO5" i="10"/>
  <c r="AP6" i="10"/>
  <c r="AN6" i="10"/>
  <c r="AL5" i="10"/>
  <c r="AK5" i="10"/>
  <c r="AE5" i="10"/>
  <c r="AK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<sst xmlns="http://schemas.openxmlformats.org/spreadsheetml/2006/main" count="974" uniqueCount="408">
  <si>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</si>
  <si>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</si>
  <si>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</si>
  <si>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</si>
  <si>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</si>
  <si>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</si>
  <si>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</si>
  <si>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</si>
  <si>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</si>
  <si>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</si>
  <si>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</si>
  <si>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</si>
  <si>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</si>
  <si>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</si>
  <si>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</si>
  <si>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</si>
  <si>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</si>
  <si>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</si>
  <si>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</si>
  <si>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</si>
  <si>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</si>
  <si>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</si>
  <si>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</si>
  <si>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</si>
  <si>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</si>
  <si>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</si>
  <si>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</si>
  <si>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</si>
  <si>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</si>
  <si>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</si>
  <si>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</si>
  <si>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</si>
  <si>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</si>
  <si>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</si>
  <si>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</si>
  <si>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</si>
  <si>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</si>
  <si>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</si>
  <si>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</si>
  <si>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</si>
  <si>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</si>
  <si>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</si>
  <si>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</si>
  <si>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</si>
  <si>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</si>
  <si>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</si>
  <si>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</si>
  <si>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</si>
  <si>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</si>
  <si>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</si>
  <si>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</si>
  <si>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</si>
  <si>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</si>
  <si>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</si>
  <si>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</si>
  <si>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</si>
  <si>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</si>
  <si>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</si>
  <si>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</si>
  <si>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</si>
  <si>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</si>
  <si>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</si>
  <si>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</si>
  <si>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</si>
  <si>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</si>
  <si>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</si>
  <si>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</si>
  <si>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</si>
  <si>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</si>
  <si>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</si>
  <si>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</si>
  <si>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</si>
  <si>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</si>
  <si>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</si>
  <si>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</si>
  <si>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</si>
  <si>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</si>
  <si>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</si>
  <si>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</si>
  <si>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</si>
  <si>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</si>
  <si>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</si>
  <si>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</si>
  <si>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</si>
  <si>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</si>
  <si>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</si>
  <si>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</si>
  <si>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</si>
  <si>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</si>
  <si>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</si>
  <si>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</si>
  <si>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</si>
  <si>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</si>
  <si>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</si>
  <si>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</si>
  <si>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</si>
  <si>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</si>
  <si>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</si>
  <si>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</si>
  <si>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</si>
  <si>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</si>
  <si>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</si>
  <si>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</si>
  <si>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</si>
  <si>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</si>
  <si>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</si>
  <si>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</si>
  <si>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</si>
  <si>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</si>
  <si>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</si>
  <si>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</si>
  <si>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</si>
  <si>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</si>
  <si>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</si>
  <si>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</si>
  <si>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</si>
  <si>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</si>
  <si>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</si>
  <si>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</si>
  <si>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</si>
  <si>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</si>
  <si>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</si>
  <si>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</si>
  <si>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</si>
  <si>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</si>
  <si>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</si>
  <si>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</si>
  <si>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</si>
  <si>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</si>
  <si>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</si>
  <si>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</si>
  <si>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</si>
  <si>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</si>
  <si>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</si>
  <si>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</si>
  <si>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</si>
  <si>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</si>
  <si>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</si>
  <si>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</si>
  <si>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</si>
  <si>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</si>
  <si>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</si>
  <si>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</si>
  <si>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</si>
  <si>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</si>
  <si>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</si>
  <si>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</si>
  <si>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</si>
  <si>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</si>
  <si>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</si>
  <si>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</si>
  <si>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</si>
  <si>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</si>
  <si>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</si>
  <si>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</si>
  <si>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</si>
  <si>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</si>
  <si>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</si>
  <si>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</si>
  <si>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</si>
  <si>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</si>
  <si>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</si>
  <si>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</si>
  <si>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</si>
  <si>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</si>
  <si>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</si>
  <si>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</si>
  <si>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</si>
  <si>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</si>
  <si>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</si>
  <si>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</si>
  <si>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</si>
  <si>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</si>
  <si>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</si>
  <si>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</si>
  <si>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</si>
  <si>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</si>
  <si>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</si>
  <si>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</si>
  <si>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</si>
  <si>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</si>
  <si>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</si>
  <si>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</si>
  <si>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</si>
  <si>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</si>
  <si>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</si>
  <si>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</si>
  <si>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</si>
  <si>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</si>
  <si>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</si>
  <si>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</si>
  <si>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</si>
  <si>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</si>
  <si>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</si>
  <si>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</si>
  <si>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</si>
  <si>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</si>
  <si>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</si>
  <si>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</si>
  <si>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</si>
  <si>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</si>
  <si>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</si>
  <si>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</si>
  <si>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</si>
  <si>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</si>
  <si>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</si>
  <si>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</si>
  <si>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</si>
  <si>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</si>
  <si>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</si>
  <si>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</si>
  <si>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</si>
  <si>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</si>
  <si>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</si>
  <si>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</si>
  <si>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</si>
  <si>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</si>
  <si>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</si>
  <si>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</si>
  <si>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</si>
  <si>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</si>
  <si>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</si>
  <si>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</si>
  <si>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</si>
  <si>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</si>
  <si>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</si>
  <si>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</si>
  <si>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</si>
  <si>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</si>
  <si>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</si>
  <si>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</si>
  <si>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</si>
  <si>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</si>
  <si>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</si>
  <si>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</si>
  <si>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</si>
  <si>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</si>
  <si>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</si>
  <si>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</si>
  <si>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</si>
  <si>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</si>
  <si>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</si>
  <si>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</si>
  <si>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</si>
  <si>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</si>
  <si>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</si>
  <si>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</si>
  <si>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</si>
  <si>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</si>
  <si>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</si>
  <si>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</si>
  <si>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</si>
  <si>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</si>
  <si>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</si>
  <si>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</si>
  <si>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</si>
  <si>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</si>
  <si>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</si>
  <si>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</si>
  <si>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</si>
  <si>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</si>
  <si>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</si>
  <si>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</si>
  <si>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</si>
  <si>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</si>
  <si>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</si>
  <si>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</si>
  <si>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</si>
  <si>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</si>
  <si>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</si>
  <si>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</si>
  <si>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</si>
  <si>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</si>
  <si>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</si>
  <si>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</si>
  <si>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</si>
  <si>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</si>
  <si>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</si>
  <si>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</si>
  <si>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</si>
  <si>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</si>
  <si>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</si>
  <si>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</si>
  <si>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</si>
  <si>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</si>
  <si>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</si>
  <si>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</si>
  <si>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</si>
  <si>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</si>
  <si>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</si>
  <si>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</si>
  <si>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</si>
  <si>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</si>
  <si>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</si>
  <si>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</si>
  <si>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</si>
  <si>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</si>
  <si>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</si>
  <si>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</si>
  <si>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</si>
  <si>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</si>
  <si>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</si>
  <si>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</si>
  <si>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</si>
  <si>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</si>
  <si>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</si>
  <si>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</si>
  <si>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</si>
  <si>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</si>
  <si>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</si>
  <si>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</si>
  <si>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</si>
  <si>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</si>
  <si>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</si>
  <si>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</si>
  <si>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</si>
  <si>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</si>
  <si>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</si>
  <si>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</si>
  <si>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</si>
  <si>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</si>
  <si>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</si>
  <si>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</si>
  <si>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</si>
  <si>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</si>
  <si>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</si>
  <si>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</si>
  <si>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</si>
  <si>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</si>
  <si>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</si>
  <si>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</si>
  <si>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</si>
  <si>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</si>
  <si>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</si>
  <si>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</si>
  <si>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</si>
  <si>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</si>
  <si>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</si>
  <si>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</si>
  <si>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</si>
  <si>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</si>
  <si>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</si>
  <si>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</si>
  <si>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</si>
  <si>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</si>
  <si>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</si>
  <si>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</si>
  <si>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</si>
  <si>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</si>
  <si>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</si>
  <si>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</si>
  <si>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</si>
  <si>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</si>
  <si>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</si>
  <si>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</si>
  <si>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</si>
  <si>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</si>
  <si>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</si>
  <si>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</si>
  <si>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</si>
  <si>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</si>
  <si>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</si>
  <si>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</si>
  <si>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</si>
  <si>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</si>
  <si>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</si>
  <si>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</si>
  <si>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</si>
  <si>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</si>
  <si>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</si>
  <si>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</si>
  <si>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</si>
  <si>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</si>
  <si>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</si>
  <si>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</si>
  <si>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</si>
  <si>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</si>
  <si>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</si>
  <si>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</si>
  <si>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</si>
  <si>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</si>
  <si>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</si>
  <si>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</si>
  <si>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</si>
  <si>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</si>
  <si>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</si>
  <si>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</si>
  <si>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</si>
  <si>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</si>
  <si>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</si>
  <si>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</si>
  <si>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</si>
  <si>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</si>
  <si>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</si>
  <si>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</si>
  <si>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</si>
  <si>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</si>
  <si>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</si>
  <si>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</si>
  <si>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</si>
  <si>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</si>
  <si>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</si>
  <si>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</si>
  <si>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</si>
  <si>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</si>
  <si>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</si>
  <si>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HPM9.0</t>
    <phoneticPr fontId="1" type="noConversion"/>
  </si>
  <si>
    <t>HPM9.1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</si>
</sst>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J3" sqref="J3:N3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HPM9.0</v>
      </c>
      <c r="D3" s="151"/>
      <c r="E3" s="151"/>
      <c r="F3" s="151"/>
      <c r="G3" s="152"/>
      <c r="I3" s="102"/>
      <c r="J3" s="150" t="str">
        <f>CONCATENATE("Over ", Summary!$J$3)</f>
        <v>Over HPM9.0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>
        <f>'AI-10'!$V$3</f>
        <v>-8.5202280643551509E-3</v>
      </c>
      <c r="D5" s="112">
        <f>'AI-10'!$W$3</f>
        <v>-3.9628026168271213E-2</v>
      </c>
      <c r="E5" s="113">
        <f>'AI-10'!$X$3</f>
        <v>-1.6690115471220346E-2</v>
      </c>
      <c r="F5" s="114">
        <f>GEOMEAN('AI-10'!$S$3:'AI-10'!$S$6)</f>
        <v>1.1669642722513156</v>
      </c>
      <c r="G5" s="115">
        <f>GEOMEAN('AI-10'!$T$3:'AI-10'!$T$6)</f>
        <v>1.0726379230198602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>
        <f>'AI-10'!$V$7</f>
        <v>-4.8229218961238773E-3</v>
      </c>
      <c r="D6" s="118">
        <f>'AI-10'!$W$7</f>
        <v>-6.7042339995104783E-3</v>
      </c>
      <c r="E6" s="119">
        <f>'AI-10'!$X$7</f>
        <v>-5.7574106044212536E-3</v>
      </c>
      <c r="F6" s="120">
        <f>GEOMEAN('AI-10'!$S$7:'AI-10'!$S$10)</f>
        <v>1.1776080415476509</v>
      </c>
      <c r="G6" s="121">
        <f>GEOMEAN('AI-10'!$T$7:'AI-10'!$T$10)</f>
        <v>1.0617606550501448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>
        <f>'AI-10'!$V$11</f>
        <v>-1.9169053752073895E-3</v>
      </c>
      <c r="D7" s="118">
        <f>'AI-10'!$W$11</f>
        <v>-8.7603631637280799E-3</v>
      </c>
      <c r="E7" s="119">
        <f>'AI-10'!$X$11</f>
        <v>-3.3504284635782589E-2</v>
      </c>
      <c r="F7" s="130">
        <f>GEOMEAN('AI-10'!$S$11:'AI-10'!$S$14)</f>
        <v>1.1337216789674063</v>
      </c>
      <c r="G7" s="121">
        <f>GEOMEAN('AI-10'!$T$11:'AI-10'!$T$14)</f>
        <v>1.0526840931200883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>
        <f>'AI-10'!$V$15</f>
        <v>-1.8507217628249695E-3</v>
      </c>
      <c r="D8" s="124">
        <f>'AI-10'!$W$15</f>
        <v>-4.0021125664095991E-2</v>
      </c>
      <c r="E8" s="125">
        <f>'AI-10'!$X$15</f>
        <v>-1.7718365023108973E-2</v>
      </c>
      <c r="F8" s="126">
        <f>GEOMEAN('AI-10'!$S$15:'AI-10'!$S$18)</f>
        <v>1.1271896648693571</v>
      </c>
      <c r="G8" s="127">
        <f>GEOMEAN('AI-10'!$T$15:'AI-10'!$T$18)</f>
        <v>1.0558370785201203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>
        <f>'AI-10'!$V$19</f>
        <v>-2.8860804294275066E-3</v>
      </c>
      <c r="D9" s="112">
        <f>'AI-10'!$W$19</f>
        <v>-1.5093115658751044E-2</v>
      </c>
      <c r="E9" s="113">
        <f>'AI-10'!$X$19</f>
        <v>-1.7252460683405246E-2</v>
      </c>
      <c r="F9" s="114">
        <f>GEOMEAN('AI-10'!$S$19:'AI-10'!$S$22)</f>
        <v>1.1469307465473519</v>
      </c>
      <c r="G9" s="115">
        <f>GEOMEAN('AI-10'!$T$19:'AI-10'!$T$22)</f>
        <v>1.0490261514015384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>
        <f>'AI-10'!$V$23</f>
        <v>-2.6394427080881355E-3</v>
      </c>
      <c r="D10" s="118">
        <f>'AI-10'!$W$23</f>
        <v>-2.8946082090305247E-2</v>
      </c>
      <c r="E10" s="119">
        <f>'AI-10'!$X$23</f>
        <v>-1.8536921759685909E-2</v>
      </c>
      <c r="F10" s="120">
        <f>GEOMEAN('AI-10'!$S$23:'AI-10'!$S$26)</f>
        <v>1.1429382851412695</v>
      </c>
      <c r="G10" s="121">
        <f>GEOMEAN('AI-10'!$T$23:'AI-10'!$T$26)</f>
        <v>1.079497763979218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>
        <f>'AI-10'!$V$27</f>
        <v>-2.5794042111041415E-3</v>
      </c>
      <c r="D11" s="118">
        <f>'AI-10'!$W$27</f>
        <v>-4.0722148150854287E-2</v>
      </c>
      <c r="E11" s="119">
        <f>'AI-10'!$X$27</f>
        <v>-7.6352537724016178E-2</v>
      </c>
      <c r="F11" s="120">
        <f>GEOMEAN('AI-10'!$S$27:'AI-10'!$S$30)</f>
        <v>1.1618293461808529</v>
      </c>
      <c r="G11" s="121">
        <f>GEOMEAN('AI-10'!$T$27:'AI-10'!$T$30)</f>
        <v>1.0888479906453263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-3.4413769611012501E-3</v>
      </c>
      <c r="D12" s="124">
        <f>'AI-10'!$W$31</f>
        <v>-3.0549489655096629E-2</v>
      </c>
      <c r="E12" s="125">
        <f>'AI-10'!$X$31</f>
        <v>-3.8058605910611165E-2</v>
      </c>
      <c r="F12" s="126">
        <f>GEOMEAN('AI-10'!$S$31:'AI-10'!$S$34)</f>
        <v>1.1612120886666522</v>
      </c>
      <c r="G12" s="127">
        <f>GEOMEAN('AI-10'!$T$31:'AI-10'!$T$34)</f>
        <v>1.0630126380147233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-1.3004248217737269E-3</v>
      </c>
      <c r="D13" s="112">
        <f>'AI-10'!$W$35</f>
        <v>-0.11325687182356603</v>
      </c>
      <c r="E13" s="113">
        <f>'AI-10'!$X$35</f>
        <v>-6.5965873922952611E-2</v>
      </c>
      <c r="F13" s="114">
        <f>GEOMEAN('AI-10'!$S$35:'AI-10'!$S$38)</f>
        <v>1.1087263055094172</v>
      </c>
      <c r="G13" s="115">
        <f>GEOMEAN('AI-10'!$T$35:'AI-10'!$T$38)</f>
        <v>1.0439728245471425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-2.9042064318162142E-3</v>
      </c>
      <c r="D14" s="118">
        <f>'AI-10'!$W$39</f>
        <v>-3.0741626071304817E-2</v>
      </c>
      <c r="E14" s="119">
        <f>'AI-10'!$X$39</f>
        <v>-1.1423420762236902E-2</v>
      </c>
      <c r="F14" s="120">
        <f>GEOMEAN('AI-10'!$S$39:'AI-10'!$S$42)</f>
        <v>1.1436728001080068</v>
      </c>
      <c r="G14" s="121">
        <f>GEOMEAN('AI-10'!$T$39:'AI-10'!$T$42)</f>
        <v>1.0864400326059156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-2.9322683436638908E-3</v>
      </c>
      <c r="D15" s="118">
        <f>'AI-10'!$W$43</f>
        <v>-3.5852194963677753E-2</v>
      </c>
      <c r="E15" s="119">
        <f>'AI-10'!$X$43</f>
        <v>-1.0032673964374239E-2</v>
      </c>
      <c r="F15" s="120">
        <f>GEOMEAN('AI-10'!$S$43:'AI-10'!$S$46)</f>
        <v>1.1595577420677541</v>
      </c>
      <c r="G15" s="121">
        <f>GEOMEAN('AI-10'!$T$43:'AI-10'!$T$46)</f>
        <v>1.0985132507945883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1.2310954683303343E-4</v>
      </c>
      <c r="D16" s="124">
        <f>'AI-10'!$W$47</f>
        <v>-5.7960950281325196E-2</v>
      </c>
      <c r="E16" s="125">
        <f>'AI-10'!$X$47</f>
        <v>-2.5358740164366123E-2</v>
      </c>
      <c r="F16" s="126">
        <f>GEOMEAN('AI-10'!$S$47:'AI-10'!$S$50)</f>
        <v>1.1308260838688953</v>
      </c>
      <c r="G16" s="127">
        <f>GEOMEAN('AI-10'!$T$47:'AI-10'!$T$50)</f>
        <v>1.0693346257693446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>
        <f>'AI-10'!$V75</f>
        <v>-4.2776942746278468E-3</v>
      </c>
      <c r="D23" s="112">
        <f>'AI-10'!$W75</f>
        <v>-2.3778437248901441E-2</v>
      </c>
      <c r="E23" s="113">
        <f>'AI-10'!$X75</f>
        <v>-1.841754393363329E-2</v>
      </c>
      <c r="F23" s="128">
        <f>'AI-10'!$S75</f>
        <v>1.1511725971739033</v>
      </c>
      <c r="G23" s="115">
        <f>'AI-10'!$T75</f>
        <v>1.0607027291311499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>
        <f>'AI-10'!$V76</f>
        <v>-2.8865760774302585E-3</v>
      </c>
      <c r="D24" s="118">
        <f>'AI-10'!$W76</f>
        <v>-2.8827708888751802E-2</v>
      </c>
      <c r="E24" s="119">
        <f>'AI-10'!$X76</f>
        <v>-3.7550131519429625E-2</v>
      </c>
      <c r="F24" s="130">
        <f>'AI-10'!$S76</f>
        <v>1.153196900779252</v>
      </c>
      <c r="G24" s="121">
        <f>'AI-10'!$T76</f>
        <v>1.0699868393456193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-1.7534475126051996E-3</v>
      </c>
      <c r="D25" s="118">
        <f>'AI-10'!$W77</f>
        <v>-5.9452910784968449E-2</v>
      </c>
      <c r="E25" s="119">
        <f>'AI-10'!$X77</f>
        <v>-2.8195177203482469E-2</v>
      </c>
      <c r="F25" s="130">
        <f>'AI-10'!$S77</f>
        <v>1.1355430024138025</v>
      </c>
      <c r="G25" s="121">
        <f>'AI-10'!$T77</f>
        <v>1.0743690054743296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-2.9725726215544348E-3</v>
      </c>
      <c r="D26" s="137">
        <f>'AI-10'!$W80</f>
        <v>-3.735301897420723E-2</v>
      </c>
      <c r="E26" s="136">
        <f>'AI-10'!$X80</f>
        <v>-2.8054284218848462E-2</v>
      </c>
      <c r="F26" s="135">
        <f>'AI-10'!$S80</f>
        <v>1.1466102812872856</v>
      </c>
      <c r="G26" s="134">
        <f>'AI-10'!$T80</f>
        <v>1.0683376428843931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HPM9.0</v>
      </c>
      <c r="D31" s="151"/>
      <c r="E31" s="151"/>
      <c r="F31" s="151"/>
      <c r="G31" s="152"/>
      <c r="I31" s="102"/>
      <c r="J31" s="150" t="str">
        <f>CONCATENATE("Over ", Summary!$J$3)</f>
        <v>Over HPM9.0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-6.0270876081228719E-3</v>
      </c>
      <c r="D33" s="112">
        <f>'RA-10'!$W$3</f>
        <v>-3.6388175086344621E-2</v>
      </c>
      <c r="E33" s="113">
        <f>'RA-10'!$X$3</f>
        <v>-2.8702406917952672E-2</v>
      </c>
      <c r="F33" s="114">
        <f>GEOMEAN('RA-10'!$S$3:'RA-10'!$S$6)</f>
        <v>1.0505737614185471</v>
      </c>
      <c r="G33" s="115">
        <f>GEOMEAN('RA-10'!$T$3:'RA-10'!$T$6)</f>
        <v>1.0006294015457675</v>
      </c>
      <c r="I33" s="110" t="str">
        <f>'AI-10'!$B$3</f>
        <v>Tango2</v>
      </c>
      <c r="J33" s="111">
        <f>'LDB-10'!$V$3</f>
        <v>-3.8053943204855445E-3</v>
      </c>
      <c r="K33" s="112">
        <f>'LDB-10'!$W$3</f>
        <v>-6.7094274090763739E-2</v>
      </c>
      <c r="L33" s="113">
        <f>'LDB-10'!$X$3</f>
        <v>-4.9854891081199337E-2</v>
      </c>
      <c r="M33" s="114">
        <f>GEOMEAN('LDB-10'!$S$3:'LDB-10'!$S$6)</f>
        <v>1.0617630670216731</v>
      </c>
      <c r="N33" s="115">
        <f>GEOMEAN('LDB-10'!$T$3:'LDB-10'!$T$6)</f>
        <v>1.0487749434126008</v>
      </c>
    </row>
    <row r="34" spans="2:14" ht="12.75" customHeight="1" x14ac:dyDescent="0.2">
      <c r="B34" s="116" t="str">
        <f>'AI-10'!$B$7</f>
        <v>ParkRunning3</v>
      </c>
      <c r="C34" s="117">
        <f>'RA-10'!$V$7</f>
        <v>-9.1198153730400744E-3</v>
      </c>
      <c r="D34" s="118">
        <f>'RA-10'!$W$7</f>
        <v>-1.9729224596733652E-2</v>
      </c>
      <c r="E34" s="119">
        <f>'RA-10'!$X$7</f>
        <v>-1.5998805204748501E-2</v>
      </c>
      <c r="F34" s="120">
        <f>GEOMEAN('RA-10'!$S$7:'RA-10'!$S$10)</f>
        <v>1.1055927283344733</v>
      </c>
      <c r="G34" s="121">
        <f>GEOMEAN('RA-10'!$T$7:'RA-10'!$T$10)</f>
        <v>1.0855517266877055</v>
      </c>
      <c r="I34" s="116" t="str">
        <f>'AI-10'!$B$7</f>
        <v>ParkRunning3</v>
      </c>
      <c r="J34" s="117">
        <f>'LDB-10'!$V$7</f>
        <v>-1.0279029382391114E-2</v>
      </c>
      <c r="K34" s="118">
        <f>'LDB-10'!$W$7</f>
        <v>-2.1847782767599799E-2</v>
      </c>
      <c r="L34" s="119">
        <f>'LDB-10'!$X$7</f>
        <v>-1.8212737588127581E-2</v>
      </c>
      <c r="M34" s="120">
        <f>GEOMEAN('LDB-10'!$S$7:'LDB-10'!$S$10)</f>
        <v>1.0938103125443248</v>
      </c>
      <c r="N34" s="121">
        <f>GEOMEAN('LDB-10'!$T$7:'LDB-10'!$T$10)</f>
        <v>1.0451917228593655</v>
      </c>
    </row>
    <row r="35" spans="2:14" ht="12.75" customHeight="1" x14ac:dyDescent="0.2">
      <c r="B35" s="116" t="str">
        <f>'AI-10'!$B$11</f>
        <v>Campfire</v>
      </c>
      <c r="C35" s="117">
        <f>'RA-10'!$V$11</f>
        <v>-3.1636889377506527E-3</v>
      </c>
      <c r="D35" s="118">
        <f>'RA-10'!$W$11</f>
        <v>-1.1602901286099865E-2</v>
      </c>
      <c r="E35" s="119">
        <f>'RA-10'!$X$11</f>
        <v>-4.6889266476213831E-2</v>
      </c>
      <c r="F35" s="130">
        <f>GEOMEAN('RA-10'!$S$11:'RA-10'!$S$14)</f>
        <v>1.0966348911146879</v>
      </c>
      <c r="G35" s="121">
        <f>GEOMEAN('RA-10'!$T$11:'RA-10'!$T$14)</f>
        <v>1.0593558424862217</v>
      </c>
      <c r="I35" s="116" t="str">
        <f>'AI-10'!$B$11</f>
        <v>Campfire</v>
      </c>
      <c r="J35" s="117">
        <f>'LDB-10'!$V$11</f>
        <v>-4.1255538053973639E-3</v>
      </c>
      <c r="K35" s="118">
        <f>'LDB-10'!$W$11</f>
        <v>-1.987743897513039E-2</v>
      </c>
      <c r="L35" s="119">
        <f>'LDB-10'!$X$11</f>
        <v>-3.8084711019238493E-2</v>
      </c>
      <c r="M35" s="130">
        <f>GEOMEAN('LDB-10'!$S$11:'LDB-10'!$S$14)</f>
        <v>1.0994563269343178</v>
      </c>
      <c r="N35" s="121">
        <f>GEOMEAN('LDB-10'!$T$11:'LDB-10'!$T$14)</f>
        <v>1.0559238288291799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-8.9518001136105196E-3</v>
      </c>
      <c r="D36" s="124">
        <f>'RA-10'!$W$15</f>
        <v>-5.9879874017346957E-2</v>
      </c>
      <c r="E36" s="125">
        <f>'RA-10'!$X$15</f>
        <v>-3.8810022209179729E-2</v>
      </c>
      <c r="F36" s="126">
        <f>GEOMEAN('RA-10'!$S$15:'RA-10'!$S$18)</f>
        <v>1.0380097408548821</v>
      </c>
      <c r="G36" s="127">
        <f>GEOMEAN('RA-10'!$T$15:'RA-10'!$T$18)</f>
        <v>1.0278924534072567</v>
      </c>
      <c r="I36" s="122" t="str">
        <f>'AI-10'!$B$15</f>
        <v>DaylightRoad2</v>
      </c>
      <c r="J36" s="123">
        <f>'LDB-10'!$V$15</f>
        <v>-4.0865069020891154E-3</v>
      </c>
      <c r="K36" s="124">
        <f>'LDB-10'!$W$15</f>
        <v>-6.2751422373767851E-2</v>
      </c>
      <c r="L36" s="125">
        <f>'LDB-10'!$X$15</f>
        <v>-2.2836259751282229E-2</v>
      </c>
      <c r="M36" s="126">
        <f>GEOMEAN('LDB-10'!$S$15:'LDB-10'!$S$18)</f>
        <v>1.0609066184656373</v>
      </c>
      <c r="N36" s="127">
        <f>GEOMEAN('LDB-10'!$T$15:'LDB-10'!$T$18)</f>
        <v>1.0593138226608343</v>
      </c>
    </row>
    <row r="37" spans="2:14" ht="12.75" customHeight="1" x14ac:dyDescent="0.2">
      <c r="B37" s="110" t="str">
        <f>'AI-10'!$B$19</f>
        <v>Cactus</v>
      </c>
      <c r="C37" s="111">
        <f>'RA-10'!$V$19</f>
        <v>-3.1535921484859064E-2</v>
      </c>
      <c r="D37" s="112">
        <f>'RA-10'!$W$19</f>
        <v>-5.1476338755201745E-2</v>
      </c>
      <c r="E37" s="113">
        <f>'RA-10'!$X$19</f>
        <v>-4.2133251000546323E-2</v>
      </c>
      <c r="F37" s="114">
        <f>GEOMEAN('RA-10'!$S$19:'RA-10'!$S$22)</f>
        <v>1.0679857903700134</v>
      </c>
      <c r="G37" s="115">
        <f>GEOMEAN('RA-10'!$T$19:'RA-10'!$T$22)</f>
        <v>1.0791908407907045</v>
      </c>
      <c r="I37" s="110" t="str">
        <f>'AI-10'!$B$19</f>
        <v>Cactus</v>
      </c>
      <c r="J37" s="111">
        <f>'LDB-10'!$V$19</f>
        <v>-2.2616046276433655E-2</v>
      </c>
      <c r="K37" s="112">
        <f>'LDB-10'!$W$19</f>
        <v>-9.6626668653017056E-2</v>
      </c>
      <c r="L37" s="113">
        <f>'LDB-10'!$X$19</f>
        <v>-6.8287935669765099E-2</v>
      </c>
      <c r="M37" s="114">
        <f>GEOMEAN('LDB-10'!$S$19:'LDB-10'!$S$22)</f>
        <v>1.0859302005352391</v>
      </c>
      <c r="N37" s="115">
        <f>GEOMEAN('LDB-10'!$T$19:'LDB-10'!$T$22)</f>
        <v>1.0484656451363079</v>
      </c>
    </row>
    <row r="38" spans="2:14" ht="12.75" customHeight="1" x14ac:dyDescent="0.2">
      <c r="B38" s="116" t="str">
        <f>'AI-10'!$B$23</f>
        <v>BasketballDrive</v>
      </c>
      <c r="C38" s="117">
        <f>'RA-10'!$V$23</f>
        <v>-5.5524369619114333E-3</v>
      </c>
      <c r="D38" s="118">
        <f>'RA-10'!$W$23</f>
        <v>-2.9035730816815652E-2</v>
      </c>
      <c r="E38" s="119">
        <f>'RA-10'!$X$23</f>
        <v>-2.6258108204913366E-2</v>
      </c>
      <c r="F38" s="120">
        <f>GEOMEAN('RA-10'!$S$23:'RA-10'!$S$26)</f>
        <v>1.0830692255866357</v>
      </c>
      <c r="G38" s="121">
        <f>GEOMEAN('RA-10'!$T$23:'RA-10'!$T$26)</f>
        <v>1.0743999411208114</v>
      </c>
      <c r="I38" s="116" t="str">
        <f>'AI-10'!$B$23</f>
        <v>BasketballDrive</v>
      </c>
      <c r="J38" s="117">
        <f>'LDB-10'!$V$23</f>
        <v>-7.1868032711277507E-3</v>
      </c>
      <c r="K38" s="118">
        <f>'LDB-10'!$W$23</f>
        <v>-5.3082216627901357E-2</v>
      </c>
      <c r="L38" s="119">
        <f>'LDB-10'!$X$23</f>
        <v>-2.8416476750832365E-2</v>
      </c>
      <c r="M38" s="120">
        <f>GEOMEAN('LDB-10'!$S$23:'LDB-10'!$S$26)</f>
        <v>1.1045908885939035</v>
      </c>
      <c r="N38" s="121">
        <f>GEOMEAN('LDB-10'!$T$23:'LDB-10'!$T$26)</f>
        <v>1.0681950807658847</v>
      </c>
    </row>
    <row r="39" spans="2:14" ht="12.75" customHeight="1" x14ac:dyDescent="0.2">
      <c r="B39" s="116" t="str">
        <f>'AI-10'!$B$27</f>
        <v>MarketPlace</v>
      </c>
      <c r="C39" s="117">
        <f>'RA-10'!$V$27</f>
        <v>-1.0359659353326167E-2</v>
      </c>
      <c r="D39" s="118">
        <f>'RA-10'!$W$27</f>
        <v>-8.086674236961644E-2</v>
      </c>
      <c r="E39" s="119">
        <f>'RA-10'!$X$27</f>
        <v>-0.11530209751101417</v>
      </c>
      <c r="F39" s="120">
        <f>GEOMEAN('RA-10'!$S$27:'RA-10'!$S$30)</f>
        <v>1.0772261626607187</v>
      </c>
      <c r="G39" s="121">
        <f>GEOMEAN('RA-10'!$T$27:'RA-10'!$T$30)</f>
        <v>1.0963179289064195</v>
      </c>
      <c r="I39" s="116" t="str">
        <f>'AI-10'!$B$27</f>
        <v>MarketPlace</v>
      </c>
      <c r="J39" s="117">
        <f>'LDB-10'!$V$27</f>
        <v>-7.9460588763213824E-3</v>
      </c>
      <c r="K39" s="118">
        <f>'LDB-10'!$W$27</f>
        <v>-0.11793192231344429</v>
      </c>
      <c r="L39" s="119">
        <f>'LDB-10'!$X$27</f>
        <v>-0.12110811848248615</v>
      </c>
      <c r="M39" s="120">
        <f>GEOMEAN('LDB-10'!$S$27:'LDB-10'!$S$30)</f>
        <v>1.0864128404184608</v>
      </c>
      <c r="N39" s="121">
        <f>GEOMEAN('LDB-10'!$T$27:'LDB-10'!$T$30)</f>
        <v>1.096574200417558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-4.5251288945059587E-3</v>
      </c>
      <c r="D40" s="124">
        <f>'RA-10'!$W$31</f>
        <v>-5.189573229564548E-2</v>
      </c>
      <c r="E40" s="125">
        <f>'RA-10'!$X$31</f>
        <v>-7.0221733610946635E-2</v>
      </c>
      <c r="F40" s="126">
        <f>GEOMEAN('RA-10'!$S$31:'RA-10'!$S$34)</f>
        <v>1.1120697301632092</v>
      </c>
      <c r="G40" s="127">
        <f>GEOMEAN('RA-10'!$T$31:'RA-10'!$T$34)</f>
        <v>1.1091119312896323</v>
      </c>
      <c r="I40" s="122" t="str">
        <f>'AI-10'!$B$31</f>
        <v>RitualDance</v>
      </c>
      <c r="J40" s="123">
        <f>'LDB-10'!$V$31</f>
        <v>-5.9780520198795539E-3</v>
      </c>
      <c r="K40" s="124">
        <f>'LDB-10'!$W$31</f>
        <v>-6.4135364768040715E-2</v>
      </c>
      <c r="L40" s="125">
        <f>'LDB-10'!$X$31</f>
        <v>-8.4481499775363456E-2</v>
      </c>
      <c r="M40" s="126">
        <f>GEOMEAN('LDB-10'!$S$31:'LDB-10'!$S$34)</f>
        <v>1.1046510761163981</v>
      </c>
      <c r="N40" s="127">
        <f>GEOMEAN('LDB-10'!$T$31:'LDB-10'!$T$34)</f>
        <v>1.081849681025191</v>
      </c>
    </row>
    <row r="41" spans="2:14" ht="12.75" customHeight="1" x14ac:dyDescent="0.2">
      <c r="B41" s="110" t="str">
        <f>'AI-10'!$B$35</f>
        <v>City</v>
      </c>
      <c r="C41" s="111">
        <f>'RA-10'!$V$35</f>
        <v>-6.7121539021174348E-3</v>
      </c>
      <c r="D41" s="112">
        <f>'RA-10'!$W$35</f>
        <v>-0.1615512541649099</v>
      </c>
      <c r="E41" s="113">
        <f>'RA-10'!$X$35</f>
        <v>-0.13197211895960237</v>
      </c>
      <c r="F41" s="114">
        <f>GEOMEAN('RA-10'!$S$35:'RA-10'!$S$38)</f>
        <v>1.0506283310303195</v>
      </c>
      <c r="G41" s="115">
        <f>GEOMEAN('RA-10'!$T$35:'RA-10'!$T$38)</f>
        <v>1.0729903320487697</v>
      </c>
      <c r="I41" s="110" t="str">
        <f>'AI-10'!$B$35</f>
        <v>City</v>
      </c>
      <c r="J41" s="111">
        <f>'LDB-10'!$V$35</f>
        <v>-4.6133180199576795E-3</v>
      </c>
      <c r="K41" s="112">
        <f>'LDB-10'!$W$35</f>
        <v>-0.31405691219897114</v>
      </c>
      <c r="L41" s="113">
        <f>'LDB-10'!$X$35</f>
        <v>-0.25857084713014911</v>
      </c>
      <c r="M41" s="114">
        <f>GEOMEAN('LDB-10'!$S$35:'LDB-10'!$S$38)</f>
        <v>1.0570845054684068</v>
      </c>
      <c r="N41" s="115">
        <f>GEOMEAN('LDB-10'!$T$35:'LDB-10'!$T$38)</f>
        <v>1.0842832985696986</v>
      </c>
    </row>
    <row r="42" spans="2:14" ht="12.75" customHeight="1" x14ac:dyDescent="0.2">
      <c r="B42" s="116" t="str">
        <f>'AI-10'!$B$39</f>
        <v>Crew</v>
      </c>
      <c r="C42" s="117">
        <f>'RA-10'!$V$39</f>
        <v>-3.2494584966324958E-3</v>
      </c>
      <c r="D42" s="118">
        <f>'RA-10'!$W$39</f>
        <v>-5.2156848599052452E-2</v>
      </c>
      <c r="E42" s="119">
        <f>'RA-10'!$X$39</f>
        <v>-4.7625713157890548E-2</v>
      </c>
      <c r="F42" s="120">
        <f>GEOMEAN('RA-10'!$S$39:'RA-10'!$S$42)</f>
        <v>1.062817762354838</v>
      </c>
      <c r="G42" s="121">
        <f>GEOMEAN('RA-10'!$T$39:'RA-10'!$T$42)</f>
        <v>1.0944920736846941</v>
      </c>
      <c r="I42" s="116" t="str">
        <f>'AI-10'!$B$39</f>
        <v>Crew</v>
      </c>
      <c r="J42" s="117">
        <f>'LDB-10'!$V$39</f>
        <v>-5.8243419694402609E-3</v>
      </c>
      <c r="K42" s="118">
        <f>'LDB-10'!$W$39</f>
        <v>-5.2866700048822657E-2</v>
      </c>
      <c r="L42" s="119">
        <f>'LDB-10'!$X$39</f>
        <v>-3.6437780423646982E-2</v>
      </c>
      <c r="M42" s="120">
        <f>GEOMEAN('LDB-10'!$S$39:'LDB-10'!$S$42)</f>
        <v>1.066669782530026</v>
      </c>
      <c r="N42" s="121">
        <f>GEOMEAN('LDB-10'!$T$39:'LDB-10'!$T$42)</f>
        <v>1.0407099414523193</v>
      </c>
    </row>
    <row r="43" spans="2:14" ht="12.75" customHeight="1" x14ac:dyDescent="0.2">
      <c r="B43" s="116" t="str">
        <f>'AI-10'!$B$43</f>
        <v>vidyo1</v>
      </c>
      <c r="C43" s="117">
        <f>'RA-10'!$V$43</f>
        <v>-4.061382785728429E-3</v>
      </c>
      <c r="D43" s="118">
        <f>'RA-10'!$W$43</f>
        <v>-2.8316001288400949E-2</v>
      </c>
      <c r="E43" s="119">
        <f>'RA-10'!$X$43</f>
        <v>-1.2255489256480345E-2</v>
      </c>
      <c r="F43" s="120">
        <f>GEOMEAN('RA-10'!$S$43:'RA-10'!$S$46)</f>
        <v>1.0281175196235783</v>
      </c>
      <c r="G43" s="121">
        <f>GEOMEAN('RA-10'!$T$43:'RA-10'!$T$46)</f>
        <v>1.0938302276641954</v>
      </c>
      <c r="I43" s="116" t="str">
        <f>'AI-10'!$B$43</f>
        <v>vidyo1</v>
      </c>
      <c r="J43" s="117">
        <f>'LDB-10'!$V$43</f>
        <v>-3.3904006767255801E-3</v>
      </c>
      <c r="K43" s="118">
        <f>'LDB-10'!$W$43</f>
        <v>-9.9659923216161683E-2</v>
      </c>
      <c r="L43" s="119">
        <f>'LDB-10'!$X$43</f>
        <v>-3.8587567733382788E-2</v>
      </c>
      <c r="M43" s="120">
        <f>GEOMEAN('LDB-10'!$S$43:'LDB-10'!$S$46)</f>
        <v>1.0502901945716812</v>
      </c>
      <c r="N43" s="121">
        <f>GEOMEAN('LDB-10'!$T$43:'LDB-10'!$T$46)</f>
        <v>1.1200862519314776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-1.4788053946283686E-2</v>
      </c>
      <c r="D44" s="124">
        <f>'RA-10'!$W$47</f>
        <v>-0.12063840462066944</v>
      </c>
      <c r="E44" s="125">
        <f>'RA-10'!$X$47</f>
        <v>-4.6414321557554872E-2</v>
      </c>
      <c r="F44" s="126">
        <f>GEOMEAN('RA-10'!$S$47:'RA-10'!$S$50)</f>
        <v>1.0346836322925879</v>
      </c>
      <c r="G44" s="127">
        <f>GEOMEAN('RA-10'!$T$47:'RA-10'!$T$50)</f>
        <v>1.0565075203404568</v>
      </c>
      <c r="I44" s="122" t="str">
        <f>'AI-10'!$B$47</f>
        <v>vidyo3</v>
      </c>
      <c r="J44" s="123">
        <f>'LDB-10'!$V$47</f>
        <v>-1.3218791606270042E-2</v>
      </c>
      <c r="K44" s="124">
        <f>'LDB-10'!$W$47</f>
        <v>-0.14133349335744283</v>
      </c>
      <c r="L44" s="125">
        <f>'LDB-10'!$X$47</f>
        <v>-8.6432005914617194E-2</v>
      </c>
      <c r="M44" s="126">
        <f>GEOMEAN('LDB-10'!$S$47:'LDB-10'!$S$50)</f>
        <v>1.0664257152070664</v>
      </c>
      <c r="N44" s="127">
        <f>GEOMEAN('LDB-10'!$T$47:'LDB-10'!$T$50)</f>
        <v>1.118027371342434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-6.8155980081310297E-3</v>
      </c>
      <c r="D51" s="112">
        <f>'RA-10'!$W75</f>
        <v>-3.1900043746631274E-2</v>
      </c>
      <c r="E51" s="113">
        <f>'RA-10'!$X75</f>
        <v>-3.2600125202023683E-2</v>
      </c>
      <c r="F51" s="128">
        <f>'RA-10'!$S75</f>
        <v>1.0723123380242532</v>
      </c>
      <c r="G51" s="115">
        <f>'RA-10'!$T75</f>
        <v>1.0428655745616771</v>
      </c>
      <c r="I51" s="132" t="s">
        <v>78</v>
      </c>
      <c r="J51" s="111">
        <f>'LDB-10'!$V75</f>
        <v>-5.5741211025907844E-3</v>
      </c>
      <c r="K51" s="112">
        <f>'LDB-10'!$W75</f>
        <v>-4.2892729551815445E-2</v>
      </c>
      <c r="L51" s="113">
        <f>'LDB-10'!$X75</f>
        <v>-3.224714985996191E-2</v>
      </c>
      <c r="M51" s="128">
        <f>'LDB-10'!$S75</f>
        <v>1.0788378936540282</v>
      </c>
      <c r="N51" s="115">
        <f>'LDB-10'!$T75</f>
        <v>1.0522861968434418</v>
      </c>
    </row>
    <row r="52" spans="2:14" ht="12.75" customHeight="1" x14ac:dyDescent="0.2">
      <c r="B52" s="133" t="s">
        <v>79</v>
      </c>
      <c r="C52" s="117">
        <f>'RA-10'!$V76</f>
        <v>-1.2993286673650656E-2</v>
      </c>
      <c r="D52" s="118">
        <f>'RA-10'!$W76</f>
        <v>-5.3318636059319829E-2</v>
      </c>
      <c r="E52" s="119">
        <f>'RA-10'!$X76</f>
        <v>-6.3478797581855123E-2</v>
      </c>
      <c r="F52" s="130">
        <f>'RA-10'!$S76</f>
        <v>1.0849635565269871</v>
      </c>
      <c r="G52" s="121">
        <f>'RA-10'!$T76</f>
        <v>1.0896675805570168</v>
      </c>
      <c r="I52" s="133" t="s">
        <v>79</v>
      </c>
      <c r="J52" s="117">
        <f>'LDB-10'!$V76</f>
        <v>-1.0931740110940585E-2</v>
      </c>
      <c r="K52" s="118">
        <f>'LDB-10'!$W76</f>
        <v>-8.2944043090600855E-2</v>
      </c>
      <c r="L52" s="119">
        <f>'LDB-10'!$X76</f>
        <v>-7.5573507669611767E-2</v>
      </c>
      <c r="M52" s="130">
        <f>'LDB-10'!$S76</f>
        <v>1.0953573945967718</v>
      </c>
      <c r="N52" s="121">
        <f>'LDB-10'!$T76</f>
        <v>1.0736245429219422</v>
      </c>
    </row>
    <row r="53" spans="2:14" ht="12.75" customHeight="1" thickBot="1" x14ac:dyDescent="0.25">
      <c r="B53" s="133" t="s">
        <v>51</v>
      </c>
      <c r="C53" s="117">
        <f>'RA-10'!$V77</f>
        <v>-7.2027622826905113E-3</v>
      </c>
      <c r="D53" s="118">
        <f>'RA-10'!$W77</f>
        <v>-9.0665627168258184E-2</v>
      </c>
      <c r="E53" s="119">
        <f>'RA-10'!$X77</f>
        <v>-5.9566910732882034E-2</v>
      </c>
      <c r="F53" s="130">
        <f>'RA-10'!$S77</f>
        <v>1.0439737111893652</v>
      </c>
      <c r="G53" s="121">
        <f>'RA-10'!$T77</f>
        <v>1.0793386669465954</v>
      </c>
      <c r="I53" s="133" t="s">
        <v>80</v>
      </c>
      <c r="J53" s="117">
        <f>'LDB-10'!$V77</f>
        <v>-6.7617130680983906E-3</v>
      </c>
      <c r="K53" s="118">
        <f>'LDB-10'!$W77</f>
        <v>-0.15197925720534958</v>
      </c>
      <c r="L53" s="119">
        <f>'LDB-10'!$X77</f>
        <v>-0.10500705030044902</v>
      </c>
      <c r="M53" s="130">
        <f>'LDB-10'!$S77</f>
        <v>1.0600952896053297</v>
      </c>
      <c r="N53" s="121">
        <f>'LDB-10'!$T77</f>
        <v>1.0902951835058206</v>
      </c>
    </row>
    <row r="54" spans="2:14" ht="12.75" customHeight="1" thickBot="1" x14ac:dyDescent="0.25">
      <c r="B54" s="139" t="s">
        <v>37</v>
      </c>
      <c r="C54" s="138">
        <f>'RA-10'!$V80</f>
        <v>-9.0038823214907329E-3</v>
      </c>
      <c r="D54" s="137">
        <f>'RA-10'!$W80</f>
        <v>-5.8628102324736427E-2</v>
      </c>
      <c r="E54" s="136">
        <f>'RA-10'!$X80</f>
        <v>-5.1881944505586947E-2</v>
      </c>
      <c r="F54" s="135">
        <f>'RA-10'!$S80</f>
        <v>1.0669449334137699</v>
      </c>
      <c r="G54" s="134">
        <f>'RA-10'!$T80</f>
        <v>1.0704343386277246</v>
      </c>
      <c r="I54" s="139" t="s">
        <v>37</v>
      </c>
      <c r="J54" s="138">
        <f>'LDB-10'!$V80</f>
        <v>-7.7558580938765871E-3</v>
      </c>
      <c r="K54" s="137">
        <f>'LDB-10'!$W80</f>
        <v>-9.2605343282588626E-2</v>
      </c>
      <c r="L54" s="136">
        <f>'LDB-10'!$X80</f>
        <v>-7.0942569276674236E-2</v>
      </c>
      <c r="M54" s="135">
        <f>'LDB-10'!$S80</f>
        <v>1.0780005453474995</v>
      </c>
      <c r="N54" s="134">
        <f>'LDB-10'!$T80</f>
        <v>1.0719556047922634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O2" sqref="O2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 t="str">
        <f>CONCATENATE("Over ", $J$3)</f>
        <v>Over HPM9.0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>
        <f>'AI-10'!V75</f>
        <v>-4.2776942746278468E-3</v>
      </c>
      <c r="D5" s="61">
        <f>'AI-10'!W75</f>
        <v>-2.3778437248901441E-2</v>
      </c>
      <c r="E5" s="62">
        <f>'AI-10'!X75</f>
        <v>-1.841754393363329E-2</v>
      </c>
      <c r="F5" s="63">
        <f>'AI-10'!S75</f>
        <v>1.1511725971739033</v>
      </c>
      <c r="G5" s="64">
        <f>'AI-10'!T75</f>
        <v>1.0607027291311499</v>
      </c>
      <c r="H5" s="25"/>
      <c r="J5" s="28"/>
    </row>
    <row r="6" spans="2:10" ht="12.75" customHeight="1" x14ac:dyDescent="0.2">
      <c r="B6" s="94" t="s">
        <v>91</v>
      </c>
      <c r="C6" s="65">
        <f>'AI-10'!V76</f>
        <v>-2.8865760774302585E-3</v>
      </c>
      <c r="D6" s="66">
        <f>'AI-10'!W76</f>
        <v>-2.8827708888751802E-2</v>
      </c>
      <c r="E6" s="67">
        <f>'AI-10'!X76</f>
        <v>-3.7550131519429625E-2</v>
      </c>
      <c r="F6" s="68">
        <f>'AI-10'!S76</f>
        <v>1.153196900779252</v>
      </c>
      <c r="G6" s="69">
        <f>'AI-10'!T76</f>
        <v>1.0699868393456193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-1.7534475126051996E-3</v>
      </c>
      <c r="D7" s="66">
        <f>'AI-10'!W77</f>
        <v>-5.9452910784968449E-2</v>
      </c>
      <c r="E7" s="67">
        <f>'AI-10'!X77</f>
        <v>-2.8195177203482469E-2</v>
      </c>
      <c r="F7" s="68">
        <f>'AI-10'!S77</f>
        <v>1.1355430024138025</v>
      </c>
      <c r="G7" s="69">
        <f>'AI-10'!T77</f>
        <v>1.0743690054743296</v>
      </c>
      <c r="H7" s="25"/>
    </row>
    <row r="8" spans="2:10" s="20" customFormat="1" ht="12.75" customHeight="1" thickBot="1" x14ac:dyDescent="0.25">
      <c r="B8" s="81" t="s">
        <v>37</v>
      </c>
      <c r="C8" s="60">
        <f>'AI-10'!V80</f>
        <v>-2.9725726215544348E-3</v>
      </c>
      <c r="D8" s="61">
        <f>'AI-10'!W80</f>
        <v>-3.735301897420723E-2</v>
      </c>
      <c r="E8" s="61">
        <f>'AI-10'!X80</f>
        <v>-2.8054284218848462E-2</v>
      </c>
      <c r="F8" s="100">
        <f>'AI-10'!S80</f>
        <v>1.1466102812872856</v>
      </c>
      <c r="G8" s="101">
        <f>'AI-10'!T80</f>
        <v>1.0683376428843931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 t="str">
        <f>CONCATENATE("Over ", $J$3)</f>
        <v>Over HPM9.0</v>
      </c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>
        <f>'RA-10'!V75</f>
        <v>-6.8155980081310297E-3</v>
      </c>
      <c r="D15" s="61">
        <f>'RA-10'!W75</f>
        <v>-3.1900043746631274E-2</v>
      </c>
      <c r="E15" s="62">
        <f>'RA-10'!X75</f>
        <v>-3.2600125202023683E-2</v>
      </c>
      <c r="F15" s="63">
        <f>'RA-10'!S75</f>
        <v>1.0723123380242532</v>
      </c>
      <c r="G15" s="64">
        <f>'RA-10'!T75</f>
        <v>1.0428655745616771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-1.2993286673650656E-2</v>
      </c>
      <c r="D16" s="66">
        <f>'RA-10'!W76</f>
        <v>-5.3318636059319829E-2</v>
      </c>
      <c r="E16" s="67">
        <f>'RA-10'!X76</f>
        <v>-6.3478797581855123E-2</v>
      </c>
      <c r="F16" s="68">
        <f>'RA-10'!S76</f>
        <v>1.0849635565269871</v>
      </c>
      <c r="G16" s="69">
        <f>'RA-10'!T76</f>
        <v>1.0896675805570168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-7.2027622826905113E-3</v>
      </c>
      <c r="D17" s="66">
        <f>'RA-10'!W77</f>
        <v>-9.0665627168258184E-2</v>
      </c>
      <c r="E17" s="67">
        <f>'RA-10'!X77</f>
        <v>-5.9566910732882034E-2</v>
      </c>
      <c r="F17" s="68">
        <f>'RA-10'!S77</f>
        <v>1.0439737111893652</v>
      </c>
      <c r="G17" s="69">
        <f>'RA-10'!T77</f>
        <v>1.0793386669465954</v>
      </c>
      <c r="H17" s="25"/>
    </row>
    <row r="18" spans="2:9" ht="12.75" customHeight="1" thickBot="1" x14ac:dyDescent="0.25">
      <c r="B18" s="81" t="s">
        <v>37</v>
      </c>
      <c r="C18" s="60">
        <f>'RA-10'!V80</f>
        <v>-9.0038823214907329E-3</v>
      </c>
      <c r="D18" s="61">
        <f>'RA-10'!W80</f>
        <v>-5.8628102324736427E-2</v>
      </c>
      <c r="E18" s="61">
        <f>'RA-10'!X80</f>
        <v>-5.1881944505586947E-2</v>
      </c>
      <c r="F18" s="100">
        <f>'RA-10'!S80</f>
        <v>1.0669449334137699</v>
      </c>
      <c r="G18" s="101">
        <f>'RA-10'!T80</f>
        <v>1.0704343386277246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HPM9.0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>
        <f>'LDB-10'!V75</f>
        <v>-5.5741211025907844E-3</v>
      </c>
      <c r="D25" s="61">
        <f>'LDB-10'!W75</f>
        <v>-4.2892729551815445E-2</v>
      </c>
      <c r="E25" s="62">
        <f>'LDB-10'!X75</f>
        <v>-3.224714985996191E-2</v>
      </c>
      <c r="F25" s="63">
        <f>'LDB-10'!S75</f>
        <v>1.0788378936540282</v>
      </c>
      <c r="G25" s="64">
        <f>'LDB-10'!T75</f>
        <v>1.0522861968434418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-1.0931740110940585E-2</v>
      </c>
      <c r="D26" s="66">
        <f>'LDB-10'!W76</f>
        <v>-8.2944043090600855E-2</v>
      </c>
      <c r="E26" s="67">
        <f>'LDB-10'!X76</f>
        <v>-7.5573507669611767E-2</v>
      </c>
      <c r="F26" s="68">
        <f>'LDB-10'!S76</f>
        <v>1.0953573945967718</v>
      </c>
      <c r="G26" s="69">
        <f>'LDB-10'!T76</f>
        <v>1.0736245429219422</v>
      </c>
      <c r="H26" s="25"/>
    </row>
    <row r="27" spans="2:9" ht="12.75" customHeight="1" thickBot="1" x14ac:dyDescent="0.25">
      <c r="B27" s="95" t="s">
        <v>93</v>
      </c>
      <c r="C27" s="65">
        <f>'LDB-10'!V77</f>
        <v>-6.7617130680983906E-3</v>
      </c>
      <c r="D27" s="66">
        <f>'LDB-10'!W77</f>
        <v>-0.15197925720534958</v>
      </c>
      <c r="E27" s="67">
        <f>'LDB-10'!X77</f>
        <v>-0.10500705030044902</v>
      </c>
      <c r="F27" s="68">
        <f>'LDB-10'!S77</f>
        <v>1.0600952896053297</v>
      </c>
      <c r="G27" s="69">
        <f>'LDB-10'!T77</f>
        <v>1.0902951835058206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-7.7558580938765871E-3</v>
      </c>
      <c r="D28" s="61">
        <f>'LDB-10'!W80</f>
        <v>-9.2605343282588626E-2</v>
      </c>
      <c r="E28" s="61">
        <f>'LDB-10'!X80</f>
        <v>-7.0942569276674236E-2</v>
      </c>
      <c r="F28" s="100">
        <f>'LDB-10'!S80</f>
        <v>1.0780005453474995</v>
      </c>
      <c r="G28" s="101">
        <f>'LDB-10'!T80</f>
        <v>1.0719556047922634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HPM9.0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L3" sqref="L3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77588.665900000007</v>
      </c>
      <c r="E3" s="13">
        <f>Reference!C1</f>
        <v>40.803199999999997</v>
      </c>
      <c r="F3" s="13">
        <f>Reference!D1</f>
        <v>49.127800000000001</v>
      </c>
      <c r="G3" s="13">
        <f>Reference!E1</f>
        <v>47.654299999999999</v>
      </c>
      <c r="H3" s="13">
        <f>Reference!F1</f>
        <v>93289.983999999997</v>
      </c>
      <c r="I3" s="13">
        <f>Reference!G1</f>
        <v>27.513999999999999</v>
      </c>
      <c r="J3" s="14">
        <f>H3/3600</f>
        <v>25.913884444444445</v>
      </c>
      <c r="L3" s="12">
        <f>Test!B1</f>
        <v>76649.785900000003</v>
      </c>
      <c r="M3" s="13">
        <f>Test!C1</f>
        <v>40.8003</v>
      </c>
      <c r="N3" s="13">
        <f>Test!D1</f>
        <v>49.140099999999997</v>
      </c>
      <c r="O3" s="13">
        <f>Test!E1</f>
        <v>47.6663</v>
      </c>
      <c r="P3" s="13">
        <f>Test!F1</f>
        <v>106931.18</v>
      </c>
      <c r="Q3" s="13">
        <f>Test!G1</f>
        <v>29.477</v>
      </c>
      <c r="R3" s="13">
        <f>P3/3600</f>
        <v>29.703105555555553</v>
      </c>
      <c r="S3" s="12">
        <f>P3/H3</f>
        <v>1.1462235860175514</v>
      </c>
      <c r="T3" s="13">
        <f>Q3/I3</f>
        <v>1.0713454968379734</v>
      </c>
      <c r="U3" s="90"/>
      <c r="V3" s="42">
        <f>bdrate($D3:$D6,E3:E6,$L3:$L6,M3:M6)</f>
        <v>-8.5202280643551509E-3</v>
      </c>
      <c r="W3" s="42">
        <f>bdrate($D3:$D6,F3:F6,$L3:$L6,N3:N6)</f>
        <v>-3.9628026168271213E-2</v>
      </c>
      <c r="X3" s="43">
        <f>bdrate($D3:$D6,G3:G6,$L3:$L6,O3:O6)</f>
        <v>-1.6690115471220346E-2</v>
      </c>
      <c r="Y3" s="37">
        <f>bdrateOld($D3:$D6,E3:E6,$L3:$L6,M3:M6)</f>
        <v>-8.5290314724313365E-3</v>
      </c>
      <c r="Z3" s="42">
        <f>bdrateOld($D3:$D6,F3:F6,$L3:$L6,N3:N6)</f>
        <v>-4.0421159696864106E-2</v>
      </c>
      <c r="AA3" s="43">
        <f>bdrateOld($D3:$D6,G3:G6,$L3:$L6,O3:O6)</f>
        <v>-1.6802333641035894E-2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41846.529699999999</v>
      </c>
      <c r="E4" s="18">
        <f>Reference!C2</f>
        <v>40.151200000000003</v>
      </c>
      <c r="F4" s="18">
        <f>Reference!D2</f>
        <v>48.341099999999997</v>
      </c>
      <c r="G4" s="18">
        <f>Reference!E2</f>
        <v>46.536799999999999</v>
      </c>
      <c r="H4" s="18">
        <f>Reference!F2</f>
        <v>50657.042999999998</v>
      </c>
      <c r="I4" s="18">
        <f>Reference!G2</f>
        <v>25.306999999999999</v>
      </c>
      <c r="J4" s="19">
        <f t="shared" ref="J4:J14" si="0">H4/3600</f>
        <v>14.071400833333334</v>
      </c>
      <c r="L4" s="17">
        <f>Test!B2</f>
        <v>41628.596799999999</v>
      </c>
      <c r="M4" s="18">
        <f>Test!C2</f>
        <v>40.1571</v>
      </c>
      <c r="N4" s="18">
        <f>Test!D2</f>
        <v>48.378999999999998</v>
      </c>
      <c r="O4" s="18">
        <f>Test!E2</f>
        <v>46.562100000000001</v>
      </c>
      <c r="P4" s="18">
        <f>Test!F2</f>
        <v>58473.608999999997</v>
      </c>
      <c r="Q4" s="18">
        <f>Test!G2</f>
        <v>26.978999999999999</v>
      </c>
      <c r="R4" s="18">
        <f t="shared" ref="R4:R14" si="1">P4/3600</f>
        <v>16.242669166666666</v>
      </c>
      <c r="S4" s="17">
        <f t="shared" ref="S4:T14" si="2">P4/H4</f>
        <v>1.1543036375020943</v>
      </c>
      <c r="T4" s="18">
        <f t="shared" si="2"/>
        <v>1.066068676650729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25031.403200000001</v>
      </c>
      <c r="E5" s="18">
        <f>Reference!C3</f>
        <v>39.418199999999999</v>
      </c>
      <c r="F5" s="18">
        <f>Reference!D3</f>
        <v>47.361499999999999</v>
      </c>
      <c r="G5" s="18">
        <f>Reference!E3</f>
        <v>45.252699999999997</v>
      </c>
      <c r="H5" s="18">
        <f>Reference!F3</f>
        <v>29623.905999999999</v>
      </c>
      <c r="I5" s="18">
        <f>Reference!G3</f>
        <v>23.198</v>
      </c>
      <c r="J5" s="19">
        <f t="shared" si="0"/>
        <v>8.2288627777777776</v>
      </c>
      <c r="L5" s="17">
        <f>Test!B3</f>
        <v>24995.338400000001</v>
      </c>
      <c r="M5" s="18">
        <f>Test!C3</f>
        <v>39.431199999999997</v>
      </c>
      <c r="N5" s="18">
        <f>Test!D3</f>
        <v>47.451300000000003</v>
      </c>
      <c r="O5" s="18">
        <f>Test!E3</f>
        <v>45.295099999999998</v>
      </c>
      <c r="P5" s="18">
        <f>Test!F3</f>
        <v>34968.699000000001</v>
      </c>
      <c r="Q5" s="18">
        <f>Test!G3</f>
        <v>24.978000000000002</v>
      </c>
      <c r="R5" s="18">
        <f t="shared" si="1"/>
        <v>9.7135274999999996</v>
      </c>
      <c r="S5" s="17">
        <f t="shared" si="2"/>
        <v>1.1804216162446641</v>
      </c>
      <c r="T5" s="18">
        <f t="shared" si="2"/>
        <v>1.0767307526510908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14262.7459</v>
      </c>
      <c r="E6" s="23">
        <f>Reference!C4</f>
        <v>38.194699999999997</v>
      </c>
      <c r="F6" s="23">
        <f>Reference!D4</f>
        <v>45.867600000000003</v>
      </c>
      <c r="G6" s="23">
        <f>Reference!E4</f>
        <v>43.461599999999997</v>
      </c>
      <c r="H6" s="23">
        <f>Reference!F4</f>
        <v>16348.081</v>
      </c>
      <c r="I6" s="23">
        <f>Reference!G4</f>
        <v>21.597999999999999</v>
      </c>
      <c r="J6" s="24">
        <f t="shared" si="0"/>
        <v>4.5411336111111114</v>
      </c>
      <c r="L6" s="22">
        <f>Test!B4</f>
        <v>14279.8184</v>
      </c>
      <c r="M6" s="23">
        <f>Test!C4</f>
        <v>38.212000000000003</v>
      </c>
      <c r="N6" s="23">
        <f>Test!D4</f>
        <v>46.055300000000003</v>
      </c>
      <c r="O6" s="23">
        <f>Test!E4</f>
        <v>43.520400000000002</v>
      </c>
      <c r="P6" s="23">
        <f>Test!F4</f>
        <v>19412.008000000002</v>
      </c>
      <c r="Q6" s="23">
        <f>Test!G4</f>
        <v>23.248999999999999</v>
      </c>
      <c r="R6" s="23">
        <f t="shared" si="1"/>
        <v>5.3922244444444445</v>
      </c>
      <c r="S6" s="17">
        <f t="shared" si="2"/>
        <v>1.1874181440622908</v>
      </c>
      <c r="T6" s="18">
        <f t="shared" si="2"/>
        <v>1.0764422631725159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325484.08419999998</v>
      </c>
      <c r="E7" s="13">
        <f>Reference!C5</f>
        <v>44.657800000000002</v>
      </c>
      <c r="F7" s="13">
        <f>Reference!D5</f>
        <v>38.8902</v>
      </c>
      <c r="G7" s="13">
        <f>Reference!E5</f>
        <v>39.390099999999997</v>
      </c>
      <c r="H7" s="13">
        <f>Reference!F5</f>
        <v>148851.84400000001</v>
      </c>
      <c r="I7" s="13">
        <f>Reference!G5</f>
        <v>40.213000000000001</v>
      </c>
      <c r="J7" s="14">
        <f t="shared" si="0"/>
        <v>41.347734444444448</v>
      </c>
      <c r="L7" s="12">
        <f>Test!B5</f>
        <v>325191</v>
      </c>
      <c r="M7" s="13">
        <f>Test!C5</f>
        <v>44.685899999999997</v>
      </c>
      <c r="N7" s="13">
        <f>Test!D5</f>
        <v>38.907800000000002</v>
      </c>
      <c r="O7" s="13">
        <f>Test!E5</f>
        <v>39.401299999999999</v>
      </c>
      <c r="P7" s="13">
        <f>Test!F5</f>
        <v>174948.391</v>
      </c>
      <c r="Q7" s="13">
        <f>Test!G5</f>
        <v>41.789000000000001</v>
      </c>
      <c r="R7" s="13">
        <f t="shared" si="1"/>
        <v>48.59677527777778</v>
      </c>
      <c r="S7" s="17">
        <f t="shared" si="2"/>
        <v>1.1753189365930865</v>
      </c>
      <c r="T7" s="18">
        <f t="shared" si="2"/>
        <v>1.0391913062939846</v>
      </c>
      <c r="U7" s="91"/>
      <c r="V7" s="42">
        <f>bdrate($D7:$D10,E7:E10,$L7:$L10,M7:M10)</f>
        <v>-4.8229218961238773E-3</v>
      </c>
      <c r="W7" s="42">
        <f>bdrate($D7:$D10,F7:F10,$L7:$L10,N7:N10)</f>
        <v>-6.7042339995104783E-3</v>
      </c>
      <c r="X7" s="42">
        <f>bdrate($D7:$D10,G7:G10,$L7:$L10,O7:O10)</f>
        <v>-5.7574106044212536E-3</v>
      </c>
      <c r="Y7" s="40">
        <f>bdrateOld($D7:$D10,E7:E10,$L7:$L10,M7:M10)</f>
        <v>-4.8090660558175458E-3</v>
      </c>
      <c r="Z7" s="44">
        <f>bdrateOld($D7:$D10,F7:F10,$L7:$L10,N7:N10)</f>
        <v>-6.7178754210137637E-3</v>
      </c>
      <c r="AA7" s="45">
        <f>bdrateOld($D7:$D10,G7:G10,$L7:$L10,O7:O10)</f>
        <v>-5.7566011317828902E-3</v>
      </c>
    </row>
    <row r="8" spans="1:27" x14ac:dyDescent="0.2">
      <c r="A8" s="16"/>
      <c r="B8" s="85"/>
      <c r="C8" s="16">
        <v>48</v>
      </c>
      <c r="D8" s="17">
        <f>Reference!B6</f>
        <v>207847.74739999999</v>
      </c>
      <c r="E8" s="18">
        <f>Reference!C6</f>
        <v>41.8889</v>
      </c>
      <c r="F8" s="18">
        <f>Reference!D6</f>
        <v>36.314599999999999</v>
      </c>
      <c r="G8" s="18">
        <f>Reference!E6</f>
        <v>37.128500000000003</v>
      </c>
      <c r="H8" s="18">
        <f>Reference!F6</f>
        <v>117340.43799999999</v>
      </c>
      <c r="I8" s="18">
        <f>Reference!G6</f>
        <v>35.737000000000002</v>
      </c>
      <c r="J8" s="19">
        <f t="shared" si="0"/>
        <v>32.594566111111106</v>
      </c>
      <c r="L8" s="17">
        <f>Test!B6</f>
        <v>207706.78950000001</v>
      </c>
      <c r="M8" s="18">
        <f>Test!C6</f>
        <v>41.917299999999997</v>
      </c>
      <c r="N8" s="18">
        <f>Test!D6</f>
        <v>36.338299999999997</v>
      </c>
      <c r="O8" s="18">
        <f>Test!E6</f>
        <v>37.145000000000003</v>
      </c>
      <c r="P8" s="18">
        <f>Test!F6</f>
        <v>139175.07800000001</v>
      </c>
      <c r="Q8" s="18">
        <f>Test!G6</f>
        <v>39.683999999999997</v>
      </c>
      <c r="R8" s="18">
        <f t="shared" si="1"/>
        <v>38.65974388888889</v>
      </c>
      <c r="S8" s="17">
        <f t="shared" si="2"/>
        <v>1.1860794144981801</v>
      </c>
      <c r="T8" s="18">
        <f t="shared" si="2"/>
        <v>1.1104457564988666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118670.07369999999</v>
      </c>
      <c r="E9" s="18">
        <f>Reference!C7</f>
        <v>38.655099999999997</v>
      </c>
      <c r="F9" s="18">
        <f>Reference!D7</f>
        <v>34.024700000000003</v>
      </c>
      <c r="G9" s="18">
        <f>Reference!E7</f>
        <v>35.0749</v>
      </c>
      <c r="H9" s="18">
        <f>Reference!F7</f>
        <v>85500.016000000003</v>
      </c>
      <c r="I9" s="18">
        <f>Reference!G7</f>
        <v>31.187000000000001</v>
      </c>
      <c r="J9" s="19">
        <f t="shared" si="0"/>
        <v>23.750004444444446</v>
      </c>
      <c r="L9" s="17">
        <f>Test!B7</f>
        <v>118700.8737</v>
      </c>
      <c r="M9" s="18">
        <f>Test!C7</f>
        <v>38.681100000000001</v>
      </c>
      <c r="N9" s="18">
        <f>Test!D7</f>
        <v>34.052100000000003</v>
      </c>
      <c r="O9" s="18">
        <f>Test!E7</f>
        <v>35.096699999999998</v>
      </c>
      <c r="P9" s="18">
        <f>Test!F7</f>
        <v>100112.07</v>
      </c>
      <c r="Q9" s="18">
        <f>Test!G7</f>
        <v>32.762999999999998</v>
      </c>
      <c r="R9" s="18">
        <f t="shared" si="1"/>
        <v>27.808908333333335</v>
      </c>
      <c r="S9" s="17">
        <f t="shared" si="2"/>
        <v>1.1709011843927608</v>
      </c>
      <c r="T9" s="18">
        <f t="shared" si="2"/>
        <v>1.0505338762946099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55929.968399999998</v>
      </c>
      <c r="E10" s="23">
        <f>Reference!C8</f>
        <v>35.199100000000001</v>
      </c>
      <c r="F10" s="23">
        <f>Reference!D8</f>
        <v>31.658999999999999</v>
      </c>
      <c r="G10" s="23">
        <f>Reference!E8</f>
        <v>33.125300000000003</v>
      </c>
      <c r="H10" s="23">
        <f>Reference!F8</f>
        <v>54771.836000000003</v>
      </c>
      <c r="I10" s="23">
        <f>Reference!G8</f>
        <v>26.622</v>
      </c>
      <c r="J10" s="24">
        <f t="shared" si="0"/>
        <v>15.214398888888891</v>
      </c>
      <c r="L10" s="22">
        <f>Test!B8</f>
        <v>55985.368399999999</v>
      </c>
      <c r="M10" s="23">
        <f>Test!C8</f>
        <v>35.217300000000002</v>
      </c>
      <c r="N10" s="23">
        <f>Test!D8</f>
        <v>31.694900000000001</v>
      </c>
      <c r="O10" s="23">
        <f>Test!E8</f>
        <v>33.150799999999997</v>
      </c>
      <c r="P10" s="23">
        <f>Test!F8</f>
        <v>64531.328000000001</v>
      </c>
      <c r="Q10" s="23">
        <f>Test!G8</f>
        <v>27.908999999999999</v>
      </c>
      <c r="R10" s="23">
        <f t="shared" si="1"/>
        <v>17.92536888888889</v>
      </c>
      <c r="S10" s="17">
        <f t="shared" si="2"/>
        <v>1.1781844961341079</v>
      </c>
      <c r="T10" s="18">
        <f t="shared" si="2"/>
        <v>1.0483434753211629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125550.82739999999</v>
      </c>
      <c r="E11" s="13">
        <f>Reference!C9</f>
        <v>41.548200000000001</v>
      </c>
      <c r="F11" s="13">
        <f>Reference!D9</f>
        <v>43.828299999999999</v>
      </c>
      <c r="G11" s="13">
        <f>Reference!E9</f>
        <v>42.734000000000002</v>
      </c>
      <c r="H11" s="13">
        <f>Reference!F9</f>
        <v>148396.93799999999</v>
      </c>
      <c r="I11" s="13">
        <f>Reference!G9</f>
        <v>32.729999999999997</v>
      </c>
      <c r="J11" s="14">
        <f t="shared" si="0"/>
        <v>41.221371666666663</v>
      </c>
      <c r="L11" s="12">
        <f>Test!B9</f>
        <v>125343.15790000001</v>
      </c>
      <c r="M11" s="13">
        <f>Test!C9</f>
        <v>41.550699999999999</v>
      </c>
      <c r="N11" s="13">
        <f>Test!D9</f>
        <v>43.853999999999999</v>
      </c>
      <c r="O11" s="13">
        <f>Test!E9</f>
        <v>42.776200000000003</v>
      </c>
      <c r="P11" s="13">
        <f>Test!F9</f>
        <v>163862.891</v>
      </c>
      <c r="Q11" s="13">
        <f>Test!G9</f>
        <v>34.17</v>
      </c>
      <c r="R11" s="13">
        <f t="shared" si="1"/>
        <v>45.517469722222224</v>
      </c>
      <c r="S11" s="17">
        <f t="shared" si="2"/>
        <v>1.1042201625480978</v>
      </c>
      <c r="T11" s="18">
        <f t="shared" si="2"/>
        <v>1.0439963336388636</v>
      </c>
      <c r="U11" s="91"/>
      <c r="V11" s="42">
        <f>bdrate($D11:$D14,E11:E14,$L11:$L14,M11:M14)</f>
        <v>-1.9169053752073895E-3</v>
      </c>
      <c r="W11" s="42">
        <f>bdrate($D11:$D14,F11:F14,$L11:$L14,N11:N14)</f>
        <v>-8.7603631637280799E-3</v>
      </c>
      <c r="X11" s="42">
        <f>bdrate($D11:$D14,G11:G14,$L11:$L14,O11:O14)</f>
        <v>-3.3504284635782589E-2</v>
      </c>
      <c r="Y11" s="40">
        <f>bdrateOld($D11:$D14,E11:E14,$L11:$L14,M11:M14)</f>
        <v>-1.6084178282398387E-3</v>
      </c>
      <c r="Z11" s="44">
        <f>bdrateOld($D11:$D14,F11:F14,$L11:$L14,N11:N14)</f>
        <v>-8.8039696199029294E-3</v>
      </c>
      <c r="AA11" s="45">
        <f>bdrateOld($D11:$D14,G11:G14,$L11:$L14,O11:O14)</f>
        <v>-3.3094679906500279E-2</v>
      </c>
    </row>
    <row r="12" spans="1:27" x14ac:dyDescent="0.2">
      <c r="A12" s="34"/>
      <c r="B12" s="83"/>
      <c r="C12" s="16">
        <v>48</v>
      </c>
      <c r="D12" s="17">
        <f>Reference!B10</f>
        <v>56403.107400000001</v>
      </c>
      <c r="E12" s="18">
        <f>Reference!C10</f>
        <v>38.857599999999998</v>
      </c>
      <c r="F12" s="18">
        <f>Reference!D10</f>
        <v>41.230499999999999</v>
      </c>
      <c r="G12" s="18">
        <f>Reference!E10</f>
        <v>41.567399999999999</v>
      </c>
      <c r="H12" s="18">
        <f>Reference!F10</f>
        <v>90694.804999999993</v>
      </c>
      <c r="I12" s="18">
        <f>Reference!G10</f>
        <v>26.456</v>
      </c>
      <c r="J12" s="19">
        <f t="shared" si="0"/>
        <v>25.193001388888888</v>
      </c>
      <c r="L12" s="17">
        <f>Test!B10</f>
        <v>56248.269500000002</v>
      </c>
      <c r="M12" s="18">
        <f>Test!C10</f>
        <v>38.854999999999997</v>
      </c>
      <c r="N12" s="18">
        <f>Test!D10</f>
        <v>41.252400000000002</v>
      </c>
      <c r="O12" s="18">
        <f>Test!E10</f>
        <v>41.615400000000001</v>
      </c>
      <c r="P12" s="18">
        <f>Test!F10</f>
        <v>102536.04700000001</v>
      </c>
      <c r="Q12" s="18">
        <f>Test!G10</f>
        <v>28.288</v>
      </c>
      <c r="R12" s="18">
        <f t="shared" si="1"/>
        <v>28.482235277777779</v>
      </c>
      <c r="S12" s="17">
        <f t="shared" si="2"/>
        <v>1.1305614141846383</v>
      </c>
      <c r="T12" s="18">
        <f t="shared" si="2"/>
        <v>1.0692470517084971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25623.151600000001</v>
      </c>
      <c r="E13" s="18">
        <f>Reference!C11</f>
        <v>37.2883</v>
      </c>
      <c r="F13" s="18">
        <f>Reference!D11</f>
        <v>38.917099999999998</v>
      </c>
      <c r="G13" s="18">
        <f>Reference!E11</f>
        <v>40.428899999999999</v>
      </c>
      <c r="H13" s="18">
        <f>Reference!F11</f>
        <v>47673.987999999998</v>
      </c>
      <c r="I13" s="18">
        <f>Reference!G11</f>
        <v>22.498999999999999</v>
      </c>
      <c r="J13" s="19">
        <f t="shared" si="0"/>
        <v>13.242774444444445</v>
      </c>
      <c r="L13" s="17">
        <f>Test!B11</f>
        <v>25640.936799999999</v>
      </c>
      <c r="M13" s="18">
        <f>Test!C11</f>
        <v>37.2943</v>
      </c>
      <c r="N13" s="18">
        <f>Test!D11</f>
        <v>38.950499999999998</v>
      </c>
      <c r="O13" s="18">
        <f>Test!E11</f>
        <v>40.486499999999999</v>
      </c>
      <c r="P13" s="18">
        <f>Test!F11</f>
        <v>55392.008000000002</v>
      </c>
      <c r="Q13" s="18">
        <f>Test!G11</f>
        <v>24.074000000000002</v>
      </c>
      <c r="R13" s="18">
        <f t="shared" si="1"/>
        <v>15.38666888888889</v>
      </c>
      <c r="S13" s="17">
        <f t="shared" si="2"/>
        <v>1.1618916378466178</v>
      </c>
      <c r="T13" s="18">
        <f t="shared" si="2"/>
        <v>1.0700031112493891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12373.44</v>
      </c>
      <c r="E14" s="23">
        <f>Reference!C12</f>
        <v>35.898000000000003</v>
      </c>
      <c r="F14" s="23">
        <f>Reference!D12</f>
        <v>36.222799999999999</v>
      </c>
      <c r="G14" s="23">
        <f>Reference!E12</f>
        <v>38.914000000000001</v>
      </c>
      <c r="H14" s="23">
        <f>Reference!F12</f>
        <v>26523.276999999998</v>
      </c>
      <c r="I14" s="23">
        <f>Reference!G12</f>
        <v>20.614000000000001</v>
      </c>
      <c r="J14" s="24">
        <f t="shared" si="0"/>
        <v>7.3675769444444441</v>
      </c>
      <c r="L14" s="22">
        <f>Test!B12</f>
        <v>12412.503199999999</v>
      </c>
      <c r="M14" s="23">
        <f>Test!C12</f>
        <v>35.906500000000001</v>
      </c>
      <c r="N14" s="23">
        <f>Test!D12</f>
        <v>36.248899999999999</v>
      </c>
      <c r="O14" s="23">
        <f>Test!E12</f>
        <v>39.0047</v>
      </c>
      <c r="P14" s="23">
        <f>Test!F12</f>
        <v>30209.081999999999</v>
      </c>
      <c r="Q14" s="23">
        <f>Test!G12</f>
        <v>21.193000000000001</v>
      </c>
      <c r="R14" s="23">
        <f t="shared" si="1"/>
        <v>8.3914116666666665</v>
      </c>
      <c r="S14" s="17">
        <f t="shared" si="2"/>
        <v>1.1389649174949235</v>
      </c>
      <c r="T14" s="18">
        <f t="shared" si="2"/>
        <v>1.0280877073833317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179021.53260000001</v>
      </c>
      <c r="E15" s="13">
        <f>Reference!C13</f>
        <v>38.606000000000002</v>
      </c>
      <c r="F15" s="13">
        <f>Reference!D13</f>
        <v>45.484999999999999</v>
      </c>
      <c r="G15" s="13">
        <f>Reference!E13</f>
        <v>43.296199999999999</v>
      </c>
      <c r="H15" s="13">
        <f>Reference!F13</f>
        <v>174761.016</v>
      </c>
      <c r="I15" s="13">
        <f>Reference!G13</f>
        <v>34.012</v>
      </c>
      <c r="J15" s="14">
        <f>H15/3600</f>
        <v>48.544726666666669</v>
      </c>
      <c r="L15" s="12">
        <f>Test!B13</f>
        <v>178117.78109999999</v>
      </c>
      <c r="M15" s="13">
        <f>Test!C13</f>
        <v>38.604399999999998</v>
      </c>
      <c r="N15" s="13">
        <f>Test!D13</f>
        <v>45.508600000000001</v>
      </c>
      <c r="O15" s="13">
        <f>Test!E13</f>
        <v>43.3018</v>
      </c>
      <c r="P15" s="13">
        <f>Test!F13</f>
        <v>191939.75</v>
      </c>
      <c r="Q15" s="13">
        <f>Test!G13</f>
        <v>36.988</v>
      </c>
      <c r="R15" s="13">
        <f>P15/3600</f>
        <v>53.316597222222221</v>
      </c>
      <c r="S15" s="17">
        <f>P15/H15</f>
        <v>1.0982984328724663</v>
      </c>
      <c r="T15" s="18">
        <f>Q15/I15</f>
        <v>1.0874985299306128</v>
      </c>
      <c r="U15" s="91"/>
      <c r="V15" s="42">
        <f>bdrate($D15:$D18,E15:E18,$L15:$L18,M15:M18)</f>
        <v>-1.8507217628249695E-3</v>
      </c>
      <c r="W15" s="42">
        <f>bdrate($D15:$D18,F15:F18,$L15:$L18,N15:N18)</f>
        <v>-4.0021125664095991E-2</v>
      </c>
      <c r="X15" s="43">
        <f>bdrate($D15:$D18,G15:G18,$L15:$L18,O15:O18)</f>
        <v>-1.7718365023108973E-2</v>
      </c>
      <c r="Y15" s="37">
        <f>bdrateOld($D15:$D18,E15:E18,$L15:$L18,M15:M18)</f>
        <v>-1.9314491033116665E-3</v>
      </c>
      <c r="Z15" s="42">
        <f>bdrateOld($D15:$D18,F15:F18,$L15:$L18,N15:N18)</f>
        <v>-4.0257964486562714E-2</v>
      </c>
      <c r="AA15" s="43">
        <f>bdrateOld($D15:$D18,G15:G18,$L15:$L18,O15:O18)</f>
        <v>-1.7711939479340022E-2</v>
      </c>
    </row>
    <row r="16" spans="1:27" x14ac:dyDescent="0.2">
      <c r="A16" s="16"/>
      <c r="B16" s="85"/>
      <c r="C16" s="16">
        <v>48</v>
      </c>
      <c r="D16" s="17">
        <f>Reference!B14</f>
        <v>87325.452600000004</v>
      </c>
      <c r="E16" s="18">
        <f>Reference!C14</f>
        <v>37.667299999999997</v>
      </c>
      <c r="F16" s="18">
        <f>Reference!D14</f>
        <v>44.522500000000001</v>
      </c>
      <c r="G16" s="18">
        <f>Reference!E14</f>
        <v>42.136699999999998</v>
      </c>
      <c r="H16" s="18">
        <f>Reference!F14</f>
        <v>97698.258000000002</v>
      </c>
      <c r="I16" s="18">
        <f>Reference!G14</f>
        <v>28.460999999999999</v>
      </c>
      <c r="J16" s="19">
        <f t="shared" ref="J16:J26" si="3">H16/3600</f>
        <v>27.138404999999999</v>
      </c>
      <c r="L16" s="17">
        <f>Test!B14</f>
        <v>87373.364199999996</v>
      </c>
      <c r="M16" s="18">
        <f>Test!C14</f>
        <v>37.670999999999999</v>
      </c>
      <c r="N16" s="18">
        <f>Test!D14</f>
        <v>44.5745</v>
      </c>
      <c r="O16" s="18">
        <f>Test!E14</f>
        <v>42.164400000000001</v>
      </c>
      <c r="P16" s="18">
        <f>Test!F14</f>
        <v>107080.227</v>
      </c>
      <c r="Q16" s="18">
        <f>Test!G14</f>
        <v>29.106999999999999</v>
      </c>
      <c r="R16" s="18">
        <f t="shared" ref="R16:R26" si="4">P16/3600</f>
        <v>29.744507500000001</v>
      </c>
      <c r="S16" s="17">
        <f t="shared" ref="S16:S26" si="5">P16/H16</f>
        <v>1.096030054087556</v>
      </c>
      <c r="T16" s="18">
        <f t="shared" ref="T16:T26" si="6">Q16/I16</f>
        <v>1.0226977267137487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50170.433700000001</v>
      </c>
      <c r="E17" s="18">
        <f>Reference!C15</f>
        <v>36.740299999999998</v>
      </c>
      <c r="F17" s="18">
        <f>Reference!D15</f>
        <v>43.465600000000002</v>
      </c>
      <c r="G17" s="18">
        <f>Reference!E15</f>
        <v>40.918100000000003</v>
      </c>
      <c r="H17" s="18">
        <f>Reference!F15</f>
        <v>57932.538999999997</v>
      </c>
      <c r="I17" s="18">
        <f>Reference!G15</f>
        <v>25.661999999999999</v>
      </c>
      <c r="J17" s="19">
        <f t="shared" si="3"/>
        <v>16.092371944444444</v>
      </c>
      <c r="L17" s="17">
        <f>Test!B15</f>
        <v>50253.814700000003</v>
      </c>
      <c r="M17" s="18">
        <f>Test!C15</f>
        <v>36.746899999999997</v>
      </c>
      <c r="N17" s="18">
        <f>Test!D15</f>
        <v>43.557400000000001</v>
      </c>
      <c r="O17" s="18">
        <f>Test!E15</f>
        <v>40.963900000000002</v>
      </c>
      <c r="P17" s="18">
        <f>Test!F15</f>
        <v>66440.875</v>
      </c>
      <c r="Q17" s="18">
        <f>Test!G15</f>
        <v>26.120999999999999</v>
      </c>
      <c r="R17" s="18">
        <f t="shared" si="4"/>
        <v>18.45579861111111</v>
      </c>
      <c r="S17" s="17">
        <f t="shared" si="5"/>
        <v>1.146866271474827</v>
      </c>
      <c r="T17" s="18">
        <f t="shared" si="6"/>
        <v>1.0178863689501987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26429.482100000001</v>
      </c>
      <c r="E18" s="23">
        <f>Reference!C16</f>
        <v>35.237499999999997</v>
      </c>
      <c r="F18" s="23">
        <f>Reference!D16</f>
        <v>41.996600000000001</v>
      </c>
      <c r="G18" s="23">
        <f>Reference!E16</f>
        <v>39.508899999999997</v>
      </c>
      <c r="H18" s="23">
        <f>Reference!F16</f>
        <v>33240.910000000003</v>
      </c>
      <c r="I18" s="23">
        <f>Reference!G16</f>
        <v>22.132999999999999</v>
      </c>
      <c r="J18" s="24">
        <f t="shared" si="3"/>
        <v>9.2335861111111122</v>
      </c>
      <c r="L18" s="22">
        <f>Test!B16</f>
        <v>26481.6126</v>
      </c>
      <c r="M18" s="23">
        <f>Test!C16</f>
        <v>35.2455</v>
      </c>
      <c r="N18" s="23">
        <f>Test!D16</f>
        <v>42.153399999999998</v>
      </c>
      <c r="O18" s="23">
        <f>Test!E16</f>
        <v>39.581800000000001</v>
      </c>
      <c r="P18" s="23">
        <f>Test!F16</f>
        <v>38869.171999999999</v>
      </c>
      <c r="Q18" s="23">
        <f>Test!G16</f>
        <v>24.297000000000001</v>
      </c>
      <c r="R18" s="23">
        <f t="shared" si="4"/>
        <v>10.796992222222222</v>
      </c>
      <c r="S18" s="17">
        <f t="shared" si="5"/>
        <v>1.1693173261502166</v>
      </c>
      <c r="T18" s="18">
        <f t="shared" si="6"/>
        <v>1.0977725568156147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68199.485700000005</v>
      </c>
      <c r="E19" s="13">
        <f>Reference!C17</f>
        <v>39.544199999999996</v>
      </c>
      <c r="F19" s="13">
        <f>Reference!D17</f>
        <v>40.380800000000001</v>
      </c>
      <c r="G19" s="13">
        <f>Reference!E17</f>
        <v>43.293399999999998</v>
      </c>
      <c r="H19" s="13">
        <f>Reference!F17</f>
        <v>86075.125</v>
      </c>
      <c r="I19" s="13">
        <f>Reference!G17</f>
        <v>17.405000000000001</v>
      </c>
      <c r="J19" s="14">
        <f t="shared" si="3"/>
        <v>23.909756944444446</v>
      </c>
      <c r="L19" s="12">
        <f>Test!B17</f>
        <v>68053.606299999999</v>
      </c>
      <c r="M19" s="13">
        <f>Test!C17</f>
        <v>39.547499999999999</v>
      </c>
      <c r="N19" s="13">
        <f>Test!D17</f>
        <v>40.388199999999998</v>
      </c>
      <c r="O19" s="13">
        <f>Test!E17</f>
        <v>43.313899999999997</v>
      </c>
      <c r="P19" s="13">
        <f>Test!F17</f>
        <v>96712.031000000003</v>
      </c>
      <c r="Q19" s="13">
        <f>Test!G17</f>
        <v>17.533000000000001</v>
      </c>
      <c r="R19" s="13">
        <f t="shared" si="4"/>
        <v>26.864453055555558</v>
      </c>
      <c r="S19" s="12">
        <f t="shared" si="5"/>
        <v>1.1235770032282846</v>
      </c>
      <c r="T19" s="13">
        <f t="shared" si="6"/>
        <v>1.0073542085607583</v>
      </c>
      <c r="U19" s="90"/>
      <c r="V19" s="42">
        <f>bdrate($D19:$D22,E19:E22,$L19:$L22,M19:M22)</f>
        <v>-2.8860804294275066E-3</v>
      </c>
      <c r="W19" s="42">
        <f>bdrate($D19:$D22,F19:F22,$L19:$L22,N19:N22)</f>
        <v>-1.5093115658751044E-2</v>
      </c>
      <c r="X19" s="42">
        <f>bdrate($D19:$D22,G19:G22,$L19:$L22,O19:O22)</f>
        <v>-1.7252460683405246E-2</v>
      </c>
      <c r="Y19" s="40">
        <f>bdrateOld($D19:$D22,E19:E22,$L19:$L22,M19:M22)</f>
        <v>-2.909848163830886E-3</v>
      </c>
      <c r="Z19" s="44">
        <f>bdrateOld($D19:$D22,F19:F22,$L19:$L22,N19:N22)</f>
        <v>-1.486655568858597E-2</v>
      </c>
      <c r="AA19" s="45">
        <f>bdrateOld($D19:$D22,G19:G22,$L19:$L22,O19:O22)</f>
        <v>-1.7280437500500567E-2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40694.165099999998</v>
      </c>
      <c r="E20" s="18">
        <f>Reference!C18</f>
        <v>37.903599999999997</v>
      </c>
      <c r="F20" s="18">
        <f>Reference!D18</f>
        <v>39.339100000000002</v>
      </c>
      <c r="G20" s="18">
        <f>Reference!E18</f>
        <v>41.8279</v>
      </c>
      <c r="H20" s="18">
        <f>Reference!F18</f>
        <v>58062.137000000002</v>
      </c>
      <c r="I20" s="18">
        <f>Reference!G18</f>
        <v>14.493</v>
      </c>
      <c r="J20" s="19">
        <f t="shared" si="3"/>
        <v>16.12837138888889</v>
      </c>
      <c r="L20" s="17">
        <f>Test!B18</f>
        <v>40667.898399999998</v>
      </c>
      <c r="M20" s="18">
        <f>Test!C18</f>
        <v>37.911799999999999</v>
      </c>
      <c r="N20" s="18">
        <f>Test!D18</f>
        <v>39.354300000000002</v>
      </c>
      <c r="O20" s="18">
        <f>Test!E18</f>
        <v>41.866</v>
      </c>
      <c r="P20" s="18">
        <f>Test!F18</f>
        <v>67085.625</v>
      </c>
      <c r="Q20" s="18">
        <f>Test!G18</f>
        <v>15.324</v>
      </c>
      <c r="R20" s="18">
        <f t="shared" si="4"/>
        <v>18.634895833333335</v>
      </c>
      <c r="S20" s="17">
        <f t="shared" si="5"/>
        <v>1.1554108833438217</v>
      </c>
      <c r="T20" s="18">
        <f t="shared" si="6"/>
        <v>1.0573380252535707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23458.6603</v>
      </c>
      <c r="E21" s="18">
        <f>Reference!C19</f>
        <v>35.987200000000001</v>
      </c>
      <c r="F21" s="18">
        <f>Reference!D19</f>
        <v>38.410299999999999</v>
      </c>
      <c r="G21" s="18">
        <f>Reference!E19</f>
        <v>40.382100000000001</v>
      </c>
      <c r="H21" s="18">
        <f>Reference!F19</f>
        <v>38289.934000000001</v>
      </c>
      <c r="I21" s="18">
        <f>Reference!G19</f>
        <v>12.21</v>
      </c>
      <c r="J21" s="19">
        <f t="shared" si="3"/>
        <v>10.636092777777778</v>
      </c>
      <c r="L21" s="17">
        <f>Test!B19</f>
        <v>23442.323799999998</v>
      </c>
      <c r="M21" s="18">
        <f>Test!C19</f>
        <v>35.995800000000003</v>
      </c>
      <c r="N21" s="18">
        <f>Test!D19</f>
        <v>38.438600000000001</v>
      </c>
      <c r="O21" s="18">
        <f>Test!E19</f>
        <v>40.432299999999998</v>
      </c>
      <c r="P21" s="18">
        <f>Test!F19</f>
        <v>44470.074000000001</v>
      </c>
      <c r="Q21" s="18">
        <f>Test!G19</f>
        <v>13.132999999999999</v>
      </c>
      <c r="R21" s="18">
        <f t="shared" si="4"/>
        <v>12.352798333333334</v>
      </c>
      <c r="S21" s="17">
        <f t="shared" si="5"/>
        <v>1.1614037778179507</v>
      </c>
      <c r="T21" s="18">
        <f t="shared" si="6"/>
        <v>1.0755937755937754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11956.2286</v>
      </c>
      <c r="E22" s="23">
        <f>Reference!C20</f>
        <v>33.5122</v>
      </c>
      <c r="F22" s="23">
        <f>Reference!D20</f>
        <v>37.170999999999999</v>
      </c>
      <c r="G22" s="23">
        <f>Reference!E20</f>
        <v>38.654299999999999</v>
      </c>
      <c r="H22" s="23">
        <f>Reference!F20</f>
        <v>23717.16</v>
      </c>
      <c r="I22" s="23">
        <f>Reference!G20</f>
        <v>10.391999999999999</v>
      </c>
      <c r="J22" s="24">
        <f t="shared" si="3"/>
        <v>6.5880999999999998</v>
      </c>
      <c r="L22" s="22">
        <f>Test!B20</f>
        <v>11971.784100000001</v>
      </c>
      <c r="M22" s="23">
        <f>Test!C20</f>
        <v>33.523400000000002</v>
      </c>
      <c r="N22" s="23">
        <f>Test!D20</f>
        <v>37.2363</v>
      </c>
      <c r="O22" s="23">
        <f>Test!E20</f>
        <v>38.716299999999997</v>
      </c>
      <c r="P22" s="23">
        <f>Test!F20</f>
        <v>27220.050999999999</v>
      </c>
      <c r="Q22" s="23">
        <f>Test!G20</f>
        <v>10.984999999999999</v>
      </c>
      <c r="R22" s="23">
        <f t="shared" si="4"/>
        <v>7.5611252777777773</v>
      </c>
      <c r="S22" s="17">
        <f t="shared" si="5"/>
        <v>1.1476943698149358</v>
      </c>
      <c r="T22" s="18">
        <f t="shared" si="6"/>
        <v>1.0570631254811393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42969.618999999999</v>
      </c>
      <c r="E23" s="13">
        <f>Reference!C21</f>
        <v>40.189900000000002</v>
      </c>
      <c r="F23" s="13">
        <f>Reference!D21</f>
        <v>44.076000000000001</v>
      </c>
      <c r="G23" s="13">
        <f>Reference!E21</f>
        <v>45.491900000000001</v>
      </c>
      <c r="H23" s="13">
        <f>Reference!F21</f>
        <v>66228.608999999997</v>
      </c>
      <c r="I23" s="13">
        <f>Reference!G21</f>
        <v>14.414</v>
      </c>
      <c r="J23" s="14">
        <f t="shared" si="3"/>
        <v>18.396835833333334</v>
      </c>
      <c r="L23" s="12">
        <f>Test!B21</f>
        <v>42855.479399999997</v>
      </c>
      <c r="M23" s="13">
        <f>Test!C21</f>
        <v>40.194000000000003</v>
      </c>
      <c r="N23" s="13">
        <f>Test!D21</f>
        <v>44.0944</v>
      </c>
      <c r="O23" s="13">
        <f>Test!E21</f>
        <v>45.518999999999998</v>
      </c>
      <c r="P23" s="13">
        <f>Test!F21</f>
        <v>73820.25</v>
      </c>
      <c r="Q23" s="13">
        <f>Test!G21</f>
        <v>15.134</v>
      </c>
      <c r="R23" s="13">
        <f t="shared" si="4"/>
        <v>20.505624999999998</v>
      </c>
      <c r="S23" s="17">
        <f t="shared" si="5"/>
        <v>1.11462781892339</v>
      </c>
      <c r="T23" s="18">
        <f t="shared" si="6"/>
        <v>1.049951436103788</v>
      </c>
      <c r="U23" s="91"/>
      <c r="V23" s="42">
        <f>bdrate($D23:$D26,E23:E26,$L23:$L26,M23:M26)</f>
        <v>-2.6394427080881355E-3</v>
      </c>
      <c r="W23" s="42">
        <f>bdrate($D23:$D26,F23:F26,$L23:$L26,N23:N26)</f>
        <v>-2.8946082090305247E-2</v>
      </c>
      <c r="X23" s="42">
        <f>bdrate($D23:$D26,G23:G26,$L23:$L26,O23:O26)</f>
        <v>-1.8536921759685909E-2</v>
      </c>
      <c r="Y23" s="40">
        <f>bdrateOld($D23:$D26,E23:E26,$L23:$L26,M23:M26)</f>
        <v>-2.6984656528727946E-3</v>
      </c>
      <c r="Z23" s="44">
        <f>bdrateOld($D23:$D26,F23:F26,$L23:$L26,N23:N26)</f>
        <v>-2.9198413567239734E-2</v>
      </c>
      <c r="AA23" s="45">
        <f>bdrateOld($D23:$D26,G23:G26,$L23:$L26,O23:O26)</f>
        <v>-1.8477427454585027E-2</v>
      </c>
    </row>
    <row r="24" spans="1:27" x14ac:dyDescent="0.2">
      <c r="A24" s="34"/>
      <c r="B24" s="85"/>
      <c r="C24" s="16">
        <v>32</v>
      </c>
      <c r="D24" s="17">
        <f>Reference!B22</f>
        <v>23379.828600000001</v>
      </c>
      <c r="E24" s="18">
        <f>Reference!C22</f>
        <v>38.715400000000002</v>
      </c>
      <c r="F24" s="18">
        <f>Reference!D22</f>
        <v>43.0366</v>
      </c>
      <c r="G24" s="18">
        <f>Reference!E22</f>
        <v>43.969000000000001</v>
      </c>
      <c r="H24" s="18">
        <f>Reference!F22</f>
        <v>42475.535000000003</v>
      </c>
      <c r="I24" s="18">
        <f>Reference!G22</f>
        <v>12.073</v>
      </c>
      <c r="J24" s="19">
        <f t="shared" si="3"/>
        <v>11.798759722222224</v>
      </c>
      <c r="L24" s="17">
        <f>Test!B22</f>
        <v>23397.618999999999</v>
      </c>
      <c r="M24" s="18">
        <f>Test!C22</f>
        <v>38.724600000000002</v>
      </c>
      <c r="N24" s="18">
        <f>Test!D22</f>
        <v>43.077800000000003</v>
      </c>
      <c r="O24" s="18">
        <f>Test!E22</f>
        <v>44.020299999999999</v>
      </c>
      <c r="P24" s="18">
        <f>Test!F22</f>
        <v>49390.870999999999</v>
      </c>
      <c r="Q24" s="18">
        <f>Test!G22</f>
        <v>13.492000000000001</v>
      </c>
      <c r="R24" s="18">
        <f t="shared" si="4"/>
        <v>13.719686388888888</v>
      </c>
      <c r="S24" s="17">
        <f t="shared" si="5"/>
        <v>1.1628075078983702</v>
      </c>
      <c r="T24" s="18">
        <f t="shared" si="6"/>
        <v>1.1175349954443801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13124.9079</v>
      </c>
      <c r="E25" s="18">
        <f>Reference!C23</f>
        <v>37.258200000000002</v>
      </c>
      <c r="F25" s="18">
        <f>Reference!D23</f>
        <v>41.8872</v>
      </c>
      <c r="G25" s="18">
        <f>Reference!E23</f>
        <v>42.374200000000002</v>
      </c>
      <c r="H25" s="18">
        <f>Reference!F23</f>
        <v>26693.883000000002</v>
      </c>
      <c r="I25" s="18">
        <f>Reference!G23</f>
        <v>10.906000000000001</v>
      </c>
      <c r="J25" s="19">
        <f t="shared" si="3"/>
        <v>7.4149675000000004</v>
      </c>
      <c r="L25" s="17">
        <f>Test!B23</f>
        <v>13162.374599999999</v>
      </c>
      <c r="M25" s="18">
        <f>Test!C23</f>
        <v>37.273699999999998</v>
      </c>
      <c r="N25" s="18">
        <f>Test!D23</f>
        <v>41.967199999999998</v>
      </c>
      <c r="O25" s="18">
        <f>Test!E23</f>
        <v>42.439</v>
      </c>
      <c r="P25" s="18">
        <f>Test!F23</f>
        <v>30672.664000000001</v>
      </c>
      <c r="Q25" s="18">
        <f>Test!G23</f>
        <v>11.760999999999999</v>
      </c>
      <c r="R25" s="18">
        <f t="shared" si="4"/>
        <v>8.5201844444444443</v>
      </c>
      <c r="S25" s="17">
        <f t="shared" si="5"/>
        <v>1.1490521629992909</v>
      </c>
      <c r="T25" s="18">
        <f t="shared" si="6"/>
        <v>1.0783972125435539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7012.0443999999998</v>
      </c>
      <c r="E26" s="23">
        <f>Reference!C24</f>
        <v>35.334099999999999</v>
      </c>
      <c r="F26" s="23">
        <f>Reference!D24</f>
        <v>40.360799999999998</v>
      </c>
      <c r="G26" s="23">
        <f>Reference!E24</f>
        <v>40.408000000000001</v>
      </c>
      <c r="H26" s="23">
        <f>Reference!F24</f>
        <v>15910.125</v>
      </c>
      <c r="I26" s="23">
        <f>Reference!G24</f>
        <v>9.7959999999999994</v>
      </c>
      <c r="J26" s="24">
        <f t="shared" si="3"/>
        <v>4.4194791666666671</v>
      </c>
      <c r="L26" s="22">
        <f>Test!B24</f>
        <v>7046.1016</v>
      </c>
      <c r="M26" s="23">
        <f>Test!C24</f>
        <v>35.351500000000001</v>
      </c>
      <c r="N26" s="23">
        <f>Test!D24</f>
        <v>40.4833</v>
      </c>
      <c r="O26" s="23">
        <f>Test!E24</f>
        <v>40.491399999999999</v>
      </c>
      <c r="P26" s="23">
        <f>Test!F24</f>
        <v>18230.025000000001</v>
      </c>
      <c r="Q26" s="23">
        <f>Test!G24</f>
        <v>10.513</v>
      </c>
      <c r="R26" s="23">
        <f t="shared" si="4"/>
        <v>5.0638958333333335</v>
      </c>
      <c r="S26" s="17">
        <f t="shared" si="5"/>
        <v>1.1458128078817735</v>
      </c>
      <c r="T26" s="18">
        <f t="shared" si="6"/>
        <v>1.0731931400571662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65132.2304</v>
      </c>
      <c r="E27" s="13">
        <f>Reference!C25</f>
        <v>41.6967</v>
      </c>
      <c r="F27" s="13">
        <f>Reference!D25</f>
        <v>44.177500000000002</v>
      </c>
      <c r="G27" s="13">
        <f>Reference!E25</f>
        <v>44.939700000000002</v>
      </c>
      <c r="H27" s="13">
        <f>Reference!F25</f>
        <v>73486.875</v>
      </c>
      <c r="I27" s="13">
        <f>Reference!G25</f>
        <v>18.437000000000001</v>
      </c>
      <c r="J27" s="14">
        <f>H27/3600</f>
        <v>20.413020833333334</v>
      </c>
      <c r="L27" s="12">
        <f>Test!B25</f>
        <v>65102.380799999999</v>
      </c>
      <c r="M27" s="13">
        <f>Test!C25</f>
        <v>41.709899999999998</v>
      </c>
      <c r="N27" s="13">
        <f>Test!D25</f>
        <v>44.219200000000001</v>
      </c>
      <c r="O27" s="13">
        <f>Test!E25</f>
        <v>45.032699999999998</v>
      </c>
      <c r="P27" s="13">
        <f>Test!F25</f>
        <v>82715.75</v>
      </c>
      <c r="Q27" s="13">
        <f>Test!G25</f>
        <v>19.068000000000001</v>
      </c>
      <c r="R27" s="13">
        <f>P27/3600</f>
        <v>22.976597222222221</v>
      </c>
      <c r="S27" s="17">
        <f>P27/H27</f>
        <v>1.1255853511256262</v>
      </c>
      <c r="T27" s="18">
        <f>Q27/I27</f>
        <v>1.0342246569398492</v>
      </c>
      <c r="U27" s="91"/>
      <c r="V27" s="42">
        <f>bdrate($D27:$D30,E27:E30,$L27:$L30,M27:M30)</f>
        <v>-2.5794042111041415E-3</v>
      </c>
      <c r="W27" s="42">
        <f>bdrate($D27:$D30,F27:F30,$L27:$L30,N27:N30)</f>
        <v>-4.0722148150854287E-2</v>
      </c>
      <c r="X27" s="43">
        <f>bdrate($D27:$D30,G27:G30,$L27:$L30,O27:O30)</f>
        <v>-7.6352537724016178E-2</v>
      </c>
      <c r="Y27" s="37">
        <f>bdrateOld($D27:$D30,E27:E30,$L27:$L30,M27:M30)</f>
        <v>-2.5772150842715558E-3</v>
      </c>
      <c r="Z27" s="42">
        <f>bdrateOld($D27:$D30,F27:F30,$L27:$L30,N27:N30)</f>
        <v>-4.0696719732938313E-2</v>
      </c>
      <c r="AA27" s="43">
        <f>bdrateOld($D27:$D30,G27:G30,$L27:$L30,O27:O30)</f>
        <v>-7.6771561110391962E-2</v>
      </c>
    </row>
    <row r="28" spans="1:27" x14ac:dyDescent="0.2">
      <c r="A28" s="16"/>
      <c r="B28" s="85"/>
      <c r="C28" s="16">
        <v>48</v>
      </c>
      <c r="D28" s="17">
        <f>Reference!B26</f>
        <v>41949.356800000001</v>
      </c>
      <c r="E28" s="18">
        <f>Reference!C26</f>
        <v>39.901499999999999</v>
      </c>
      <c r="F28" s="18">
        <f>Reference!D26</f>
        <v>42.652099999999997</v>
      </c>
      <c r="G28" s="18">
        <f>Reference!E26</f>
        <v>43.618299999999998</v>
      </c>
      <c r="H28" s="18">
        <f>Reference!F26</f>
        <v>52939.440999999999</v>
      </c>
      <c r="I28" s="18">
        <f>Reference!G26</f>
        <v>16.062999999999999</v>
      </c>
      <c r="J28" s="19">
        <f t="shared" ref="J28:J46" si="7">H28/3600</f>
        <v>14.705400277777777</v>
      </c>
      <c r="L28" s="17">
        <f>Test!B26</f>
        <v>41983.161599999999</v>
      </c>
      <c r="M28" s="18">
        <f>Test!C26</f>
        <v>39.9178</v>
      </c>
      <c r="N28" s="18">
        <f>Test!D26</f>
        <v>42.728999999999999</v>
      </c>
      <c r="O28" s="18">
        <f>Test!E26</f>
        <v>43.779699999999998</v>
      </c>
      <c r="P28" s="18">
        <f>Test!F26</f>
        <v>60941.23</v>
      </c>
      <c r="Q28" s="18">
        <f>Test!G26</f>
        <v>17.414999999999999</v>
      </c>
      <c r="R28" s="18">
        <f t="shared" ref="R28:R46" si="8">P28/3600</f>
        <v>16.928119444444444</v>
      </c>
      <c r="S28" s="17">
        <f t="shared" ref="S28:S46" si="9">P28/H28</f>
        <v>1.1511498581936292</v>
      </c>
      <c r="T28" s="18">
        <f t="shared" ref="T28:T46" si="10">Q28/I28</f>
        <v>1.0841685861918695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24656.844799999999</v>
      </c>
      <c r="E29" s="18">
        <f>Reference!C27</f>
        <v>37.682299999999998</v>
      </c>
      <c r="F29" s="18">
        <f>Reference!D27</f>
        <v>41.2622</v>
      </c>
      <c r="G29" s="18">
        <f>Reference!E27</f>
        <v>42.259399999999999</v>
      </c>
      <c r="H29" s="18">
        <f>Reference!F27</f>
        <v>35685.061999999998</v>
      </c>
      <c r="I29" s="18">
        <f>Reference!G27</f>
        <v>14.039</v>
      </c>
      <c r="J29" s="19">
        <f t="shared" si="7"/>
        <v>9.9125172222222222</v>
      </c>
      <c r="L29" s="17">
        <f>Test!B27</f>
        <v>24699.251199999999</v>
      </c>
      <c r="M29" s="18">
        <f>Test!C27</f>
        <v>37.699399999999997</v>
      </c>
      <c r="N29" s="18">
        <f>Test!D27</f>
        <v>41.391100000000002</v>
      </c>
      <c r="O29" s="18">
        <f>Test!E27</f>
        <v>42.497900000000001</v>
      </c>
      <c r="P29" s="18">
        <f>Test!F27</f>
        <v>42497</v>
      </c>
      <c r="Q29" s="18">
        <f>Test!G27</f>
        <v>15.631</v>
      </c>
      <c r="R29" s="18">
        <f t="shared" si="8"/>
        <v>11.804722222222223</v>
      </c>
      <c r="S29" s="17">
        <f t="shared" si="9"/>
        <v>1.1908904627936474</v>
      </c>
      <c r="T29" s="18">
        <f t="shared" si="10"/>
        <v>1.1133983901987321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12470.1824</v>
      </c>
      <c r="E30" s="23">
        <f>Reference!C28</f>
        <v>35.005499999999998</v>
      </c>
      <c r="F30" s="23">
        <f>Reference!D28</f>
        <v>39.689799999999998</v>
      </c>
      <c r="G30" s="23">
        <f>Reference!E28</f>
        <v>40.6066</v>
      </c>
      <c r="H30" s="23">
        <f>Reference!F28</f>
        <v>21962.032999999999</v>
      </c>
      <c r="I30" s="23">
        <f>Reference!G28</f>
        <v>11.984</v>
      </c>
      <c r="J30" s="24">
        <f t="shared" si="7"/>
        <v>6.1005647222222219</v>
      </c>
      <c r="L30" s="22">
        <f>Test!B28</f>
        <v>12489.92</v>
      </c>
      <c r="M30" s="23">
        <f>Test!C28</f>
        <v>35.015599999999999</v>
      </c>
      <c r="N30" s="23">
        <f>Test!D28</f>
        <v>39.8917</v>
      </c>
      <c r="O30" s="23">
        <f>Test!E28</f>
        <v>40.892000000000003</v>
      </c>
      <c r="P30" s="23">
        <f>Test!F28</f>
        <v>25933.42</v>
      </c>
      <c r="Q30" s="23">
        <f>Test!G28</f>
        <v>13.493</v>
      </c>
      <c r="R30" s="23">
        <f t="shared" si="8"/>
        <v>7.2037277777777771</v>
      </c>
      <c r="S30" s="17">
        <f t="shared" si="9"/>
        <v>1.1808296618077205</v>
      </c>
      <c r="T30" s="18">
        <f t="shared" si="10"/>
        <v>1.1259178905206944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39884.294399999999</v>
      </c>
      <c r="E31" s="13">
        <f>Reference!C29</f>
        <v>44.871200000000002</v>
      </c>
      <c r="F31" s="13">
        <f>Reference!D29</f>
        <v>47.074300000000001</v>
      </c>
      <c r="G31" s="13">
        <f>Reference!E29</f>
        <v>48.030500000000004</v>
      </c>
      <c r="H31" s="13">
        <f>Reference!F29</f>
        <v>51259.112999999998</v>
      </c>
      <c r="I31" s="13">
        <f>Reference!G29</f>
        <v>15.791</v>
      </c>
      <c r="J31" s="14">
        <f t="shared" si="7"/>
        <v>14.238642499999999</v>
      </c>
      <c r="L31" s="12">
        <f>Test!B29</f>
        <v>39871.756800000003</v>
      </c>
      <c r="M31" s="13">
        <f>Test!C29</f>
        <v>44.8919</v>
      </c>
      <c r="N31" s="13">
        <f>Test!D29</f>
        <v>47.1158</v>
      </c>
      <c r="O31" s="13">
        <f>Test!E29</f>
        <v>48.105600000000003</v>
      </c>
      <c r="P31" s="13">
        <f>Test!F29</f>
        <v>60258.311999999998</v>
      </c>
      <c r="Q31" s="13">
        <f>Test!G29</f>
        <v>17.326000000000001</v>
      </c>
      <c r="R31" s="13">
        <f t="shared" si="8"/>
        <v>16.738419999999998</v>
      </c>
      <c r="S31" s="17">
        <f t="shared" si="9"/>
        <v>1.1755629091748037</v>
      </c>
      <c r="T31" s="18">
        <f t="shared" si="10"/>
        <v>1.0972072699639035</v>
      </c>
      <c r="U31" s="91"/>
      <c r="V31" s="42">
        <f>bdrate($D31:$D34,E31:E34,$L31:$L34,M31:M34)</f>
        <v>-3.4413769611012501E-3</v>
      </c>
      <c r="W31" s="42">
        <f>bdrate($D31:$D34,F31:F34,$L31:$L34,N31:N34)</f>
        <v>-3.0549489655096629E-2</v>
      </c>
      <c r="X31" s="42">
        <f>bdrate($D31:$D34,G31:G34,$L31:$L34,O31:O34)</f>
        <v>-3.8058605910611165E-2</v>
      </c>
      <c r="Y31" s="40">
        <f>bdrateOld($D31:$D34,E31:E34,$L31:$L34,M31:M34)</f>
        <v>-3.4301766041003878E-3</v>
      </c>
      <c r="Z31" s="44">
        <f>bdrateOld($D31:$D34,F31:F34,$L31:$L34,N31:N34)</f>
        <v>-3.0492828838355801E-2</v>
      </c>
      <c r="AA31" s="45">
        <f>bdrateOld($D31:$D34,G31:G34,$L31:$L34,O31:O34)</f>
        <v>-3.7956291499939843E-2</v>
      </c>
    </row>
    <row r="32" spans="1:27" x14ac:dyDescent="0.2">
      <c r="A32" s="16"/>
      <c r="B32" s="85"/>
      <c r="C32" s="16">
        <v>48</v>
      </c>
      <c r="D32" s="17">
        <f>Reference!B30</f>
        <v>26318.323199999999</v>
      </c>
      <c r="E32" s="18">
        <f>Reference!C30</f>
        <v>42.7258</v>
      </c>
      <c r="F32" s="18">
        <f>Reference!D30</f>
        <v>45.315100000000001</v>
      </c>
      <c r="G32" s="18">
        <f>Reference!E30</f>
        <v>46.151800000000001</v>
      </c>
      <c r="H32" s="18">
        <f>Reference!F30</f>
        <v>38880.781000000003</v>
      </c>
      <c r="I32" s="18">
        <f>Reference!G30</f>
        <v>14.901</v>
      </c>
      <c r="J32" s="19">
        <f t="shared" si="7"/>
        <v>10.800216944444445</v>
      </c>
      <c r="L32" s="17">
        <f>Test!B30</f>
        <v>26317.497599999999</v>
      </c>
      <c r="M32" s="18">
        <f>Test!C30</f>
        <v>42.747300000000003</v>
      </c>
      <c r="N32" s="18">
        <f>Test!D30</f>
        <v>45.390099999999997</v>
      </c>
      <c r="O32" s="18">
        <f>Test!E30</f>
        <v>46.268700000000003</v>
      </c>
      <c r="P32" s="18">
        <f>Test!F30</f>
        <v>44876.156000000003</v>
      </c>
      <c r="Q32" s="18">
        <f>Test!G30</f>
        <v>15.143000000000001</v>
      </c>
      <c r="R32" s="18">
        <f t="shared" si="8"/>
        <v>12.46559888888889</v>
      </c>
      <c r="S32" s="17">
        <f t="shared" si="9"/>
        <v>1.1541989344298409</v>
      </c>
      <c r="T32" s="18">
        <f t="shared" si="10"/>
        <v>1.0162405207704182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15598.6752</v>
      </c>
      <c r="E33" s="18">
        <f>Reference!C31</f>
        <v>40.0533</v>
      </c>
      <c r="F33" s="18">
        <f>Reference!D31</f>
        <v>43.674500000000002</v>
      </c>
      <c r="G33" s="18">
        <f>Reference!E31</f>
        <v>44.338799999999999</v>
      </c>
      <c r="H33" s="18">
        <f>Reference!F31</f>
        <v>26944.478999999999</v>
      </c>
      <c r="I33" s="18">
        <f>Reference!G31</f>
        <v>12.847</v>
      </c>
      <c r="J33" s="19">
        <f t="shared" si="7"/>
        <v>7.4845774999999994</v>
      </c>
      <c r="L33" s="17">
        <f>Test!B31</f>
        <v>15607.1232</v>
      </c>
      <c r="M33" s="18">
        <f>Test!C31</f>
        <v>40.072099999999999</v>
      </c>
      <c r="N33" s="18">
        <f>Test!D31</f>
        <v>43.784599999999998</v>
      </c>
      <c r="O33" s="18">
        <f>Test!E31</f>
        <v>44.485999999999997</v>
      </c>
      <c r="P33" s="18">
        <f>Test!F31</f>
        <v>30874.067999999999</v>
      </c>
      <c r="Q33" s="18">
        <f>Test!G31</f>
        <v>13.422000000000001</v>
      </c>
      <c r="R33" s="18">
        <f t="shared" si="8"/>
        <v>8.5761299999999991</v>
      </c>
      <c r="S33" s="17">
        <f t="shared" si="9"/>
        <v>1.1458402294585099</v>
      </c>
      <c r="T33" s="18">
        <f t="shared" si="10"/>
        <v>1.0447575309410759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8142.5792000000001</v>
      </c>
      <c r="E34" s="23">
        <f>Reference!C32</f>
        <v>36.989899999999999</v>
      </c>
      <c r="F34" s="23">
        <f>Reference!D32</f>
        <v>41.802399999999999</v>
      </c>
      <c r="G34" s="23">
        <f>Reference!E32</f>
        <v>42.172800000000002</v>
      </c>
      <c r="H34" s="23">
        <f>Reference!F32</f>
        <v>16577.736000000001</v>
      </c>
      <c r="I34" s="23">
        <f>Reference!G32</f>
        <v>11.122999999999999</v>
      </c>
      <c r="J34" s="24">
        <f t="shared" si="7"/>
        <v>4.6049266666666666</v>
      </c>
      <c r="L34" s="22">
        <f>Test!B32</f>
        <v>8154.8864000000003</v>
      </c>
      <c r="M34" s="23">
        <f>Test!C32</f>
        <v>37.004800000000003</v>
      </c>
      <c r="N34" s="23">
        <f>Test!D32</f>
        <v>41.983699999999999</v>
      </c>
      <c r="O34" s="23">
        <f>Test!E32</f>
        <v>42.400500000000001</v>
      </c>
      <c r="P34" s="23">
        <f>Test!F32</f>
        <v>19387.455000000002</v>
      </c>
      <c r="Q34" s="23">
        <f>Test!G32</f>
        <v>12.192</v>
      </c>
      <c r="R34" s="23">
        <f t="shared" si="8"/>
        <v>5.3854041666666674</v>
      </c>
      <c r="S34" s="17">
        <f t="shared" si="9"/>
        <v>1.1694874981722474</v>
      </c>
      <c r="T34" s="18">
        <f t="shared" si="10"/>
        <v>1.0961071653330936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54207.001600000003</v>
      </c>
      <c r="E35" s="13">
        <f>Reference!C33</f>
        <v>41.692</v>
      </c>
      <c r="F35" s="13">
        <f>Reference!D33</f>
        <v>45.704300000000003</v>
      </c>
      <c r="G35" s="13">
        <f>Reference!E33</f>
        <v>46.062899999999999</v>
      </c>
      <c r="H35" s="13">
        <f>Reference!F33</f>
        <v>50450.016000000003</v>
      </c>
      <c r="I35" s="13">
        <f>Reference!G33</f>
        <v>10.23</v>
      </c>
      <c r="J35" s="14">
        <f t="shared" si="7"/>
        <v>14.013893333333334</v>
      </c>
      <c r="L35" s="12">
        <f>Test!B33</f>
        <v>54214.182399999998</v>
      </c>
      <c r="M35" s="13">
        <f>Test!C33</f>
        <v>41.725099999999998</v>
      </c>
      <c r="N35" s="13">
        <f>Test!D33</f>
        <v>45.887700000000002</v>
      </c>
      <c r="O35" s="13">
        <f>Test!E33</f>
        <v>46.165599999999998</v>
      </c>
      <c r="P35" s="13">
        <f>Test!F33</f>
        <v>56115.175999999999</v>
      </c>
      <c r="Q35" s="13">
        <f>Test!G33</f>
        <v>10.597</v>
      </c>
      <c r="R35" s="13">
        <f t="shared" si="8"/>
        <v>15.58754888888889</v>
      </c>
      <c r="S35" s="12">
        <f t="shared" si="9"/>
        <v>1.1122925312848264</v>
      </c>
      <c r="T35" s="13">
        <f t="shared" si="10"/>
        <v>1.0358748778103617</v>
      </c>
      <c r="U35" s="90"/>
      <c r="V35" s="42">
        <f>bdrate($D35:$D38,E35:E38,$L35:$L38,M35:M38)</f>
        <v>-1.3004248217737269E-3</v>
      </c>
      <c r="W35" s="42">
        <f>bdrate($D35:$D38,F35:F38,$L35:$L38,N35:N38)</f>
        <v>-0.11325687182356603</v>
      </c>
      <c r="X35" s="42">
        <f>bdrate($D35:$D38,G35:G38,$L35:$L38,O35:O38)</f>
        <v>-6.5965873922952611E-2</v>
      </c>
      <c r="Y35" s="40">
        <f>bdrateOld($D35:$D38,E35:E38,$L35:$L38,M35:M38)</f>
        <v>-1.307286478472558E-3</v>
      </c>
      <c r="Z35" s="44">
        <f>bdrateOld($D35:$D38,F35:F38,$L35:$L38,N35:N38)</f>
        <v>-0.11311963131533698</v>
      </c>
      <c r="AA35" s="45">
        <f>bdrateOld($D35:$D38,G35:G38,$L35:$L38,O35:O38)</f>
        <v>-6.5932557508789458E-2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37002.419199999997</v>
      </c>
      <c r="E36" s="18">
        <f>Reference!C34</f>
        <v>38.774000000000001</v>
      </c>
      <c r="F36" s="18">
        <f>Reference!D34</f>
        <v>43.741799999999998</v>
      </c>
      <c r="G36" s="18">
        <f>Reference!E34</f>
        <v>44.1708</v>
      </c>
      <c r="H36" s="18">
        <f>Reference!F34</f>
        <v>41071.125</v>
      </c>
      <c r="I36" s="18">
        <f>Reference!G34</f>
        <v>9.4079999999999995</v>
      </c>
      <c r="J36" s="19">
        <f t="shared" si="7"/>
        <v>11.408645833333333</v>
      </c>
      <c r="L36" s="17">
        <f>Test!B34</f>
        <v>37072.134400000003</v>
      </c>
      <c r="M36" s="18">
        <f>Test!C34</f>
        <v>38.802</v>
      </c>
      <c r="N36" s="18">
        <f>Test!D34</f>
        <v>44.061799999999998</v>
      </c>
      <c r="O36" s="18">
        <f>Test!E34</f>
        <v>44.345300000000002</v>
      </c>
      <c r="P36" s="18">
        <f>Test!F34</f>
        <v>45583.991999999998</v>
      </c>
      <c r="Q36" s="18">
        <f>Test!G34</f>
        <v>9.3800000000000008</v>
      </c>
      <c r="R36" s="18">
        <f t="shared" si="8"/>
        <v>12.66222</v>
      </c>
      <c r="S36" s="17">
        <f t="shared" si="9"/>
        <v>1.1098793130210092</v>
      </c>
      <c r="T36" s="18">
        <f t="shared" si="10"/>
        <v>0.99702380952380965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22006.892800000001</v>
      </c>
      <c r="E37" s="18">
        <f>Reference!C35</f>
        <v>35.409599999999998</v>
      </c>
      <c r="F37" s="18">
        <f>Reference!D35</f>
        <v>42.109400000000001</v>
      </c>
      <c r="G37" s="18">
        <f>Reference!E35</f>
        <v>42.617699999999999</v>
      </c>
      <c r="H37" s="18">
        <f>Reference!F35</f>
        <v>30615.440999999999</v>
      </c>
      <c r="I37" s="18">
        <f>Reference!G35</f>
        <v>7.69</v>
      </c>
      <c r="J37" s="19">
        <f t="shared" si="7"/>
        <v>8.5042891666666662</v>
      </c>
      <c r="L37" s="17">
        <f>Test!B35</f>
        <v>22057.216</v>
      </c>
      <c r="M37" s="18">
        <f>Test!C35</f>
        <v>35.427199999999999</v>
      </c>
      <c r="N37" s="18">
        <f>Test!D35</f>
        <v>42.538800000000002</v>
      </c>
      <c r="O37" s="18">
        <f>Test!E35</f>
        <v>42.848100000000002</v>
      </c>
      <c r="P37" s="18">
        <f>Test!F35</f>
        <v>33975.004000000001</v>
      </c>
      <c r="Q37" s="18">
        <f>Test!G35</f>
        <v>8.24</v>
      </c>
      <c r="R37" s="18">
        <f t="shared" si="8"/>
        <v>9.4375011111111107</v>
      </c>
      <c r="S37" s="17">
        <f t="shared" si="9"/>
        <v>1.109734267750708</v>
      </c>
      <c r="T37" s="18">
        <f t="shared" si="10"/>
        <v>1.0715214564369311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10857.337600000001</v>
      </c>
      <c r="E38" s="23">
        <f>Reference!C36</f>
        <v>31.7957</v>
      </c>
      <c r="F38" s="23">
        <f>Reference!D36</f>
        <v>40.561199999999999</v>
      </c>
      <c r="G38" s="23">
        <f>Reference!E36</f>
        <v>41.189799999999998</v>
      </c>
      <c r="H38" s="23">
        <f>Reference!F36</f>
        <v>19919.342000000001</v>
      </c>
      <c r="I38" s="23">
        <f>Reference!G36</f>
        <v>6.38</v>
      </c>
      <c r="J38" s="24">
        <f t="shared" si="7"/>
        <v>5.5331505555555553</v>
      </c>
      <c r="L38" s="22">
        <f>Test!B36</f>
        <v>10893.4144</v>
      </c>
      <c r="M38" s="23">
        <f>Test!C36</f>
        <v>31.806799999999999</v>
      </c>
      <c r="N38" s="23">
        <f>Test!D36</f>
        <v>41.0974</v>
      </c>
      <c r="O38" s="23">
        <f>Test!E36</f>
        <v>41.4831</v>
      </c>
      <c r="P38" s="23">
        <f>Test!F36</f>
        <v>21971.445</v>
      </c>
      <c r="Q38" s="23">
        <f>Test!G36</f>
        <v>6.8479999999999999</v>
      </c>
      <c r="R38" s="23">
        <f t="shared" si="8"/>
        <v>6.1031791666666662</v>
      </c>
      <c r="S38" s="17">
        <f t="shared" si="9"/>
        <v>1.1030206218659231</v>
      </c>
      <c r="T38" s="18">
        <f t="shared" si="10"/>
        <v>1.0733542319749216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20385.977599999998</v>
      </c>
      <c r="E39" s="13">
        <f>Reference!C37</f>
        <v>42.6738</v>
      </c>
      <c r="F39" s="13">
        <f>Reference!D37</f>
        <v>45.431699999999999</v>
      </c>
      <c r="G39" s="13">
        <f>Reference!E37</f>
        <v>46.899099999999997</v>
      </c>
      <c r="H39" s="13">
        <f>Reference!F37</f>
        <v>28670.528999999999</v>
      </c>
      <c r="I39" s="13">
        <f>Reference!G37</f>
        <v>7.1589999999999998</v>
      </c>
      <c r="J39" s="14">
        <f t="shared" si="7"/>
        <v>7.964035833333333</v>
      </c>
      <c r="L39" s="12">
        <f>Test!B37</f>
        <v>20318.848000000002</v>
      </c>
      <c r="M39" s="13">
        <f>Test!C37</f>
        <v>42.681699999999999</v>
      </c>
      <c r="N39" s="13">
        <f>Test!D37</f>
        <v>45.4392</v>
      </c>
      <c r="O39" s="13">
        <f>Test!E37</f>
        <v>46.920099999999998</v>
      </c>
      <c r="P39" s="13">
        <f>Test!F37</f>
        <v>32437.641</v>
      </c>
      <c r="Q39" s="13">
        <f>Test!G37</f>
        <v>7.6550000000000002</v>
      </c>
      <c r="R39" s="13">
        <f t="shared" si="8"/>
        <v>9.0104558333333333</v>
      </c>
      <c r="S39" s="17">
        <f t="shared" si="9"/>
        <v>1.1313931807815616</v>
      </c>
      <c r="T39" s="18">
        <f t="shared" si="10"/>
        <v>1.0692834194719933</v>
      </c>
      <c r="U39" s="91"/>
      <c r="V39" s="42">
        <f>bdrate($D39:$D42,E39:E42,$L39:$L42,M39:M42)</f>
        <v>-2.9042064318162142E-3</v>
      </c>
      <c r="W39" s="42">
        <f>bdrate($D39:$D42,F39:F42,$L39:$L42,N39:N42)</f>
        <v>-3.0741626071304817E-2</v>
      </c>
      <c r="X39" s="42">
        <f>bdrate($D39:$D42,G39:G42,$L39:$L42,O39:O42)</f>
        <v>-1.1423420762236902E-2</v>
      </c>
      <c r="Y39" s="40">
        <f>bdrateOld($D39:$D42,E39:E42,$L39:$L42,M39:M42)</f>
        <v>-2.9204347891306215E-3</v>
      </c>
      <c r="Z39" s="44">
        <f>bdrateOld($D39:$D42,F39:F42,$L39:$L42,N39:N42)</f>
        <v>-3.0747787386861125E-2</v>
      </c>
      <c r="AA39" s="45">
        <f>bdrateOld($D39:$D42,G39:G42,$L39:$L42,O39:O42)</f>
        <v>-1.1522944895436593E-2</v>
      </c>
    </row>
    <row r="40" spans="1:27" x14ac:dyDescent="0.2">
      <c r="A40" s="16"/>
      <c r="B40" s="85"/>
      <c r="C40" s="16">
        <v>32</v>
      </c>
      <c r="D40" s="17">
        <f>Reference!B38</f>
        <v>11590.6176</v>
      </c>
      <c r="E40" s="18">
        <f>Reference!C38</f>
        <v>40.659399999999998</v>
      </c>
      <c r="F40" s="18">
        <f>Reference!D38</f>
        <v>44.46</v>
      </c>
      <c r="G40" s="18">
        <f>Reference!E38</f>
        <v>45.232199999999999</v>
      </c>
      <c r="H40" s="18">
        <f>Reference!F38</f>
        <v>19668.919999999998</v>
      </c>
      <c r="I40" s="18">
        <f>Reference!G38</f>
        <v>6.1239999999999997</v>
      </c>
      <c r="J40" s="19">
        <f t="shared" si="7"/>
        <v>5.4635888888888884</v>
      </c>
      <c r="L40" s="17">
        <f>Test!B38</f>
        <v>11578.105600000001</v>
      </c>
      <c r="M40" s="18">
        <f>Test!C38</f>
        <v>40.668700000000001</v>
      </c>
      <c r="N40" s="18">
        <f>Test!D38</f>
        <v>44.493400000000001</v>
      </c>
      <c r="O40" s="18">
        <f>Test!E38</f>
        <v>45.2515</v>
      </c>
      <c r="P40" s="18">
        <f>Test!F38</f>
        <v>22657.116999999998</v>
      </c>
      <c r="Q40" s="18">
        <f>Test!G38</f>
        <v>6.8810000000000002</v>
      </c>
      <c r="R40" s="18">
        <f t="shared" si="8"/>
        <v>6.2936436111111105</v>
      </c>
      <c r="S40" s="17">
        <f t="shared" si="9"/>
        <v>1.1519248133603674</v>
      </c>
      <c r="T40" s="18">
        <f t="shared" si="10"/>
        <v>1.1236120182887004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6422.8352000000004</v>
      </c>
      <c r="E41" s="18">
        <f>Reference!C39</f>
        <v>38.649000000000001</v>
      </c>
      <c r="F41" s="18">
        <f>Reference!D39</f>
        <v>43.472200000000001</v>
      </c>
      <c r="G41" s="18">
        <f>Reference!E39</f>
        <v>43.478400000000001</v>
      </c>
      <c r="H41" s="18">
        <f>Reference!F39</f>
        <v>12629.157999999999</v>
      </c>
      <c r="I41" s="18">
        <f>Reference!G39</f>
        <v>5.4219999999999997</v>
      </c>
      <c r="J41" s="19">
        <f t="shared" si="7"/>
        <v>3.5080994444444444</v>
      </c>
      <c r="L41" s="17">
        <f>Test!B39</f>
        <v>6429.5551999999998</v>
      </c>
      <c r="M41" s="18">
        <f>Test!C39</f>
        <v>38.6614</v>
      </c>
      <c r="N41" s="18">
        <f>Test!D39</f>
        <v>43.5411</v>
      </c>
      <c r="O41" s="18">
        <f>Test!E39</f>
        <v>43.520899999999997</v>
      </c>
      <c r="P41" s="18">
        <f>Test!F39</f>
        <v>14506.779</v>
      </c>
      <c r="Q41" s="18">
        <f>Test!G39</f>
        <v>5.89</v>
      </c>
      <c r="R41" s="18">
        <f t="shared" si="8"/>
        <v>4.0296608333333337</v>
      </c>
      <c r="S41" s="17">
        <f t="shared" si="9"/>
        <v>1.1486734903467042</v>
      </c>
      <c r="T41" s="18">
        <f t="shared" si="10"/>
        <v>1.0863150129103651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3275.5583999999999</v>
      </c>
      <c r="E42" s="23">
        <f>Reference!C40</f>
        <v>36.2761</v>
      </c>
      <c r="F42" s="23">
        <f>Reference!D40</f>
        <v>42.096299999999999</v>
      </c>
      <c r="G42" s="23">
        <f>Reference!E40</f>
        <v>41.331200000000003</v>
      </c>
      <c r="H42" s="23">
        <f>Reference!F40</f>
        <v>7406.1019999999999</v>
      </c>
      <c r="I42" s="23">
        <f>Reference!G40</f>
        <v>4.8609999999999998</v>
      </c>
      <c r="J42" s="24">
        <f t="shared" si="7"/>
        <v>2.0572505555555556</v>
      </c>
      <c r="L42" s="22">
        <f>Test!B40</f>
        <v>3286.9184</v>
      </c>
      <c r="M42" s="23">
        <f>Test!C40</f>
        <v>36.287700000000001</v>
      </c>
      <c r="N42" s="23">
        <f>Test!D40</f>
        <v>42.219900000000003</v>
      </c>
      <c r="O42" s="23">
        <f>Test!E40</f>
        <v>41.399299999999997</v>
      </c>
      <c r="P42" s="23">
        <f>Test!F40</f>
        <v>8463.7450000000008</v>
      </c>
      <c r="Q42" s="23">
        <f>Test!G40</f>
        <v>5.1890000000000001</v>
      </c>
      <c r="R42" s="23">
        <f t="shared" si="8"/>
        <v>2.3510402777777779</v>
      </c>
      <c r="S42" s="17">
        <f t="shared" si="9"/>
        <v>1.1428069718726532</v>
      </c>
      <c r="T42" s="18">
        <f t="shared" si="10"/>
        <v>1.0674758280189263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15333.28</v>
      </c>
      <c r="E43" s="13">
        <f>Reference!C41</f>
        <v>44.186999999999998</v>
      </c>
      <c r="F43" s="13">
        <f>Reference!D41</f>
        <v>46.915700000000001</v>
      </c>
      <c r="G43" s="13">
        <f>Reference!E41</f>
        <v>47.784700000000001</v>
      </c>
      <c r="H43" s="13">
        <f>Reference!F41</f>
        <v>22651.243999999999</v>
      </c>
      <c r="I43" s="13">
        <f>Reference!G41</f>
        <v>6.6689999999999996</v>
      </c>
      <c r="J43" s="14">
        <f t="shared" si="7"/>
        <v>6.2920122222222217</v>
      </c>
      <c r="L43" s="12">
        <f>Test!B41</f>
        <v>15327.68</v>
      </c>
      <c r="M43" s="13">
        <f>Test!C41</f>
        <v>44.203000000000003</v>
      </c>
      <c r="N43" s="13">
        <f>Test!D41</f>
        <v>46.948399999999999</v>
      </c>
      <c r="O43" s="13">
        <f>Test!E41</f>
        <v>47.7941</v>
      </c>
      <c r="P43" s="13">
        <f>Test!F41</f>
        <v>25641.223000000002</v>
      </c>
      <c r="Q43" s="13">
        <f>Test!G41</f>
        <v>7.1689999999999996</v>
      </c>
      <c r="R43" s="13">
        <f t="shared" si="8"/>
        <v>7.1225619444444446</v>
      </c>
      <c r="S43" s="17">
        <f t="shared" si="9"/>
        <v>1.1320006530325666</v>
      </c>
      <c r="T43" s="18">
        <f t="shared" si="10"/>
        <v>1.0749737591842856</v>
      </c>
      <c r="U43" s="91"/>
      <c r="V43" s="42">
        <f>bdrate($D43:$D46,E43:E46,$L43:$L46,M43:M46)</f>
        <v>-2.9322683436638908E-3</v>
      </c>
      <c r="W43" s="42">
        <f>bdrate($D43:$D46,F43:F46,$L43:$L46,N43:N46)</f>
        <v>-3.5852194963677753E-2</v>
      </c>
      <c r="X43" s="42">
        <f>bdrate($D43:$D46,G43:G46,$L43:$L46,O43:O46)</f>
        <v>-1.0032673964374239E-2</v>
      </c>
      <c r="Y43" s="40">
        <f>bdrateOld($D43:$D46,E43:E46,$L43:$L46,M43:M46)</f>
        <v>-2.9114631074288466E-3</v>
      </c>
      <c r="Z43" s="44">
        <f>bdrateOld($D43:$D46,F43:F46,$L43:$L46,N43:N46)</f>
        <v>-3.5812606715459383E-2</v>
      </c>
      <c r="AA43" s="45">
        <f>bdrateOld($D43:$D46,G43:G46,$L43:$L46,O43:O46)</f>
        <v>-1.0510444655201345E-2</v>
      </c>
    </row>
    <row r="44" spans="1:27" x14ac:dyDescent="0.2">
      <c r="A44" s="16"/>
      <c r="B44" s="85"/>
      <c r="C44" s="16">
        <v>32</v>
      </c>
      <c r="D44" s="17">
        <f>Reference!B42</f>
        <v>10381.4784</v>
      </c>
      <c r="E44" s="18">
        <f>Reference!C42</f>
        <v>42.454000000000001</v>
      </c>
      <c r="F44" s="18">
        <f>Reference!D42</f>
        <v>45.677100000000003</v>
      </c>
      <c r="G44" s="18">
        <f>Reference!E42</f>
        <v>46.354100000000003</v>
      </c>
      <c r="H44" s="18">
        <f>Reference!F42</f>
        <v>16846.557000000001</v>
      </c>
      <c r="I44" s="18">
        <f>Reference!G42</f>
        <v>6.1029999999999998</v>
      </c>
      <c r="J44" s="19">
        <f t="shared" si="7"/>
        <v>4.6795991666666668</v>
      </c>
      <c r="L44" s="17">
        <f>Test!B42</f>
        <v>10395.251200000001</v>
      </c>
      <c r="M44" s="18">
        <f>Test!C42</f>
        <v>42.479399999999998</v>
      </c>
      <c r="N44" s="18">
        <f>Test!D42</f>
        <v>45.753700000000002</v>
      </c>
      <c r="O44" s="18">
        <f>Test!E42</f>
        <v>46.3782</v>
      </c>
      <c r="P44" s="18">
        <f>Test!F42</f>
        <v>19503.208999999999</v>
      </c>
      <c r="Q44" s="18">
        <f>Test!G42</f>
        <v>6.6550000000000002</v>
      </c>
      <c r="R44" s="18">
        <f t="shared" si="8"/>
        <v>5.4175580555555554</v>
      </c>
      <c r="S44" s="17">
        <f t="shared" si="9"/>
        <v>1.157697029725421</v>
      </c>
      <c r="T44" s="18">
        <f t="shared" si="10"/>
        <v>1.0904473209896772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6565.9391999999998</v>
      </c>
      <c r="E45" s="18">
        <f>Reference!C43</f>
        <v>40.113399999999999</v>
      </c>
      <c r="F45" s="18">
        <f>Reference!D43</f>
        <v>44.306199999999997</v>
      </c>
      <c r="G45" s="18">
        <f>Reference!E43</f>
        <v>44.808999999999997</v>
      </c>
      <c r="H45" s="18">
        <f>Reference!F43</f>
        <v>11844.957</v>
      </c>
      <c r="I45" s="18">
        <f>Reference!G43</f>
        <v>5.4649999999999999</v>
      </c>
      <c r="J45" s="19">
        <f t="shared" si="7"/>
        <v>3.2902658333333332</v>
      </c>
      <c r="L45" s="17">
        <f>Test!B43</f>
        <v>6571.8208000000004</v>
      </c>
      <c r="M45" s="18">
        <f>Test!C43</f>
        <v>40.133000000000003</v>
      </c>
      <c r="N45" s="18">
        <f>Test!D43</f>
        <v>44.436999999999998</v>
      </c>
      <c r="O45" s="18">
        <f>Test!E43</f>
        <v>44.869100000000003</v>
      </c>
      <c r="P45" s="18">
        <f>Test!F43</f>
        <v>13893.214</v>
      </c>
      <c r="Q45" s="18">
        <f>Test!G43</f>
        <v>6.0679999999999996</v>
      </c>
      <c r="R45" s="18">
        <f t="shared" si="8"/>
        <v>3.859226111111111</v>
      </c>
      <c r="S45" s="17">
        <f t="shared" si="9"/>
        <v>1.1729222824531993</v>
      </c>
      <c r="T45" s="18">
        <f t="shared" si="10"/>
        <v>1.1103385178408052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3798.1376</v>
      </c>
      <c r="E46" s="23">
        <f>Reference!C44</f>
        <v>37.1297</v>
      </c>
      <c r="F46" s="23">
        <f>Reference!D44</f>
        <v>42.521099999999997</v>
      </c>
      <c r="G46" s="23">
        <f>Reference!E44</f>
        <v>42.951700000000002</v>
      </c>
      <c r="H46" s="23">
        <f>Reference!F44</f>
        <v>7693.1869999999999</v>
      </c>
      <c r="I46" s="23">
        <f>Reference!G44</f>
        <v>4.9820000000000002</v>
      </c>
      <c r="J46" s="24">
        <f t="shared" si="7"/>
        <v>2.136996388888889</v>
      </c>
      <c r="L46" s="22">
        <f>Test!B44</f>
        <v>3809.0239999999999</v>
      </c>
      <c r="M46" s="23">
        <f>Test!C44</f>
        <v>37.149799999999999</v>
      </c>
      <c r="N46" s="23">
        <f>Test!D44</f>
        <v>42.751100000000001</v>
      </c>
      <c r="O46" s="23">
        <f>Test!E44</f>
        <v>42.981400000000001</v>
      </c>
      <c r="P46" s="23">
        <f>Test!F44</f>
        <v>9048.2579999999998</v>
      </c>
      <c r="Q46" s="23">
        <f>Test!G44</f>
        <v>5.5739999999999998</v>
      </c>
      <c r="R46" s="23">
        <f t="shared" si="8"/>
        <v>2.5134050000000001</v>
      </c>
      <c r="S46" s="17">
        <f t="shared" si="9"/>
        <v>1.1761390955399889</v>
      </c>
      <c r="T46" s="18">
        <f t="shared" si="10"/>
        <v>1.1188277800080288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16545.459200000001</v>
      </c>
      <c r="E47" s="13">
        <f>Reference!C45</f>
        <v>44.130200000000002</v>
      </c>
      <c r="F47" s="13">
        <f>Reference!D45</f>
        <v>48.399099999999997</v>
      </c>
      <c r="G47" s="13">
        <f>Reference!E45</f>
        <v>48.174700000000001</v>
      </c>
      <c r="H47" s="13">
        <f>Reference!F45</f>
        <v>22509.541000000001</v>
      </c>
      <c r="I47" s="13">
        <f>Reference!G45</f>
        <v>6.4610000000000003</v>
      </c>
      <c r="J47" s="14">
        <f>H47/3600</f>
        <v>6.2526502777777777</v>
      </c>
      <c r="L47" s="12">
        <f>Test!B45</f>
        <v>16561.529600000002</v>
      </c>
      <c r="M47" s="13">
        <f>Test!C45</f>
        <v>44.141500000000001</v>
      </c>
      <c r="N47" s="13">
        <f>Test!D45</f>
        <v>48.619100000000003</v>
      </c>
      <c r="O47" s="13">
        <f>Test!E45</f>
        <v>48.207599999999999</v>
      </c>
      <c r="P47" s="13">
        <f>Test!F45</f>
        <v>25197.912</v>
      </c>
      <c r="Q47" s="13">
        <f>Test!G45</f>
        <v>6.8630000000000004</v>
      </c>
      <c r="R47" s="13">
        <f>P47/3600</f>
        <v>6.9994199999999998</v>
      </c>
      <c r="S47" s="17">
        <f>P47/H47</f>
        <v>1.119432510862838</v>
      </c>
      <c r="T47" s="18">
        <f>Q47/I47</f>
        <v>1.0622194706701749</v>
      </c>
      <c r="U47" s="91"/>
      <c r="V47" s="42">
        <f>bdrate($D47:$D50,E47:E50,$L47:$L50,M47:M50)</f>
        <v>1.2310954683303343E-4</v>
      </c>
      <c r="W47" s="42">
        <f>bdrate($D47:$D50,F47:F50,$L47:$L50,N47:N50)</f>
        <v>-5.7960950281325196E-2</v>
      </c>
      <c r="X47" s="43">
        <f>bdrate($D47:$D50,G47:G50,$L47:$L50,O47:O50)</f>
        <v>-2.5358740164366123E-2</v>
      </c>
      <c r="Y47" s="37">
        <f>bdrateOld($D47:$D50,E47:E50,$L47:$L50,M47:M50)</f>
        <v>1.3226309713298967E-4</v>
      </c>
      <c r="Z47" s="42">
        <f>bdrateOld($D47:$D50,F47:F50,$L47:$L50,N47:N50)</f>
        <v>-5.6623240201273184E-2</v>
      </c>
      <c r="AA47" s="43">
        <f>bdrateOld($D47:$D50,G47:G50,$L47:$L50,O47:O50)</f>
        <v>-2.5234334659403723E-2</v>
      </c>
    </row>
    <row r="48" spans="1:27" x14ac:dyDescent="0.2">
      <c r="A48" s="16"/>
      <c r="B48" s="85"/>
      <c r="C48" s="16">
        <v>32</v>
      </c>
      <c r="D48" s="17">
        <f>Reference!B46</f>
        <v>11477.0304</v>
      </c>
      <c r="E48" s="18">
        <f>Reference!C46</f>
        <v>42.388599999999997</v>
      </c>
      <c r="F48" s="18">
        <f>Reference!D46</f>
        <v>47.243299999999998</v>
      </c>
      <c r="G48" s="18">
        <f>Reference!E46</f>
        <v>46.553600000000003</v>
      </c>
      <c r="H48" s="18">
        <f>Reference!F46</f>
        <v>17083.561000000002</v>
      </c>
      <c r="I48" s="18">
        <f>Reference!G46</f>
        <v>5.9690000000000003</v>
      </c>
      <c r="J48" s="19">
        <f t="shared" ref="J48:J70" si="11">H48/3600</f>
        <v>4.7454336111111113</v>
      </c>
      <c r="L48" s="17">
        <f>Test!B46</f>
        <v>11503.263999999999</v>
      </c>
      <c r="M48" s="18">
        <f>Test!C46</f>
        <v>42.404200000000003</v>
      </c>
      <c r="N48" s="18">
        <f>Test!D46</f>
        <v>47.503100000000003</v>
      </c>
      <c r="O48" s="18">
        <f>Test!E46</f>
        <v>46.644500000000001</v>
      </c>
      <c r="P48" s="18">
        <f>Test!F46</f>
        <v>19292.474999999999</v>
      </c>
      <c r="Q48" s="18">
        <f>Test!G46</f>
        <v>6.2350000000000003</v>
      </c>
      <c r="R48" s="18">
        <f t="shared" ref="R48:R70" si="12">P48/3600</f>
        <v>5.3590208333333331</v>
      </c>
      <c r="S48" s="17">
        <f t="shared" ref="S48:S70" si="13">P48/H48</f>
        <v>1.1293005597603449</v>
      </c>
      <c r="T48" s="18">
        <f t="shared" ref="T48:T70" si="14">Q48/I48</f>
        <v>1.0445635784888592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7456.7615999999998</v>
      </c>
      <c r="E49" s="18">
        <f>Reference!C47</f>
        <v>40.000700000000002</v>
      </c>
      <c r="F49" s="18">
        <f>Reference!D47</f>
        <v>46.034199999999998</v>
      </c>
      <c r="G49" s="18">
        <f>Reference!E47</f>
        <v>44.6965</v>
      </c>
      <c r="H49" s="18">
        <f>Reference!F47</f>
        <v>12425.424999999999</v>
      </c>
      <c r="I49" s="18">
        <f>Reference!G47</f>
        <v>5.3449999999999998</v>
      </c>
      <c r="J49" s="19">
        <f t="shared" si="11"/>
        <v>3.4515069444444442</v>
      </c>
      <c r="L49" s="17">
        <f>Test!B47</f>
        <v>7477.9520000000002</v>
      </c>
      <c r="M49" s="18">
        <f>Test!C47</f>
        <v>40.014499999999998</v>
      </c>
      <c r="N49" s="18">
        <f>Test!D47</f>
        <v>46.2074</v>
      </c>
      <c r="O49" s="18">
        <f>Test!E47</f>
        <v>44.831600000000002</v>
      </c>
      <c r="P49" s="18">
        <f>Test!F47</f>
        <v>14076.474</v>
      </c>
      <c r="Q49" s="18">
        <f>Test!G47</f>
        <v>5.7469999999999999</v>
      </c>
      <c r="R49" s="18">
        <f t="shared" si="12"/>
        <v>3.9101316666666666</v>
      </c>
      <c r="S49" s="17">
        <f t="shared" si="13"/>
        <v>1.1328766621664854</v>
      </c>
      <c r="T49" s="18">
        <f t="shared" si="14"/>
        <v>1.0752104770813844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4335.0528000000004</v>
      </c>
      <c r="E50" s="23">
        <f>Reference!C48</f>
        <v>36.780200000000001</v>
      </c>
      <c r="F50" s="23">
        <f>Reference!D48</f>
        <v>44.255899999999997</v>
      </c>
      <c r="G50" s="23">
        <f>Reference!E48</f>
        <v>42.348700000000001</v>
      </c>
      <c r="H50" s="23">
        <f>Reference!F48</f>
        <v>8360.5990000000002</v>
      </c>
      <c r="I50" s="23">
        <f>Reference!G48</f>
        <v>4.7290000000000001</v>
      </c>
      <c r="J50" s="24">
        <f t="shared" si="11"/>
        <v>2.3223886111111112</v>
      </c>
      <c r="L50" s="22">
        <f>Test!B48</f>
        <v>4355.2064</v>
      </c>
      <c r="M50" s="23">
        <f>Test!C48</f>
        <v>36.799399999999999</v>
      </c>
      <c r="N50" s="23">
        <f>Test!D48</f>
        <v>44.3733</v>
      </c>
      <c r="O50" s="23">
        <f>Test!E48</f>
        <v>42.559699999999999</v>
      </c>
      <c r="P50" s="23">
        <f>Test!F48</f>
        <v>9546.2009999999991</v>
      </c>
      <c r="Q50" s="23">
        <f>Test!G48</f>
        <v>5.1829999999999998</v>
      </c>
      <c r="R50" s="23">
        <f t="shared" si="12"/>
        <v>2.6517224999999995</v>
      </c>
      <c r="S50" s="22">
        <f t="shared" si="13"/>
        <v>1.1418082603889983</v>
      </c>
      <c r="T50" s="23">
        <f t="shared" si="14"/>
        <v>1.0960033833791498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27.240205642101522</v>
      </c>
      <c r="J75" s="15">
        <f>GEOMEAN(J3:J18)</f>
        <v>18.090768413542275</v>
      </c>
      <c r="Q75" s="15">
        <f>GEOMEAN(Q3:Q18)</f>
        <v>28.893760466670834</v>
      </c>
      <c r="R75" s="15">
        <f>GEOMEAN(R3:R18)</f>
        <v>20.825596859489071</v>
      </c>
      <c r="S75" s="15">
        <f>GEOMEAN(S3:S18)</f>
        <v>1.1511725971739033</v>
      </c>
      <c r="T75" s="15">
        <f>GEOMEAN(T3:T18)</f>
        <v>1.0607027291311499</v>
      </c>
      <c r="V75" s="37">
        <f>AVERAGE(V3:V18)</f>
        <v>-4.2776942746278468E-3</v>
      </c>
      <c r="W75" s="42">
        <f t="shared" ref="W75:AA75" si="19">AVERAGE(W3:W18)</f>
        <v>-2.3778437248901441E-2</v>
      </c>
      <c r="X75" s="42">
        <f t="shared" si="19"/>
        <v>-1.841754393363329E-2</v>
      </c>
      <c r="Y75" s="37">
        <f>AVERAGE(Y3:Y18)</f>
        <v>-4.2194911149500969E-3</v>
      </c>
      <c r="Z75" s="42">
        <f t="shared" si="19"/>
        <v>-2.4050242306085878E-2</v>
      </c>
      <c r="AA75" s="43">
        <f t="shared" si="19"/>
        <v>-1.8341388539664771E-2</v>
      </c>
    </row>
    <row r="76" spans="1:27" x14ac:dyDescent="0.2">
      <c r="B76" s="89" t="s">
        <v>47</v>
      </c>
      <c r="I76" s="15">
        <f>GEOMEAN(I19:I34)</f>
        <v>13.332652022135456</v>
      </c>
      <c r="J76" s="15">
        <f>GEOMEAN(J19:J34)</f>
        <v>10.391717044558689</v>
      </c>
      <c r="Q76" s="15">
        <f>GEOMEAN(Q19:Q34)</f>
        <v>14.265762197259699</v>
      </c>
      <c r="R76" s="15">
        <f>GEOMEAN(R19:R34)</f>
        <v>11.983695889560007</v>
      </c>
      <c r="S76" s="15">
        <f>GEOMEAN(S19:S34)</f>
        <v>1.153196900779252</v>
      </c>
      <c r="T76" s="15">
        <f>GEOMEAN(T19:T34)</f>
        <v>1.0699868393456193</v>
      </c>
      <c r="V76" s="40">
        <f>AVERAGE(V19:V34)</f>
        <v>-2.8865760774302585E-3</v>
      </c>
      <c r="W76" s="44">
        <f t="shared" ref="W76:AA76" si="20">AVERAGE(W19:W34)</f>
        <v>-2.8827708888751802E-2</v>
      </c>
      <c r="X76" s="44">
        <f t="shared" si="20"/>
        <v>-3.7550131519429625E-2</v>
      </c>
      <c r="Y76" s="40">
        <f t="shared" si="20"/>
        <v>-2.903926376268906E-3</v>
      </c>
      <c r="Z76" s="44">
        <f t="shared" si="20"/>
        <v>-2.8813629456779954E-2</v>
      </c>
      <c r="AA76" s="45">
        <f t="shared" si="20"/>
        <v>-3.762142939135435E-2</v>
      </c>
    </row>
    <row r="77" spans="1:27" x14ac:dyDescent="0.2">
      <c r="B77" s="89" t="s">
        <v>51</v>
      </c>
      <c r="I77" s="15">
        <f>GEOMEAN(I35:I50)</f>
        <v>6.2827613008740197</v>
      </c>
      <c r="J77" s="15">
        <f>GEOMEAN(J35:J50)</f>
        <v>4.9159295371735023</v>
      </c>
      <c r="Q77" s="15">
        <f>GEOMEAN(Q35:Q50)</f>
        <v>6.7500040104526251</v>
      </c>
      <c r="R77" s="15">
        <f>GEOMEAN(R35:R50)</f>
        <v>5.5822493862966924</v>
      </c>
      <c r="S77" s="15">
        <f>GEOMEAN(S35:S50)</f>
        <v>1.1355430024138025</v>
      </c>
      <c r="T77" s="15">
        <f>GEOMEAN(T35:T50)</f>
        <v>1.0743690054743296</v>
      </c>
      <c r="V77" s="40">
        <f>AVERAGE(V35:V50)</f>
        <v>-1.7534475126051996E-3</v>
      </c>
      <c r="W77" s="44">
        <f t="shared" ref="W77:AA77" si="21">AVERAGE(W35:W50)</f>
        <v>-5.9452910784968449E-2</v>
      </c>
      <c r="X77" s="44">
        <f t="shared" si="21"/>
        <v>-2.8195177203482469E-2</v>
      </c>
      <c r="Y77" s="40">
        <f t="shared" si="21"/>
        <v>-1.7517303194747591E-3</v>
      </c>
      <c r="Z77" s="44">
        <f t="shared" si="21"/>
        <v>-5.9075816404732667E-2</v>
      </c>
      <c r="AA77" s="45">
        <f t="shared" si="21"/>
        <v>-2.830007042970778E-2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13.165150515913911</v>
      </c>
      <c r="J80" s="54">
        <f xml:space="preserve"> GEOMEAN(J3:J50)</f>
        <v>9.7405465326769463</v>
      </c>
      <c r="K80" s="4"/>
      <c r="L80" s="4"/>
      <c r="M80" s="4"/>
      <c r="N80" s="4"/>
      <c r="O80" s="4"/>
      <c r="P80" s="4"/>
      <c r="Q80" s="54">
        <f xml:space="preserve"> GEOMEAN(Q3:Q50)</f>
        <v>14.064825870389722</v>
      </c>
      <c r="R80" s="54">
        <f xml:space="preserve"> GEOMEAN(R3:R50)</f>
        <v>11.168610799724608</v>
      </c>
      <c r="S80" s="54">
        <f xml:space="preserve"> GEOMEAN(S3:S50)</f>
        <v>1.1466102812872856</v>
      </c>
      <c r="T80" s="54">
        <f>GEOMEAN(T3:T50)</f>
        <v>1.0683376428843931</v>
      </c>
      <c r="U80" s="4"/>
      <c r="V80" s="41">
        <f>AVERAGE(V3:V50)</f>
        <v>-2.9725726215544348E-3</v>
      </c>
      <c r="W80" s="46">
        <f t="shared" ref="W80:AA80" si="25">AVERAGE(W3:W50)</f>
        <v>-3.735301897420723E-2</v>
      </c>
      <c r="X80" s="47">
        <f t="shared" si="25"/>
        <v>-2.8054284218848462E-2</v>
      </c>
      <c r="Y80" s="46">
        <f t="shared" si="25"/>
        <v>-2.9583826035645875E-3</v>
      </c>
      <c r="Z80" s="46">
        <f t="shared" si="25"/>
        <v>-3.7313229389199502E-2</v>
      </c>
      <c r="AA80" s="47">
        <f t="shared" si="25"/>
        <v>-2.8087629453575635E-2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L3" sqref="L3:Q5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14735.227999999999</v>
      </c>
      <c r="E3" s="13">
        <f>Reference!C73</f>
        <v>40.08</v>
      </c>
      <c r="F3" s="13">
        <f>Reference!D73</f>
        <v>48.926000000000002</v>
      </c>
      <c r="G3" s="13">
        <f>Reference!E73</f>
        <v>46.9268</v>
      </c>
      <c r="H3" s="13">
        <f>Reference!F73</f>
        <v>342826.73100000003</v>
      </c>
      <c r="I3" s="13">
        <f>Reference!G73</f>
        <v>72.457999999999998</v>
      </c>
      <c r="J3" s="14">
        <f>H3/3600</f>
        <v>95.229647500000013</v>
      </c>
      <c r="L3" s="12">
        <f>Test!B73</f>
        <v>14648.451999999999</v>
      </c>
      <c r="M3" s="13">
        <f>Test!C73</f>
        <v>40.081299999999999</v>
      </c>
      <c r="N3" s="13">
        <f>Test!D73</f>
        <v>48.959200000000003</v>
      </c>
      <c r="O3" s="13">
        <f>Test!E73</f>
        <v>46.956299999999999</v>
      </c>
      <c r="P3" s="13">
        <f>Test!F73</f>
        <v>356762.59600000002</v>
      </c>
      <c r="Q3" s="13">
        <f>Test!G73</f>
        <v>68.363</v>
      </c>
      <c r="R3" s="14">
        <f>P3/3600</f>
        <v>99.100721111111113</v>
      </c>
      <c r="S3" s="12">
        <f>P3/H3</f>
        <v>1.0406498786117118</v>
      </c>
      <c r="T3" s="13">
        <f>Q3/I3</f>
        <v>0.94348450136630879</v>
      </c>
      <c r="U3" s="90"/>
      <c r="V3" s="37">
        <f>bdrate($D3:$D6,E3:E6,$L3:$L6,M3:M6)</f>
        <v>-6.0270876081228719E-3</v>
      </c>
      <c r="W3" s="42">
        <f>bdrate($D3:$D6,F3:F6,$L3:$L6,N3:N6)</f>
        <v>-3.6388175086344621E-2</v>
      </c>
      <c r="X3" s="43">
        <f>bdrate($D3:$D6,G3:G6,$L3:$L6,O3:O6)</f>
        <v>-2.8702406917952672E-2</v>
      </c>
      <c r="Y3" s="37">
        <f>bdrateOld($D3:$D6,E3:E6,$L3:$L6,M3:M6)</f>
        <v>-5.588093522390758E-3</v>
      </c>
      <c r="Z3" s="42">
        <f>bdrateOld($D3:$D6,F3:F6,$L3:$L6,N3:N6)</f>
        <v>-3.6498794615670516E-2</v>
      </c>
      <c r="AA3" s="43">
        <f>bdrateOld($D3:$D6,G3:G6,$L3:$L6,O3:O6)</f>
        <v>-2.8317140438774757E-2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6811.884</v>
      </c>
      <c r="E4" s="18">
        <f>Reference!C74</f>
        <v>39.578000000000003</v>
      </c>
      <c r="F4" s="18">
        <f>Reference!D74</f>
        <v>48.333599999999997</v>
      </c>
      <c r="G4" s="18">
        <f>Reference!E74</f>
        <v>46.0518</v>
      </c>
      <c r="H4" s="18">
        <f>Reference!F74</f>
        <v>184296.87100000001</v>
      </c>
      <c r="I4" s="18">
        <f>Reference!G74</f>
        <v>61.652000000000001</v>
      </c>
      <c r="J4" s="19">
        <f t="shared" ref="J4:J14" si="0">H4/3600</f>
        <v>51.193575277777782</v>
      </c>
      <c r="L4" s="17">
        <f>Test!B74</f>
        <v>6774.02</v>
      </c>
      <c r="M4" s="18">
        <f>Test!C74</f>
        <v>39.581099999999999</v>
      </c>
      <c r="N4" s="18">
        <f>Test!D74</f>
        <v>48.368400000000001</v>
      </c>
      <c r="O4" s="18">
        <f>Test!E74</f>
        <v>46.093499999999999</v>
      </c>
      <c r="P4" s="18">
        <f>Test!F74</f>
        <v>196225.78</v>
      </c>
      <c r="Q4" s="18">
        <f>Test!G74</f>
        <v>63.82</v>
      </c>
      <c r="R4" s="19">
        <f t="shared" ref="R4:R14" si="1">P4/3600</f>
        <v>54.50716111111111</v>
      </c>
      <c r="S4" s="17">
        <f t="shared" ref="S4:T46" si="2">P4/H4</f>
        <v>1.0647265953853333</v>
      </c>
      <c r="T4" s="18">
        <f t="shared" si="2"/>
        <v>1.0351651203529488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3679.3679999999999</v>
      </c>
      <c r="E5" s="18">
        <f>Reference!C75</f>
        <v>38.723300000000002</v>
      </c>
      <c r="F5" s="18">
        <f>Reference!D75</f>
        <v>47.3568</v>
      </c>
      <c r="G5" s="18">
        <f>Reference!E75</f>
        <v>44.733600000000003</v>
      </c>
      <c r="H5" s="18">
        <f>Reference!F75</f>
        <v>92934.978000000003</v>
      </c>
      <c r="I5" s="18">
        <f>Reference!G75</f>
        <v>57.006</v>
      </c>
      <c r="J5" s="19">
        <f t="shared" si="0"/>
        <v>25.815271666666668</v>
      </c>
      <c r="L5" s="17">
        <f>Test!B75</f>
        <v>3668.7559999999999</v>
      </c>
      <c r="M5" s="18">
        <f>Test!C75</f>
        <v>38.727699999999999</v>
      </c>
      <c r="N5" s="18">
        <f>Test!D75</f>
        <v>47.4148</v>
      </c>
      <c r="O5" s="18">
        <f>Test!E75</f>
        <v>44.790399999999998</v>
      </c>
      <c r="P5" s="18">
        <f>Test!F75</f>
        <v>98305.538</v>
      </c>
      <c r="Q5" s="18">
        <f>Test!G75</f>
        <v>59.079000000000001</v>
      </c>
      <c r="R5" s="19">
        <f t="shared" si="1"/>
        <v>27.30709388888889</v>
      </c>
      <c r="S5" s="17">
        <f t="shared" si="2"/>
        <v>1.0577883603738518</v>
      </c>
      <c r="T5" s="18">
        <f t="shared" si="2"/>
        <v>1.0363645932007157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1944.36</v>
      </c>
      <c r="E6" s="23">
        <f>Reference!C76</f>
        <v>37.212400000000002</v>
      </c>
      <c r="F6" s="23">
        <f>Reference!D76</f>
        <v>46.081699999999998</v>
      </c>
      <c r="G6" s="23">
        <f>Reference!E76</f>
        <v>43.076700000000002</v>
      </c>
      <c r="H6" s="23">
        <f>Reference!F76</f>
        <v>46574.275999999998</v>
      </c>
      <c r="I6" s="23">
        <f>Reference!G76</f>
        <v>52.923999999999999</v>
      </c>
      <c r="J6" s="24">
        <f t="shared" si="0"/>
        <v>12.937298888888888</v>
      </c>
      <c r="L6" s="22">
        <f>Test!B76</f>
        <v>1940.48</v>
      </c>
      <c r="M6" s="23">
        <f>Test!C76</f>
        <v>37.220300000000002</v>
      </c>
      <c r="N6" s="23">
        <f>Test!D76</f>
        <v>46.148200000000003</v>
      </c>
      <c r="O6" s="23">
        <f>Test!E76</f>
        <v>43.143700000000003</v>
      </c>
      <c r="P6" s="23">
        <f>Test!F76</f>
        <v>48407.292000000001</v>
      </c>
      <c r="Q6" s="23">
        <f>Test!G76</f>
        <v>52.418999999999997</v>
      </c>
      <c r="R6" s="24">
        <f t="shared" si="1"/>
        <v>13.44647</v>
      </c>
      <c r="S6" s="17">
        <f t="shared" si="2"/>
        <v>1.0393568329435761</v>
      </c>
      <c r="T6" s="18">
        <f t="shared" si="2"/>
        <v>0.99045801526717547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77584.547999999995</v>
      </c>
      <c r="E7" s="13">
        <f>Reference!C77</f>
        <v>41.605499999999999</v>
      </c>
      <c r="F7" s="13">
        <f>Reference!D77</f>
        <v>36.279299999999999</v>
      </c>
      <c r="G7" s="13">
        <f>Reference!E77</f>
        <v>37.362200000000001</v>
      </c>
      <c r="H7" s="13">
        <f>Reference!F77</f>
        <v>639438.84600000002</v>
      </c>
      <c r="I7" s="13">
        <f>Reference!G77</f>
        <v>71.881</v>
      </c>
      <c r="J7" s="14">
        <f t="shared" si="0"/>
        <v>177.62190166666667</v>
      </c>
      <c r="L7" s="12">
        <f>Test!B77</f>
        <v>77034.58</v>
      </c>
      <c r="M7" s="13">
        <f>Test!C77</f>
        <v>41.629399999999997</v>
      </c>
      <c r="N7" s="13">
        <f>Test!D77</f>
        <v>36.307600000000001</v>
      </c>
      <c r="O7" s="13">
        <f>Test!E77</f>
        <v>37.3842</v>
      </c>
      <c r="P7" s="13">
        <f>Test!F77</f>
        <v>736122.39</v>
      </c>
      <c r="Q7" s="13">
        <f>Test!G77</f>
        <v>79.975999999999999</v>
      </c>
      <c r="R7" s="14">
        <f t="shared" si="1"/>
        <v>204.47844166666667</v>
      </c>
      <c r="S7" s="17">
        <f t="shared" si="2"/>
        <v>1.1512006106679356</v>
      </c>
      <c r="T7" s="18">
        <f t="shared" si="2"/>
        <v>1.112616685911437</v>
      </c>
      <c r="U7" s="91"/>
      <c r="V7" s="37">
        <f>bdrate($D7:$D10,E7:E10,$L7:$L10,M7:M10)</f>
        <v>-9.1198153730400744E-3</v>
      </c>
      <c r="W7" s="42">
        <f>bdrate($D7:$D10,F7:F10,$L7:$L10,N7:N10)</f>
        <v>-1.9729224596733652E-2</v>
      </c>
      <c r="X7" s="42">
        <f>bdrate($D7:$D10,G7:G10,$L7:$L10,O7:O10)</f>
        <v>-1.5998805204748501E-2</v>
      </c>
      <c r="Y7" s="40">
        <f>bdrateOld($D7:$D10,E7:E10,$L7:$L10,M7:M10)</f>
        <v>-9.1252482674989421E-3</v>
      </c>
      <c r="Z7" s="44">
        <f>bdrateOld($D7:$D10,F7:F10,$L7:$L10,N7:N10)</f>
        <v>-1.9731690861013895E-2</v>
      </c>
      <c r="AA7" s="45">
        <f>bdrateOld($D7:$D10,G7:G10,$L7:$L10,O7:O10)</f>
        <v>-1.5994364676419903E-2</v>
      </c>
    </row>
    <row r="8" spans="1:27" x14ac:dyDescent="0.2">
      <c r="A8" s="16"/>
      <c r="B8" s="85"/>
      <c r="C8" s="16">
        <v>48</v>
      </c>
      <c r="D8" s="17">
        <f>Reference!B78</f>
        <v>40249.156000000003</v>
      </c>
      <c r="E8" s="18">
        <f>Reference!C78</f>
        <v>39.008499999999998</v>
      </c>
      <c r="F8" s="18">
        <f>Reference!D78</f>
        <v>34.341799999999999</v>
      </c>
      <c r="G8" s="18">
        <f>Reference!E78</f>
        <v>35.651800000000001</v>
      </c>
      <c r="H8" s="18">
        <f>Reference!F78</f>
        <v>417293.663</v>
      </c>
      <c r="I8" s="18">
        <f>Reference!G78</f>
        <v>65.316999999999993</v>
      </c>
      <c r="J8" s="19">
        <f t="shared" si="0"/>
        <v>115.91490638888889</v>
      </c>
      <c r="L8" s="17">
        <f>Test!B78</f>
        <v>40002.552000000003</v>
      </c>
      <c r="M8" s="18">
        <f>Test!C78</f>
        <v>39.0259</v>
      </c>
      <c r="N8" s="18">
        <f>Test!D78</f>
        <v>34.376899999999999</v>
      </c>
      <c r="O8" s="18">
        <f>Test!E78</f>
        <v>35.6753</v>
      </c>
      <c r="P8" s="18">
        <f>Test!F78</f>
        <v>458299.413</v>
      </c>
      <c r="Q8" s="18">
        <f>Test!G78</f>
        <v>69.453000000000003</v>
      </c>
      <c r="R8" s="19">
        <f t="shared" si="1"/>
        <v>127.3053925</v>
      </c>
      <c r="S8" s="17">
        <f t="shared" si="2"/>
        <v>1.0982659302928355</v>
      </c>
      <c r="T8" s="18">
        <f t="shared" si="2"/>
        <v>1.063321952937214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18976.916000000001</v>
      </c>
      <c r="E9" s="18">
        <f>Reference!C79</f>
        <v>36.1008</v>
      </c>
      <c r="F9" s="18">
        <f>Reference!D79</f>
        <v>32.6098</v>
      </c>
      <c r="G9" s="18">
        <f>Reference!E79</f>
        <v>34.111899999999999</v>
      </c>
      <c r="H9" s="18">
        <f>Reference!F79</f>
        <v>256304.38</v>
      </c>
      <c r="I9" s="18">
        <f>Reference!G79</f>
        <v>60.972999999999999</v>
      </c>
      <c r="J9" s="19">
        <f t="shared" si="0"/>
        <v>71.195661111111107</v>
      </c>
      <c r="L9" s="17">
        <f>Test!B79</f>
        <v>18902.835999999999</v>
      </c>
      <c r="M9" s="18">
        <f>Test!C79</f>
        <v>36.116399999999999</v>
      </c>
      <c r="N9" s="18">
        <f>Test!D79</f>
        <v>32.645200000000003</v>
      </c>
      <c r="O9" s="18">
        <f>Test!E79</f>
        <v>34.134500000000003</v>
      </c>
      <c r="P9" s="18">
        <f>Test!F79</f>
        <v>272111.23499999999</v>
      </c>
      <c r="Q9" s="18">
        <f>Test!G79</f>
        <v>63.418999999999997</v>
      </c>
      <c r="R9" s="19">
        <f t="shared" si="1"/>
        <v>75.58645416666667</v>
      </c>
      <c r="S9" s="17">
        <f t="shared" si="2"/>
        <v>1.0616722000615049</v>
      </c>
      <c r="T9" s="18">
        <f t="shared" si="2"/>
        <v>1.0401161169698063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7830.0280000000002</v>
      </c>
      <c r="E10" s="23">
        <f>Reference!C80</f>
        <v>33.030299999999997</v>
      </c>
      <c r="F10" s="23">
        <f>Reference!D80</f>
        <v>31.006799999999998</v>
      </c>
      <c r="G10" s="23">
        <f>Reference!E80</f>
        <v>32.727499999999999</v>
      </c>
      <c r="H10" s="23">
        <f>Reference!F80</f>
        <v>144339.6</v>
      </c>
      <c r="I10" s="23">
        <f>Reference!G80</f>
        <v>55.158000000000001</v>
      </c>
      <c r="J10" s="24">
        <f t="shared" si="0"/>
        <v>40.094333333333338</v>
      </c>
      <c r="L10" s="22">
        <f>Test!B80</f>
        <v>7817.6760000000004</v>
      </c>
      <c r="M10" s="23">
        <f>Test!C80</f>
        <v>33.0428</v>
      </c>
      <c r="N10" s="23">
        <f>Test!D80</f>
        <v>31.040400000000002</v>
      </c>
      <c r="O10" s="23">
        <f>Test!E80</f>
        <v>32.747700000000002</v>
      </c>
      <c r="P10" s="23">
        <f>Test!F80</f>
        <v>160663.5</v>
      </c>
      <c r="Q10" s="23">
        <f>Test!G80</f>
        <v>62.247</v>
      </c>
      <c r="R10" s="24">
        <f t="shared" si="1"/>
        <v>44.628749999999997</v>
      </c>
      <c r="S10" s="17">
        <f t="shared" si="2"/>
        <v>1.1130937040146986</v>
      </c>
      <c r="T10" s="18">
        <f t="shared" si="2"/>
        <v>1.1285217012944631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39109.487999999998</v>
      </c>
      <c r="E11" s="13">
        <f>Reference!C81</f>
        <v>38.314100000000003</v>
      </c>
      <c r="F11" s="13">
        <f>Reference!D81</f>
        <v>40.318399999999997</v>
      </c>
      <c r="G11" s="13">
        <f>Reference!E81</f>
        <v>41.315300000000001</v>
      </c>
      <c r="H11" s="13">
        <f>Reference!F81</f>
        <v>371595.67700000003</v>
      </c>
      <c r="I11" s="13">
        <f>Reference!G81</f>
        <v>40.738</v>
      </c>
      <c r="J11" s="14">
        <f t="shared" si="0"/>
        <v>103.2210213888889</v>
      </c>
      <c r="L11" s="12">
        <f>Test!B81</f>
        <v>39036.26</v>
      </c>
      <c r="M11" s="13">
        <f>Test!C81</f>
        <v>38.319699999999997</v>
      </c>
      <c r="N11" s="13">
        <f>Test!D81</f>
        <v>40.369500000000002</v>
      </c>
      <c r="O11" s="13">
        <f>Test!E81</f>
        <v>41.366900000000001</v>
      </c>
      <c r="P11" s="13">
        <f>Test!F81</f>
        <v>411884.10800000001</v>
      </c>
      <c r="Q11" s="13">
        <f>Test!G81</f>
        <v>42.488</v>
      </c>
      <c r="R11" s="14">
        <f t="shared" si="1"/>
        <v>114.41225222222222</v>
      </c>
      <c r="S11" s="17">
        <f t="shared" si="2"/>
        <v>1.108420074542471</v>
      </c>
      <c r="T11" s="18">
        <f t="shared" si="2"/>
        <v>1.0429574353183759</v>
      </c>
      <c r="U11" s="91"/>
      <c r="V11" s="37">
        <f>bdrate($D11:$D14,E11:E14,$L11:$L14,M11:M14)</f>
        <v>-3.1636889377506527E-3</v>
      </c>
      <c r="W11" s="42">
        <f>bdrate($D11:$D14,F11:F14,$L11:$L14,N11:N14)</f>
        <v>-1.1602901286099865E-2</v>
      </c>
      <c r="X11" s="42">
        <f>bdrate($D11:$D14,G11:G14,$L11:$L14,O11:O14)</f>
        <v>-4.6889266476213831E-2</v>
      </c>
      <c r="Y11" s="40">
        <f>bdrateOld($D11:$D14,E11:E14,$L11:$L14,M11:M14)</f>
        <v>-3.2567457172804071E-3</v>
      </c>
      <c r="Z11" s="44">
        <f>bdrateOld($D11:$D14,F11:F14,$L11:$L14,N11:N14)</f>
        <v>-1.1683703043080529E-2</v>
      </c>
      <c r="AA11" s="45">
        <f>bdrateOld($D11:$D14,G11:G14,$L11:$L14,O11:O14)</f>
        <v>-4.7055838308094122E-2</v>
      </c>
    </row>
    <row r="12" spans="1:27" x14ac:dyDescent="0.2">
      <c r="A12" s="34"/>
      <c r="B12" s="83"/>
      <c r="C12" s="16">
        <v>48</v>
      </c>
      <c r="D12" s="17">
        <f>Reference!B82</f>
        <v>18970.608</v>
      </c>
      <c r="E12" s="18">
        <f>Reference!C82</f>
        <v>37.185200000000002</v>
      </c>
      <c r="F12" s="18">
        <f>Reference!D82</f>
        <v>37.828400000000002</v>
      </c>
      <c r="G12" s="18">
        <f>Reference!E82</f>
        <v>40.016599999999997</v>
      </c>
      <c r="H12" s="18">
        <f>Reference!F82</f>
        <v>216249.81599999999</v>
      </c>
      <c r="I12" s="18">
        <f>Reference!G82</f>
        <v>35.694000000000003</v>
      </c>
      <c r="J12" s="19">
        <f t="shared" si="0"/>
        <v>60.069393333333331</v>
      </c>
      <c r="L12" s="17">
        <f>Test!B82</f>
        <v>18968.712</v>
      </c>
      <c r="M12" s="18">
        <f>Test!C82</f>
        <v>37.190800000000003</v>
      </c>
      <c r="N12" s="18">
        <f>Test!D82</f>
        <v>37.874200000000002</v>
      </c>
      <c r="O12" s="18">
        <f>Test!E82</f>
        <v>40.105499999999999</v>
      </c>
      <c r="P12" s="18">
        <f>Test!F82</f>
        <v>243259.89199999999</v>
      </c>
      <c r="Q12" s="18">
        <f>Test!G82</f>
        <v>37.767000000000003</v>
      </c>
      <c r="R12" s="19">
        <f t="shared" si="1"/>
        <v>67.572192222222213</v>
      </c>
      <c r="S12" s="17">
        <f t="shared" si="2"/>
        <v>1.1249021918242927</v>
      </c>
      <c r="T12" s="18">
        <f t="shared" si="2"/>
        <v>1.0580769877290301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9389.8960000000006</v>
      </c>
      <c r="E13" s="18">
        <f>Reference!C83</f>
        <v>35.803100000000001</v>
      </c>
      <c r="F13" s="18">
        <f>Reference!D83</f>
        <v>35.651000000000003</v>
      </c>
      <c r="G13" s="18">
        <f>Reference!E83</f>
        <v>38.702500000000001</v>
      </c>
      <c r="H13" s="18">
        <f>Reference!F83</f>
        <v>129823.318</v>
      </c>
      <c r="I13" s="18">
        <f>Reference!G83</f>
        <v>32.356000000000002</v>
      </c>
      <c r="J13" s="19">
        <f t="shared" si="0"/>
        <v>36.06203277777778</v>
      </c>
      <c r="L13" s="17">
        <f>Test!B83</f>
        <v>9387.7119999999995</v>
      </c>
      <c r="M13" s="18">
        <f>Test!C83</f>
        <v>35.8095</v>
      </c>
      <c r="N13" s="18">
        <f>Test!D83</f>
        <v>35.6751</v>
      </c>
      <c r="O13" s="18">
        <f>Test!E83</f>
        <v>38.809800000000003</v>
      </c>
      <c r="P13" s="18">
        <f>Test!F83</f>
        <v>138305.81899999999</v>
      </c>
      <c r="Q13" s="18">
        <f>Test!G83</f>
        <v>33.911000000000001</v>
      </c>
      <c r="R13" s="19">
        <f t="shared" si="1"/>
        <v>38.418283055555555</v>
      </c>
      <c r="S13" s="17">
        <f t="shared" si="2"/>
        <v>1.0653388091652378</v>
      </c>
      <c r="T13" s="18">
        <f t="shared" si="2"/>
        <v>1.0480590925948818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4754.96</v>
      </c>
      <c r="E14" s="23">
        <f>Reference!C84</f>
        <v>33.963999999999999</v>
      </c>
      <c r="F14" s="23">
        <f>Reference!D84</f>
        <v>33.779400000000003</v>
      </c>
      <c r="G14" s="23">
        <f>Reference!E84</f>
        <v>37.248699999999999</v>
      </c>
      <c r="H14" s="23">
        <f>Reference!F84</f>
        <v>75203.266000000003</v>
      </c>
      <c r="I14" s="23">
        <f>Reference!G84</f>
        <v>29.181999999999999</v>
      </c>
      <c r="J14" s="24">
        <f t="shared" si="0"/>
        <v>20.889796111111114</v>
      </c>
      <c r="L14" s="22">
        <f>Test!B84</f>
        <v>4761.0320000000002</v>
      </c>
      <c r="M14" s="23">
        <f>Test!C84</f>
        <v>33.973599999999998</v>
      </c>
      <c r="N14" s="23">
        <f>Test!D84</f>
        <v>33.798999999999999</v>
      </c>
      <c r="O14" s="23">
        <f>Test!E84</f>
        <v>37.342300000000002</v>
      </c>
      <c r="P14" s="23">
        <f>Test!F84</f>
        <v>81880.039999999994</v>
      </c>
      <c r="Q14" s="23">
        <f>Test!G84</f>
        <v>31.777000000000001</v>
      </c>
      <c r="R14" s="24">
        <f t="shared" si="1"/>
        <v>22.744455555555554</v>
      </c>
      <c r="S14" s="17">
        <f t="shared" si="2"/>
        <v>1.0887830323752161</v>
      </c>
      <c r="T14" s="18">
        <f t="shared" si="2"/>
        <v>1.088924679597012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25526.184000000001</v>
      </c>
      <c r="E15" s="13">
        <f>Reference!C85</f>
        <v>37.617199999999997</v>
      </c>
      <c r="F15" s="13">
        <f>Reference!D85</f>
        <v>45.140799999999999</v>
      </c>
      <c r="G15" s="13">
        <f>Reference!E85</f>
        <v>42.776000000000003</v>
      </c>
      <c r="H15" s="13">
        <f>Reference!F85</f>
        <v>499359.80699999997</v>
      </c>
      <c r="I15" s="13">
        <f>Reference!G85</f>
        <v>68.474999999999994</v>
      </c>
      <c r="J15" s="14">
        <f>H15/3600</f>
        <v>138.71105749999998</v>
      </c>
      <c r="L15" s="12">
        <f>Test!B85</f>
        <v>25489.187999999998</v>
      </c>
      <c r="M15" s="13">
        <f>Test!C85</f>
        <v>37.620800000000003</v>
      </c>
      <c r="N15" s="13">
        <f>Test!D85</f>
        <v>45.173099999999998</v>
      </c>
      <c r="O15" s="13">
        <f>Test!E85</f>
        <v>42.7911</v>
      </c>
      <c r="P15" s="13">
        <f>Test!F85</f>
        <v>529003.41099999996</v>
      </c>
      <c r="Q15" s="13">
        <f>Test!G85</f>
        <v>70.576999999999998</v>
      </c>
      <c r="R15" s="14">
        <f>P15/3600</f>
        <v>146.94539194444442</v>
      </c>
      <c r="S15" s="17">
        <f>P15/H15</f>
        <v>1.0593632158304642</v>
      </c>
      <c r="T15" s="18">
        <f>Q15/I15</f>
        <v>1.0306973347937205</v>
      </c>
      <c r="U15" s="91"/>
      <c r="V15" s="37">
        <f>bdrate($D15:$D18,E15:E18,$L15:$L18,M15:M18)</f>
        <v>-8.9518001136105196E-3</v>
      </c>
      <c r="W15" s="42">
        <f>bdrate($D15:$D18,F15:F18,$L15:$L18,N15:N18)</f>
        <v>-5.9879874017346957E-2</v>
      </c>
      <c r="X15" s="43">
        <f>bdrate($D15:$D18,G15:G18,$L15:$L18,O15:O18)</f>
        <v>-3.8810022209179729E-2</v>
      </c>
      <c r="Y15" s="37">
        <f>bdrateOld($D15:$D18,E15:E18,$L15:$L18,M15:M18)</f>
        <v>-8.7028257377963492E-3</v>
      </c>
      <c r="Z15" s="42">
        <f>bdrateOld($D15:$D18,F15:F18,$L15:$L18,N15:N18)</f>
        <v>-6.1178262708238784E-2</v>
      </c>
      <c r="AA15" s="43">
        <f>bdrateOld($D15:$D18,G15:G18,$L15:$L18,O15:O18)</f>
        <v>-3.8351467883533275E-2</v>
      </c>
    </row>
    <row r="16" spans="1:27" x14ac:dyDescent="0.2">
      <c r="A16" s="16"/>
      <c r="B16" s="85"/>
      <c r="C16" s="16">
        <v>48</v>
      </c>
      <c r="D16" s="17">
        <f>Reference!B86</f>
        <v>9218.1560000000009</v>
      </c>
      <c r="E16" s="18">
        <f>Reference!C86</f>
        <v>37.0535</v>
      </c>
      <c r="F16" s="18">
        <f>Reference!D86</f>
        <v>44.525799999999997</v>
      </c>
      <c r="G16" s="18">
        <f>Reference!E86</f>
        <v>42.092100000000002</v>
      </c>
      <c r="H16" s="18">
        <f>Reference!F86</f>
        <v>262968.761</v>
      </c>
      <c r="I16" s="18">
        <f>Reference!G86</f>
        <v>60.335999999999999</v>
      </c>
      <c r="J16" s="19">
        <f t="shared" ref="J16:J26" si="3">H16/3600</f>
        <v>73.046878055555553</v>
      </c>
      <c r="L16" s="17">
        <f>Test!B86</f>
        <v>9126.8799999999992</v>
      </c>
      <c r="M16" s="18">
        <f>Test!C86</f>
        <v>37.054099999999998</v>
      </c>
      <c r="N16" s="18">
        <f>Test!D86</f>
        <v>44.578400000000002</v>
      </c>
      <c r="O16" s="18">
        <f>Test!E86</f>
        <v>42.118499999999997</v>
      </c>
      <c r="P16" s="18">
        <f>Test!F86</f>
        <v>272557.19400000002</v>
      </c>
      <c r="Q16" s="18">
        <f>Test!G86</f>
        <v>62.271999999999998</v>
      </c>
      <c r="R16" s="19">
        <f t="shared" ref="R16:R26" si="4">P16/3600</f>
        <v>75.710331666666676</v>
      </c>
      <c r="S16" s="17">
        <f t="shared" ref="S16:S26" si="5">P16/H16</f>
        <v>1.0364622511188697</v>
      </c>
      <c r="T16" s="18">
        <f t="shared" ref="T16:T26" si="6">Q16/I16</f>
        <v>1.032086979581013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4539.5720000000001</v>
      </c>
      <c r="E17" s="18">
        <f>Reference!C87</f>
        <v>36.189500000000002</v>
      </c>
      <c r="F17" s="18">
        <f>Reference!D87</f>
        <v>43.600299999999997</v>
      </c>
      <c r="G17" s="18">
        <f>Reference!E87</f>
        <v>41.108800000000002</v>
      </c>
      <c r="H17" s="18">
        <f>Reference!F87</f>
        <v>132016.96599999999</v>
      </c>
      <c r="I17" s="18">
        <f>Reference!G87</f>
        <v>49.716999999999999</v>
      </c>
      <c r="J17" s="19">
        <f t="shared" si="3"/>
        <v>36.67137944444444</v>
      </c>
      <c r="L17" s="17">
        <f>Test!B87</f>
        <v>4517.1559999999999</v>
      </c>
      <c r="M17" s="18">
        <f>Test!C87</f>
        <v>36.196800000000003</v>
      </c>
      <c r="N17" s="18">
        <f>Test!D87</f>
        <v>43.665900000000001</v>
      </c>
      <c r="O17" s="18">
        <f>Test!E87</f>
        <v>41.165700000000001</v>
      </c>
      <c r="P17" s="18">
        <f>Test!F87</f>
        <v>135979.07699999999</v>
      </c>
      <c r="Q17" s="18">
        <f>Test!G87</f>
        <v>50.695999999999998</v>
      </c>
      <c r="R17" s="19">
        <f t="shared" si="4"/>
        <v>37.771965833333333</v>
      </c>
      <c r="S17" s="17">
        <f t="shared" si="5"/>
        <v>1.0300121349554421</v>
      </c>
      <c r="T17" s="18">
        <f t="shared" si="6"/>
        <v>1.0196914536275319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2194.1439999999998</v>
      </c>
      <c r="E18" s="23">
        <f>Reference!C88</f>
        <v>34.717300000000002</v>
      </c>
      <c r="F18" s="23">
        <f>Reference!D88</f>
        <v>42.299599999999998</v>
      </c>
      <c r="G18" s="23">
        <f>Reference!E88</f>
        <v>39.847200000000001</v>
      </c>
      <c r="H18" s="23">
        <f>Reference!F88</f>
        <v>64407.248</v>
      </c>
      <c r="I18" s="23">
        <f>Reference!G88</f>
        <v>42.106999999999999</v>
      </c>
      <c r="J18" s="24">
        <f t="shared" si="3"/>
        <v>17.890902222222223</v>
      </c>
      <c r="L18" s="22">
        <f>Test!B88</f>
        <v>2188.8200000000002</v>
      </c>
      <c r="M18" s="23">
        <f>Test!C88</f>
        <v>34.725000000000001</v>
      </c>
      <c r="N18" s="23">
        <f>Test!D88</f>
        <v>42.462200000000003</v>
      </c>
      <c r="O18" s="23">
        <f>Test!E88</f>
        <v>39.923699999999997</v>
      </c>
      <c r="P18" s="23">
        <f>Test!F88</f>
        <v>66114.960000000006</v>
      </c>
      <c r="Q18" s="23">
        <f>Test!G88</f>
        <v>43.334000000000003</v>
      </c>
      <c r="R18" s="24">
        <f t="shared" si="4"/>
        <v>18.365266666666667</v>
      </c>
      <c r="S18" s="17">
        <f t="shared" si="5"/>
        <v>1.0265142829887719</v>
      </c>
      <c r="T18" s="18">
        <f t="shared" si="6"/>
        <v>1.0291400479730213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10037.796</v>
      </c>
      <c r="E19" s="13">
        <f>Reference!C89</f>
        <v>37.988900000000001</v>
      </c>
      <c r="F19" s="13">
        <f>Reference!D89</f>
        <v>39.727200000000003</v>
      </c>
      <c r="G19" s="13">
        <f>Reference!E89</f>
        <v>43.086799999999997</v>
      </c>
      <c r="H19" s="13">
        <f>Reference!F89</f>
        <v>111402.114</v>
      </c>
      <c r="I19" s="13">
        <f>Reference!G89</f>
        <v>14.115</v>
      </c>
      <c r="J19" s="14">
        <f t="shared" si="3"/>
        <v>30.945031666666669</v>
      </c>
      <c r="L19" s="12">
        <f>Test!B89</f>
        <v>9926.8919999999998</v>
      </c>
      <c r="M19" s="13">
        <f>Test!C89</f>
        <v>37.994700000000002</v>
      </c>
      <c r="N19" s="13">
        <f>Test!D89</f>
        <v>39.739600000000003</v>
      </c>
      <c r="O19" s="13">
        <f>Test!E89</f>
        <v>43.135599999999997</v>
      </c>
      <c r="P19" s="13">
        <f>Test!F89</f>
        <v>120803.552</v>
      </c>
      <c r="Q19" s="13">
        <f>Test!G89</f>
        <v>14.596</v>
      </c>
      <c r="R19" s="14">
        <f t="shared" si="4"/>
        <v>33.55654222222222</v>
      </c>
      <c r="S19" s="12">
        <f t="shared" si="5"/>
        <v>1.0843919173742071</v>
      </c>
      <c r="T19" s="13">
        <f t="shared" si="6"/>
        <v>1.0340772228126107</v>
      </c>
      <c r="U19" s="90"/>
      <c r="V19" s="37">
        <f>bdrate($D19:$D22,E19:E22,$L19:$L22,M19:M22)</f>
        <v>-3.1535921484859064E-2</v>
      </c>
      <c r="W19" s="42">
        <f>bdrate($D19:$D22,F19:F22,$L19:$L22,N19:N22)</f>
        <v>-5.1476338755201745E-2</v>
      </c>
      <c r="X19" s="42">
        <f>bdrate($D19:$D22,G19:G22,$L19:$L22,O19:O22)</f>
        <v>-4.2133251000546323E-2</v>
      </c>
      <c r="Y19" s="40">
        <f>bdrateOld($D19:$D22,E19:E22,$L19:$L22,M19:M22)</f>
        <v>-3.2977593700358021E-2</v>
      </c>
      <c r="Z19" s="44">
        <f>bdrateOld($D19:$D22,F19:F22,$L19:$L22,N19:N22)</f>
        <v>-5.0905604207020061E-2</v>
      </c>
      <c r="AA19" s="45">
        <f>bdrateOld($D19:$D22,G19:G22,$L19:$L22,O19:O22)</f>
        <v>-4.2539248968919585E-2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4712.8999999999996</v>
      </c>
      <c r="E20" s="18">
        <f>Reference!C90</f>
        <v>36.890900000000002</v>
      </c>
      <c r="F20" s="18">
        <f>Reference!D90</f>
        <v>39.1935</v>
      </c>
      <c r="G20" s="18">
        <f>Reference!E90</f>
        <v>41.983800000000002</v>
      </c>
      <c r="H20" s="18">
        <f>Reference!F90</f>
        <v>65046.853000000003</v>
      </c>
      <c r="I20" s="18">
        <f>Reference!G90</f>
        <v>11.175000000000001</v>
      </c>
      <c r="J20" s="19">
        <f t="shared" si="3"/>
        <v>18.068570277777777</v>
      </c>
      <c r="L20" s="17">
        <f>Test!B90</f>
        <v>4579.72</v>
      </c>
      <c r="M20" s="18">
        <f>Test!C90</f>
        <v>36.884399999999999</v>
      </c>
      <c r="N20" s="18">
        <f>Test!D90</f>
        <v>39.217300000000002</v>
      </c>
      <c r="O20" s="18">
        <f>Test!E90</f>
        <v>42.014400000000002</v>
      </c>
      <c r="P20" s="18">
        <f>Test!F90</f>
        <v>72065.808999999994</v>
      </c>
      <c r="Q20" s="18">
        <f>Test!G90</f>
        <v>12.944000000000001</v>
      </c>
      <c r="R20" s="19">
        <f t="shared" si="4"/>
        <v>20.018280277777777</v>
      </c>
      <c r="S20" s="17">
        <f t="shared" si="5"/>
        <v>1.1079061580427263</v>
      </c>
      <c r="T20" s="18">
        <f t="shared" si="6"/>
        <v>1.1582997762863534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2397.576</v>
      </c>
      <c r="E21" s="18">
        <f>Reference!C91</f>
        <v>35.3078</v>
      </c>
      <c r="F21" s="18">
        <f>Reference!D91</f>
        <v>38.473599999999998</v>
      </c>
      <c r="G21" s="18">
        <f>Reference!E91</f>
        <v>40.623399999999997</v>
      </c>
      <c r="H21" s="18">
        <f>Reference!F91</f>
        <v>37324.262000000002</v>
      </c>
      <c r="I21" s="18">
        <f>Reference!G91</f>
        <v>10.146000000000001</v>
      </c>
      <c r="J21" s="19">
        <f t="shared" si="3"/>
        <v>10.367850555555556</v>
      </c>
      <c r="L21" s="17">
        <f>Test!B91</f>
        <v>2327.9639999999999</v>
      </c>
      <c r="M21" s="18">
        <f>Test!C91</f>
        <v>35.334499999999998</v>
      </c>
      <c r="N21" s="18">
        <f>Test!D91</f>
        <v>38.509</v>
      </c>
      <c r="O21" s="18">
        <f>Test!E91</f>
        <v>40.659399999999998</v>
      </c>
      <c r="P21" s="18">
        <f>Test!F91</f>
        <v>39117.675000000003</v>
      </c>
      <c r="Q21" s="18">
        <f>Test!G91</f>
        <v>10.847</v>
      </c>
      <c r="R21" s="19">
        <f t="shared" si="4"/>
        <v>10.866020833333334</v>
      </c>
      <c r="S21" s="17">
        <f t="shared" si="5"/>
        <v>1.0480495233904423</v>
      </c>
      <c r="T21" s="18">
        <f t="shared" si="6"/>
        <v>1.0690912674945789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1118.94</v>
      </c>
      <c r="E22" s="23">
        <f>Reference!C92</f>
        <v>33.0565</v>
      </c>
      <c r="F22" s="23">
        <f>Reference!D92</f>
        <v>37.397599999999997</v>
      </c>
      <c r="G22" s="23">
        <f>Reference!E92</f>
        <v>38.921999999999997</v>
      </c>
      <c r="H22" s="23">
        <f>Reference!F92</f>
        <v>20319.468000000001</v>
      </c>
      <c r="I22" s="23">
        <f>Reference!G92</f>
        <v>9.0779999999999994</v>
      </c>
      <c r="J22" s="24">
        <f t="shared" si="3"/>
        <v>5.6442966666666665</v>
      </c>
      <c r="L22" s="22">
        <f>Test!B92</f>
        <v>1111.0160000000001</v>
      </c>
      <c r="M22" s="23">
        <f>Test!C92</f>
        <v>33.130899999999997</v>
      </c>
      <c r="N22" s="23">
        <f>Test!D92</f>
        <v>37.452500000000001</v>
      </c>
      <c r="O22" s="23">
        <f>Test!E92</f>
        <v>38.9602</v>
      </c>
      <c r="P22" s="23">
        <f>Test!F92</f>
        <v>20994.385999999999</v>
      </c>
      <c r="Q22" s="23">
        <f>Test!G92</f>
        <v>9.6159999999999997</v>
      </c>
      <c r="R22" s="24">
        <f t="shared" si="4"/>
        <v>5.8317738888888888</v>
      </c>
      <c r="S22" s="17">
        <f t="shared" si="5"/>
        <v>1.0332153381181042</v>
      </c>
      <c r="T22" s="18">
        <f t="shared" si="6"/>
        <v>1.0592641551002424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8791.6239999999998</v>
      </c>
      <c r="E23" s="13">
        <f>Reference!C93</f>
        <v>38.920499999999997</v>
      </c>
      <c r="F23" s="13">
        <f>Reference!D93</f>
        <v>43.949599999999997</v>
      </c>
      <c r="G23" s="13">
        <f>Reference!E93</f>
        <v>45.045699999999997</v>
      </c>
      <c r="H23" s="13">
        <f>Reference!F93</f>
        <v>115021.36</v>
      </c>
      <c r="I23" s="13">
        <f>Reference!G93</f>
        <v>15.755000000000001</v>
      </c>
      <c r="J23" s="14">
        <f t="shared" si="3"/>
        <v>31.950377777777778</v>
      </c>
      <c r="L23" s="12">
        <f>Test!B93</f>
        <v>8734.3040000000001</v>
      </c>
      <c r="M23" s="13">
        <f>Test!C93</f>
        <v>38.923699999999997</v>
      </c>
      <c r="N23" s="13">
        <f>Test!D93</f>
        <v>43.968699999999998</v>
      </c>
      <c r="O23" s="13">
        <f>Test!E93</f>
        <v>45.089100000000002</v>
      </c>
      <c r="P23" s="13">
        <f>Test!F93</f>
        <v>128012.63499999999</v>
      </c>
      <c r="Q23" s="13">
        <f>Test!G93</f>
        <v>16.875</v>
      </c>
      <c r="R23" s="14">
        <f t="shared" si="4"/>
        <v>35.559065277777776</v>
      </c>
      <c r="S23" s="17">
        <f t="shared" si="5"/>
        <v>1.1129466300867943</v>
      </c>
      <c r="T23" s="18">
        <f t="shared" si="6"/>
        <v>1.0710885433195809</v>
      </c>
      <c r="U23" s="91"/>
      <c r="V23" s="37">
        <f>bdrate($D23:$D26,E23:E26,$L23:$L26,M23:M26)</f>
        <v>-5.5524369619114333E-3</v>
      </c>
      <c r="W23" s="42">
        <f>bdrate($D23:$D26,F23:F26,$L23:$L26,N23:N26)</f>
        <v>-2.9035730816815652E-2</v>
      </c>
      <c r="X23" s="42">
        <f>bdrate($D23:$D26,G23:G26,$L23:$L26,O23:O26)</f>
        <v>-2.6258108204913366E-2</v>
      </c>
      <c r="Y23" s="40">
        <f>bdrateOld($D23:$D26,E23:E26,$L23:$L26,M23:M26)</f>
        <v>-5.5241179257369266E-3</v>
      </c>
      <c r="Z23" s="44">
        <f>bdrateOld($D23:$D26,F23:F26,$L23:$L26,N23:N26)</f>
        <v>-2.9460579956038457E-2</v>
      </c>
      <c r="AA23" s="45">
        <f>bdrateOld($D23:$D26,G23:G26,$L23:$L26,O23:O26)</f>
        <v>-2.6528070129362535E-2</v>
      </c>
    </row>
    <row r="24" spans="1:27" x14ac:dyDescent="0.2">
      <c r="A24" s="34"/>
      <c r="B24" s="85"/>
      <c r="C24" s="16">
        <v>32</v>
      </c>
      <c r="D24" s="17">
        <f>Reference!B94</f>
        <v>4376.2039999999997</v>
      </c>
      <c r="E24" s="18">
        <f>Reference!C94</f>
        <v>37.874299999999998</v>
      </c>
      <c r="F24" s="18">
        <f>Reference!D94</f>
        <v>43.113700000000001</v>
      </c>
      <c r="G24" s="18">
        <f>Reference!E94</f>
        <v>43.629600000000003</v>
      </c>
      <c r="H24" s="18">
        <f>Reference!F94</f>
        <v>68956.406000000003</v>
      </c>
      <c r="I24" s="18">
        <f>Reference!G94</f>
        <v>13.972</v>
      </c>
      <c r="J24" s="19">
        <f t="shared" si="3"/>
        <v>19.154557222222223</v>
      </c>
      <c r="L24" s="17">
        <f>Test!B94</f>
        <v>4353.0879999999997</v>
      </c>
      <c r="M24" s="18">
        <f>Test!C94</f>
        <v>37.878799999999998</v>
      </c>
      <c r="N24" s="18">
        <f>Test!D94</f>
        <v>43.138399999999997</v>
      </c>
      <c r="O24" s="18">
        <f>Test!E94</f>
        <v>43.670299999999997</v>
      </c>
      <c r="P24" s="18">
        <f>Test!F94</f>
        <v>75876.255999999994</v>
      </c>
      <c r="Q24" s="18">
        <f>Test!G94</f>
        <v>15.452</v>
      </c>
      <c r="R24" s="19">
        <f t="shared" si="4"/>
        <v>21.076737777777776</v>
      </c>
      <c r="S24" s="17">
        <f t="shared" si="5"/>
        <v>1.1003510826825864</v>
      </c>
      <c r="T24" s="18">
        <f t="shared" si="6"/>
        <v>1.1059261379902663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2227.9679999999998</v>
      </c>
      <c r="E25" s="18">
        <f>Reference!C95</f>
        <v>36.380200000000002</v>
      </c>
      <c r="F25" s="18">
        <f>Reference!D95</f>
        <v>42.0002</v>
      </c>
      <c r="G25" s="18">
        <f>Reference!E95</f>
        <v>41.9679</v>
      </c>
      <c r="H25" s="18">
        <f>Reference!F95</f>
        <v>38238.400000000001</v>
      </c>
      <c r="I25" s="18">
        <f>Reference!G95</f>
        <v>12.195</v>
      </c>
      <c r="J25" s="19">
        <f t="shared" si="3"/>
        <v>10.621777777777778</v>
      </c>
      <c r="L25" s="17">
        <f>Test!B95</f>
        <v>2219.9920000000002</v>
      </c>
      <c r="M25" s="18">
        <f>Test!C95</f>
        <v>36.3827</v>
      </c>
      <c r="N25" s="18">
        <f>Test!D95</f>
        <v>42.052700000000002</v>
      </c>
      <c r="O25" s="18">
        <f>Test!E95</f>
        <v>42.040500000000002</v>
      </c>
      <c r="P25" s="18">
        <f>Test!F95</f>
        <v>40932.618999999999</v>
      </c>
      <c r="Q25" s="18">
        <f>Test!G95</f>
        <v>12.715</v>
      </c>
      <c r="R25" s="19">
        <f t="shared" si="4"/>
        <v>11.370171944444444</v>
      </c>
      <c r="S25" s="17">
        <f t="shared" si="5"/>
        <v>1.0704584658353906</v>
      </c>
      <c r="T25" s="18">
        <f t="shared" si="6"/>
        <v>1.0426404264042639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1094.7919999999999</v>
      </c>
      <c r="E26" s="23">
        <f>Reference!C96</f>
        <v>34.309899999999999</v>
      </c>
      <c r="F26" s="23">
        <f>Reference!D96</f>
        <v>40.643300000000004</v>
      </c>
      <c r="G26" s="23">
        <f>Reference!E96</f>
        <v>40.149299999999997</v>
      </c>
      <c r="H26" s="23">
        <f>Reference!F96</f>
        <v>20670.499</v>
      </c>
      <c r="I26" s="23">
        <f>Reference!G96</f>
        <v>9.9250000000000007</v>
      </c>
      <c r="J26" s="24">
        <f t="shared" si="3"/>
        <v>5.7418052777777779</v>
      </c>
      <c r="L26" s="22">
        <f>Test!B96</f>
        <v>1094.644</v>
      </c>
      <c r="M26" s="23">
        <f>Test!C96</f>
        <v>34.320799999999998</v>
      </c>
      <c r="N26" s="23">
        <f>Test!D96</f>
        <v>40.712800000000001</v>
      </c>
      <c r="O26" s="23">
        <f>Test!E96</f>
        <v>40.188400000000001</v>
      </c>
      <c r="P26" s="23">
        <f>Test!F96</f>
        <v>21697.035</v>
      </c>
      <c r="Q26" s="23">
        <f>Test!G96</f>
        <v>10.708</v>
      </c>
      <c r="R26" s="24">
        <f t="shared" si="4"/>
        <v>6.0269541666666671</v>
      </c>
      <c r="S26" s="17">
        <f t="shared" si="5"/>
        <v>1.0496618876980184</v>
      </c>
      <c r="T26" s="18">
        <f t="shared" si="6"/>
        <v>1.0788916876574306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6870.3879999999999</v>
      </c>
      <c r="E27" s="13">
        <f>Reference!C97</f>
        <v>39.6785</v>
      </c>
      <c r="F27" s="13">
        <f>Reference!D97</f>
        <v>43.6586</v>
      </c>
      <c r="G27" s="13">
        <f>Reference!E97</f>
        <v>44.863</v>
      </c>
      <c r="H27" s="13">
        <f>Reference!F97</f>
        <v>103932.46</v>
      </c>
      <c r="I27" s="13">
        <f>Reference!G97</f>
        <v>16.116</v>
      </c>
      <c r="J27" s="14">
        <f>H27/3600</f>
        <v>28.870127777777778</v>
      </c>
      <c r="L27" s="12">
        <f>Test!B97</f>
        <v>6822.7560000000003</v>
      </c>
      <c r="M27" s="13">
        <f>Test!C97</f>
        <v>39.688000000000002</v>
      </c>
      <c r="N27" s="13">
        <f>Test!D97</f>
        <v>43.720100000000002</v>
      </c>
      <c r="O27" s="13">
        <f>Test!E97</f>
        <v>44.931699999999999</v>
      </c>
      <c r="P27" s="13">
        <f>Test!F97</f>
        <v>117224.412</v>
      </c>
      <c r="Q27" s="13">
        <f>Test!G97</f>
        <v>17.481999999999999</v>
      </c>
      <c r="R27" s="14">
        <f>P27/3600</f>
        <v>32.562336666666667</v>
      </c>
      <c r="S27" s="17">
        <f t="shared" si="2"/>
        <v>1.1278902856720603</v>
      </c>
      <c r="T27" s="18">
        <f t="shared" si="2"/>
        <v>1.0847604864730702</v>
      </c>
      <c r="U27" s="91"/>
      <c r="V27" s="37">
        <f>bdrate($D27:$D30,E27:E30,$L27:$L30,M27:M30)</f>
        <v>-1.0359659353326167E-2</v>
      </c>
      <c r="W27" s="42">
        <f>bdrate($D27:$D30,F27:F30,$L27:$L30,N27:N30)</f>
        <v>-8.086674236961644E-2</v>
      </c>
      <c r="X27" s="43">
        <f>bdrate($D27:$D30,G27:G30,$L27:$L30,O27:O30)</f>
        <v>-0.11530209751101417</v>
      </c>
      <c r="Y27" s="37">
        <f>bdrateOld($D27:$D30,E27:E30,$L27:$L30,M27:M30)</f>
        <v>-1.0170990876627428E-2</v>
      </c>
      <c r="Z27" s="42">
        <f>bdrateOld($D27:$D30,F27:F30,$L27:$L30,N27:N30)</f>
        <v>-8.1112349829160268E-2</v>
      </c>
      <c r="AA27" s="43">
        <f>bdrateOld($D27:$D30,G27:G30,$L27:$L30,O27:O30)</f>
        <v>-0.11452495869430157</v>
      </c>
    </row>
    <row r="28" spans="1:27" x14ac:dyDescent="0.2">
      <c r="A28" s="16"/>
      <c r="B28" s="85"/>
      <c r="C28" s="16">
        <v>48</v>
      </c>
      <c r="D28" s="17">
        <f>Reference!B98</f>
        <v>3233.616</v>
      </c>
      <c r="E28" s="18">
        <f>Reference!C98</f>
        <v>38.481099999999998</v>
      </c>
      <c r="F28" s="18">
        <f>Reference!D98</f>
        <v>42.895800000000001</v>
      </c>
      <c r="G28" s="18">
        <f>Reference!E98</f>
        <v>44.204000000000001</v>
      </c>
      <c r="H28" s="18">
        <f>Reference!F98</f>
        <v>61773.752999999997</v>
      </c>
      <c r="I28" s="18">
        <f>Reference!G98</f>
        <v>14.157</v>
      </c>
      <c r="J28" s="19">
        <f t="shared" ref="J28:J46" si="7">H28/3600</f>
        <v>17.159375833333332</v>
      </c>
      <c r="L28" s="17">
        <f>Test!B98</f>
        <v>3205.944</v>
      </c>
      <c r="M28" s="18">
        <f>Test!C98</f>
        <v>38.490900000000003</v>
      </c>
      <c r="N28" s="18">
        <f>Test!D98</f>
        <v>42.976300000000002</v>
      </c>
      <c r="O28" s="18">
        <f>Test!E98</f>
        <v>44.306899999999999</v>
      </c>
      <c r="P28" s="18">
        <f>Test!F98</f>
        <v>66037.455000000002</v>
      </c>
      <c r="Q28" s="18">
        <f>Test!G98</f>
        <v>15.395</v>
      </c>
      <c r="R28" s="19">
        <f t="shared" ref="R28:R46" si="8">P28/3600</f>
        <v>18.3437375</v>
      </c>
      <c r="S28" s="17">
        <f t="shared" si="2"/>
        <v>1.0690212556779577</v>
      </c>
      <c r="T28" s="18">
        <f t="shared" si="2"/>
        <v>1.0874479056297237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1536.932</v>
      </c>
      <c r="E29" s="18">
        <f>Reference!C99</f>
        <v>36.770600000000002</v>
      </c>
      <c r="F29" s="18">
        <f>Reference!D99</f>
        <v>41.877400000000002</v>
      </c>
      <c r="G29" s="18">
        <f>Reference!E99</f>
        <v>43.168999999999997</v>
      </c>
      <c r="H29" s="18">
        <f>Reference!F99</f>
        <v>33076.375</v>
      </c>
      <c r="I29" s="18">
        <f>Reference!G99</f>
        <v>12.551</v>
      </c>
      <c r="J29" s="19">
        <f t="shared" si="7"/>
        <v>9.1878819444444453</v>
      </c>
      <c r="L29" s="17">
        <f>Test!B99</f>
        <v>1529.164</v>
      </c>
      <c r="M29" s="18">
        <f>Test!C99</f>
        <v>36.781799999999997</v>
      </c>
      <c r="N29" s="18">
        <f>Test!D99</f>
        <v>42.005299999999998</v>
      </c>
      <c r="O29" s="18">
        <f>Test!E99</f>
        <v>43.366500000000002</v>
      </c>
      <c r="P29" s="18">
        <f>Test!F99</f>
        <v>35724.523999999998</v>
      </c>
      <c r="Q29" s="18">
        <f>Test!G99</f>
        <v>14.026999999999999</v>
      </c>
      <c r="R29" s="19">
        <f t="shared" si="8"/>
        <v>9.923478888888889</v>
      </c>
      <c r="S29" s="17">
        <f t="shared" si="2"/>
        <v>1.0800616452074931</v>
      </c>
      <c r="T29" s="18">
        <f t="shared" si="2"/>
        <v>1.117600191219823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689.88800000000003</v>
      </c>
      <c r="E30" s="23">
        <f>Reference!C100</f>
        <v>34.536999999999999</v>
      </c>
      <c r="F30" s="23">
        <f>Reference!D100</f>
        <v>40.622199999999999</v>
      </c>
      <c r="G30" s="23">
        <f>Reference!E100</f>
        <v>41.871299999999998</v>
      </c>
      <c r="H30" s="23">
        <f>Reference!F100</f>
        <v>16774.225999999999</v>
      </c>
      <c r="I30" s="23">
        <f>Reference!G100</f>
        <v>10.129</v>
      </c>
      <c r="J30" s="24">
        <f t="shared" si="7"/>
        <v>4.6595072222222216</v>
      </c>
      <c r="L30" s="22">
        <f>Test!B100</f>
        <v>688.24</v>
      </c>
      <c r="M30" s="23">
        <f>Test!C100</f>
        <v>34.547600000000003</v>
      </c>
      <c r="N30" s="23">
        <f>Test!D100</f>
        <v>40.743400000000001</v>
      </c>
      <c r="O30" s="23">
        <f>Test!E100</f>
        <v>42.061999999999998</v>
      </c>
      <c r="P30" s="23">
        <f>Test!F100</f>
        <v>17344.760999999999</v>
      </c>
      <c r="Q30" s="23">
        <f>Test!G100</f>
        <v>11.099</v>
      </c>
      <c r="R30" s="24">
        <f t="shared" si="8"/>
        <v>4.8179891666666661</v>
      </c>
      <c r="S30" s="17">
        <f t="shared" si="2"/>
        <v>1.0340125976602437</v>
      </c>
      <c r="T30" s="18">
        <f t="shared" si="2"/>
        <v>1.095764636193109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5757.8320000000003</v>
      </c>
      <c r="E31" s="13">
        <f>Reference!C101</f>
        <v>44.841299999999997</v>
      </c>
      <c r="F31" s="13">
        <f>Reference!D101</f>
        <v>47.213900000000002</v>
      </c>
      <c r="G31" s="13">
        <f>Reference!E101</f>
        <v>48.175199999999997</v>
      </c>
      <c r="H31" s="13">
        <f>Reference!F101</f>
        <v>76941.203999999998</v>
      </c>
      <c r="I31" s="13">
        <f>Reference!G101</f>
        <v>16.088999999999999</v>
      </c>
      <c r="J31" s="14">
        <f t="shared" si="7"/>
        <v>21.372556666666664</v>
      </c>
      <c r="L31" s="12">
        <f>Test!B101</f>
        <v>5729.6679999999997</v>
      </c>
      <c r="M31" s="13">
        <f>Test!C101</f>
        <v>44.845799999999997</v>
      </c>
      <c r="N31" s="13">
        <f>Test!D101</f>
        <v>47.294800000000002</v>
      </c>
      <c r="O31" s="13">
        <f>Test!E101</f>
        <v>48.337299999999999</v>
      </c>
      <c r="P31" s="13">
        <f>Test!F101</f>
        <v>83481.726999999999</v>
      </c>
      <c r="Q31" s="13">
        <f>Test!G101</f>
        <v>16.920000000000002</v>
      </c>
      <c r="R31" s="14">
        <f t="shared" si="8"/>
        <v>23.18936861111111</v>
      </c>
      <c r="S31" s="17">
        <f t="shared" si="2"/>
        <v>1.0850067669853465</v>
      </c>
      <c r="T31" s="18">
        <f t="shared" si="2"/>
        <v>1.051650195785941</v>
      </c>
      <c r="U31" s="91"/>
      <c r="V31" s="37">
        <f>bdrate($D31:$D34,E31:E34,$L31:$L34,M31:M34)</f>
        <v>-4.5251288945059587E-3</v>
      </c>
      <c r="W31" s="42">
        <f>bdrate($D31:$D34,F31:F34,$L31:$L34,N31:N34)</f>
        <v>-5.189573229564548E-2</v>
      </c>
      <c r="X31" s="42">
        <f>bdrate($D31:$D34,G31:G34,$L31:$L34,O31:O34)</f>
        <v>-7.0221733610946635E-2</v>
      </c>
      <c r="Y31" s="40">
        <f>bdrateOld($D31:$D34,E31:E34,$L31:$L34,M31:M34)</f>
        <v>-4.4721640258245099E-3</v>
      </c>
      <c r="Z31" s="44">
        <f>bdrateOld($D31:$D34,F31:F34,$L31:$L34,N31:N34)</f>
        <v>-5.1931139696808959E-2</v>
      </c>
      <c r="AA31" s="45">
        <f>bdrateOld($D31:$D34,G31:G34,$L31:$L34,O31:O34)</f>
        <v>-7.0168948131755227E-2</v>
      </c>
    </row>
    <row r="32" spans="1:27" x14ac:dyDescent="0.2">
      <c r="A32" s="16"/>
      <c r="B32" s="85"/>
      <c r="C32" s="16">
        <v>48</v>
      </c>
      <c r="D32" s="17">
        <f>Reference!B102</f>
        <v>3526.5239999999999</v>
      </c>
      <c r="E32" s="18">
        <f>Reference!C102</f>
        <v>42.598700000000001</v>
      </c>
      <c r="F32" s="18">
        <f>Reference!D102</f>
        <v>45.667499999999997</v>
      </c>
      <c r="G32" s="18">
        <f>Reference!E102</f>
        <v>46.442500000000003</v>
      </c>
      <c r="H32" s="18">
        <f>Reference!F102</f>
        <v>52216.822999999997</v>
      </c>
      <c r="I32" s="18">
        <f>Reference!G102</f>
        <v>14.4</v>
      </c>
      <c r="J32" s="19">
        <f t="shared" si="7"/>
        <v>14.504673055555555</v>
      </c>
      <c r="L32" s="17">
        <f>Test!B102</f>
        <v>3514.0639999999999</v>
      </c>
      <c r="M32" s="18">
        <f>Test!C102</f>
        <v>42.605499999999999</v>
      </c>
      <c r="N32" s="18">
        <f>Test!D102</f>
        <v>45.787799999999997</v>
      </c>
      <c r="O32" s="18">
        <f>Test!E102</f>
        <v>46.650799999999997</v>
      </c>
      <c r="P32" s="18">
        <f>Test!F102</f>
        <v>60917.785000000003</v>
      </c>
      <c r="Q32" s="18">
        <f>Test!G102</f>
        <v>16.5</v>
      </c>
      <c r="R32" s="19">
        <f t="shared" si="8"/>
        <v>16.921606944444445</v>
      </c>
      <c r="S32" s="17">
        <f t="shared" si="2"/>
        <v>1.1666313938708988</v>
      </c>
      <c r="T32" s="18">
        <f t="shared" si="2"/>
        <v>1.1458333333333333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1959.78</v>
      </c>
      <c r="E33" s="18">
        <f>Reference!C103</f>
        <v>39.791200000000003</v>
      </c>
      <c r="F33" s="18">
        <f>Reference!D103</f>
        <v>43.9985</v>
      </c>
      <c r="G33" s="18">
        <f>Reference!E103</f>
        <v>44.524900000000002</v>
      </c>
      <c r="H33" s="18">
        <f>Reference!F103</f>
        <v>32865.697999999997</v>
      </c>
      <c r="I33" s="18">
        <f>Reference!G103</f>
        <v>12.593999999999999</v>
      </c>
      <c r="J33" s="19">
        <f t="shared" si="7"/>
        <v>9.1293605555555555</v>
      </c>
      <c r="L33" s="17">
        <f>Test!B103</f>
        <v>1957.2760000000001</v>
      </c>
      <c r="M33" s="18">
        <f>Test!C103</f>
        <v>39.801600000000001</v>
      </c>
      <c r="N33" s="18">
        <f>Test!D103</f>
        <v>44.164999999999999</v>
      </c>
      <c r="O33" s="18">
        <f>Test!E103</f>
        <v>44.7714</v>
      </c>
      <c r="P33" s="18">
        <f>Test!F103</f>
        <v>36417.644</v>
      </c>
      <c r="Q33" s="18">
        <f>Test!G103</f>
        <v>13.96</v>
      </c>
      <c r="R33" s="19">
        <f t="shared" si="8"/>
        <v>10.116012222222222</v>
      </c>
      <c r="S33" s="17">
        <f t="shared" si="2"/>
        <v>1.1080745645505536</v>
      </c>
      <c r="T33" s="18">
        <f t="shared" si="2"/>
        <v>1.1084643481022711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996.65200000000004</v>
      </c>
      <c r="E34" s="23">
        <f>Reference!C104</f>
        <v>36.613199999999999</v>
      </c>
      <c r="F34" s="23">
        <f>Reference!D104</f>
        <v>42.3446</v>
      </c>
      <c r="G34" s="23">
        <f>Reference!E104</f>
        <v>42.651600000000002</v>
      </c>
      <c r="H34" s="23">
        <f>Reference!F104</f>
        <v>18839.503000000001</v>
      </c>
      <c r="I34" s="23">
        <f>Reference!G104</f>
        <v>10.332000000000001</v>
      </c>
      <c r="J34" s="24">
        <f t="shared" si="7"/>
        <v>5.2331952777777779</v>
      </c>
      <c r="L34" s="22">
        <f>Test!B104</f>
        <v>992.97199999999998</v>
      </c>
      <c r="M34" s="23">
        <f>Test!C104</f>
        <v>36.622799999999998</v>
      </c>
      <c r="N34" s="23">
        <f>Test!D104</f>
        <v>42.489899999999999</v>
      </c>
      <c r="O34" s="23">
        <f>Test!E104</f>
        <v>42.858699999999999</v>
      </c>
      <c r="P34" s="23">
        <f>Test!F104</f>
        <v>20542.932000000001</v>
      </c>
      <c r="Q34" s="23">
        <f>Test!G104</f>
        <v>11.705</v>
      </c>
      <c r="R34" s="24">
        <f t="shared" si="8"/>
        <v>5.7063700000000006</v>
      </c>
      <c r="S34" s="17">
        <f t="shared" si="2"/>
        <v>1.090417937246009</v>
      </c>
      <c r="T34" s="18">
        <f t="shared" si="2"/>
        <v>1.1328881145954315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4198.4520000000002</v>
      </c>
      <c r="E35" s="13">
        <f>Reference!C105</f>
        <v>38.576900000000002</v>
      </c>
      <c r="F35" s="13">
        <f>Reference!D105</f>
        <v>45.843299999999999</v>
      </c>
      <c r="G35" s="13">
        <f>Reference!E105</f>
        <v>46.023499999999999</v>
      </c>
      <c r="H35" s="13">
        <f>Reference!F105</f>
        <v>51023.603999999999</v>
      </c>
      <c r="I35" s="13">
        <f>Reference!G105</f>
        <v>6.6050000000000004</v>
      </c>
      <c r="J35" s="14">
        <f t="shared" si="7"/>
        <v>14.173223333333333</v>
      </c>
      <c r="L35" s="12">
        <f>Test!B105</f>
        <v>4187.8280000000004</v>
      </c>
      <c r="M35" s="13">
        <f>Test!C105</f>
        <v>38.594999999999999</v>
      </c>
      <c r="N35" s="13">
        <f>Test!D105</f>
        <v>45.962000000000003</v>
      </c>
      <c r="O35" s="13">
        <f>Test!E105</f>
        <v>46.188200000000002</v>
      </c>
      <c r="P35" s="13">
        <f>Test!F105</f>
        <v>55278.142</v>
      </c>
      <c r="Q35" s="13">
        <f>Test!G105</f>
        <v>7.1829999999999998</v>
      </c>
      <c r="R35" s="14">
        <f t="shared" si="8"/>
        <v>15.355039444444444</v>
      </c>
      <c r="S35" s="12">
        <f t="shared" si="2"/>
        <v>1.0833837217770819</v>
      </c>
      <c r="T35" s="13">
        <f t="shared" si="2"/>
        <v>1.0875094625283874</v>
      </c>
      <c r="U35" s="90"/>
      <c r="V35" s="37">
        <f>bdrate($D35:$D38,E35:E38,$L35:$L38,M35:M38)</f>
        <v>-6.7121539021174348E-3</v>
      </c>
      <c r="W35" s="42">
        <f>bdrate($D35:$D38,F35:F38,$L35:$L38,N35:N38)</f>
        <v>-0.1615512541649099</v>
      </c>
      <c r="X35" s="42">
        <f>bdrate($D35:$D38,G35:G38,$L35:$L38,O35:O38)</f>
        <v>-0.13197211895960237</v>
      </c>
      <c r="Y35" s="40">
        <f>bdrateOld($D35:$D38,E35:E38,$L35:$L38,M35:M38)</f>
        <v>-7.0784056212757074E-3</v>
      </c>
      <c r="Z35" s="44">
        <f>bdrateOld($D35:$D38,F35:F38,$L35:$L38,N35:N38)</f>
        <v>-0.1583277153539917</v>
      </c>
      <c r="AA35" s="45">
        <f>bdrateOld($D35:$D38,G35:G38,$L35:$L38,O35:O38)</f>
        <v>-0.12926685945226279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1772.008</v>
      </c>
      <c r="E36" s="18">
        <f>Reference!C106</f>
        <v>36.986499999999999</v>
      </c>
      <c r="F36" s="18">
        <f>Reference!D106</f>
        <v>44.655799999999999</v>
      </c>
      <c r="G36" s="18">
        <f>Reference!E106</f>
        <v>44.824300000000001</v>
      </c>
      <c r="H36" s="18">
        <f>Reference!F106</f>
        <v>27555.445</v>
      </c>
      <c r="I36" s="18">
        <f>Reference!G106</f>
        <v>5.4740000000000002</v>
      </c>
      <c r="J36" s="19">
        <f t="shared" si="7"/>
        <v>7.6542902777777773</v>
      </c>
      <c r="L36" s="17">
        <f>Test!B106</f>
        <v>1769.2360000000001</v>
      </c>
      <c r="M36" s="18">
        <f>Test!C106</f>
        <v>36.999600000000001</v>
      </c>
      <c r="N36" s="18">
        <f>Test!D106</f>
        <v>44.939500000000002</v>
      </c>
      <c r="O36" s="18">
        <f>Test!E106</f>
        <v>45.103400000000001</v>
      </c>
      <c r="P36" s="18">
        <f>Test!F106</f>
        <v>29185.89</v>
      </c>
      <c r="Q36" s="18">
        <f>Test!G106</f>
        <v>5.8259999999999996</v>
      </c>
      <c r="R36" s="19">
        <f t="shared" si="8"/>
        <v>8.107191666666667</v>
      </c>
      <c r="S36" s="17">
        <f t="shared" si="2"/>
        <v>1.0591696123942109</v>
      </c>
      <c r="T36" s="18">
        <f t="shared" si="2"/>
        <v>1.0643039824625502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813.77599999999995</v>
      </c>
      <c r="E37" s="18">
        <f>Reference!C107</f>
        <v>34.982300000000002</v>
      </c>
      <c r="F37" s="18">
        <f>Reference!D107</f>
        <v>43.190899999999999</v>
      </c>
      <c r="G37" s="18">
        <f>Reference!E107</f>
        <v>43.469000000000001</v>
      </c>
      <c r="H37" s="18">
        <f>Reference!F107</f>
        <v>14727.288</v>
      </c>
      <c r="I37" s="18">
        <f>Reference!G107</f>
        <v>4.5140000000000002</v>
      </c>
      <c r="J37" s="19">
        <f t="shared" si="7"/>
        <v>4.0909133333333338</v>
      </c>
      <c r="L37" s="17">
        <f>Test!B107</f>
        <v>814.09199999999998</v>
      </c>
      <c r="M37" s="18">
        <f>Test!C107</f>
        <v>35.008000000000003</v>
      </c>
      <c r="N37" s="18">
        <f>Test!D107</f>
        <v>43.5625</v>
      </c>
      <c r="O37" s="18">
        <f>Test!E107</f>
        <v>43.693800000000003</v>
      </c>
      <c r="P37" s="18">
        <f>Test!F107</f>
        <v>15356.73</v>
      </c>
      <c r="Q37" s="18">
        <f>Test!G107</f>
        <v>4.8739999999999997</v>
      </c>
      <c r="R37" s="19">
        <f t="shared" si="8"/>
        <v>4.2657583333333333</v>
      </c>
      <c r="S37" s="17">
        <f t="shared" si="2"/>
        <v>1.0427398445660871</v>
      </c>
      <c r="T37" s="18">
        <f t="shared" si="2"/>
        <v>1.0797518830305715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391.16</v>
      </c>
      <c r="E38" s="23">
        <f>Reference!C108</f>
        <v>32.3733</v>
      </c>
      <c r="F38" s="23">
        <f>Reference!D108</f>
        <v>41.236499999999999</v>
      </c>
      <c r="G38" s="23">
        <f>Reference!E108</f>
        <v>41.790100000000002</v>
      </c>
      <c r="H38" s="23">
        <f>Reference!F108</f>
        <v>7664.7929999999997</v>
      </c>
      <c r="I38" s="23">
        <f>Reference!G108</f>
        <v>3.86</v>
      </c>
      <c r="J38" s="24">
        <f t="shared" si="7"/>
        <v>2.1291091666666664</v>
      </c>
      <c r="L38" s="22">
        <f>Test!B108</f>
        <v>393.58800000000002</v>
      </c>
      <c r="M38" s="23">
        <f>Test!C108</f>
        <v>32.387799999999999</v>
      </c>
      <c r="N38" s="23">
        <f>Test!D108</f>
        <v>41.8367</v>
      </c>
      <c r="O38" s="23">
        <f>Test!E108</f>
        <v>42.123899999999999</v>
      </c>
      <c r="P38" s="23">
        <f>Test!F108</f>
        <v>7805.0029999999997</v>
      </c>
      <c r="Q38" s="23">
        <f>Test!G108</f>
        <v>4.0940000000000003</v>
      </c>
      <c r="R38" s="24">
        <f t="shared" si="8"/>
        <v>2.1680563888888886</v>
      </c>
      <c r="S38" s="17">
        <f t="shared" si="2"/>
        <v>1.0182927314540653</v>
      </c>
      <c r="T38" s="18">
        <f t="shared" si="2"/>
        <v>1.0606217616580311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2478.34</v>
      </c>
      <c r="E39" s="13">
        <f>Reference!C109</f>
        <v>40.608699999999999</v>
      </c>
      <c r="F39" s="13">
        <f>Reference!D109</f>
        <v>46.082700000000003</v>
      </c>
      <c r="G39" s="13">
        <f>Reference!E109</f>
        <v>47.183700000000002</v>
      </c>
      <c r="H39" s="13">
        <f>Reference!F109</f>
        <v>39500.218000000001</v>
      </c>
      <c r="I39" s="13">
        <f>Reference!G109</f>
        <v>6.7889999999999997</v>
      </c>
      <c r="J39" s="14">
        <f t="shared" si="7"/>
        <v>10.972282777777778</v>
      </c>
      <c r="L39" s="12">
        <f>Test!B109</f>
        <v>2472.6880000000001</v>
      </c>
      <c r="M39" s="13">
        <f>Test!C109</f>
        <v>40.6143</v>
      </c>
      <c r="N39" s="13">
        <f>Test!D109</f>
        <v>46.106400000000001</v>
      </c>
      <c r="O39" s="13">
        <f>Test!E109</f>
        <v>47.214399999999998</v>
      </c>
      <c r="P39" s="13">
        <f>Test!F109</f>
        <v>42678.713000000003</v>
      </c>
      <c r="Q39" s="13">
        <f>Test!G109</f>
        <v>7.2080000000000002</v>
      </c>
      <c r="R39" s="14">
        <f t="shared" si="8"/>
        <v>11.855198055555556</v>
      </c>
      <c r="S39" s="17">
        <f t="shared" si="2"/>
        <v>1.0804677837474215</v>
      </c>
      <c r="T39" s="18">
        <f t="shared" si="2"/>
        <v>1.0617174841655621</v>
      </c>
      <c r="U39" s="91"/>
      <c r="V39" s="37">
        <f>bdrate($D39:$D42,E39:E42,$L39:$L42,M39:M42)</f>
        <v>-3.2494584966324958E-3</v>
      </c>
      <c r="W39" s="42">
        <f>bdrate($D39:$D42,F39:F42,$L39:$L42,N39:N42)</f>
        <v>-5.2156848599052452E-2</v>
      </c>
      <c r="X39" s="42">
        <f>bdrate($D39:$D42,G39:G42,$L39:$L42,O39:O42)</f>
        <v>-4.7625713157890548E-2</v>
      </c>
      <c r="Y39" s="40">
        <f>bdrateOld($D39:$D42,E39:E42,$L39:$L42,M39:M42)</f>
        <v>-3.1286223669053648E-3</v>
      </c>
      <c r="Z39" s="44">
        <f>bdrateOld($D39:$D42,F39:F42,$L39:$L42,N39:N42)</f>
        <v>-5.2633547953273574E-2</v>
      </c>
      <c r="AA39" s="45">
        <f>bdrateOld($D39:$D42,G39:G42,$L39:$L42,O39:O42)</f>
        <v>-4.5960005249731761E-2</v>
      </c>
    </row>
    <row r="40" spans="1:27" x14ac:dyDescent="0.2">
      <c r="A40" s="16"/>
      <c r="B40" s="85"/>
      <c r="C40" s="16">
        <v>32</v>
      </c>
      <c r="D40" s="17">
        <f>Reference!B110</f>
        <v>1135.2760000000001</v>
      </c>
      <c r="E40" s="18">
        <f>Reference!C110</f>
        <v>39.495199999999997</v>
      </c>
      <c r="F40" s="18">
        <f>Reference!D110</f>
        <v>45.525700000000001</v>
      </c>
      <c r="G40" s="18">
        <f>Reference!E110</f>
        <v>45.935400000000001</v>
      </c>
      <c r="H40" s="18">
        <f>Reference!F110</f>
        <v>21675.761999999999</v>
      </c>
      <c r="I40" s="18">
        <f>Reference!G110</f>
        <v>5.7629999999999999</v>
      </c>
      <c r="J40" s="19">
        <f t="shared" si="7"/>
        <v>6.021045</v>
      </c>
      <c r="L40" s="17">
        <f>Test!B110</f>
        <v>1131.26</v>
      </c>
      <c r="M40" s="18">
        <f>Test!C110</f>
        <v>39.497599999999998</v>
      </c>
      <c r="N40" s="18">
        <f>Test!D110</f>
        <v>45.560299999999998</v>
      </c>
      <c r="O40" s="18">
        <f>Test!E110</f>
        <v>46.035600000000002</v>
      </c>
      <c r="P40" s="18">
        <f>Test!F110</f>
        <v>23400.652999999998</v>
      </c>
      <c r="Q40" s="18">
        <f>Test!G110</f>
        <v>6.2329999999999997</v>
      </c>
      <c r="R40" s="19">
        <f t="shared" si="8"/>
        <v>6.5001813888888886</v>
      </c>
      <c r="S40" s="17">
        <f t="shared" si="2"/>
        <v>1.0795769486673641</v>
      </c>
      <c r="T40" s="18">
        <f t="shared" si="2"/>
        <v>1.0815547457921222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533.44000000000005</v>
      </c>
      <c r="E41" s="18">
        <f>Reference!C111</f>
        <v>37.9298</v>
      </c>
      <c r="F41" s="18">
        <f>Reference!D111</f>
        <v>44.670200000000001</v>
      </c>
      <c r="G41" s="18">
        <f>Reference!E111</f>
        <v>44.332700000000003</v>
      </c>
      <c r="H41" s="18">
        <f>Reference!F111</f>
        <v>11268.545</v>
      </c>
      <c r="I41" s="18">
        <f>Reference!G111</f>
        <v>4.8140000000000001</v>
      </c>
      <c r="J41" s="19">
        <f t="shared" si="7"/>
        <v>3.1301513888888888</v>
      </c>
      <c r="L41" s="17">
        <f>Test!B111</f>
        <v>533.64</v>
      </c>
      <c r="M41" s="18">
        <f>Test!C111</f>
        <v>37.935299999999998</v>
      </c>
      <c r="N41" s="18">
        <f>Test!D111</f>
        <v>44.752299999999998</v>
      </c>
      <c r="O41" s="18">
        <f>Test!E111</f>
        <v>44.426200000000001</v>
      </c>
      <c r="P41" s="18">
        <f>Test!F111</f>
        <v>11817.421</v>
      </c>
      <c r="Q41" s="18">
        <f>Test!G111</f>
        <v>5.4429999999999996</v>
      </c>
      <c r="R41" s="19">
        <f t="shared" si="8"/>
        <v>3.2826169444444444</v>
      </c>
      <c r="S41" s="17">
        <f t="shared" si="2"/>
        <v>1.0487086842178825</v>
      </c>
      <c r="T41" s="18">
        <f t="shared" si="2"/>
        <v>1.1306605733277939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242.20400000000001</v>
      </c>
      <c r="E42" s="23">
        <f>Reference!C112</f>
        <v>35.837299999999999</v>
      </c>
      <c r="F42" s="23">
        <f>Reference!D112</f>
        <v>43.516599999999997</v>
      </c>
      <c r="G42" s="23">
        <f>Reference!E112</f>
        <v>42.331499999999998</v>
      </c>
      <c r="H42" s="23">
        <f>Reference!F112</f>
        <v>5634.0860000000002</v>
      </c>
      <c r="I42" s="23">
        <f>Reference!G112</f>
        <v>4.1900000000000004</v>
      </c>
      <c r="J42" s="24">
        <f t="shared" si="7"/>
        <v>1.565023888888889</v>
      </c>
      <c r="L42" s="22">
        <f>Test!B112</f>
        <v>242.00800000000001</v>
      </c>
      <c r="M42" s="23">
        <f>Test!C112</f>
        <v>35.841900000000003</v>
      </c>
      <c r="N42" s="23">
        <f>Test!D112</f>
        <v>43.587699999999998</v>
      </c>
      <c r="O42" s="23">
        <f>Test!E112</f>
        <v>42.516199999999998</v>
      </c>
      <c r="P42" s="23">
        <f>Test!F112</f>
        <v>5876.7659999999996</v>
      </c>
      <c r="Q42" s="23">
        <f>Test!G112</f>
        <v>4.6310000000000002</v>
      </c>
      <c r="R42" s="24">
        <f t="shared" si="8"/>
        <v>1.6324349999999999</v>
      </c>
      <c r="S42" s="17">
        <f t="shared" si="2"/>
        <v>1.0430735349087676</v>
      </c>
      <c r="T42" s="18">
        <f t="shared" si="2"/>
        <v>1.1052505966587112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944.64</v>
      </c>
      <c r="E43" s="13">
        <f>Reference!C113</f>
        <v>43.492400000000004</v>
      </c>
      <c r="F43" s="13">
        <f>Reference!D113</f>
        <v>47.103200000000001</v>
      </c>
      <c r="G43" s="13">
        <f>Reference!E113</f>
        <v>48.0961</v>
      </c>
      <c r="H43" s="13">
        <f>Reference!F113</f>
        <v>17520.899000000001</v>
      </c>
      <c r="I43" s="13">
        <f>Reference!G113</f>
        <v>4.4640000000000004</v>
      </c>
      <c r="J43" s="14">
        <f t="shared" si="7"/>
        <v>4.8669163888888889</v>
      </c>
      <c r="L43" s="12">
        <f>Test!B113</f>
        <v>942.20399999999995</v>
      </c>
      <c r="M43" s="13">
        <f>Test!C113</f>
        <v>43.501100000000001</v>
      </c>
      <c r="N43" s="13">
        <f>Test!D113</f>
        <v>47.124699999999997</v>
      </c>
      <c r="O43" s="13">
        <f>Test!E113</f>
        <v>48.166899999999998</v>
      </c>
      <c r="P43" s="13">
        <f>Test!F113</f>
        <v>18429.93</v>
      </c>
      <c r="Q43" s="13">
        <f>Test!G113</f>
        <v>5.0090000000000003</v>
      </c>
      <c r="R43" s="14">
        <f t="shared" si="8"/>
        <v>5.1194249999999997</v>
      </c>
      <c r="S43" s="17">
        <f t="shared" si="2"/>
        <v>1.0518826688059784</v>
      </c>
      <c r="T43" s="18">
        <f t="shared" si="2"/>
        <v>1.1220878136200716</v>
      </c>
      <c r="U43" s="91"/>
      <c r="V43" s="37">
        <f>bdrate($D43:$D46,E43:E46,$L43:$L46,M43:M46)</f>
        <v>-4.061382785728429E-3</v>
      </c>
      <c r="W43" s="42">
        <f>bdrate($D43:$D46,F43:F46,$L43:$L46,N43:N46)</f>
        <v>-2.8316001288400949E-2</v>
      </c>
      <c r="X43" s="42">
        <f>bdrate($D43:$D46,G43:G46,$L43:$L46,O43:O46)</f>
        <v>-1.2255489256480345E-2</v>
      </c>
      <c r="Y43" s="40">
        <f>bdrateOld($D43:$D46,E43:E46,$L43:$L46,M43:M46)</f>
        <v>-3.8860565540114189E-3</v>
      </c>
      <c r="Z43" s="44">
        <f>bdrateOld($D43:$D46,F43:F46,$L43:$L46,N43:N46)</f>
        <v>-2.9289161898975347E-2</v>
      </c>
      <c r="AA43" s="45">
        <f>bdrateOld($D43:$D46,G43:G46,$L43:$L46,O43:O46)</f>
        <v>-1.3265247580766859E-2</v>
      </c>
    </row>
    <row r="44" spans="1:27" x14ac:dyDescent="0.2">
      <c r="A44" s="16"/>
      <c r="B44" s="85"/>
      <c r="C44" s="16">
        <v>32</v>
      </c>
      <c r="D44" s="17">
        <f>Reference!B114</f>
        <v>515.84</v>
      </c>
      <c r="E44" s="18">
        <f>Reference!C114</f>
        <v>42.2211</v>
      </c>
      <c r="F44" s="18">
        <f>Reference!D114</f>
        <v>46.317599999999999</v>
      </c>
      <c r="G44" s="18">
        <f>Reference!E114</f>
        <v>47.140999999999998</v>
      </c>
      <c r="H44" s="18">
        <f>Reference!F114</f>
        <v>10006.723</v>
      </c>
      <c r="I44" s="18">
        <f>Reference!G114</f>
        <v>4.1260000000000003</v>
      </c>
      <c r="J44" s="19">
        <f t="shared" si="7"/>
        <v>2.7796452777777776</v>
      </c>
      <c r="L44" s="17">
        <f>Test!B114</f>
        <v>512.4</v>
      </c>
      <c r="M44" s="18">
        <f>Test!C114</f>
        <v>42.223300000000002</v>
      </c>
      <c r="N44" s="18">
        <f>Test!D114</f>
        <v>46.345500000000001</v>
      </c>
      <c r="O44" s="18">
        <f>Test!E114</f>
        <v>47.1646</v>
      </c>
      <c r="P44" s="18">
        <f>Test!F114</f>
        <v>10318.111000000001</v>
      </c>
      <c r="Q44" s="18">
        <f>Test!G114</f>
        <v>4.4939999999999998</v>
      </c>
      <c r="R44" s="19">
        <f t="shared" si="8"/>
        <v>2.8661419444444447</v>
      </c>
      <c r="S44" s="17">
        <f t="shared" si="2"/>
        <v>1.0311178794496461</v>
      </c>
      <c r="T44" s="18">
        <f t="shared" si="2"/>
        <v>1.0891904992729033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294.2</v>
      </c>
      <c r="E45" s="18">
        <f>Reference!C115</f>
        <v>40.448700000000002</v>
      </c>
      <c r="F45" s="18">
        <f>Reference!D115</f>
        <v>45.252800000000001</v>
      </c>
      <c r="G45" s="18">
        <f>Reference!E115</f>
        <v>45.803100000000001</v>
      </c>
      <c r="H45" s="18">
        <f>Reference!F115</f>
        <v>5655.7520000000004</v>
      </c>
      <c r="I45" s="18">
        <f>Reference!G115</f>
        <v>4.0679999999999996</v>
      </c>
      <c r="J45" s="19">
        <f t="shared" si="7"/>
        <v>1.5710422222222222</v>
      </c>
      <c r="L45" s="17">
        <f>Test!B115</f>
        <v>293.02</v>
      </c>
      <c r="M45" s="18">
        <f>Test!C115</f>
        <v>40.446300000000001</v>
      </c>
      <c r="N45" s="18">
        <f>Test!D115</f>
        <v>45.316800000000001</v>
      </c>
      <c r="O45" s="18">
        <f>Test!E115</f>
        <v>45.792999999999999</v>
      </c>
      <c r="P45" s="18">
        <f>Test!F115</f>
        <v>5672.6319999999996</v>
      </c>
      <c r="Q45" s="18">
        <f>Test!G115</f>
        <v>4.3419999999999996</v>
      </c>
      <c r="R45" s="19">
        <f t="shared" si="8"/>
        <v>1.575731111111111</v>
      </c>
      <c r="S45" s="17">
        <f t="shared" si="2"/>
        <v>1.0029845721665305</v>
      </c>
      <c r="T45" s="18">
        <f t="shared" si="2"/>
        <v>1.067354965585054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163.608</v>
      </c>
      <c r="E46" s="23">
        <f>Reference!C116</f>
        <v>37.884700000000002</v>
      </c>
      <c r="F46" s="23">
        <f>Reference!D116</f>
        <v>43.508000000000003</v>
      </c>
      <c r="G46" s="23">
        <f>Reference!E116</f>
        <v>43.912700000000001</v>
      </c>
      <c r="H46" s="23">
        <f>Reference!F116</f>
        <v>3150.1889999999999</v>
      </c>
      <c r="I46" s="23">
        <f>Reference!G116</f>
        <v>3.9430000000000001</v>
      </c>
      <c r="J46" s="24">
        <f t="shared" si="7"/>
        <v>0.87505250000000001</v>
      </c>
      <c r="L46" s="22">
        <f>Test!B116</f>
        <v>163.72399999999999</v>
      </c>
      <c r="M46" s="23">
        <f>Test!C116</f>
        <v>37.885599999999997</v>
      </c>
      <c r="N46" s="23">
        <f>Test!D116</f>
        <v>43.615400000000001</v>
      </c>
      <c r="O46" s="23">
        <f>Test!E116</f>
        <v>43.978499999999997</v>
      </c>
      <c r="P46" s="23">
        <f>Test!F116</f>
        <v>3235.473</v>
      </c>
      <c r="Q46" s="23">
        <f>Test!G116</f>
        <v>4.327</v>
      </c>
      <c r="R46" s="24">
        <f t="shared" si="8"/>
        <v>0.8987425</v>
      </c>
      <c r="S46" s="17">
        <f t="shared" si="2"/>
        <v>1.0270726613546044</v>
      </c>
      <c r="T46" s="18">
        <f t="shared" si="2"/>
        <v>1.0973877758052244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1335.836</v>
      </c>
      <c r="E47" s="13">
        <f>Reference!C117</f>
        <v>42.864600000000003</v>
      </c>
      <c r="F47" s="13">
        <f>Reference!D117</f>
        <v>48.684100000000001</v>
      </c>
      <c r="G47" s="13">
        <f>Reference!E117</f>
        <v>48.4651</v>
      </c>
      <c r="H47" s="13">
        <f>Reference!F117</f>
        <v>20112.892</v>
      </c>
      <c r="I47" s="13">
        <f>Reference!G117</f>
        <v>4.4829999999999997</v>
      </c>
      <c r="J47" s="14">
        <f>H47/3600</f>
        <v>5.5869144444444441</v>
      </c>
      <c r="L47" s="12">
        <f>Test!B117</f>
        <v>1321.2719999999999</v>
      </c>
      <c r="M47" s="13">
        <f>Test!C117</f>
        <v>42.871299999999998</v>
      </c>
      <c r="N47" s="13">
        <f>Test!D117</f>
        <v>48.833199999999998</v>
      </c>
      <c r="O47" s="13">
        <f>Test!E117</f>
        <v>48.4831</v>
      </c>
      <c r="P47" s="13">
        <f>Test!F117</f>
        <v>21149.31</v>
      </c>
      <c r="Q47" s="13">
        <f>Test!G117</f>
        <v>4.9610000000000003</v>
      </c>
      <c r="R47" s="14">
        <f>P47/3600</f>
        <v>5.8748083333333341</v>
      </c>
      <c r="S47" s="17">
        <f t="shared" ref="S47:T62" si="9">P47/H47</f>
        <v>1.0515300335724969</v>
      </c>
      <c r="T47" s="18">
        <f t="shared" si="9"/>
        <v>1.1066250278831142</v>
      </c>
      <c r="U47" s="91"/>
      <c r="V47" s="72">
        <f>bdrate($D47:$D50,E47:E50,$L47:$L50,M47:M50)</f>
        <v>-1.4788053946283686E-2</v>
      </c>
      <c r="W47" s="73">
        <f>bdrate($D47:$D50,F47:F50,$L47:$L50,N47:N50)</f>
        <v>-0.12063840462066944</v>
      </c>
      <c r="X47" s="74">
        <f>bdrate($D47:$D50,G47:G50,$L47:$L50,O47:O50)</f>
        <v>-4.6414321557554872E-2</v>
      </c>
      <c r="Y47" s="37">
        <f>bdrateOld($D47:$D50,E47:E50,$L47:$L50,M47:M50)</f>
        <v>-1.3833575802647435E-2</v>
      </c>
      <c r="Z47" s="42">
        <f>bdrateOld($D47:$D50,F47:F50,$L47:$L50,N47:N50)</f>
        <v>-0.1232941922514833</v>
      </c>
      <c r="AA47" s="43">
        <f>bdrateOld($D47:$D50,G47:G50,$L47:$L50,O47:O50)</f>
        <v>-3.9548292026512444E-2</v>
      </c>
    </row>
    <row r="48" spans="1:27" x14ac:dyDescent="0.2">
      <c r="A48" s="16"/>
      <c r="B48" s="85"/>
      <c r="C48" s="16">
        <v>32</v>
      </c>
      <c r="D48" s="17">
        <f>Reference!B118</f>
        <v>722.79200000000003</v>
      </c>
      <c r="E48" s="18">
        <f>Reference!C118</f>
        <v>41.596800000000002</v>
      </c>
      <c r="F48" s="18">
        <f>Reference!D118</f>
        <v>47.8688</v>
      </c>
      <c r="G48" s="18">
        <f>Reference!E118</f>
        <v>47.339599999999997</v>
      </c>
      <c r="H48" s="18">
        <f>Reference!F118</f>
        <v>11528</v>
      </c>
      <c r="I48" s="18">
        <f>Reference!G118</f>
        <v>4.2519999999999998</v>
      </c>
      <c r="J48" s="19">
        <f t="shared" ref="J48:J70" si="10">H48/3600</f>
        <v>3.2022222222222223</v>
      </c>
      <c r="L48" s="17">
        <f>Test!B118</f>
        <v>708.45600000000002</v>
      </c>
      <c r="M48" s="18">
        <f>Test!C118</f>
        <v>41.603000000000002</v>
      </c>
      <c r="N48" s="18">
        <f>Test!D118</f>
        <v>48.036700000000003</v>
      </c>
      <c r="O48" s="18">
        <f>Test!E118</f>
        <v>47.447899999999997</v>
      </c>
      <c r="P48" s="18">
        <f>Test!F118</f>
        <v>11928.617</v>
      </c>
      <c r="Q48" s="18">
        <f>Test!G118</f>
        <v>4.492</v>
      </c>
      <c r="R48" s="19">
        <f t="shared" ref="R48:R70" si="11">P48/3600</f>
        <v>3.3135047222222225</v>
      </c>
      <c r="S48" s="17">
        <f t="shared" si="9"/>
        <v>1.0347516481609993</v>
      </c>
      <c r="T48" s="18">
        <f t="shared" si="9"/>
        <v>1.0564440263405457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406.6</v>
      </c>
      <c r="E49" s="18">
        <f>Reference!C119</f>
        <v>39.722499999999997</v>
      </c>
      <c r="F49" s="18">
        <f>Reference!D119</f>
        <v>46.663899999999998</v>
      </c>
      <c r="G49" s="18">
        <f>Reference!E119</f>
        <v>45.861600000000003</v>
      </c>
      <c r="H49" s="18">
        <f>Reference!F119</f>
        <v>6654.3710000000001</v>
      </c>
      <c r="I49" s="18">
        <f>Reference!G119</f>
        <v>4.0140000000000002</v>
      </c>
      <c r="J49" s="19">
        <f t="shared" si="10"/>
        <v>1.8484363888888888</v>
      </c>
      <c r="L49" s="17">
        <f>Test!B119</f>
        <v>402.14400000000001</v>
      </c>
      <c r="M49" s="18">
        <f>Test!C119</f>
        <v>39.738199999999999</v>
      </c>
      <c r="N49" s="18">
        <f>Test!D119</f>
        <v>47.016800000000003</v>
      </c>
      <c r="O49" s="18">
        <f>Test!E119</f>
        <v>45.979799999999997</v>
      </c>
      <c r="P49" s="18">
        <f>Test!F119</f>
        <v>6853.585</v>
      </c>
      <c r="Q49" s="18">
        <f>Test!G119</f>
        <v>4.1820000000000004</v>
      </c>
      <c r="R49" s="19">
        <f t="shared" si="11"/>
        <v>1.9037736111111112</v>
      </c>
      <c r="S49" s="17">
        <f t="shared" si="9"/>
        <v>1.0299373148867113</v>
      </c>
      <c r="T49" s="18">
        <f t="shared" si="9"/>
        <v>1.0418535127055306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223.77199999999999</v>
      </c>
      <c r="E50" s="23">
        <f>Reference!C120</f>
        <v>37.011299999999999</v>
      </c>
      <c r="F50" s="23">
        <f>Reference!D120</f>
        <v>45.199399999999997</v>
      </c>
      <c r="G50" s="23">
        <f>Reference!E120</f>
        <v>43.265099999999997</v>
      </c>
      <c r="H50" s="23">
        <f>Reference!F120</f>
        <v>3855.2339999999999</v>
      </c>
      <c r="I50" s="23">
        <f>Reference!G120</f>
        <v>4.016</v>
      </c>
      <c r="J50" s="24">
        <f t="shared" si="10"/>
        <v>1.0708983333333333</v>
      </c>
      <c r="L50" s="22">
        <f>Test!B120</f>
        <v>222.96799999999999</v>
      </c>
      <c r="M50" s="23">
        <f>Test!C120</f>
        <v>37.013199999999998</v>
      </c>
      <c r="N50" s="23">
        <f>Test!D120</f>
        <v>45.243899999999996</v>
      </c>
      <c r="O50" s="23">
        <f>Test!E120</f>
        <v>43.4071</v>
      </c>
      <c r="P50" s="23">
        <f>Test!F120</f>
        <v>3942.87</v>
      </c>
      <c r="Q50" s="23">
        <f>Test!G120</f>
        <v>4.1079999999999997</v>
      </c>
      <c r="R50" s="24">
        <f t="shared" si="11"/>
        <v>1.0952416666666667</v>
      </c>
      <c r="S50" s="22">
        <f t="shared" si="9"/>
        <v>1.0227316941072837</v>
      </c>
      <c r="T50" s="23">
        <f t="shared" si="9"/>
        <v>1.0229083665338645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51.601711709343846</v>
      </c>
      <c r="J75" s="15">
        <f>GEOMEAN(J3:J18)</f>
        <v>52.126659511918596</v>
      </c>
      <c r="Q75" s="15">
        <f>GEOMEAN(Q3:Q18)</f>
        <v>53.813648730130893</v>
      </c>
      <c r="R75" s="15">
        <f>GEOMEAN(R3:R18)</f>
        <v>55.896060134619603</v>
      </c>
      <c r="S75" s="15">
        <f>GEOMEAN(S3:S18)</f>
        <v>1.0723123380242532</v>
      </c>
      <c r="T75" s="15">
        <f>GEOMEAN(T3:T18)</f>
        <v>1.0428655745616771</v>
      </c>
      <c r="V75" s="37">
        <f>AVERAGE(V3:V18)</f>
        <v>-6.8155980081310297E-3</v>
      </c>
      <c r="W75" s="42">
        <f t="shared" ref="W75:AA75" si="16">AVERAGE(W3:W18)</f>
        <v>-3.1900043746631274E-2</v>
      </c>
      <c r="X75" s="42">
        <f t="shared" si="16"/>
        <v>-3.2600125202023683E-2</v>
      </c>
      <c r="Y75" s="37">
        <f>AVERAGE(Y3:Y18)</f>
        <v>-6.6682283112416141E-3</v>
      </c>
      <c r="Z75" s="42">
        <f t="shared" si="16"/>
        <v>-3.2273112807000931E-2</v>
      </c>
      <c r="AA75" s="43">
        <f t="shared" si="16"/>
        <v>-3.2429702826705514E-2</v>
      </c>
    </row>
    <row r="76" spans="1:27" x14ac:dyDescent="0.2">
      <c r="B76" s="89" t="s">
        <v>47</v>
      </c>
      <c r="I76" s="15">
        <f>GEOMEAN(I19:I34)</f>
        <v>12.462200553749446</v>
      </c>
      <c r="J76" s="15">
        <f>GEOMEAN(J19:J34)</f>
        <v>12.560090642339469</v>
      </c>
      <c r="Q76" s="15">
        <f>GEOMEAN(Q19:Q34)</f>
        <v>13.579655925820473</v>
      </c>
      <c r="R76" s="15">
        <f>GEOMEAN(R19:R34)</f>
        <v>13.62724061361396</v>
      </c>
      <c r="S76" s="15">
        <f>GEOMEAN(S19:S34)</f>
        <v>1.0849635565269871</v>
      </c>
      <c r="T76" s="15">
        <f>GEOMEAN(T19:T34)</f>
        <v>1.0896675805570168</v>
      </c>
      <c r="V76" s="40">
        <f>AVERAGE(V19:V34)</f>
        <v>-1.2993286673650656E-2</v>
      </c>
      <c r="W76" s="44">
        <f t="shared" ref="W76:AA76" si="17">AVERAGE(W19:W34)</f>
        <v>-5.3318636059319829E-2</v>
      </c>
      <c r="X76" s="44">
        <f t="shared" si="17"/>
        <v>-6.3478797581855123E-2</v>
      </c>
      <c r="Y76" s="40">
        <f t="shared" si="17"/>
        <v>-1.3286216632136721E-2</v>
      </c>
      <c r="Z76" s="44">
        <f t="shared" si="17"/>
        <v>-5.3352418422256936E-2</v>
      </c>
      <c r="AA76" s="45">
        <f t="shared" si="17"/>
        <v>-6.3440306481084729E-2</v>
      </c>
    </row>
    <row r="77" spans="1:27" x14ac:dyDescent="0.2">
      <c r="B77" s="89" t="s">
        <v>51</v>
      </c>
      <c r="I77" s="15">
        <f>GEOMEAN(I35:I50)</f>
        <v>4.6334656803852639</v>
      </c>
      <c r="J77" s="15">
        <f>GEOMEAN(J35:J50)</f>
        <v>3.3037374469455578</v>
      </c>
      <c r="Q77" s="15">
        <f>GEOMEAN(Q35:Q50)</f>
        <v>5.0010786708098305</v>
      </c>
      <c r="R77" s="15">
        <f>GEOMEAN(R35:R50)</f>
        <v>3.4490150432830329</v>
      </c>
      <c r="S77" s="15">
        <f>GEOMEAN(S35:S50)</f>
        <v>1.0439737111893652</v>
      </c>
      <c r="T77" s="15">
        <f>GEOMEAN(T35:T50)</f>
        <v>1.0793386669465954</v>
      </c>
      <c r="V77" s="40">
        <f>AVERAGE(V35:V50)</f>
        <v>-7.2027622826905113E-3</v>
      </c>
      <c r="W77" s="44">
        <f t="shared" ref="W77:AA77" si="18">AVERAGE(W35:W50)</f>
        <v>-9.0665627168258184E-2</v>
      </c>
      <c r="X77" s="44">
        <f t="shared" si="18"/>
        <v>-5.9566910732882034E-2</v>
      </c>
      <c r="Y77" s="40">
        <f t="shared" si="18"/>
        <v>-6.9816650862099816E-3</v>
      </c>
      <c r="Z77" s="44">
        <f t="shared" si="18"/>
        <v>-9.0886154364430982E-2</v>
      </c>
      <c r="AA77" s="45">
        <f t="shared" si="18"/>
        <v>-5.7010101077318465E-2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14.389805756886775</v>
      </c>
      <c r="J80" s="54">
        <f xml:space="preserve"> GEOMEAN(J3:J50)</f>
        <v>12.932606534651359</v>
      </c>
      <c r="K80" s="4"/>
      <c r="L80" s="4"/>
      <c r="M80" s="4"/>
      <c r="N80" s="4"/>
      <c r="O80" s="4"/>
      <c r="P80" s="4"/>
      <c r="Q80" s="54">
        <f xml:space="preserve"> GEOMEAN(Q3:Q50)</f>
        <v>15.40334220835452</v>
      </c>
      <c r="R80" s="54">
        <f xml:space="preserve"> GEOMEAN(R3:R50)</f>
        <v>13.798379017980082</v>
      </c>
      <c r="S80" s="54">
        <f>GEOMEAN(S3:S50)</f>
        <v>1.0669449334137699</v>
      </c>
      <c r="T80" s="54">
        <f>GEOMEAN(T3:T50)</f>
        <v>1.0704343386277246</v>
      </c>
      <c r="U80" s="4"/>
      <c r="V80" s="41">
        <f>AVERAGE(V3:V50)</f>
        <v>-9.0038823214907329E-3</v>
      </c>
      <c r="W80" s="46">
        <f t="shared" ref="W80:AA80" si="22">AVERAGE(W3:W50)</f>
        <v>-5.8628102324736427E-2</v>
      </c>
      <c r="X80" s="47">
        <f t="shared" si="22"/>
        <v>-5.1881944505586947E-2</v>
      </c>
      <c r="Y80" s="46">
        <f t="shared" si="22"/>
        <v>-8.9787033431961063E-3</v>
      </c>
      <c r="Z80" s="46">
        <f t="shared" si="22"/>
        <v>-5.8837228531229614E-2</v>
      </c>
      <c r="AA80" s="47">
        <f t="shared" si="22"/>
        <v>-5.0960036795036238E-2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L3" sqref="L3:Q5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16962.056</v>
      </c>
      <c r="E3" s="13">
        <f>Reference!C145</f>
        <v>40.1526</v>
      </c>
      <c r="F3" s="13">
        <f>Reference!D145</f>
        <v>48.546700000000001</v>
      </c>
      <c r="G3" s="13">
        <f>Reference!E145</f>
        <v>46.405299999999997</v>
      </c>
      <c r="H3" s="13">
        <f>Reference!F145</f>
        <v>194105.18799999999</v>
      </c>
      <c r="I3" s="13">
        <f>Reference!G145</f>
        <v>33.133000000000003</v>
      </c>
      <c r="J3" s="14">
        <f>H3/3600</f>
        <v>53.918107777777777</v>
      </c>
      <c r="L3" s="12">
        <f>Test!B145</f>
        <v>16904.815999999999</v>
      </c>
      <c r="M3" s="13">
        <f>Test!C145</f>
        <v>40.155299999999997</v>
      </c>
      <c r="N3" s="13">
        <f>Test!D145</f>
        <v>48.611400000000003</v>
      </c>
      <c r="O3" s="13">
        <f>Test!E145</f>
        <v>46.481400000000001</v>
      </c>
      <c r="P3" s="13">
        <f>Test!F145</f>
        <v>207952.375</v>
      </c>
      <c r="Q3" s="13">
        <f>Test!G145</f>
        <v>34.122999999999998</v>
      </c>
      <c r="R3" s="14">
        <f>P3/3600</f>
        <v>57.76454861111111</v>
      </c>
      <c r="S3" s="12">
        <f t="shared" ref="S3:T3" si="0">P3/H3</f>
        <v>1.0713385723621154</v>
      </c>
      <c r="T3" s="13">
        <f t="shared" si="0"/>
        <v>1.029879576253282</v>
      </c>
      <c r="U3" s="90"/>
      <c r="V3" s="37">
        <f>bdrate($D3:$D6,E3:E6,$L3:$L6,M3:M6)</f>
        <v>-3.8053943204855445E-3</v>
      </c>
      <c r="W3" s="42">
        <f>bdrate($D3:$D6,F3:F6,$L3:$L6,N3:N6)</f>
        <v>-6.7094274090763739E-2</v>
      </c>
      <c r="X3" s="43">
        <f>bdrate($D3:$D6,G3:G6,$L3:$L6,O3:O6)</f>
        <v>-4.9854891081199337E-2</v>
      </c>
      <c r="Y3" s="37">
        <f>bdrateOld($D3:$D6,E3:E6,$L3:$L6,M3:M6)</f>
        <v>-3.253473694775022E-3</v>
      </c>
      <c r="Z3" s="42">
        <f>bdrateOld($D3:$D6,F3:F6,$L3:$L6,N3:N6)</f>
        <v>-6.5855954254202542E-2</v>
      </c>
      <c r="AA3" s="43">
        <f>bdrateOld($D3:$D6,G3:G6,$L3:$L6,O3:O6)</f>
        <v>-4.9325871587913461E-2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8526.1200000000008</v>
      </c>
      <c r="E4" s="18">
        <f>Reference!C146</f>
        <v>39.5364</v>
      </c>
      <c r="F4" s="18">
        <f>Reference!D146</f>
        <v>47.689100000000003</v>
      </c>
      <c r="G4" s="18">
        <f>Reference!E146</f>
        <v>45.265099999999997</v>
      </c>
      <c r="H4" s="18">
        <f>Reference!F146</f>
        <v>109730.211</v>
      </c>
      <c r="I4" s="18">
        <f>Reference!G146</f>
        <v>29.58</v>
      </c>
      <c r="J4" s="19">
        <f t="shared" ref="J4:J14" si="1">H4/3600</f>
        <v>30.480614166666665</v>
      </c>
      <c r="L4" s="17">
        <f>Test!B146</f>
        <v>8492.7999999999993</v>
      </c>
      <c r="M4" s="18">
        <f>Test!C146</f>
        <v>39.540900000000001</v>
      </c>
      <c r="N4" s="18">
        <f>Test!D146</f>
        <v>47.799700000000001</v>
      </c>
      <c r="O4" s="18">
        <f>Test!E146</f>
        <v>45.3703</v>
      </c>
      <c r="P4" s="18">
        <f>Test!F146</f>
        <v>119234.17200000001</v>
      </c>
      <c r="Q4" s="18">
        <f>Test!G146</f>
        <v>31.498000000000001</v>
      </c>
      <c r="R4" s="19">
        <f t="shared" ref="R4:R14" si="2">P4/3600</f>
        <v>33.120603333333335</v>
      </c>
      <c r="S4" s="17">
        <f t="shared" ref="S4:S26" si="3">P4/H4</f>
        <v>1.0866120725859172</v>
      </c>
      <c r="T4" s="18">
        <f t="shared" ref="T4:T26" si="4">Q4/I4</f>
        <v>1.0648411088573362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4641.3760000000002</v>
      </c>
      <c r="E5" s="18">
        <f>Reference!C147</f>
        <v>38.535899999999998</v>
      </c>
      <c r="F5" s="18">
        <f>Reference!D147</f>
        <v>46.508099999999999</v>
      </c>
      <c r="G5" s="18">
        <f>Reference!E147</f>
        <v>43.863199999999999</v>
      </c>
      <c r="H5" s="18">
        <f>Reference!F147</f>
        <v>58841.938000000002</v>
      </c>
      <c r="I5" s="18">
        <f>Reference!G147</f>
        <v>26.038</v>
      </c>
      <c r="J5" s="19">
        <f t="shared" si="1"/>
        <v>16.34498277777778</v>
      </c>
      <c r="L5" s="17">
        <f>Test!B147</f>
        <v>4640.12</v>
      </c>
      <c r="M5" s="18">
        <f>Test!C147</f>
        <v>38.539499999999997</v>
      </c>
      <c r="N5" s="18">
        <f>Test!D147</f>
        <v>46.646099999999997</v>
      </c>
      <c r="O5" s="18">
        <f>Test!E147</f>
        <v>43.985199999999999</v>
      </c>
      <c r="P5" s="18">
        <f>Test!F147</f>
        <v>61269.800999999999</v>
      </c>
      <c r="Q5" s="18">
        <f>Test!G147</f>
        <v>26.885000000000002</v>
      </c>
      <c r="R5" s="19">
        <f t="shared" si="2"/>
        <v>17.019389166666667</v>
      </c>
      <c r="S5" s="17">
        <f t="shared" si="3"/>
        <v>1.0412607586106357</v>
      </c>
      <c r="T5" s="18">
        <f t="shared" si="4"/>
        <v>1.0325293801367232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2524.3679999999999</v>
      </c>
      <c r="E6" s="23">
        <f>Reference!C148</f>
        <v>36.977899999999998</v>
      </c>
      <c r="F6" s="23">
        <f>Reference!D148</f>
        <v>45.150399999999998</v>
      </c>
      <c r="G6" s="23">
        <f>Reference!E148</f>
        <v>42.247599999999998</v>
      </c>
      <c r="H6" s="23">
        <f>Reference!F148</f>
        <v>30970.300999999999</v>
      </c>
      <c r="I6" s="23">
        <f>Reference!G148</f>
        <v>23.023</v>
      </c>
      <c r="J6" s="24">
        <f t="shared" si="1"/>
        <v>8.6028613888888881</v>
      </c>
      <c r="L6" s="22">
        <f>Test!B148</f>
        <v>2523.1759999999999</v>
      </c>
      <c r="M6" s="23">
        <f>Test!C148</f>
        <v>36.985500000000002</v>
      </c>
      <c r="N6" s="23">
        <f>Test!D148</f>
        <v>45.305999999999997</v>
      </c>
      <c r="O6" s="23">
        <f>Test!E148</f>
        <v>42.353000000000002</v>
      </c>
      <c r="P6" s="23">
        <f>Test!F148</f>
        <v>32470.958999999999</v>
      </c>
      <c r="Q6" s="23">
        <f>Test!G148</f>
        <v>24.599</v>
      </c>
      <c r="R6" s="24">
        <f t="shared" si="2"/>
        <v>9.0197108333333329</v>
      </c>
      <c r="S6" s="17">
        <f t="shared" si="3"/>
        <v>1.0484547437882505</v>
      </c>
      <c r="T6" s="18">
        <f t="shared" si="4"/>
        <v>1.0684532858445903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93753.928</v>
      </c>
      <c r="E7" s="13">
        <f>Reference!C149</f>
        <v>41.677399999999999</v>
      </c>
      <c r="F7" s="13">
        <f>Reference!D149</f>
        <v>36.462400000000002</v>
      </c>
      <c r="G7" s="13">
        <f>Reference!E149</f>
        <v>37.464199999999998</v>
      </c>
      <c r="H7" s="13">
        <f>Reference!F149</f>
        <v>340892.93800000002</v>
      </c>
      <c r="I7" s="13">
        <f>Reference!G149</f>
        <v>33.561999999999998</v>
      </c>
      <c r="J7" s="14">
        <f t="shared" si="1"/>
        <v>94.692482777777784</v>
      </c>
      <c r="L7" s="12">
        <f>Test!B149</f>
        <v>93106.376000000004</v>
      </c>
      <c r="M7" s="13">
        <f>Test!C149</f>
        <v>41.7027</v>
      </c>
      <c r="N7" s="13">
        <f>Test!D149</f>
        <v>36.487900000000003</v>
      </c>
      <c r="O7" s="13">
        <f>Test!E149</f>
        <v>37.486899999999999</v>
      </c>
      <c r="P7" s="13">
        <f>Test!F149</f>
        <v>391366.06199999998</v>
      </c>
      <c r="Q7" s="13">
        <f>Test!G149</f>
        <v>35.554000000000002</v>
      </c>
      <c r="R7" s="14">
        <f t="shared" si="2"/>
        <v>108.712795</v>
      </c>
      <c r="S7" s="17">
        <f t="shared" si="3"/>
        <v>1.1480615124975102</v>
      </c>
      <c r="T7" s="18">
        <f t="shared" si="4"/>
        <v>1.0593528395208869</v>
      </c>
      <c r="U7" s="91"/>
      <c r="V7" s="37">
        <f>bdrate($D7:$D10,E7:E10,$L7:$L10,M7:M10)</f>
        <v>-1.0279029382391114E-2</v>
      </c>
      <c r="W7" s="42">
        <f>bdrate($D7:$D10,F7:F10,$L7:$L10,N7:N10)</f>
        <v>-2.1847782767599799E-2</v>
      </c>
      <c r="X7" s="43">
        <f>bdrate($D7:$D10,G7:G10,$L7:$L10,O7:O10)</f>
        <v>-1.8212737588127581E-2</v>
      </c>
      <c r="Y7" s="37">
        <f>bdrateOld($D7:$D10,E7:E10,$L7:$L10,M7:M10)</f>
        <v>-1.0273496308646046E-2</v>
      </c>
      <c r="Z7" s="42">
        <f>bdrateOld($D7:$D10,F7:F10,$L7:$L10,N7:N10)</f>
        <v>-2.183258900878049E-2</v>
      </c>
      <c r="AA7" s="43">
        <f>bdrateOld($D7:$D10,G7:G10,$L7:$L10,O7:O10)</f>
        <v>-1.7920684653085384E-2</v>
      </c>
    </row>
    <row r="8" spans="1:27" x14ac:dyDescent="0.2">
      <c r="A8" s="16"/>
      <c r="B8" s="85"/>
      <c r="C8" s="16">
        <v>48</v>
      </c>
      <c r="D8" s="17">
        <f>Reference!B150</f>
        <v>47974.103999999999</v>
      </c>
      <c r="E8" s="18">
        <f>Reference!C150</f>
        <v>38.897399999999998</v>
      </c>
      <c r="F8" s="18">
        <f>Reference!D150</f>
        <v>34.1419</v>
      </c>
      <c r="G8" s="18">
        <f>Reference!E150</f>
        <v>35.4773</v>
      </c>
      <c r="H8" s="18">
        <f>Reference!F150</f>
        <v>230847.18799999999</v>
      </c>
      <c r="I8" s="18">
        <f>Reference!G150</f>
        <v>29.513000000000002</v>
      </c>
      <c r="J8" s="19">
        <f t="shared" si="1"/>
        <v>64.12421888888889</v>
      </c>
      <c r="L8" s="17">
        <f>Test!B150</f>
        <v>47681.552000000003</v>
      </c>
      <c r="M8" s="18">
        <f>Test!C150</f>
        <v>38.9208</v>
      </c>
      <c r="N8" s="18">
        <f>Test!D150</f>
        <v>34.177500000000002</v>
      </c>
      <c r="O8" s="18">
        <f>Test!E150</f>
        <v>35.506700000000002</v>
      </c>
      <c r="P8" s="18">
        <f>Test!F150</f>
        <v>252222.484</v>
      </c>
      <c r="Q8" s="18">
        <f>Test!G150</f>
        <v>30.202000000000002</v>
      </c>
      <c r="R8" s="19">
        <f t="shared" si="2"/>
        <v>70.061801111111109</v>
      </c>
      <c r="S8" s="17">
        <f t="shared" si="3"/>
        <v>1.0925950027166889</v>
      </c>
      <c r="T8" s="18">
        <f t="shared" si="4"/>
        <v>1.0233456442923456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22203.944</v>
      </c>
      <c r="E9" s="18">
        <f>Reference!C151</f>
        <v>35.798699999999997</v>
      </c>
      <c r="F9" s="18">
        <f>Reference!D151</f>
        <v>32.199399999999997</v>
      </c>
      <c r="G9" s="18">
        <f>Reference!E151</f>
        <v>33.762900000000002</v>
      </c>
      <c r="H9" s="18">
        <f>Reference!F151</f>
        <v>149234.54699999999</v>
      </c>
      <c r="I9" s="18">
        <f>Reference!G151</f>
        <v>26.08</v>
      </c>
      <c r="J9" s="19">
        <f t="shared" si="1"/>
        <v>41.45404083333333</v>
      </c>
      <c r="L9" s="17">
        <f>Test!B151</f>
        <v>22093.088</v>
      </c>
      <c r="M9" s="18">
        <f>Test!C151</f>
        <v>35.815199999999997</v>
      </c>
      <c r="N9" s="18">
        <f>Test!D151</f>
        <v>32.246699999999997</v>
      </c>
      <c r="O9" s="18">
        <f>Test!E151</f>
        <v>33.798400000000001</v>
      </c>
      <c r="P9" s="18">
        <f>Test!F151</f>
        <v>162075.17199999999</v>
      </c>
      <c r="Q9" s="18">
        <f>Test!G151</f>
        <v>27.492999999999999</v>
      </c>
      <c r="R9" s="19">
        <f t="shared" si="2"/>
        <v>45.020881111111109</v>
      </c>
      <c r="S9" s="17">
        <f t="shared" si="3"/>
        <v>1.0860432470773673</v>
      </c>
      <c r="T9" s="18">
        <f t="shared" si="4"/>
        <v>1.0541794478527609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9317.1679999999997</v>
      </c>
      <c r="E10" s="23">
        <f>Reference!C152</f>
        <v>32.770200000000003</v>
      </c>
      <c r="F10" s="23">
        <f>Reference!D152</f>
        <v>30.515000000000001</v>
      </c>
      <c r="G10" s="23">
        <f>Reference!E152</f>
        <v>32.304499999999997</v>
      </c>
      <c r="H10" s="23">
        <f>Reference!F152</f>
        <v>85645.491999999998</v>
      </c>
      <c r="I10" s="23">
        <f>Reference!G152</f>
        <v>22.687000000000001</v>
      </c>
      <c r="J10" s="24">
        <f t="shared" si="1"/>
        <v>23.790414444444444</v>
      </c>
      <c r="L10" s="22">
        <f>Test!B152</f>
        <v>9291.6640000000007</v>
      </c>
      <c r="M10" s="23">
        <f>Test!C152</f>
        <v>32.783200000000001</v>
      </c>
      <c r="N10" s="23">
        <f>Test!D152</f>
        <v>30.573899999999998</v>
      </c>
      <c r="O10" s="23">
        <f>Test!E152</f>
        <v>32.3187</v>
      </c>
      <c r="P10" s="23">
        <f>Test!F152</f>
        <v>89991.414000000004</v>
      </c>
      <c r="Q10" s="23">
        <f>Test!G152</f>
        <v>23.690999999999999</v>
      </c>
      <c r="R10" s="24">
        <f t="shared" si="2"/>
        <v>24.997615</v>
      </c>
      <c r="S10" s="17">
        <f t="shared" si="3"/>
        <v>1.0507431494467918</v>
      </c>
      <c r="T10" s="18">
        <f t="shared" si="4"/>
        <v>1.044254418830167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47071.28</v>
      </c>
      <c r="E11" s="13">
        <f>Reference!C153</f>
        <v>38.899299999999997</v>
      </c>
      <c r="F11" s="13">
        <f>Reference!D153</f>
        <v>40.985399999999998</v>
      </c>
      <c r="G11" s="13">
        <f>Reference!E153</f>
        <v>41.255499999999998</v>
      </c>
      <c r="H11" s="13">
        <f>Reference!F153</f>
        <v>185530.625</v>
      </c>
      <c r="I11" s="13">
        <f>Reference!G153</f>
        <v>18.876000000000001</v>
      </c>
      <c r="J11" s="14">
        <f t="shared" si="1"/>
        <v>51.53628472222222</v>
      </c>
      <c r="L11" s="12">
        <f>Test!B153</f>
        <v>46999.207999999999</v>
      </c>
      <c r="M11" s="13">
        <f>Test!C153</f>
        <v>38.908999999999999</v>
      </c>
      <c r="N11" s="13">
        <f>Test!D153</f>
        <v>41.106400000000001</v>
      </c>
      <c r="O11" s="13">
        <f>Test!E153</f>
        <v>41.318300000000001</v>
      </c>
      <c r="P11" s="13">
        <f>Test!F153</f>
        <v>210236.21900000001</v>
      </c>
      <c r="Q11" s="13">
        <f>Test!G153</f>
        <v>20.093</v>
      </c>
      <c r="R11" s="14">
        <f t="shared" si="2"/>
        <v>58.398949722222227</v>
      </c>
      <c r="S11" s="17">
        <f t="shared" si="3"/>
        <v>1.1331618108870167</v>
      </c>
      <c r="T11" s="18">
        <f t="shared" si="4"/>
        <v>1.0644734053824962</v>
      </c>
      <c r="U11" s="91"/>
      <c r="V11" s="37">
        <f>bdrate($D11:$D14,E11:E14,$L11:$L14,M11:M14)</f>
        <v>-4.1255538053973639E-3</v>
      </c>
      <c r="W11" s="42">
        <f>bdrate($D11:$D14,F11:F14,$L11:$L14,N11:N14)</f>
        <v>-1.987743897513039E-2</v>
      </c>
      <c r="X11" s="43">
        <f>bdrate($D11:$D14,G11:G14,$L11:$L14,O11:O14)</f>
        <v>-3.8084711019238493E-2</v>
      </c>
      <c r="Y11" s="37">
        <f>bdrateOld($D11:$D14,E11:E14,$L11:$L14,M11:M14)</f>
        <v>-4.1983208731886101E-3</v>
      </c>
      <c r="Z11" s="42">
        <f>bdrateOld($D11:$D14,F11:F14,$L11:$L14,N11:N14)</f>
        <v>-1.9886432021738232E-2</v>
      </c>
      <c r="AA11" s="43">
        <f>bdrateOld($D11:$D14,G11:G14,$L11:$L14,O11:O14)</f>
        <v>-3.8288184683727855E-2</v>
      </c>
    </row>
    <row r="12" spans="1:27" x14ac:dyDescent="0.2">
      <c r="A12" s="34"/>
      <c r="B12" s="83"/>
      <c r="C12" s="16">
        <v>48</v>
      </c>
      <c r="D12" s="17">
        <f>Reference!B154</f>
        <v>23179.16</v>
      </c>
      <c r="E12" s="18">
        <f>Reference!C154</f>
        <v>37.520699999999998</v>
      </c>
      <c r="F12" s="18">
        <f>Reference!D154</f>
        <v>38.4985</v>
      </c>
      <c r="G12" s="18">
        <f>Reference!E154</f>
        <v>39.794699999999999</v>
      </c>
      <c r="H12" s="18">
        <f>Reference!F154</f>
        <v>111533.125</v>
      </c>
      <c r="I12" s="18">
        <f>Reference!G154</f>
        <v>16.571999999999999</v>
      </c>
      <c r="J12" s="19">
        <f t="shared" si="1"/>
        <v>30.981423611111111</v>
      </c>
      <c r="L12" s="17">
        <f>Test!B154</f>
        <v>23158.720000000001</v>
      </c>
      <c r="M12" s="18">
        <f>Test!C154</f>
        <v>37.528300000000002</v>
      </c>
      <c r="N12" s="18">
        <f>Test!D154</f>
        <v>38.581800000000001</v>
      </c>
      <c r="O12" s="18">
        <f>Test!E154</f>
        <v>39.865400000000001</v>
      </c>
      <c r="P12" s="18">
        <f>Test!F154</f>
        <v>122282.156</v>
      </c>
      <c r="Q12" s="18">
        <f>Test!G154</f>
        <v>17.251999999999999</v>
      </c>
      <c r="R12" s="19">
        <f t="shared" si="2"/>
        <v>33.967265555555556</v>
      </c>
      <c r="S12" s="17">
        <f t="shared" si="3"/>
        <v>1.0963752338150661</v>
      </c>
      <c r="T12" s="18">
        <f t="shared" si="4"/>
        <v>1.0410330678252473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12057.768</v>
      </c>
      <c r="E13" s="18">
        <f>Reference!C155</f>
        <v>35.950400000000002</v>
      </c>
      <c r="F13" s="18">
        <f>Reference!D155</f>
        <v>36.339700000000001</v>
      </c>
      <c r="G13" s="18">
        <f>Reference!E155</f>
        <v>38.344000000000001</v>
      </c>
      <c r="H13" s="18">
        <f>Reference!F155</f>
        <v>70395.366999999998</v>
      </c>
      <c r="I13" s="18">
        <f>Reference!G155</f>
        <v>14.884</v>
      </c>
      <c r="J13" s="19">
        <f t="shared" si="1"/>
        <v>19.554268611111112</v>
      </c>
      <c r="L13" s="17">
        <f>Test!B155</f>
        <v>12056.976000000001</v>
      </c>
      <c r="M13" s="18">
        <f>Test!C155</f>
        <v>35.9621</v>
      </c>
      <c r="N13" s="18">
        <f>Test!D155</f>
        <v>36.381300000000003</v>
      </c>
      <c r="O13" s="18">
        <f>Test!E155</f>
        <v>38.446100000000001</v>
      </c>
      <c r="P13" s="18">
        <f>Test!F155</f>
        <v>77638.827999999994</v>
      </c>
      <c r="Q13" s="18">
        <f>Test!G155</f>
        <v>15.471</v>
      </c>
      <c r="R13" s="19">
        <f t="shared" si="2"/>
        <v>21.566341111111111</v>
      </c>
      <c r="S13" s="17">
        <f t="shared" si="3"/>
        <v>1.1028968426288621</v>
      </c>
      <c r="T13" s="18">
        <f t="shared" si="4"/>
        <v>1.0394383230314432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5904.152</v>
      </c>
      <c r="E14" s="23">
        <f>Reference!C156</f>
        <v>34.029299999999999</v>
      </c>
      <c r="F14" s="23">
        <f>Reference!D156</f>
        <v>33.937100000000001</v>
      </c>
      <c r="G14" s="23">
        <f>Reference!E156</f>
        <v>36.658499999999997</v>
      </c>
      <c r="H14" s="23">
        <f>Reference!F156</f>
        <v>42651.464999999997</v>
      </c>
      <c r="I14" s="23">
        <f>Reference!G156</f>
        <v>13.635999999999999</v>
      </c>
      <c r="J14" s="24">
        <f t="shared" si="1"/>
        <v>11.847629166666666</v>
      </c>
      <c r="L14" s="22">
        <f>Test!B156</f>
        <v>5904.7120000000004</v>
      </c>
      <c r="M14" s="23">
        <f>Test!C156</f>
        <v>34.030099999999997</v>
      </c>
      <c r="N14" s="23">
        <f>Test!D156</f>
        <v>33.9771</v>
      </c>
      <c r="O14" s="23">
        <f>Test!E156</f>
        <v>36.7517</v>
      </c>
      <c r="P14" s="23">
        <f>Test!F156</f>
        <v>45484.125</v>
      </c>
      <c r="Q14" s="23">
        <f>Test!G156</f>
        <v>14.717000000000001</v>
      </c>
      <c r="R14" s="24">
        <f t="shared" si="2"/>
        <v>12.634479166666667</v>
      </c>
      <c r="S14" s="17">
        <f t="shared" si="3"/>
        <v>1.0664141313786057</v>
      </c>
      <c r="T14" s="18">
        <f t="shared" si="4"/>
        <v>1.0792754473452626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24487.712</v>
      </c>
      <c r="E15" s="13">
        <f>Reference!C157</f>
        <v>37.518500000000003</v>
      </c>
      <c r="F15" s="13">
        <f>Reference!D157</f>
        <v>44.781999999999996</v>
      </c>
      <c r="G15" s="13">
        <f>Reference!E157</f>
        <v>42.488700000000001</v>
      </c>
      <c r="H15" s="13">
        <f>Reference!F157</f>
        <v>275392.53100000002</v>
      </c>
      <c r="I15" s="13">
        <f>Reference!G157</f>
        <v>30.92</v>
      </c>
      <c r="J15" s="14">
        <f>H15/3600</f>
        <v>76.497925277777782</v>
      </c>
      <c r="L15" s="12">
        <f>Test!B157</f>
        <v>24521.856</v>
      </c>
      <c r="M15" s="13">
        <f>Test!C157</f>
        <v>37.524700000000003</v>
      </c>
      <c r="N15" s="13">
        <f>Test!D157</f>
        <v>44.832700000000003</v>
      </c>
      <c r="O15" s="13">
        <f>Test!E157</f>
        <v>42.493299999999998</v>
      </c>
      <c r="P15" s="13">
        <f>Test!F157</f>
        <v>301329.84399999998</v>
      </c>
      <c r="Q15" s="13">
        <f>Test!G157</f>
        <v>33.204999999999998</v>
      </c>
      <c r="R15" s="14">
        <f>P15/3600</f>
        <v>83.702734444444445</v>
      </c>
      <c r="S15" s="17">
        <f t="shared" si="3"/>
        <v>1.0941830662793102</v>
      </c>
      <c r="T15" s="18">
        <f t="shared" si="4"/>
        <v>1.0739003880983182</v>
      </c>
      <c r="U15" s="91"/>
      <c r="V15" s="37">
        <f>bdrate($D15:$D18,E15:E18,$L15:$L18,M15:M18)</f>
        <v>-4.0865069020891154E-3</v>
      </c>
      <c r="W15" s="42">
        <f>bdrate($D15:$D18,F15:F18,$L15:$L18,N15:N18)</f>
        <v>-6.2751422373767851E-2</v>
      </c>
      <c r="X15" s="43">
        <f>bdrate($D15:$D18,G15:G18,$L15:$L18,O15:O18)</f>
        <v>-2.2836259751282229E-2</v>
      </c>
      <c r="Y15" s="37">
        <f>bdrateOld($D15:$D18,E15:E18,$L15:$L18,M15:M18)</f>
        <v>-4.2171104086974331E-3</v>
      </c>
      <c r="Z15" s="42">
        <f>bdrateOld($D15:$D18,F15:F18,$L15:$L18,N15:N18)</f>
        <v>-6.2556028309631806E-2</v>
      </c>
      <c r="AA15" s="43">
        <f>bdrateOld($D15:$D18,G15:G18,$L15:$L18,O15:O18)</f>
        <v>-2.2798592987973376E-2</v>
      </c>
    </row>
    <row r="16" spans="1:27" x14ac:dyDescent="0.2">
      <c r="A16" s="16"/>
      <c r="B16" s="85"/>
      <c r="C16" s="16">
        <v>48</v>
      </c>
      <c r="D16" s="17">
        <f>Reference!B158</f>
        <v>10405.656000000001</v>
      </c>
      <c r="E16" s="18">
        <f>Reference!C158</f>
        <v>36.878599999999999</v>
      </c>
      <c r="F16" s="18">
        <f>Reference!D158</f>
        <v>44.049799999999998</v>
      </c>
      <c r="G16" s="18">
        <f>Reference!E158</f>
        <v>41.69</v>
      </c>
      <c r="H16" s="18">
        <f>Reference!F158</f>
        <v>147130.09400000001</v>
      </c>
      <c r="I16" s="18">
        <f>Reference!G158</f>
        <v>25.937999999999999</v>
      </c>
      <c r="J16" s="19">
        <f t="shared" ref="J16:J26" si="5">H16/3600</f>
        <v>40.869470555555559</v>
      </c>
      <c r="L16" s="17">
        <f>Test!B158</f>
        <v>10381.912</v>
      </c>
      <c r="M16" s="18">
        <f>Test!C158</f>
        <v>36.881999999999998</v>
      </c>
      <c r="N16" s="18">
        <f>Test!D158</f>
        <v>44.121200000000002</v>
      </c>
      <c r="O16" s="18">
        <f>Test!E158</f>
        <v>41.706299999999999</v>
      </c>
      <c r="P16" s="18">
        <f>Test!F158</f>
        <v>153359.40599999999</v>
      </c>
      <c r="Q16" s="18">
        <f>Test!G158</f>
        <v>27.273</v>
      </c>
      <c r="R16" s="19">
        <f t="shared" ref="R16:R26" si="6">P16/3600</f>
        <v>42.599834999999999</v>
      </c>
      <c r="S16" s="17">
        <f t="shared" si="3"/>
        <v>1.0423388025565998</v>
      </c>
      <c r="T16" s="18">
        <f t="shared" si="4"/>
        <v>1.0514688873467499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5216.5839999999998</v>
      </c>
      <c r="E17" s="18">
        <f>Reference!C159</f>
        <v>35.854500000000002</v>
      </c>
      <c r="F17" s="18">
        <f>Reference!D159</f>
        <v>43.015000000000001</v>
      </c>
      <c r="G17" s="18">
        <f>Reference!E159</f>
        <v>40.587499999999999</v>
      </c>
      <c r="H17" s="18">
        <f>Reference!F159</f>
        <v>79749.766000000003</v>
      </c>
      <c r="I17" s="18">
        <f>Reference!G159</f>
        <v>22.172000000000001</v>
      </c>
      <c r="J17" s="19">
        <f t="shared" si="5"/>
        <v>22.152712777777779</v>
      </c>
      <c r="L17" s="17">
        <f>Test!B159</f>
        <v>5213.12</v>
      </c>
      <c r="M17" s="18">
        <f>Test!C159</f>
        <v>35.859200000000001</v>
      </c>
      <c r="N17" s="18">
        <f>Test!D159</f>
        <v>43.110900000000001</v>
      </c>
      <c r="O17" s="18">
        <f>Test!E159</f>
        <v>40.633299999999998</v>
      </c>
      <c r="P17" s="18">
        <f>Test!F159</f>
        <v>82811.233999999997</v>
      </c>
      <c r="Q17" s="18">
        <f>Test!G159</f>
        <v>23.245000000000001</v>
      </c>
      <c r="R17" s="19">
        <f t="shared" si="6"/>
        <v>23.003120555555554</v>
      </c>
      <c r="S17" s="17">
        <f t="shared" si="3"/>
        <v>1.0383884261177643</v>
      </c>
      <c r="T17" s="18">
        <f t="shared" si="4"/>
        <v>1.0483943712790909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2593.232</v>
      </c>
      <c r="E18" s="23">
        <f>Reference!C160</f>
        <v>34.264600000000002</v>
      </c>
      <c r="F18" s="23">
        <f>Reference!D160</f>
        <v>41.6995</v>
      </c>
      <c r="G18" s="23">
        <f>Reference!E160</f>
        <v>39.395099999999999</v>
      </c>
      <c r="H18" s="23">
        <f>Reference!F160</f>
        <v>39864.828000000001</v>
      </c>
      <c r="I18" s="23">
        <f>Reference!G160</f>
        <v>17.759</v>
      </c>
      <c r="J18" s="24">
        <f t="shared" si="5"/>
        <v>11.073563333333334</v>
      </c>
      <c r="L18" s="22">
        <f>Test!B160</f>
        <v>2592.6080000000002</v>
      </c>
      <c r="M18" s="23">
        <f>Test!C160</f>
        <v>34.271999999999998</v>
      </c>
      <c r="N18" s="23">
        <f>Test!D160</f>
        <v>41.859699999999997</v>
      </c>
      <c r="O18" s="23">
        <f>Test!E160</f>
        <v>39.459699999999998</v>
      </c>
      <c r="P18" s="23">
        <f>Test!F160</f>
        <v>42642.218999999997</v>
      </c>
      <c r="Q18" s="23">
        <f>Test!G160</f>
        <v>18.89</v>
      </c>
      <c r="R18" s="24">
        <f t="shared" si="6"/>
        <v>11.845060833333333</v>
      </c>
      <c r="S18" s="17">
        <f t="shared" si="3"/>
        <v>1.0696702115458769</v>
      </c>
      <c r="T18" s="18">
        <f t="shared" si="4"/>
        <v>1.0636860183568895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8260.9887999999992</v>
      </c>
      <c r="E19" s="13">
        <f>Reference!C161</f>
        <v>37.964599999999997</v>
      </c>
      <c r="F19" s="13">
        <f>Reference!D161</f>
        <v>39.546799999999998</v>
      </c>
      <c r="G19" s="13">
        <f>Reference!E161</f>
        <v>42.538400000000003</v>
      </c>
      <c r="H19" s="13">
        <f>Reference!F161</f>
        <v>313644.93800000002</v>
      </c>
      <c r="I19" s="13">
        <f>Reference!G161</f>
        <v>26.984999999999999</v>
      </c>
      <c r="J19" s="14">
        <f t="shared" si="5"/>
        <v>87.123593888888891</v>
      </c>
      <c r="L19" s="12">
        <f>Test!B161</f>
        <v>8098.4351999999999</v>
      </c>
      <c r="M19" s="13">
        <f>Test!C161</f>
        <v>37.986800000000002</v>
      </c>
      <c r="N19" s="13">
        <f>Test!D161</f>
        <v>39.609499999999997</v>
      </c>
      <c r="O19" s="13">
        <f>Test!E161</f>
        <v>42.655799999999999</v>
      </c>
      <c r="P19" s="13">
        <f>Test!F161</f>
        <v>345088.81199999998</v>
      </c>
      <c r="Q19" s="13">
        <f>Test!G161</f>
        <v>28.481999999999999</v>
      </c>
      <c r="R19" s="14">
        <f t="shared" si="6"/>
        <v>95.858003333333329</v>
      </c>
      <c r="S19" s="12">
        <f t="shared" si="3"/>
        <v>1.1002530893707583</v>
      </c>
      <c r="T19" s="13">
        <f t="shared" si="4"/>
        <v>1.0554752640355753</v>
      </c>
      <c r="U19" s="90"/>
      <c r="V19" s="37">
        <f>bdrate($D19:$D22,E19:E22,$L19:$L22,M19:M22)</f>
        <v>-2.2616046276433655E-2</v>
      </c>
      <c r="W19" s="42">
        <f>bdrate($D19:$D22,F19:F22,$L19:$L22,N19:N22)</f>
        <v>-9.6626668653017056E-2</v>
      </c>
      <c r="X19" s="43">
        <f>bdrate($D19:$D22,G19:G22,$L19:$L22,O19:O22)</f>
        <v>-6.8287935669765099E-2</v>
      </c>
      <c r="Y19" s="37">
        <f>bdrateOld($D19:$D22,E19:E22,$L19:$L22,M19:M22)</f>
        <v>-2.2502078101380607E-2</v>
      </c>
      <c r="Z19" s="42">
        <f>bdrateOld($D19:$D22,F19:F22,$L19:$L22,N19:N22)</f>
        <v>-9.5669027133269191E-2</v>
      </c>
      <c r="AA19" s="43">
        <f>bdrateOld($D19:$D22,G19:G22,$L19:$L22,O19:O22)</f>
        <v>-6.8360520168499583E-2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3912.7775999999999</v>
      </c>
      <c r="E20" s="18">
        <f>Reference!C162</f>
        <v>36.605899999999998</v>
      </c>
      <c r="F20" s="18">
        <f>Reference!D162</f>
        <v>38.846899999999998</v>
      </c>
      <c r="G20" s="18">
        <f>Reference!E162</f>
        <v>41.328200000000002</v>
      </c>
      <c r="H20" s="18">
        <f>Reference!F162</f>
        <v>188419.125</v>
      </c>
      <c r="I20" s="18">
        <f>Reference!G162</f>
        <v>22.36</v>
      </c>
      <c r="J20" s="19">
        <f t="shared" si="5"/>
        <v>52.338645833333331</v>
      </c>
      <c r="L20" s="17">
        <f>Test!B162</f>
        <v>3857.24</v>
      </c>
      <c r="M20" s="18">
        <f>Test!C162</f>
        <v>36.638599999999997</v>
      </c>
      <c r="N20" s="18">
        <f>Test!D162</f>
        <v>38.949399999999997</v>
      </c>
      <c r="O20" s="18">
        <f>Test!E162</f>
        <v>41.442</v>
      </c>
      <c r="P20" s="18">
        <f>Test!F162</f>
        <v>209651.891</v>
      </c>
      <c r="Q20" s="18">
        <f>Test!G162</f>
        <v>24.66</v>
      </c>
      <c r="R20" s="19">
        <f t="shared" si="6"/>
        <v>58.23663638888889</v>
      </c>
      <c r="S20" s="17">
        <f t="shared" si="3"/>
        <v>1.1126890171048189</v>
      </c>
      <c r="T20" s="18">
        <f t="shared" si="4"/>
        <v>1.1028622540250448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1920.8416</v>
      </c>
      <c r="E21" s="18">
        <f>Reference!C163</f>
        <v>34.773699999999998</v>
      </c>
      <c r="F21" s="18">
        <f>Reference!D163</f>
        <v>37.941600000000001</v>
      </c>
      <c r="G21" s="18">
        <f>Reference!E163</f>
        <v>39.782899999999998</v>
      </c>
      <c r="H21" s="18">
        <f>Reference!F163</f>
        <v>112512.70299999999</v>
      </c>
      <c r="I21" s="18">
        <f>Reference!G163</f>
        <v>19.622</v>
      </c>
      <c r="J21" s="19">
        <f t="shared" si="5"/>
        <v>31.253528611111108</v>
      </c>
      <c r="L21" s="17">
        <f>Test!B163</f>
        <v>1893.7472</v>
      </c>
      <c r="M21" s="18">
        <f>Test!C163</f>
        <v>34.789200000000001</v>
      </c>
      <c r="N21" s="18">
        <f>Test!D163</f>
        <v>38.059800000000003</v>
      </c>
      <c r="O21" s="18">
        <f>Test!E163</f>
        <v>39.917700000000004</v>
      </c>
      <c r="P21" s="18">
        <f>Test!F163</f>
        <v>118901.266</v>
      </c>
      <c r="Q21" s="18">
        <f>Test!G163</f>
        <v>20.327999999999999</v>
      </c>
      <c r="R21" s="19">
        <f t="shared" si="6"/>
        <v>33.028129444444446</v>
      </c>
      <c r="S21" s="17">
        <f t="shared" si="3"/>
        <v>1.0567808152293703</v>
      </c>
      <c r="T21" s="18">
        <f t="shared" si="4"/>
        <v>1.03598002242381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910.79520000000002</v>
      </c>
      <c r="E22" s="23">
        <f>Reference!C164</f>
        <v>32.440300000000001</v>
      </c>
      <c r="F22" s="23">
        <f>Reference!D164</f>
        <v>36.847000000000001</v>
      </c>
      <c r="G22" s="23">
        <f>Reference!E164</f>
        <v>38.143099999999997</v>
      </c>
      <c r="H22" s="23">
        <f>Reference!F164</f>
        <v>65150.218999999997</v>
      </c>
      <c r="I22" s="23">
        <f>Reference!G164</f>
        <v>16.460999999999999</v>
      </c>
      <c r="J22" s="24">
        <f t="shared" si="5"/>
        <v>18.097283055555554</v>
      </c>
      <c r="L22" s="22">
        <f>Test!B164</f>
        <v>905.65920000000006</v>
      </c>
      <c r="M22" s="23">
        <f>Test!C164</f>
        <v>32.470199999999998</v>
      </c>
      <c r="N22" s="23">
        <f>Test!D164</f>
        <v>36.9771</v>
      </c>
      <c r="O22" s="23">
        <f>Test!E164</f>
        <v>38.200699999999998</v>
      </c>
      <c r="P22" s="23">
        <f>Test!F164</f>
        <v>70028.077999999994</v>
      </c>
      <c r="Q22" s="23">
        <f>Test!G164</f>
        <v>16.495000000000001</v>
      </c>
      <c r="R22" s="24">
        <f t="shared" si="6"/>
        <v>19.452243888888887</v>
      </c>
      <c r="S22" s="17">
        <f t="shared" si="3"/>
        <v>1.0748709532350151</v>
      </c>
      <c r="T22" s="18">
        <f t="shared" si="4"/>
        <v>1.0020654881234434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9498.4943999999996</v>
      </c>
      <c r="E23" s="13">
        <f>Reference!C165</f>
        <v>38.7087</v>
      </c>
      <c r="F23" s="13">
        <f>Reference!D165</f>
        <v>43.507100000000001</v>
      </c>
      <c r="G23" s="13">
        <f>Reference!E165</f>
        <v>44.373699999999999</v>
      </c>
      <c r="H23" s="13">
        <f>Reference!F165</f>
        <v>331458.43800000002</v>
      </c>
      <c r="I23" s="13">
        <f>Reference!G165</f>
        <v>36.058999999999997</v>
      </c>
      <c r="J23" s="14">
        <f t="shared" si="5"/>
        <v>92.071788333333345</v>
      </c>
      <c r="L23" s="12">
        <f>Test!B165</f>
        <v>9438.44</v>
      </c>
      <c r="M23" s="13">
        <f>Test!C165</f>
        <v>38.714599999999997</v>
      </c>
      <c r="N23" s="13">
        <f>Test!D165</f>
        <v>43.552199999999999</v>
      </c>
      <c r="O23" s="13">
        <f>Test!E165</f>
        <v>44.424399999999999</v>
      </c>
      <c r="P23" s="13">
        <f>Test!F165</f>
        <v>371437.34399999998</v>
      </c>
      <c r="Q23" s="13">
        <f>Test!G165</f>
        <v>38.741999999999997</v>
      </c>
      <c r="R23" s="14">
        <f t="shared" si="6"/>
        <v>103.17703999999999</v>
      </c>
      <c r="S23" s="17">
        <f t="shared" si="3"/>
        <v>1.1206151402909825</v>
      </c>
      <c r="T23" s="18">
        <f t="shared" si="4"/>
        <v>1.0744058348817216</v>
      </c>
      <c r="U23" s="91"/>
      <c r="V23" s="37">
        <f>bdrate($D23:$D26,E23:E26,$L23:$L26,M23:M26)</f>
        <v>-7.1868032711277507E-3</v>
      </c>
      <c r="W23" s="42">
        <f>bdrate($D23:$D26,F23:F26,$L23:$L26,N23:N26)</f>
        <v>-5.3082216627901357E-2</v>
      </c>
      <c r="X23" s="43">
        <f>bdrate($D23:$D26,G23:G26,$L23:$L26,O23:O26)</f>
        <v>-2.8416476750832365E-2</v>
      </c>
      <c r="Y23" s="37">
        <f>bdrateOld($D23:$D26,E23:E26,$L23:$L26,M23:M26)</f>
        <v>-7.2120087133508148E-3</v>
      </c>
      <c r="Z23" s="42">
        <f>bdrateOld($D23:$D26,F23:F26,$L23:$L26,N23:N26)</f>
        <v>-5.3192788641582167E-2</v>
      </c>
      <c r="AA23" s="43">
        <f>bdrateOld($D23:$D26,G23:G26,$L23:$L26,O23:O26)</f>
        <v>-2.8608920561558726E-2</v>
      </c>
    </row>
    <row r="24" spans="1:27" x14ac:dyDescent="0.2">
      <c r="A24" s="34"/>
      <c r="B24" s="85"/>
      <c r="C24" s="16">
        <v>32</v>
      </c>
      <c r="D24" s="17">
        <f>Reference!B166</f>
        <v>4865.6671999999999</v>
      </c>
      <c r="E24" s="18">
        <f>Reference!C166</f>
        <v>37.476199999999999</v>
      </c>
      <c r="F24" s="18">
        <f>Reference!D166</f>
        <v>42.493499999999997</v>
      </c>
      <c r="G24" s="18">
        <f>Reference!E166</f>
        <v>42.8583</v>
      </c>
      <c r="H24" s="18">
        <f>Reference!F166</f>
        <v>204161.375</v>
      </c>
      <c r="I24" s="18">
        <f>Reference!G166</f>
        <v>31.818999999999999</v>
      </c>
      <c r="J24" s="19">
        <f t="shared" si="5"/>
        <v>56.711493055555557</v>
      </c>
      <c r="L24" s="17">
        <f>Test!B166</f>
        <v>4837.7536</v>
      </c>
      <c r="M24" s="18">
        <f>Test!C166</f>
        <v>37.4818</v>
      </c>
      <c r="N24" s="18">
        <f>Test!D166</f>
        <v>42.559699999999999</v>
      </c>
      <c r="O24" s="18">
        <f>Test!E166</f>
        <v>42.904600000000002</v>
      </c>
      <c r="P24" s="18">
        <f>Test!F166</f>
        <v>229367</v>
      </c>
      <c r="Q24" s="18">
        <f>Test!G166</f>
        <v>34.667999999999999</v>
      </c>
      <c r="R24" s="19">
        <f t="shared" si="6"/>
        <v>63.713055555555556</v>
      </c>
      <c r="S24" s="17">
        <f t="shared" si="3"/>
        <v>1.1234593223130478</v>
      </c>
      <c r="T24" s="18">
        <f t="shared" si="4"/>
        <v>1.0895376976020616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2476.7536</v>
      </c>
      <c r="E25" s="18">
        <f>Reference!C167</f>
        <v>35.792400000000001</v>
      </c>
      <c r="F25" s="18">
        <f>Reference!D167</f>
        <v>41.178199999999997</v>
      </c>
      <c r="G25" s="18">
        <f>Reference!E167</f>
        <v>41.060400000000001</v>
      </c>
      <c r="H25" s="18">
        <f>Reference!F167</f>
        <v>121043.844</v>
      </c>
      <c r="I25" s="18">
        <f>Reference!G167</f>
        <v>27.443000000000001</v>
      </c>
      <c r="J25" s="19">
        <f t="shared" si="5"/>
        <v>33.623289999999997</v>
      </c>
      <c r="L25" s="17">
        <f>Test!B167</f>
        <v>2465.7375999999999</v>
      </c>
      <c r="M25" s="18">
        <f>Test!C167</f>
        <v>35.799700000000001</v>
      </c>
      <c r="N25" s="18">
        <f>Test!D167</f>
        <v>41.296900000000001</v>
      </c>
      <c r="O25" s="18">
        <f>Test!E167</f>
        <v>41.140700000000002</v>
      </c>
      <c r="P25" s="18">
        <f>Test!F167</f>
        <v>132535.84400000001</v>
      </c>
      <c r="Q25" s="18">
        <f>Test!G167</f>
        <v>29.023</v>
      </c>
      <c r="R25" s="19">
        <f t="shared" si="6"/>
        <v>36.815512222222225</v>
      </c>
      <c r="S25" s="17">
        <f t="shared" si="3"/>
        <v>1.0949408050854699</v>
      </c>
      <c r="T25" s="18">
        <f t="shared" si="4"/>
        <v>1.057573880406661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1228.152</v>
      </c>
      <c r="E26" s="23">
        <f>Reference!C168</f>
        <v>33.708500000000001</v>
      </c>
      <c r="F26" s="23">
        <f>Reference!D168</f>
        <v>39.783700000000003</v>
      </c>
      <c r="G26" s="23">
        <f>Reference!E168</f>
        <v>39.192999999999998</v>
      </c>
      <c r="H26" s="23">
        <f>Reference!F168</f>
        <v>68557.327999999994</v>
      </c>
      <c r="I26" s="23">
        <f>Reference!G168</f>
        <v>23.184000000000001</v>
      </c>
      <c r="J26" s="24">
        <f t="shared" si="5"/>
        <v>19.043702222222219</v>
      </c>
      <c r="L26" s="22">
        <f>Test!B168</f>
        <v>1225.24</v>
      </c>
      <c r="M26" s="23">
        <f>Test!C168</f>
        <v>33.713200000000001</v>
      </c>
      <c r="N26" s="23">
        <f>Test!D168</f>
        <v>39.895099999999999</v>
      </c>
      <c r="O26" s="23">
        <f>Test!E168</f>
        <v>39.244999999999997</v>
      </c>
      <c r="P26" s="23">
        <f>Test!F168</f>
        <v>74038.093999999997</v>
      </c>
      <c r="Q26" s="23">
        <f>Test!G168</f>
        <v>24.382000000000001</v>
      </c>
      <c r="R26" s="24">
        <f t="shared" si="6"/>
        <v>20.566137222222221</v>
      </c>
      <c r="S26" s="17">
        <f t="shared" si="3"/>
        <v>1.0799442767081004</v>
      </c>
      <c r="T26" s="18">
        <f t="shared" si="4"/>
        <v>1.0516735679779159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6490.3184000000001</v>
      </c>
      <c r="E27" s="13">
        <f>Reference!C169</f>
        <v>39.802500000000002</v>
      </c>
      <c r="F27" s="13">
        <f>Reference!D169</f>
        <v>43.44</v>
      </c>
      <c r="G27" s="13">
        <f>Reference!E169</f>
        <v>44.283799999999999</v>
      </c>
      <c r="H27" s="13">
        <f>Reference!F169</f>
        <v>292029.40600000002</v>
      </c>
      <c r="I27" s="13">
        <f>Reference!G169</f>
        <v>37.677</v>
      </c>
      <c r="J27" s="14">
        <f>H27/3600</f>
        <v>81.119279444444444</v>
      </c>
      <c r="L27" s="12">
        <f>Test!B169</f>
        <v>6457.6815999999999</v>
      </c>
      <c r="M27" s="13">
        <f>Test!C169</f>
        <v>39.820099999999996</v>
      </c>
      <c r="N27" s="13">
        <f>Test!D169</f>
        <v>43.562899999999999</v>
      </c>
      <c r="O27" s="13">
        <f>Test!E169</f>
        <v>44.409500000000001</v>
      </c>
      <c r="P27" s="13">
        <f>Test!F169</f>
        <v>322627.5</v>
      </c>
      <c r="Q27" s="13">
        <f>Test!G169</f>
        <v>40.841000000000001</v>
      </c>
      <c r="R27" s="14">
        <f>P27/3600</f>
        <v>89.618750000000006</v>
      </c>
      <c r="S27" s="17">
        <f t="shared" ref="S27:T46" si="7">P27/H27</f>
        <v>1.1047774414882041</v>
      </c>
      <c r="T27" s="18">
        <f t="shared" si="7"/>
        <v>1.0839769620723518</v>
      </c>
      <c r="U27" s="91"/>
      <c r="V27" s="37">
        <f>bdrate($D27:$D30,E27:E30,$L27:$L30,M27:M30)</f>
        <v>-7.9460588763213824E-3</v>
      </c>
      <c r="W27" s="42">
        <f>bdrate($D27:$D30,F27:F30,$L27:$L30,N27:N30)</f>
        <v>-0.11793192231344429</v>
      </c>
      <c r="X27" s="43">
        <f>bdrate($D27:$D30,G27:G30,$L27:$L30,O27:O30)</f>
        <v>-0.12110811848248615</v>
      </c>
      <c r="Y27" s="37">
        <f>bdrateOld($D27:$D30,E27:E30,$L27:$L30,M27:M30)</f>
        <v>-8.0395151105978613E-3</v>
      </c>
      <c r="Z27" s="42">
        <f>bdrateOld($D27:$D30,F27:F30,$L27:$L30,N27:N30)</f>
        <v>-0.11698187012591654</v>
      </c>
      <c r="AA27" s="43">
        <f>bdrateOld($D27:$D30,G27:G30,$L27:$L30,O27:O30)</f>
        <v>-0.11981129549984049</v>
      </c>
    </row>
    <row r="28" spans="1:27" x14ac:dyDescent="0.2">
      <c r="A28" s="16"/>
      <c r="B28" s="85"/>
      <c r="C28" s="16">
        <v>48</v>
      </c>
      <c r="D28" s="17">
        <f>Reference!B170</f>
        <v>3107.1552000000001</v>
      </c>
      <c r="E28" s="18">
        <f>Reference!C170</f>
        <v>38.506</v>
      </c>
      <c r="F28" s="18">
        <f>Reference!D170</f>
        <v>42.525599999999997</v>
      </c>
      <c r="G28" s="18">
        <f>Reference!E170</f>
        <v>43.344099999999997</v>
      </c>
      <c r="H28" s="18">
        <f>Reference!F170</f>
        <v>170118.18799999999</v>
      </c>
      <c r="I28" s="18">
        <f>Reference!G170</f>
        <v>31.402000000000001</v>
      </c>
      <c r="J28" s="19">
        <f t="shared" ref="J28:J46" si="8">H28/3600</f>
        <v>47.255052222222218</v>
      </c>
      <c r="L28" s="17">
        <f>Test!B170</f>
        <v>3097.3312000000001</v>
      </c>
      <c r="M28" s="18">
        <f>Test!C170</f>
        <v>38.519599999999997</v>
      </c>
      <c r="N28" s="18">
        <f>Test!D170</f>
        <v>42.686900000000001</v>
      </c>
      <c r="O28" s="18">
        <f>Test!E170</f>
        <v>43.520200000000003</v>
      </c>
      <c r="P28" s="18">
        <f>Test!F170</f>
        <v>189483.15599999999</v>
      </c>
      <c r="Q28" s="18">
        <f>Test!G170</f>
        <v>34.697000000000003</v>
      </c>
      <c r="R28" s="19">
        <f t="shared" ref="R28:R46" si="9">P28/3600</f>
        <v>52.634209999999996</v>
      </c>
      <c r="S28" s="17">
        <f t="shared" si="7"/>
        <v>1.1138324374816406</v>
      </c>
      <c r="T28" s="18">
        <f t="shared" si="7"/>
        <v>1.1049296223170499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1498.9151999999999</v>
      </c>
      <c r="E29" s="18">
        <f>Reference!C171</f>
        <v>36.689500000000002</v>
      </c>
      <c r="F29" s="18">
        <f>Reference!D171</f>
        <v>41.300899999999999</v>
      </c>
      <c r="G29" s="18">
        <f>Reference!E171</f>
        <v>41.998100000000001</v>
      </c>
      <c r="H29" s="18">
        <f>Reference!F171</f>
        <v>96464.375</v>
      </c>
      <c r="I29" s="18">
        <f>Reference!G171</f>
        <v>27.398</v>
      </c>
      <c r="J29" s="19">
        <f t="shared" si="8"/>
        <v>26.795659722222222</v>
      </c>
      <c r="L29" s="17">
        <f>Test!B171</f>
        <v>1496.5920000000001</v>
      </c>
      <c r="M29" s="18">
        <f>Test!C171</f>
        <v>36.702500000000001</v>
      </c>
      <c r="N29" s="18">
        <f>Test!D171</f>
        <v>41.512099999999997</v>
      </c>
      <c r="O29" s="18">
        <f>Test!E171</f>
        <v>42.242600000000003</v>
      </c>
      <c r="P29" s="18">
        <f>Test!F171</f>
        <v>102951.79700000001</v>
      </c>
      <c r="Q29" s="18">
        <f>Test!G171</f>
        <v>29.189</v>
      </c>
      <c r="R29" s="19">
        <f t="shared" si="9"/>
        <v>28.597721388888889</v>
      </c>
      <c r="S29" s="17">
        <f t="shared" si="7"/>
        <v>1.0672519984709381</v>
      </c>
      <c r="T29" s="18">
        <f t="shared" si="7"/>
        <v>1.0653697350171545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703.84159999999997</v>
      </c>
      <c r="E30" s="23">
        <f>Reference!C172</f>
        <v>34.394399999999997</v>
      </c>
      <c r="F30" s="23">
        <f>Reference!D172</f>
        <v>40.152900000000002</v>
      </c>
      <c r="G30" s="23">
        <f>Reference!E172</f>
        <v>40.6661</v>
      </c>
      <c r="H30" s="23">
        <f>Reference!F172</f>
        <v>51744.211000000003</v>
      </c>
      <c r="I30" s="23">
        <f>Reference!G172</f>
        <v>21.925999999999998</v>
      </c>
      <c r="J30" s="24">
        <f t="shared" si="8"/>
        <v>14.373391944444446</v>
      </c>
      <c r="L30" s="22">
        <f>Test!B172</f>
        <v>703.2672</v>
      </c>
      <c r="M30" s="23">
        <f>Test!C172</f>
        <v>34.409999999999997</v>
      </c>
      <c r="N30" s="23">
        <f>Test!D172</f>
        <v>40.356099999999998</v>
      </c>
      <c r="O30" s="23">
        <f>Test!E172</f>
        <v>40.905099999999997</v>
      </c>
      <c r="P30" s="23">
        <f>Test!F172</f>
        <v>54888.288999999997</v>
      </c>
      <c r="Q30" s="23">
        <f>Test!G172</f>
        <v>24.846</v>
      </c>
      <c r="R30" s="24">
        <f t="shared" si="9"/>
        <v>15.246746944444444</v>
      </c>
      <c r="S30" s="17">
        <f t="shared" si="7"/>
        <v>1.0607619275516635</v>
      </c>
      <c r="T30" s="18">
        <f t="shared" si="7"/>
        <v>1.1331752257593726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6932.1567999999997</v>
      </c>
      <c r="E31" s="13">
        <f>Reference!C173</f>
        <v>43.319400000000002</v>
      </c>
      <c r="F31" s="13">
        <f>Reference!D173</f>
        <v>46.08</v>
      </c>
      <c r="G31" s="13">
        <f>Reference!E173</f>
        <v>46.809199999999997</v>
      </c>
      <c r="H31" s="13">
        <f>Reference!F173</f>
        <v>239099.29699999999</v>
      </c>
      <c r="I31" s="13">
        <f>Reference!G173</f>
        <v>39.857999999999997</v>
      </c>
      <c r="J31" s="14">
        <f t="shared" si="8"/>
        <v>66.41647138888888</v>
      </c>
      <c r="L31" s="12">
        <f>Test!B173</f>
        <v>6885.3616000000002</v>
      </c>
      <c r="M31" s="13">
        <f>Test!C173</f>
        <v>43.332299999999996</v>
      </c>
      <c r="N31" s="13">
        <f>Test!D173</f>
        <v>46.180399999999999</v>
      </c>
      <c r="O31" s="13">
        <f>Test!E173</f>
        <v>47.020800000000001</v>
      </c>
      <c r="P31" s="13">
        <f>Test!F173</f>
        <v>266727.96899999998</v>
      </c>
      <c r="Q31" s="13">
        <f>Test!G173</f>
        <v>41.281999999999996</v>
      </c>
      <c r="R31" s="14">
        <f t="shared" si="9"/>
        <v>74.091102499999991</v>
      </c>
      <c r="S31" s="17">
        <f t="shared" si="7"/>
        <v>1.1155531293762022</v>
      </c>
      <c r="T31" s="18">
        <f t="shared" si="7"/>
        <v>1.0357268302473781</v>
      </c>
      <c r="U31" s="91"/>
      <c r="V31" s="37">
        <f>bdrate($D31:$D34,E31:E34,$L31:$L34,M31:M34)</f>
        <v>-5.9780520198795539E-3</v>
      </c>
      <c r="W31" s="42">
        <f>bdrate($D31:$D34,F31:F34,$L31:$L34,N31:N34)</f>
        <v>-6.4135364768040715E-2</v>
      </c>
      <c r="X31" s="42">
        <f>bdrate($D31:$D34,G31:G34,$L31:$L34,O31:O34)</f>
        <v>-8.4481499775363456E-2</v>
      </c>
      <c r="Y31" s="40">
        <f>bdrateOld($D31:$D34,E31:E34,$L31:$L34,M31:M34)</f>
        <v>-5.9563234076478455E-3</v>
      </c>
      <c r="Z31" s="44">
        <f>bdrateOld($D31:$D34,F31:F34,$L31:$L34,N31:N34)</f>
        <v>-6.3979131283229407E-2</v>
      </c>
      <c r="AA31" s="45">
        <f>bdrateOld($D31:$D34,G31:G34,$L31:$L34,O31:O34)</f>
        <v>-8.4402893088514341E-2</v>
      </c>
    </row>
    <row r="32" spans="1:27" x14ac:dyDescent="0.2">
      <c r="A32" s="16"/>
      <c r="B32" s="85"/>
      <c r="C32" s="16">
        <v>48</v>
      </c>
      <c r="D32" s="17">
        <f>Reference!B174</f>
        <v>4226.5775999999996</v>
      </c>
      <c r="E32" s="18">
        <f>Reference!C174</f>
        <v>41.008899999999997</v>
      </c>
      <c r="F32" s="18">
        <f>Reference!D174</f>
        <v>44.602899999999998</v>
      </c>
      <c r="G32" s="18">
        <f>Reference!E174</f>
        <v>45.152700000000003</v>
      </c>
      <c r="H32" s="18">
        <f>Reference!F174</f>
        <v>168534.766</v>
      </c>
      <c r="I32" s="18">
        <f>Reference!G174</f>
        <v>33.686</v>
      </c>
      <c r="J32" s="19">
        <f t="shared" si="8"/>
        <v>46.815212777777781</v>
      </c>
      <c r="L32" s="17">
        <f>Test!B174</f>
        <v>4207.0672000000004</v>
      </c>
      <c r="M32" s="18">
        <f>Test!C174</f>
        <v>41.024299999999997</v>
      </c>
      <c r="N32" s="18">
        <f>Test!D174</f>
        <v>44.756700000000002</v>
      </c>
      <c r="O32" s="18">
        <f>Test!E174</f>
        <v>45.395600000000002</v>
      </c>
      <c r="P32" s="18">
        <f>Test!F174</f>
        <v>185585.65599999999</v>
      </c>
      <c r="Q32" s="18">
        <f>Test!G174</f>
        <v>36.685000000000002</v>
      </c>
      <c r="R32" s="19">
        <f t="shared" si="9"/>
        <v>51.551571111111109</v>
      </c>
      <c r="S32" s="17">
        <f t="shared" si="7"/>
        <v>1.1011713511976513</v>
      </c>
      <c r="T32" s="18">
        <f t="shared" si="7"/>
        <v>1.0890280828830969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2334.9023999999999</v>
      </c>
      <c r="E33" s="18">
        <f>Reference!C175</f>
        <v>38.224699999999999</v>
      </c>
      <c r="F33" s="18">
        <f>Reference!D175</f>
        <v>42.9664</v>
      </c>
      <c r="G33" s="18">
        <f>Reference!E175</f>
        <v>43.298000000000002</v>
      </c>
      <c r="H33" s="18">
        <f>Reference!F175</f>
        <v>107804.344</v>
      </c>
      <c r="I33" s="18">
        <f>Reference!G175</f>
        <v>29.652999999999999</v>
      </c>
      <c r="J33" s="19">
        <f t="shared" si="8"/>
        <v>29.945651111111111</v>
      </c>
      <c r="L33" s="17">
        <f>Test!B175</f>
        <v>2330.3631999999998</v>
      </c>
      <c r="M33" s="18">
        <f>Test!C175</f>
        <v>38.237499999999997</v>
      </c>
      <c r="N33" s="18">
        <f>Test!D175</f>
        <v>43.149700000000003</v>
      </c>
      <c r="O33" s="18">
        <f>Test!E175</f>
        <v>43.576500000000003</v>
      </c>
      <c r="P33" s="18">
        <f>Test!F175</f>
        <v>120990.789</v>
      </c>
      <c r="Q33" s="18">
        <f>Test!G175</f>
        <v>32.755000000000003</v>
      </c>
      <c r="R33" s="19">
        <f t="shared" si="9"/>
        <v>33.608552500000002</v>
      </c>
      <c r="S33" s="17">
        <f t="shared" si="7"/>
        <v>1.1223183084347697</v>
      </c>
      <c r="T33" s="18">
        <f t="shared" si="7"/>
        <v>1.1046099888712779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1215.3312000000001</v>
      </c>
      <c r="E34" s="23">
        <f>Reference!C176</f>
        <v>35.293399999999998</v>
      </c>
      <c r="F34" s="23">
        <f>Reference!D176</f>
        <v>41.494900000000001</v>
      </c>
      <c r="G34" s="23">
        <f>Reference!E176</f>
        <v>41.563699999999997</v>
      </c>
      <c r="H34" s="23">
        <f>Reference!F176</f>
        <v>64491.461000000003</v>
      </c>
      <c r="I34" s="23">
        <f>Reference!G176</f>
        <v>24.786999999999999</v>
      </c>
      <c r="J34" s="24">
        <f t="shared" si="8"/>
        <v>17.914294722222223</v>
      </c>
      <c r="L34" s="22">
        <f>Test!B176</f>
        <v>1215.1424</v>
      </c>
      <c r="M34" s="23">
        <f>Test!C176</f>
        <v>35.303400000000003</v>
      </c>
      <c r="N34" s="23">
        <f>Test!D176</f>
        <v>41.680500000000002</v>
      </c>
      <c r="O34" s="23">
        <f>Test!E176</f>
        <v>41.814399999999999</v>
      </c>
      <c r="P34" s="23">
        <f>Test!F176</f>
        <v>69653.266000000003</v>
      </c>
      <c r="Q34" s="23">
        <f>Test!G176</f>
        <v>27.251999999999999</v>
      </c>
      <c r="R34" s="24">
        <f t="shared" si="9"/>
        <v>19.348129444444446</v>
      </c>
      <c r="S34" s="17">
        <f t="shared" si="7"/>
        <v>1.0800385806114705</v>
      </c>
      <c r="T34" s="18">
        <f t="shared" si="7"/>
        <v>1.0994472909186268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4785.848</v>
      </c>
      <c r="E35" s="13">
        <f>Reference!C177</f>
        <v>38.424399999999999</v>
      </c>
      <c r="F35" s="13">
        <f>Reference!D177</f>
        <v>44.984400000000001</v>
      </c>
      <c r="G35" s="13">
        <f>Reference!E177</f>
        <v>45.290100000000002</v>
      </c>
      <c r="H35" s="13">
        <f>Reference!F177</f>
        <v>165154.29699999999</v>
      </c>
      <c r="I35" s="13">
        <f>Reference!G177</f>
        <v>16.835000000000001</v>
      </c>
      <c r="J35" s="14">
        <f t="shared" si="8"/>
        <v>45.876193611111105</v>
      </c>
      <c r="L35" s="12">
        <f>Test!B177</f>
        <v>4772.9664000000002</v>
      </c>
      <c r="M35" s="13">
        <f>Test!C177</f>
        <v>38.448599999999999</v>
      </c>
      <c r="N35" s="13">
        <f>Test!D177</f>
        <v>45.257300000000001</v>
      </c>
      <c r="O35" s="13">
        <f>Test!E177</f>
        <v>45.526699999999998</v>
      </c>
      <c r="P35" s="13">
        <f>Test!F177</f>
        <v>181448.266</v>
      </c>
      <c r="Q35" s="13">
        <f>Test!G177</f>
        <v>18.832000000000001</v>
      </c>
      <c r="R35" s="14">
        <f t="shared" si="9"/>
        <v>50.402296111111113</v>
      </c>
      <c r="S35" s="12">
        <f t="shared" si="7"/>
        <v>1.0986590678897081</v>
      </c>
      <c r="T35" s="13">
        <f t="shared" si="7"/>
        <v>1.1186219186219186</v>
      </c>
      <c r="U35" s="90"/>
      <c r="V35" s="37">
        <f>bdrate($D35:$D38,E35:E38,$L35:$L38,M35:M38)</f>
        <v>-4.6133180199576795E-3</v>
      </c>
      <c r="W35" s="42">
        <f>bdrate($D35:$D38,F35:F38,$L35:$L38,N35:N38)</f>
        <v>-0.31405691219897114</v>
      </c>
      <c r="X35" s="42">
        <f>bdrate($D35:$D38,G35:G38,$L35:$L38,O35:O38)</f>
        <v>-0.25857084713014911</v>
      </c>
      <c r="Y35" s="40">
        <f>bdrateOld($D35:$D38,E35:E38,$L35:$L38,M35:M38)</f>
        <v>-4.2067595649314393E-3</v>
      </c>
      <c r="Z35" s="44">
        <f>bdrateOld($D35:$D38,F35:F38,$L35:$L38,N35:N38)</f>
        <v>-0.30844862803110562</v>
      </c>
      <c r="AA35" s="45">
        <f>bdrateOld($D35:$D38,G35:G38,$L35:$L38,O35:O38)</f>
        <v>-0.25382341698953725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1677.4480000000001</v>
      </c>
      <c r="E36" s="18">
        <f>Reference!C178</f>
        <v>36.436399999999999</v>
      </c>
      <c r="F36" s="18">
        <f>Reference!D178</f>
        <v>43.790799999999997</v>
      </c>
      <c r="G36" s="18">
        <f>Reference!E178</f>
        <v>44.095700000000001</v>
      </c>
      <c r="H36" s="18">
        <f>Reference!F178</f>
        <v>85448.054999999993</v>
      </c>
      <c r="I36" s="18">
        <f>Reference!G178</f>
        <v>13.468999999999999</v>
      </c>
      <c r="J36" s="19">
        <f t="shared" si="8"/>
        <v>23.73557083333333</v>
      </c>
      <c r="L36" s="17">
        <f>Test!B178</f>
        <v>1671.9792</v>
      </c>
      <c r="M36" s="18">
        <f>Test!C178</f>
        <v>36.455100000000002</v>
      </c>
      <c r="N36" s="18">
        <f>Test!D178</f>
        <v>44.2102</v>
      </c>
      <c r="O36" s="18">
        <f>Test!E178</f>
        <v>44.467599999999997</v>
      </c>
      <c r="P36" s="18">
        <f>Test!F178</f>
        <v>90696.25</v>
      </c>
      <c r="Q36" s="18">
        <f>Test!G178</f>
        <v>13.500999999999999</v>
      </c>
      <c r="R36" s="19">
        <f t="shared" si="9"/>
        <v>25.193402777777777</v>
      </c>
      <c r="S36" s="17">
        <f t="shared" si="7"/>
        <v>1.0614197128302103</v>
      </c>
      <c r="T36" s="18">
        <f t="shared" si="7"/>
        <v>1.0023758259707476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659.15520000000004</v>
      </c>
      <c r="E37" s="18">
        <f>Reference!C179</f>
        <v>33.984400000000001</v>
      </c>
      <c r="F37" s="18">
        <f>Reference!D179</f>
        <v>42.138599999999997</v>
      </c>
      <c r="G37" s="18">
        <f>Reference!E179</f>
        <v>42.463299999999997</v>
      </c>
      <c r="H37" s="18">
        <f>Reference!F179</f>
        <v>48867.461000000003</v>
      </c>
      <c r="I37" s="18">
        <f>Reference!G179</f>
        <v>9.7539999999999996</v>
      </c>
      <c r="J37" s="19">
        <f t="shared" si="8"/>
        <v>13.574294722222223</v>
      </c>
      <c r="L37" s="17">
        <f>Test!B179</f>
        <v>662.6</v>
      </c>
      <c r="M37" s="18">
        <f>Test!C179</f>
        <v>33.992600000000003</v>
      </c>
      <c r="N37" s="18">
        <f>Test!D179</f>
        <v>42.842700000000001</v>
      </c>
      <c r="O37" s="18">
        <f>Test!E179</f>
        <v>43.009900000000002</v>
      </c>
      <c r="P37" s="18">
        <f>Test!F179</f>
        <v>51685.292999999998</v>
      </c>
      <c r="Q37" s="18">
        <f>Test!G179</f>
        <v>10.603</v>
      </c>
      <c r="R37" s="19">
        <f t="shared" si="9"/>
        <v>14.357025833333333</v>
      </c>
      <c r="S37" s="17">
        <f t="shared" si="7"/>
        <v>1.0576627461778707</v>
      </c>
      <c r="T37" s="18">
        <f t="shared" si="7"/>
        <v>1.0870412138609802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276.43360000000001</v>
      </c>
      <c r="E38" s="23">
        <f>Reference!C180</f>
        <v>30.956800000000001</v>
      </c>
      <c r="F38" s="23">
        <f>Reference!D180</f>
        <v>40.897500000000001</v>
      </c>
      <c r="G38" s="23">
        <f>Reference!E180</f>
        <v>41.325699999999998</v>
      </c>
      <c r="H38" s="23">
        <f>Reference!F180</f>
        <v>29194.437999999998</v>
      </c>
      <c r="I38" s="23">
        <f>Reference!G180</f>
        <v>7.2539999999999996</v>
      </c>
      <c r="J38" s="24">
        <f t="shared" si="8"/>
        <v>8.1095661111111106</v>
      </c>
      <c r="L38" s="22">
        <f>Test!B180</f>
        <v>277.18880000000001</v>
      </c>
      <c r="M38" s="23">
        <f>Test!C180</f>
        <v>30.979800000000001</v>
      </c>
      <c r="N38" s="23">
        <f>Test!D180</f>
        <v>41.573399999999999</v>
      </c>
      <c r="O38" s="23">
        <f>Test!E180</f>
        <v>41.677999999999997</v>
      </c>
      <c r="P38" s="23">
        <f>Test!F180</f>
        <v>29555.726999999999</v>
      </c>
      <c r="Q38" s="23">
        <f>Test!G180</f>
        <v>8.2260000000000009</v>
      </c>
      <c r="R38" s="24">
        <f t="shared" si="9"/>
        <v>8.2099241666666671</v>
      </c>
      <c r="S38" s="17">
        <f t="shared" si="7"/>
        <v>1.0123752681932086</v>
      </c>
      <c r="T38" s="18">
        <f t="shared" si="7"/>
        <v>1.1339950372208438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3924.1792</v>
      </c>
      <c r="E39" s="13">
        <f>Reference!C181</f>
        <v>40.491500000000002</v>
      </c>
      <c r="F39" s="13">
        <f>Reference!D181</f>
        <v>45.169400000000003</v>
      </c>
      <c r="G39" s="13">
        <f>Reference!E181</f>
        <v>45.931699999999999</v>
      </c>
      <c r="H39" s="13">
        <f>Reference!F181</f>
        <v>144939.68799999999</v>
      </c>
      <c r="I39" s="13">
        <f>Reference!G181</f>
        <v>18.346</v>
      </c>
      <c r="J39" s="14">
        <f t="shared" si="8"/>
        <v>40.261024444444445</v>
      </c>
      <c r="L39" s="12">
        <f>Test!B181</f>
        <v>3909.8768</v>
      </c>
      <c r="M39" s="13">
        <f>Test!C181</f>
        <v>40.504199999999997</v>
      </c>
      <c r="N39" s="13">
        <f>Test!D181</f>
        <v>45.222299999999997</v>
      </c>
      <c r="O39" s="13">
        <f>Test!E181</f>
        <v>45.981900000000003</v>
      </c>
      <c r="P39" s="13">
        <f>Test!F181</f>
        <v>158353.46900000001</v>
      </c>
      <c r="Q39" s="13">
        <f>Test!G181</f>
        <v>18.832999999999998</v>
      </c>
      <c r="R39" s="14">
        <f t="shared" si="9"/>
        <v>43.987074722222225</v>
      </c>
      <c r="S39" s="17">
        <f t="shared" si="7"/>
        <v>1.0925473290655905</v>
      </c>
      <c r="T39" s="18">
        <f t="shared" si="7"/>
        <v>1.0265452959773247</v>
      </c>
      <c r="U39" s="91"/>
      <c r="V39" s="37">
        <f>bdrate($D39:$D42,E39:E42,$L39:$L42,M39:M42)</f>
        <v>-5.8243419694402609E-3</v>
      </c>
      <c r="W39" s="42">
        <f>bdrate($D39:$D42,F39:F42,$L39:$L42,N39:N42)</f>
        <v>-5.2866700048822657E-2</v>
      </c>
      <c r="X39" s="42">
        <f>bdrate($D39:$D42,G39:G42,$L39:$L42,O39:O42)</f>
        <v>-3.6437780423646982E-2</v>
      </c>
      <c r="Y39" s="40">
        <f>bdrateOld($D39:$D42,E39:E42,$L39:$L42,M39:M42)</f>
        <v>-5.8515164600868586E-3</v>
      </c>
      <c r="Z39" s="44">
        <f>bdrateOld($D39:$D42,F39:F42,$L39:$L42,N39:N42)</f>
        <v>-5.3907407812659347E-2</v>
      </c>
      <c r="AA39" s="45">
        <f>bdrateOld($D39:$D42,G39:G42,$L39:$L42,O39:O42)</f>
        <v>-3.630212361866425E-2</v>
      </c>
    </row>
    <row r="40" spans="1:27" x14ac:dyDescent="0.2">
      <c r="A40" s="16"/>
      <c r="B40" s="85"/>
      <c r="C40" s="16">
        <v>32</v>
      </c>
      <c r="D40" s="17">
        <f>Reference!B182</f>
        <v>1796.6815999999999</v>
      </c>
      <c r="E40" s="18">
        <f>Reference!C182</f>
        <v>38.8658</v>
      </c>
      <c r="F40" s="18">
        <f>Reference!D182</f>
        <v>44.351500000000001</v>
      </c>
      <c r="G40" s="18">
        <f>Reference!E182</f>
        <v>44.365699999999997</v>
      </c>
      <c r="H40" s="18">
        <f>Reference!F182</f>
        <v>84338.304999999993</v>
      </c>
      <c r="I40" s="18">
        <f>Reference!G182</f>
        <v>15.752000000000001</v>
      </c>
      <c r="J40" s="19">
        <f t="shared" si="8"/>
        <v>23.427306944444442</v>
      </c>
      <c r="L40" s="17">
        <f>Test!B182</f>
        <v>1792.6048000000001</v>
      </c>
      <c r="M40" s="18">
        <f>Test!C182</f>
        <v>38.877400000000002</v>
      </c>
      <c r="N40" s="18">
        <f>Test!D182</f>
        <v>44.399799999999999</v>
      </c>
      <c r="O40" s="18">
        <f>Test!E182</f>
        <v>44.444000000000003</v>
      </c>
      <c r="P40" s="18">
        <f>Test!F182</f>
        <v>91813.656000000003</v>
      </c>
      <c r="Q40" s="18">
        <f>Test!G182</f>
        <v>16.789000000000001</v>
      </c>
      <c r="R40" s="19">
        <f t="shared" si="9"/>
        <v>25.503793333333334</v>
      </c>
      <c r="S40" s="17">
        <f t="shared" si="7"/>
        <v>1.0886353004130211</v>
      </c>
      <c r="T40" s="18">
        <f t="shared" si="7"/>
        <v>1.0658329101066533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861.52319999999997</v>
      </c>
      <c r="E41" s="18">
        <f>Reference!C183</f>
        <v>36.928899999999999</v>
      </c>
      <c r="F41" s="18">
        <f>Reference!D183</f>
        <v>43.293799999999997</v>
      </c>
      <c r="G41" s="18">
        <f>Reference!E183</f>
        <v>42.518799999999999</v>
      </c>
      <c r="H41" s="18">
        <f>Reference!F183</f>
        <v>47672.362999999998</v>
      </c>
      <c r="I41" s="18">
        <f>Reference!G183</f>
        <v>12.662000000000001</v>
      </c>
      <c r="J41" s="19">
        <f t="shared" si="8"/>
        <v>13.242323055555556</v>
      </c>
      <c r="L41" s="17">
        <f>Test!B183</f>
        <v>859.2432</v>
      </c>
      <c r="M41" s="18">
        <f>Test!C183</f>
        <v>36.936599999999999</v>
      </c>
      <c r="N41" s="18">
        <f>Test!D183</f>
        <v>43.384300000000003</v>
      </c>
      <c r="O41" s="18">
        <f>Test!E183</f>
        <v>42.605200000000004</v>
      </c>
      <c r="P41" s="18">
        <f>Test!F183</f>
        <v>50054.862999999998</v>
      </c>
      <c r="Q41" s="18">
        <f>Test!G183</f>
        <v>12.629</v>
      </c>
      <c r="R41" s="19">
        <f t="shared" si="9"/>
        <v>13.90412861111111</v>
      </c>
      <c r="S41" s="17">
        <f t="shared" si="7"/>
        <v>1.0499765451106335</v>
      </c>
      <c r="T41" s="18">
        <f t="shared" si="7"/>
        <v>0.99739377665455686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403.68799999999999</v>
      </c>
      <c r="E42" s="23">
        <f>Reference!C184</f>
        <v>34.716700000000003</v>
      </c>
      <c r="F42" s="23">
        <f>Reference!D184</f>
        <v>42.020099999999999</v>
      </c>
      <c r="G42" s="23">
        <f>Reference!E184</f>
        <v>40.642099999999999</v>
      </c>
      <c r="H42" s="23">
        <f>Reference!F184</f>
        <v>25391.268</v>
      </c>
      <c r="I42" s="23">
        <f>Reference!G184</f>
        <v>9.0069999999999997</v>
      </c>
      <c r="J42" s="24">
        <f t="shared" si="8"/>
        <v>7.0531300000000003</v>
      </c>
      <c r="L42" s="22">
        <f>Test!B184</f>
        <v>403.45760000000001</v>
      </c>
      <c r="M42" s="23">
        <f>Test!C184</f>
        <v>34.717599999999997</v>
      </c>
      <c r="N42" s="23">
        <f>Test!D184</f>
        <v>42.119599999999998</v>
      </c>
      <c r="O42" s="23">
        <f>Test!E184</f>
        <v>40.7453</v>
      </c>
      <c r="P42" s="23">
        <f>Test!F184</f>
        <v>26320.982</v>
      </c>
      <c r="Q42" s="23">
        <f>Test!G184</f>
        <v>9.6820000000000004</v>
      </c>
      <c r="R42" s="24">
        <f t="shared" si="9"/>
        <v>7.3113838888888889</v>
      </c>
      <c r="S42" s="17">
        <f t="shared" si="7"/>
        <v>1.0366155010454776</v>
      </c>
      <c r="T42" s="18">
        <f t="shared" si="7"/>
        <v>1.0749417120017766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969.08</v>
      </c>
      <c r="E43" s="13">
        <f>Reference!C185</f>
        <v>42.946100000000001</v>
      </c>
      <c r="F43" s="13">
        <f>Reference!D185</f>
        <v>46.5152</v>
      </c>
      <c r="G43" s="13">
        <f>Reference!E185</f>
        <v>47.292499999999997</v>
      </c>
      <c r="H43" s="13">
        <f>Reference!F185</f>
        <v>56499.957000000002</v>
      </c>
      <c r="I43" s="13">
        <f>Reference!G185</f>
        <v>8.7720000000000002</v>
      </c>
      <c r="J43" s="14">
        <f t="shared" si="8"/>
        <v>15.694432500000001</v>
      </c>
      <c r="L43" s="12">
        <f>Test!B185</f>
        <v>964.10559999999998</v>
      </c>
      <c r="M43" s="13">
        <f>Test!C185</f>
        <v>42.948599999999999</v>
      </c>
      <c r="N43" s="13">
        <f>Test!D185</f>
        <v>46.578699999999998</v>
      </c>
      <c r="O43" s="13">
        <f>Test!E185</f>
        <v>47.352200000000003</v>
      </c>
      <c r="P43" s="13">
        <f>Test!F185</f>
        <v>60261.440999999999</v>
      </c>
      <c r="Q43" s="13">
        <f>Test!G185</f>
        <v>9.3960000000000008</v>
      </c>
      <c r="R43" s="14">
        <f t="shared" si="9"/>
        <v>16.739289166666666</v>
      </c>
      <c r="S43" s="17">
        <f t="shared" si="7"/>
        <v>1.0665749887207878</v>
      </c>
      <c r="T43" s="18">
        <f t="shared" si="7"/>
        <v>1.0711354309165528</v>
      </c>
      <c r="U43" s="91"/>
      <c r="V43" s="37">
        <f>bdrate($D43:$D46,E43:E46,$L43:$L46,M43:M46)</f>
        <v>-3.3904006767255801E-3</v>
      </c>
      <c r="W43" s="42">
        <f>bdrate($D43:$D46,F43:F46,$L43:$L46,N43:N46)</f>
        <v>-9.9659923216161683E-2</v>
      </c>
      <c r="X43" s="42">
        <f>bdrate($D43:$D46,G43:G46,$L43:$L46,O43:O46)</f>
        <v>-3.8587567733382788E-2</v>
      </c>
      <c r="Y43" s="40">
        <f>bdrateOld($D43:$D46,E43:E46,$L43:$L46,M43:M46)</f>
        <v>-2.8570415329784993E-3</v>
      </c>
      <c r="Z43" s="44">
        <f>bdrateOld($D43:$D46,F43:F46,$L43:$L46,N43:N46)</f>
        <v>-9.6888296074893465E-2</v>
      </c>
      <c r="AA43" s="45">
        <f>bdrateOld($D43:$D46,G43:G46,$L43:$L46,O43:O46)</f>
        <v>-3.5448308987232946E-2</v>
      </c>
    </row>
    <row r="44" spans="1:27" x14ac:dyDescent="0.2">
      <c r="A44" s="16"/>
      <c r="B44" s="85"/>
      <c r="C44" s="16">
        <v>32</v>
      </c>
      <c r="D44" s="17">
        <f>Reference!B186</f>
        <v>495.84480000000002</v>
      </c>
      <c r="E44" s="18">
        <f>Reference!C186</f>
        <v>41.306899999999999</v>
      </c>
      <c r="F44" s="18">
        <f>Reference!D186</f>
        <v>45.576999999999998</v>
      </c>
      <c r="G44" s="18">
        <f>Reference!E186</f>
        <v>46.17</v>
      </c>
      <c r="H44" s="18">
        <f>Reference!F186</f>
        <v>33617.483999999997</v>
      </c>
      <c r="I44" s="18">
        <f>Reference!G186</f>
        <v>7.4329999999999998</v>
      </c>
      <c r="J44" s="19">
        <f t="shared" si="8"/>
        <v>9.3381899999999991</v>
      </c>
      <c r="L44" s="17">
        <f>Test!B186</f>
        <v>494.52960000000002</v>
      </c>
      <c r="M44" s="18">
        <f>Test!C186</f>
        <v>41.324800000000003</v>
      </c>
      <c r="N44" s="18">
        <f>Test!D186</f>
        <v>45.757899999999999</v>
      </c>
      <c r="O44" s="18">
        <f>Test!E186</f>
        <v>46.302199999999999</v>
      </c>
      <c r="P44" s="18">
        <f>Test!F186</f>
        <v>35692.879000000001</v>
      </c>
      <c r="Q44" s="18">
        <f>Test!G186</f>
        <v>8.1120000000000001</v>
      </c>
      <c r="R44" s="19">
        <f t="shared" si="9"/>
        <v>9.9146886111111119</v>
      </c>
      <c r="S44" s="17">
        <f t="shared" si="7"/>
        <v>1.0617355837813445</v>
      </c>
      <c r="T44" s="18">
        <f t="shared" si="7"/>
        <v>1.0913493878649267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263.3424</v>
      </c>
      <c r="E45" s="18">
        <f>Reference!C187</f>
        <v>39.142699999999998</v>
      </c>
      <c r="F45" s="18">
        <f>Reference!D187</f>
        <v>44.177799999999998</v>
      </c>
      <c r="G45" s="18">
        <f>Reference!E187</f>
        <v>44.761000000000003</v>
      </c>
      <c r="H45" s="18">
        <f>Reference!F187</f>
        <v>19386.967000000001</v>
      </c>
      <c r="I45" s="18">
        <f>Reference!G187</f>
        <v>5.6029999999999998</v>
      </c>
      <c r="J45" s="19">
        <f t="shared" si="8"/>
        <v>5.385268611111111</v>
      </c>
      <c r="L45" s="17">
        <f>Test!B187</f>
        <v>263.69600000000003</v>
      </c>
      <c r="M45" s="18">
        <f>Test!C187</f>
        <v>39.152200000000001</v>
      </c>
      <c r="N45" s="18">
        <f>Test!D187</f>
        <v>44.424399999999999</v>
      </c>
      <c r="O45" s="18">
        <f>Test!E187</f>
        <v>44.779499999999999</v>
      </c>
      <c r="P45" s="18">
        <f>Test!F187</f>
        <v>19936.072</v>
      </c>
      <c r="Q45" s="18">
        <f>Test!G187</f>
        <v>6.101</v>
      </c>
      <c r="R45" s="19">
        <f t="shared" si="9"/>
        <v>5.5377977777777776</v>
      </c>
      <c r="S45" s="17">
        <f t="shared" si="7"/>
        <v>1.0283234092264149</v>
      </c>
      <c r="T45" s="18">
        <f t="shared" si="7"/>
        <v>1.0888809566303765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143.5728</v>
      </c>
      <c r="E46" s="23">
        <f>Reference!C188</f>
        <v>36.380699999999997</v>
      </c>
      <c r="F46" s="23">
        <f>Reference!D188</f>
        <v>42.5351</v>
      </c>
      <c r="G46" s="23">
        <f>Reference!E188</f>
        <v>42.828099999999999</v>
      </c>
      <c r="H46" s="23">
        <f>Reference!F188</f>
        <v>11421.744000000001</v>
      </c>
      <c r="I46" s="23">
        <f>Reference!G188</f>
        <v>4.7640000000000002</v>
      </c>
      <c r="J46" s="24">
        <f t="shared" si="8"/>
        <v>3.172706666666667</v>
      </c>
      <c r="L46" s="22">
        <f>Test!B188</f>
        <v>143.37119999999999</v>
      </c>
      <c r="M46" s="23">
        <f>Test!C188</f>
        <v>36.364400000000003</v>
      </c>
      <c r="N46" s="23">
        <f>Test!D188</f>
        <v>42.905500000000004</v>
      </c>
      <c r="O46" s="23">
        <f>Test!E188</f>
        <v>43.0837</v>
      </c>
      <c r="P46" s="23">
        <f>Test!F188</f>
        <v>11935.268</v>
      </c>
      <c r="Q46" s="23">
        <f>Test!G188</f>
        <v>5.891</v>
      </c>
      <c r="R46" s="24">
        <f t="shared" si="9"/>
        <v>3.3153522222222223</v>
      </c>
      <c r="S46" s="17">
        <f t="shared" si="7"/>
        <v>1.0449602092289934</v>
      </c>
      <c r="T46" s="18">
        <f t="shared" si="7"/>
        <v>1.2365659109991602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1344.4384</v>
      </c>
      <c r="E47" s="13">
        <f>Reference!C189</f>
        <v>42.6404</v>
      </c>
      <c r="F47" s="13">
        <f>Reference!D189</f>
        <v>48.012599999999999</v>
      </c>
      <c r="G47" s="13">
        <f>Reference!E189</f>
        <v>47.463700000000003</v>
      </c>
      <c r="H47" s="13">
        <f>Reference!F189</f>
        <v>60866.612999999998</v>
      </c>
      <c r="I47" s="13">
        <f>Reference!G189</f>
        <v>9.8510000000000009</v>
      </c>
      <c r="J47" s="14">
        <f>H47/3600</f>
        <v>16.9073925</v>
      </c>
      <c r="L47" s="12">
        <f>Test!B189</f>
        <v>1326.9087999999999</v>
      </c>
      <c r="M47" s="13">
        <f>Test!C189</f>
        <v>42.6586</v>
      </c>
      <c r="N47" s="13">
        <f>Test!D189</f>
        <v>48.304200000000002</v>
      </c>
      <c r="O47" s="13">
        <f>Test!E189</f>
        <v>47.590499999999999</v>
      </c>
      <c r="P47" s="13">
        <f>Test!F189</f>
        <v>65648.241999999998</v>
      </c>
      <c r="Q47" s="13">
        <f>Test!G189</f>
        <v>9.875</v>
      </c>
      <c r="R47" s="14">
        <f>P47/3600</f>
        <v>18.235622777777778</v>
      </c>
      <c r="S47" s="17">
        <f t="shared" ref="S47:T62" si="10">P47/H47</f>
        <v>1.078559143746014</v>
      </c>
      <c r="T47" s="18">
        <f t="shared" si="10"/>
        <v>1.0024363008831589</v>
      </c>
      <c r="U47" s="91"/>
      <c r="V47" s="37">
        <f>bdrate($D47:$D50,E47:E50,$L47:$L50,M47:M50)</f>
        <v>-1.3218791606270042E-2</v>
      </c>
      <c r="W47" s="42">
        <f>bdrate($D47:$D50,F47:F50,$L47:$L50,N47:N50)</f>
        <v>-0.14133349335744283</v>
      </c>
      <c r="X47" s="43">
        <f>bdrate($D47:$D50,G47:G50,$L47:$L50,O47:O50)</f>
        <v>-8.6432005914617194E-2</v>
      </c>
      <c r="Y47" s="37">
        <f>bdrateOld($D47:$D50,E47:E50,$L47:$L50,M47:M50)</f>
        <v>-1.2960291151637215E-2</v>
      </c>
      <c r="Z47" s="42">
        <f>bdrateOld($D47:$D50,F47:F50,$L47:$L50,N47:N50)</f>
        <v>-0.13553035166810679</v>
      </c>
      <c r="AA47" s="43">
        <f>bdrateOld($D47:$D50,G47:G50,$L47:$L50,O47:O50)</f>
        <v>-8.6173944852913742E-2</v>
      </c>
    </row>
    <row r="48" spans="1:27" x14ac:dyDescent="0.2">
      <c r="A48" s="16"/>
      <c r="B48" s="85"/>
      <c r="C48" s="16">
        <v>32</v>
      </c>
      <c r="D48" s="17">
        <f>Reference!B190</f>
        <v>660.74080000000004</v>
      </c>
      <c r="E48" s="18">
        <f>Reference!C190</f>
        <v>40.947499999999998</v>
      </c>
      <c r="F48" s="18">
        <f>Reference!D190</f>
        <v>47.2423</v>
      </c>
      <c r="G48" s="18">
        <f>Reference!E190</f>
        <v>46.268700000000003</v>
      </c>
      <c r="H48" s="18">
        <f>Reference!F190</f>
        <v>35176.175999999999</v>
      </c>
      <c r="I48" s="18">
        <f>Reference!G190</f>
        <v>7.1239999999999997</v>
      </c>
      <c r="J48" s="19">
        <f t="shared" ref="J48:J70" si="11">H48/3600</f>
        <v>9.7711600000000001</v>
      </c>
      <c r="L48" s="17">
        <f>Test!B190</f>
        <v>654.29759999999999</v>
      </c>
      <c r="M48" s="18">
        <f>Test!C190</f>
        <v>40.968000000000004</v>
      </c>
      <c r="N48" s="18">
        <f>Test!D190</f>
        <v>47.557000000000002</v>
      </c>
      <c r="O48" s="18">
        <f>Test!E190</f>
        <v>46.446399999999997</v>
      </c>
      <c r="P48" s="18">
        <f>Test!F190</f>
        <v>38349.519999999997</v>
      </c>
      <c r="Q48" s="18">
        <f>Test!G190</f>
        <v>8.6950000000000003</v>
      </c>
      <c r="R48" s="19">
        <f t="shared" ref="R48:R70" si="12">P48/3600</f>
        <v>10.652644444444444</v>
      </c>
      <c r="S48" s="17">
        <f t="shared" si="10"/>
        <v>1.0902128758964589</v>
      </c>
      <c r="T48" s="18">
        <f t="shared" si="10"/>
        <v>1.2205221785513758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350.69760000000002</v>
      </c>
      <c r="E49" s="18">
        <f>Reference!C191</f>
        <v>38.663400000000003</v>
      </c>
      <c r="F49" s="18">
        <f>Reference!D191</f>
        <v>46.154499999999999</v>
      </c>
      <c r="G49" s="18">
        <f>Reference!E191</f>
        <v>44.591999999999999</v>
      </c>
      <c r="H49" s="18">
        <f>Reference!F191</f>
        <v>21055.178</v>
      </c>
      <c r="I49" s="18">
        <f>Reference!G191</f>
        <v>6.4249999999999998</v>
      </c>
      <c r="J49" s="19">
        <f t="shared" si="11"/>
        <v>5.8486605555555551</v>
      </c>
      <c r="L49" s="17">
        <f>Test!B191</f>
        <v>348.96640000000002</v>
      </c>
      <c r="M49" s="18">
        <f>Test!C191</f>
        <v>38.689399999999999</v>
      </c>
      <c r="N49" s="18">
        <f>Test!D191</f>
        <v>46.414299999999997</v>
      </c>
      <c r="O49" s="18">
        <f>Test!E191</f>
        <v>44.871299999999998</v>
      </c>
      <c r="P49" s="18">
        <f>Test!F191</f>
        <v>22319.613000000001</v>
      </c>
      <c r="Q49" s="18">
        <f>Test!G191</f>
        <v>7.1150000000000002</v>
      </c>
      <c r="R49" s="19">
        <f t="shared" si="12"/>
        <v>6.1998925000000007</v>
      </c>
      <c r="S49" s="17">
        <f t="shared" si="10"/>
        <v>1.0600533987411553</v>
      </c>
      <c r="T49" s="18">
        <f t="shared" si="10"/>
        <v>1.1073929961089495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192.2576</v>
      </c>
      <c r="E50" s="23">
        <f>Reference!C192</f>
        <v>35.631399999999999</v>
      </c>
      <c r="F50" s="23">
        <f>Reference!D192</f>
        <v>44.6372</v>
      </c>
      <c r="G50" s="23">
        <f>Reference!E192</f>
        <v>42.174700000000001</v>
      </c>
      <c r="H50" s="23">
        <f>Reference!F192</f>
        <v>13238.692999999999</v>
      </c>
      <c r="I50" s="23">
        <f>Reference!G192</f>
        <v>5.4960000000000004</v>
      </c>
      <c r="J50" s="24">
        <f t="shared" si="11"/>
        <v>3.6774147222222222</v>
      </c>
      <c r="L50" s="22">
        <f>Test!B192</f>
        <v>190.6208</v>
      </c>
      <c r="M50" s="23">
        <f>Test!C192</f>
        <v>35.633899999999997</v>
      </c>
      <c r="N50" s="23">
        <f>Test!D192</f>
        <v>44.740499999999997</v>
      </c>
      <c r="O50" s="23">
        <f>Test!E192</f>
        <v>42.4467</v>
      </c>
      <c r="P50" s="23">
        <f>Test!F192</f>
        <v>13736.767</v>
      </c>
      <c r="Q50" s="23">
        <f>Test!G192</f>
        <v>6.3380000000000001</v>
      </c>
      <c r="R50" s="24">
        <f t="shared" si="12"/>
        <v>3.8157686111111109</v>
      </c>
      <c r="S50" s="22">
        <f t="shared" si="10"/>
        <v>1.0376225961278807</v>
      </c>
      <c r="T50" s="23">
        <f t="shared" si="10"/>
        <v>1.153202328966521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23.170829188460729</v>
      </c>
      <c r="J75" s="15">
        <f>GEOMEAN(J3:J18)</f>
        <v>29.8278134997508</v>
      </c>
      <c r="Q75" s="15">
        <f>GEOMEAN(Q3:Q18)</f>
        <v>24.382343724434357</v>
      </c>
      <c r="R75" s="15">
        <f>GEOMEAN(R3:R18)</f>
        <v>32.179375488376337</v>
      </c>
      <c r="S75" s="15">
        <f>GEOMEAN(S3:S18)</f>
        <v>1.0788378936540282</v>
      </c>
      <c r="T75" s="15">
        <f>GEOMEAN(T3:T18)</f>
        <v>1.0522861968434418</v>
      </c>
      <c r="V75" s="37">
        <f>AVERAGE(V3:V18)</f>
        <v>-5.5741211025907844E-3</v>
      </c>
      <c r="W75" s="42">
        <f t="shared" ref="W75:AA75" si="17">AVERAGE(W3:W18)</f>
        <v>-4.2892729551815445E-2</v>
      </c>
      <c r="X75" s="42">
        <f t="shared" si="17"/>
        <v>-3.224714985996191E-2</v>
      </c>
      <c r="Y75" s="37">
        <f>AVERAGE(Y3:Y18)</f>
        <v>-5.4856003213267779E-3</v>
      </c>
      <c r="Z75" s="42">
        <f t="shared" si="17"/>
        <v>-4.2532750898588267E-2</v>
      </c>
      <c r="AA75" s="43">
        <f t="shared" si="17"/>
        <v>-3.2083333478175019E-2</v>
      </c>
    </row>
    <row r="76" spans="1:27" x14ac:dyDescent="0.2">
      <c r="B76" s="89" t="s">
        <v>47</v>
      </c>
      <c r="I76" s="15">
        <f>GEOMEAN(I19:I34)</f>
        <v>27.38058401004723</v>
      </c>
      <c r="J76" s="15">
        <f>GEOMEAN(J19:J34)</f>
        <v>38.27725341314482</v>
      </c>
      <c r="Q76" s="15">
        <f>GEOMEAN(Q19:Q34)</f>
        <v>29.39646699272279</v>
      </c>
      <c r="R76" s="15">
        <f>GEOMEAN(R19:R34)</f>
        <v>41.927272570942705</v>
      </c>
      <c r="S76" s="15">
        <f>GEOMEAN(S19:S34)</f>
        <v>1.0953573945967718</v>
      </c>
      <c r="T76" s="15">
        <f>GEOMEAN(T19:T34)</f>
        <v>1.0736245429219422</v>
      </c>
      <c r="V76" s="38">
        <f>AVERAGE(V19:V34)</f>
        <v>-1.0931740110940585E-2</v>
      </c>
      <c r="W76" s="25">
        <f t="shared" ref="W76:AA76" si="18">AVERAGE(W19:W34)</f>
        <v>-8.2944043090600855E-2</v>
      </c>
      <c r="X76" s="25">
        <f t="shared" si="18"/>
        <v>-7.5573507669611767E-2</v>
      </c>
      <c r="Y76" s="38">
        <f t="shared" si="18"/>
        <v>-1.0927481333244282E-2</v>
      </c>
      <c r="Z76" s="25">
        <f t="shared" si="18"/>
        <v>-8.2455704295999327E-2</v>
      </c>
      <c r="AA76" s="50">
        <f t="shared" si="18"/>
        <v>-7.5295907329603284E-2</v>
      </c>
    </row>
    <row r="77" spans="1:27" x14ac:dyDescent="0.2">
      <c r="B77" s="89" t="s">
        <v>51</v>
      </c>
      <c r="I77" s="15">
        <f>GEOMEAN(I35:I50)</f>
        <v>9.1175461938693605</v>
      </c>
      <c r="J77" s="15">
        <f>GEOMEAN(J35:J50)</f>
        <v>11.502908440735284</v>
      </c>
      <c r="Q77" s="15">
        <f>GEOMEAN(Q35:Q50)</f>
        <v>9.9408167005675896</v>
      </c>
      <c r="R77" s="15">
        <f>GEOMEAN(R35:R50)</f>
        <v>12.194179054784861</v>
      </c>
      <c r="S77" s="15">
        <f>GEOMEAN(S35:S50)</f>
        <v>1.0600952896053297</v>
      </c>
      <c r="T77" s="15">
        <f>GEOMEAN(T35:T50)</f>
        <v>1.0902951835058206</v>
      </c>
      <c r="V77" s="38">
        <f>AVERAGE(V35:V50)</f>
        <v>-6.7617130680983906E-3</v>
      </c>
      <c r="W77" s="25">
        <f t="shared" ref="W77:AA77" si="19">AVERAGE(W35:W50)</f>
        <v>-0.15197925720534958</v>
      </c>
      <c r="X77" s="25">
        <f t="shared" si="19"/>
        <v>-0.10500705030044902</v>
      </c>
      <c r="Y77" s="38">
        <f t="shared" si="19"/>
        <v>-6.4689021774085032E-3</v>
      </c>
      <c r="Z77" s="25">
        <f t="shared" si="19"/>
        <v>-0.1486936708966913</v>
      </c>
      <c r="AA77" s="50">
        <f t="shared" si="19"/>
        <v>-0.10293694861208705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17.950949219845352</v>
      </c>
      <c r="J80" s="54">
        <f xml:space="preserve"> GEOMEAN(J3:J50)</f>
        <v>23.593368438413211</v>
      </c>
      <c r="K80" s="4"/>
      <c r="L80" s="4"/>
      <c r="M80" s="4"/>
      <c r="N80" s="4"/>
      <c r="O80" s="4"/>
      <c r="P80" s="4"/>
      <c r="Q80" s="54">
        <f xml:space="preserve"> GEOMEAN(Q3:Q50)</f>
        <v>19.242620627554533</v>
      </c>
      <c r="R80" s="54">
        <f xml:space="preserve"> GEOMEAN(R3:R50)</f>
        <v>25.433664043193925</v>
      </c>
      <c r="S80" s="54">
        <f>GEOMEAN(S3:S50)</f>
        <v>1.0780005453474995</v>
      </c>
      <c r="T80" s="54">
        <f>GEOMEAN(T3:T50)</f>
        <v>1.0719556047922634</v>
      </c>
      <c r="U80" s="4"/>
      <c r="V80" s="41">
        <f>AVERAGE(V3:V50)</f>
        <v>-7.7558580938765871E-3</v>
      </c>
      <c r="W80" s="46">
        <f t="shared" ref="W80:AA80" si="23">AVERAGE(W3:W50)</f>
        <v>-9.2605343282588626E-2</v>
      </c>
      <c r="X80" s="47">
        <f t="shared" si="23"/>
        <v>-7.0942569276674236E-2</v>
      </c>
      <c r="Y80" s="46">
        <f t="shared" si="23"/>
        <v>-7.627327943993188E-3</v>
      </c>
      <c r="Z80" s="46">
        <f t="shared" si="23"/>
        <v>-9.1227375363759633E-2</v>
      </c>
      <c r="AA80" s="47">
        <f t="shared" si="23"/>
        <v>-7.010539647328845E-2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B145" sqref="B145:G192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77588.665900000007</v>
      </c>
      <c r="C1">
        <v>40.803199999999997</v>
      </c>
      <c r="D1">
        <v>49.127800000000001</v>
      </c>
      <c r="E1">
        <v>47.654299999999999</v>
      </c>
      <c r="F1">
        <v>93289.983999999997</v>
      </c>
      <c r="G1">
        <v>27.513999999999999</v>
      </c>
    </row>
    <row r="2" spans="1:7" x14ac:dyDescent="0.15">
      <c r="A2" s="141" t="s">
        <v>191</v>
      </c>
      <c r="B2">
        <v>41846.529699999999</v>
      </c>
      <c r="C2">
        <v>40.151200000000003</v>
      </c>
      <c r="D2">
        <v>48.341099999999997</v>
      </c>
      <c r="E2">
        <v>46.536799999999999</v>
      </c>
      <c r="F2">
        <v>50657.042999999998</v>
      </c>
      <c r="G2">
        <v>25.306999999999999</v>
      </c>
    </row>
    <row r="3" spans="1:7" x14ac:dyDescent="0.15">
      <c r="A3" s="141" t="s">
        <v>192</v>
      </c>
      <c r="B3">
        <v>25031.403200000001</v>
      </c>
      <c r="C3">
        <v>39.418199999999999</v>
      </c>
      <c r="D3">
        <v>47.361499999999999</v>
      </c>
      <c r="E3">
        <v>45.252699999999997</v>
      </c>
      <c r="F3">
        <v>29623.905999999999</v>
      </c>
      <c r="G3">
        <v>23.198</v>
      </c>
    </row>
    <row r="4" spans="1:7" x14ac:dyDescent="0.15">
      <c r="A4" s="141" t="s">
        <v>193</v>
      </c>
      <c r="B4">
        <v>14262.7459</v>
      </c>
      <c r="C4">
        <v>38.194699999999997</v>
      </c>
      <c r="D4">
        <v>45.867600000000003</v>
      </c>
      <c r="E4">
        <v>43.461599999999997</v>
      </c>
      <c r="F4">
        <v>16348.081</v>
      </c>
      <c r="G4">
        <v>21.597999999999999</v>
      </c>
    </row>
    <row r="5" spans="1:7" x14ac:dyDescent="0.15">
      <c r="A5" s="141" t="s">
        <v>194</v>
      </c>
      <c r="B5">
        <v>325484.08419999998</v>
      </c>
      <c r="C5">
        <v>44.657800000000002</v>
      </c>
      <c r="D5">
        <v>38.8902</v>
      </c>
      <c r="E5">
        <v>39.390099999999997</v>
      </c>
      <c r="F5">
        <v>148851.84400000001</v>
      </c>
      <c r="G5">
        <v>40.213000000000001</v>
      </c>
    </row>
    <row r="6" spans="1:7" x14ac:dyDescent="0.15">
      <c r="A6" s="141" t="s">
        <v>195</v>
      </c>
      <c r="B6">
        <v>207847.74739999999</v>
      </c>
      <c r="C6">
        <v>41.8889</v>
      </c>
      <c r="D6">
        <v>36.314599999999999</v>
      </c>
      <c r="E6">
        <v>37.128500000000003</v>
      </c>
      <c r="F6">
        <v>117340.43799999999</v>
      </c>
      <c r="G6">
        <v>35.737000000000002</v>
      </c>
    </row>
    <row r="7" spans="1:7" x14ac:dyDescent="0.15">
      <c r="A7" s="141" t="s">
        <v>196</v>
      </c>
      <c r="B7">
        <v>118670.07369999999</v>
      </c>
      <c r="C7">
        <v>38.655099999999997</v>
      </c>
      <c r="D7">
        <v>34.024700000000003</v>
      </c>
      <c r="E7">
        <v>35.0749</v>
      </c>
      <c r="F7">
        <v>85500.016000000003</v>
      </c>
      <c r="G7">
        <v>31.187000000000001</v>
      </c>
    </row>
    <row r="8" spans="1:7" x14ac:dyDescent="0.15">
      <c r="A8" s="141" t="s">
        <v>197</v>
      </c>
      <c r="B8">
        <v>55929.968399999998</v>
      </c>
      <c r="C8">
        <v>35.199100000000001</v>
      </c>
      <c r="D8">
        <v>31.658999999999999</v>
      </c>
      <c r="E8">
        <v>33.125300000000003</v>
      </c>
      <c r="F8">
        <v>54771.836000000003</v>
      </c>
      <c r="G8">
        <v>26.622</v>
      </c>
    </row>
    <row r="9" spans="1:7" x14ac:dyDescent="0.15">
      <c r="A9" s="141" t="s">
        <v>198</v>
      </c>
      <c r="B9">
        <v>125550.82739999999</v>
      </c>
      <c r="C9">
        <v>41.548200000000001</v>
      </c>
      <c r="D9">
        <v>43.828299999999999</v>
      </c>
      <c r="E9">
        <v>42.734000000000002</v>
      </c>
      <c r="F9">
        <v>148396.93799999999</v>
      </c>
      <c r="G9">
        <v>32.729999999999997</v>
      </c>
    </row>
    <row r="10" spans="1:7" x14ac:dyDescent="0.15">
      <c r="A10" s="141" t="s">
        <v>199</v>
      </c>
      <c r="B10">
        <v>56403.107400000001</v>
      </c>
      <c r="C10">
        <v>38.857599999999998</v>
      </c>
      <c r="D10">
        <v>41.230499999999999</v>
      </c>
      <c r="E10">
        <v>41.567399999999999</v>
      </c>
      <c r="F10">
        <v>90694.804999999993</v>
      </c>
      <c r="G10">
        <v>26.456</v>
      </c>
    </row>
    <row r="11" spans="1:7" x14ac:dyDescent="0.15">
      <c r="A11" s="141" t="s">
        <v>200</v>
      </c>
      <c r="B11">
        <v>25623.151600000001</v>
      </c>
      <c r="C11">
        <v>37.2883</v>
      </c>
      <c r="D11">
        <v>38.917099999999998</v>
      </c>
      <c r="E11">
        <v>40.428899999999999</v>
      </c>
      <c r="F11">
        <v>47673.987999999998</v>
      </c>
      <c r="G11">
        <v>22.498999999999999</v>
      </c>
    </row>
    <row r="12" spans="1:7" x14ac:dyDescent="0.15">
      <c r="A12" s="141" t="s">
        <v>201</v>
      </c>
      <c r="B12">
        <v>12373.44</v>
      </c>
      <c r="C12">
        <v>35.898000000000003</v>
      </c>
      <c r="D12">
        <v>36.222799999999999</v>
      </c>
      <c r="E12">
        <v>38.914000000000001</v>
      </c>
      <c r="F12">
        <v>26523.276999999998</v>
      </c>
      <c r="G12">
        <v>20.614000000000001</v>
      </c>
    </row>
    <row r="13" spans="1:7" x14ac:dyDescent="0.15">
      <c r="A13" s="141" t="s">
        <v>202</v>
      </c>
      <c r="B13">
        <v>179021.53260000001</v>
      </c>
      <c r="C13">
        <v>38.606000000000002</v>
      </c>
      <c r="D13">
        <v>45.484999999999999</v>
      </c>
      <c r="E13">
        <v>43.296199999999999</v>
      </c>
      <c r="F13">
        <v>174761.016</v>
      </c>
      <c r="G13">
        <v>34.012</v>
      </c>
    </row>
    <row r="14" spans="1:7" x14ac:dyDescent="0.15">
      <c r="A14" s="141" t="s">
        <v>203</v>
      </c>
      <c r="B14">
        <v>87325.452600000004</v>
      </c>
      <c r="C14">
        <v>37.667299999999997</v>
      </c>
      <c r="D14">
        <v>44.522500000000001</v>
      </c>
      <c r="E14">
        <v>42.136699999999998</v>
      </c>
      <c r="F14">
        <v>97698.258000000002</v>
      </c>
      <c r="G14">
        <v>28.460999999999999</v>
      </c>
    </row>
    <row r="15" spans="1:7" x14ac:dyDescent="0.15">
      <c r="A15" s="141" t="s">
        <v>204</v>
      </c>
      <c r="B15">
        <v>50170.433700000001</v>
      </c>
      <c r="C15">
        <v>36.740299999999998</v>
      </c>
      <c r="D15">
        <v>43.465600000000002</v>
      </c>
      <c r="E15">
        <v>40.918100000000003</v>
      </c>
      <c r="F15">
        <v>57932.538999999997</v>
      </c>
      <c r="G15">
        <v>25.661999999999999</v>
      </c>
    </row>
    <row r="16" spans="1:7" x14ac:dyDescent="0.15">
      <c r="A16" s="141" t="s">
        <v>205</v>
      </c>
      <c r="B16">
        <v>26429.482100000001</v>
      </c>
      <c r="C16">
        <v>35.237499999999997</v>
      </c>
      <c r="D16">
        <v>41.996600000000001</v>
      </c>
      <c r="E16">
        <v>39.508899999999997</v>
      </c>
      <c r="F16">
        <v>33240.910000000003</v>
      </c>
      <c r="G16">
        <v>22.132999999999999</v>
      </c>
    </row>
    <row r="17" spans="1:7" x14ac:dyDescent="0.15">
      <c r="A17" s="141" t="s">
        <v>94</v>
      </c>
      <c r="B17">
        <v>68199.485700000005</v>
      </c>
      <c r="C17">
        <v>39.544199999999996</v>
      </c>
      <c r="D17">
        <v>40.380800000000001</v>
      </c>
      <c r="E17">
        <v>43.293399999999998</v>
      </c>
      <c r="F17">
        <v>86075.125</v>
      </c>
      <c r="G17">
        <v>17.405000000000001</v>
      </c>
    </row>
    <row r="18" spans="1:7" x14ac:dyDescent="0.15">
      <c r="A18" s="141" t="s">
        <v>95</v>
      </c>
      <c r="B18">
        <v>40694.165099999998</v>
      </c>
      <c r="C18">
        <v>37.903599999999997</v>
      </c>
      <c r="D18">
        <v>39.339100000000002</v>
      </c>
      <c r="E18">
        <v>41.8279</v>
      </c>
      <c r="F18">
        <v>58062.137000000002</v>
      </c>
      <c r="G18">
        <v>14.493</v>
      </c>
    </row>
    <row r="19" spans="1:7" x14ac:dyDescent="0.15">
      <c r="A19" s="141" t="s">
        <v>96</v>
      </c>
      <c r="B19">
        <v>23458.6603</v>
      </c>
      <c r="C19">
        <v>35.987200000000001</v>
      </c>
      <c r="D19">
        <v>38.410299999999999</v>
      </c>
      <c r="E19">
        <v>40.382100000000001</v>
      </c>
      <c r="F19">
        <v>38289.934000000001</v>
      </c>
      <c r="G19">
        <v>12.21</v>
      </c>
    </row>
    <row r="20" spans="1:7" x14ac:dyDescent="0.15">
      <c r="A20" s="141" t="s">
        <v>97</v>
      </c>
      <c r="B20">
        <v>11956.2286</v>
      </c>
      <c r="C20">
        <v>33.5122</v>
      </c>
      <c r="D20">
        <v>37.170999999999999</v>
      </c>
      <c r="E20">
        <v>38.654299999999999</v>
      </c>
      <c r="F20">
        <v>23717.16</v>
      </c>
      <c r="G20">
        <v>10.391999999999999</v>
      </c>
    </row>
    <row r="21" spans="1:7" x14ac:dyDescent="0.15">
      <c r="A21" s="141" t="s">
        <v>98</v>
      </c>
      <c r="B21">
        <v>42969.618999999999</v>
      </c>
      <c r="C21">
        <v>40.189900000000002</v>
      </c>
      <c r="D21">
        <v>44.076000000000001</v>
      </c>
      <c r="E21">
        <v>45.491900000000001</v>
      </c>
      <c r="F21">
        <v>66228.608999999997</v>
      </c>
      <c r="G21">
        <v>14.414</v>
      </c>
    </row>
    <row r="22" spans="1:7" x14ac:dyDescent="0.15">
      <c r="A22" s="141" t="s">
        <v>99</v>
      </c>
      <c r="B22">
        <v>23379.828600000001</v>
      </c>
      <c r="C22">
        <v>38.715400000000002</v>
      </c>
      <c r="D22">
        <v>43.0366</v>
      </c>
      <c r="E22">
        <v>43.969000000000001</v>
      </c>
      <c r="F22">
        <v>42475.535000000003</v>
      </c>
      <c r="G22">
        <v>12.073</v>
      </c>
    </row>
    <row r="23" spans="1:7" x14ac:dyDescent="0.15">
      <c r="A23" s="141" t="s">
        <v>100</v>
      </c>
      <c r="B23">
        <v>13124.9079</v>
      </c>
      <c r="C23">
        <v>37.258200000000002</v>
      </c>
      <c r="D23">
        <v>41.8872</v>
      </c>
      <c r="E23">
        <v>42.374200000000002</v>
      </c>
      <c r="F23">
        <v>26693.883000000002</v>
      </c>
      <c r="G23">
        <v>10.906000000000001</v>
      </c>
    </row>
    <row r="24" spans="1:7" x14ac:dyDescent="0.15">
      <c r="A24" s="141" t="s">
        <v>101</v>
      </c>
      <c r="B24">
        <v>7012.0443999999998</v>
      </c>
      <c r="C24">
        <v>35.334099999999999</v>
      </c>
      <c r="D24">
        <v>40.360799999999998</v>
      </c>
      <c r="E24">
        <v>40.408000000000001</v>
      </c>
      <c r="F24">
        <v>15910.125</v>
      </c>
      <c r="G24">
        <v>9.7959999999999994</v>
      </c>
    </row>
    <row r="25" spans="1:7" x14ac:dyDescent="0.15">
      <c r="A25" s="141" t="s">
        <v>206</v>
      </c>
      <c r="B25">
        <v>65132.2304</v>
      </c>
      <c r="C25">
        <v>41.6967</v>
      </c>
      <c r="D25">
        <v>44.177500000000002</v>
      </c>
      <c r="E25">
        <v>44.939700000000002</v>
      </c>
      <c r="F25">
        <v>73486.875</v>
      </c>
      <c r="G25">
        <v>18.437000000000001</v>
      </c>
    </row>
    <row r="26" spans="1:7" x14ac:dyDescent="0.15">
      <c r="A26" s="141" t="s">
        <v>207</v>
      </c>
      <c r="B26">
        <v>41949.356800000001</v>
      </c>
      <c r="C26">
        <v>39.901499999999999</v>
      </c>
      <c r="D26">
        <v>42.652099999999997</v>
      </c>
      <c r="E26">
        <v>43.618299999999998</v>
      </c>
      <c r="F26">
        <v>52939.440999999999</v>
      </c>
      <c r="G26">
        <v>16.062999999999999</v>
      </c>
    </row>
    <row r="27" spans="1:7" x14ac:dyDescent="0.15">
      <c r="A27" s="141" t="s">
        <v>208</v>
      </c>
      <c r="B27">
        <v>24656.844799999999</v>
      </c>
      <c r="C27">
        <v>37.682299999999998</v>
      </c>
      <c r="D27">
        <v>41.2622</v>
      </c>
      <c r="E27">
        <v>42.259399999999999</v>
      </c>
      <c r="F27">
        <v>35685.061999999998</v>
      </c>
      <c r="G27">
        <v>14.039</v>
      </c>
    </row>
    <row r="28" spans="1:7" x14ac:dyDescent="0.15">
      <c r="A28" s="141" t="s">
        <v>209</v>
      </c>
      <c r="B28">
        <v>12470.1824</v>
      </c>
      <c r="C28">
        <v>35.005499999999998</v>
      </c>
      <c r="D28">
        <v>39.689799999999998</v>
      </c>
      <c r="E28">
        <v>40.6066</v>
      </c>
      <c r="F28">
        <v>21962.032999999999</v>
      </c>
      <c r="G28">
        <v>11.984</v>
      </c>
    </row>
    <row r="29" spans="1:7" x14ac:dyDescent="0.15">
      <c r="A29" s="141" t="s">
        <v>210</v>
      </c>
      <c r="B29">
        <v>39884.294399999999</v>
      </c>
      <c r="C29">
        <v>44.871200000000002</v>
      </c>
      <c r="D29">
        <v>47.074300000000001</v>
      </c>
      <c r="E29">
        <v>48.030500000000004</v>
      </c>
      <c r="F29">
        <v>51259.112999999998</v>
      </c>
      <c r="G29">
        <v>15.791</v>
      </c>
    </row>
    <row r="30" spans="1:7" x14ac:dyDescent="0.15">
      <c r="A30" s="141" t="s">
        <v>211</v>
      </c>
      <c r="B30">
        <v>26318.323199999999</v>
      </c>
      <c r="C30">
        <v>42.7258</v>
      </c>
      <c r="D30">
        <v>45.315100000000001</v>
      </c>
      <c r="E30">
        <v>46.151800000000001</v>
      </c>
      <c r="F30">
        <v>38880.781000000003</v>
      </c>
      <c r="G30">
        <v>14.901</v>
      </c>
    </row>
    <row r="31" spans="1:7" x14ac:dyDescent="0.15">
      <c r="A31" s="141" t="s">
        <v>212</v>
      </c>
      <c r="B31">
        <v>15598.6752</v>
      </c>
      <c r="C31">
        <v>40.0533</v>
      </c>
      <c r="D31">
        <v>43.674500000000002</v>
      </c>
      <c r="E31">
        <v>44.338799999999999</v>
      </c>
      <c r="F31">
        <v>26944.478999999999</v>
      </c>
      <c r="G31">
        <v>12.847</v>
      </c>
    </row>
    <row r="32" spans="1:7" x14ac:dyDescent="0.15">
      <c r="A32" s="141" t="s">
        <v>213</v>
      </c>
      <c r="B32">
        <v>8142.5792000000001</v>
      </c>
      <c r="C32">
        <v>36.989899999999999</v>
      </c>
      <c r="D32">
        <v>41.802399999999999</v>
      </c>
      <c r="E32">
        <v>42.172800000000002</v>
      </c>
      <c r="F32">
        <v>16577.736000000001</v>
      </c>
      <c r="G32">
        <v>11.122999999999999</v>
      </c>
    </row>
    <row r="33" spans="1:7" x14ac:dyDescent="0.15">
      <c r="A33" s="141" t="s">
        <v>102</v>
      </c>
      <c r="B33">
        <v>54207.001600000003</v>
      </c>
      <c r="C33">
        <v>41.692</v>
      </c>
      <c r="D33">
        <v>45.704300000000003</v>
      </c>
      <c r="E33">
        <v>46.062899999999999</v>
      </c>
      <c r="F33">
        <v>50450.016000000003</v>
      </c>
      <c r="G33">
        <v>10.23</v>
      </c>
    </row>
    <row r="34" spans="1:7" x14ac:dyDescent="0.15">
      <c r="A34" s="141" t="s">
        <v>103</v>
      </c>
      <c r="B34">
        <v>37002.419199999997</v>
      </c>
      <c r="C34">
        <v>38.774000000000001</v>
      </c>
      <c r="D34">
        <v>43.741799999999998</v>
      </c>
      <c r="E34">
        <v>44.1708</v>
      </c>
      <c r="F34">
        <v>41071.125</v>
      </c>
      <c r="G34">
        <v>9.4079999999999995</v>
      </c>
    </row>
    <row r="35" spans="1:7" x14ac:dyDescent="0.15">
      <c r="A35" s="141" t="s">
        <v>104</v>
      </c>
      <c r="B35">
        <v>22006.892800000001</v>
      </c>
      <c r="C35">
        <v>35.409599999999998</v>
      </c>
      <c r="D35">
        <v>42.109400000000001</v>
      </c>
      <c r="E35">
        <v>42.617699999999999</v>
      </c>
      <c r="F35">
        <v>30615.440999999999</v>
      </c>
      <c r="G35">
        <v>7.69</v>
      </c>
    </row>
    <row r="36" spans="1:7" x14ac:dyDescent="0.15">
      <c r="A36" s="141" t="s">
        <v>105</v>
      </c>
      <c r="B36">
        <v>10857.337600000001</v>
      </c>
      <c r="C36">
        <v>31.7957</v>
      </c>
      <c r="D36">
        <v>40.561199999999999</v>
      </c>
      <c r="E36">
        <v>41.189799999999998</v>
      </c>
      <c r="F36">
        <v>19919.342000000001</v>
      </c>
      <c r="G36">
        <v>6.38</v>
      </c>
    </row>
    <row r="37" spans="1:7" x14ac:dyDescent="0.15">
      <c r="A37" s="141" t="s">
        <v>106</v>
      </c>
      <c r="B37">
        <v>20385.977599999998</v>
      </c>
      <c r="C37">
        <v>42.6738</v>
      </c>
      <c r="D37">
        <v>45.431699999999999</v>
      </c>
      <c r="E37">
        <v>46.899099999999997</v>
      </c>
      <c r="F37">
        <v>28670.528999999999</v>
      </c>
      <c r="G37">
        <v>7.1589999999999998</v>
      </c>
    </row>
    <row r="38" spans="1:7" x14ac:dyDescent="0.15">
      <c r="A38" s="141" t="s">
        <v>107</v>
      </c>
      <c r="B38">
        <v>11590.6176</v>
      </c>
      <c r="C38">
        <v>40.659399999999998</v>
      </c>
      <c r="D38">
        <v>44.46</v>
      </c>
      <c r="E38">
        <v>45.232199999999999</v>
      </c>
      <c r="F38">
        <v>19668.919999999998</v>
      </c>
      <c r="G38">
        <v>6.1239999999999997</v>
      </c>
    </row>
    <row r="39" spans="1:7" x14ac:dyDescent="0.15">
      <c r="A39" s="141" t="s">
        <v>108</v>
      </c>
      <c r="B39">
        <v>6422.8352000000004</v>
      </c>
      <c r="C39">
        <v>38.649000000000001</v>
      </c>
      <c r="D39">
        <v>43.472200000000001</v>
      </c>
      <c r="E39">
        <v>43.478400000000001</v>
      </c>
      <c r="F39">
        <v>12629.157999999999</v>
      </c>
      <c r="G39">
        <v>5.4219999999999997</v>
      </c>
    </row>
    <row r="40" spans="1:7" x14ac:dyDescent="0.15">
      <c r="A40" s="141" t="s">
        <v>109</v>
      </c>
      <c r="B40">
        <v>3275.5583999999999</v>
      </c>
      <c r="C40">
        <v>36.2761</v>
      </c>
      <c r="D40">
        <v>42.096299999999999</v>
      </c>
      <c r="E40">
        <v>41.331200000000003</v>
      </c>
      <c r="F40">
        <v>7406.1019999999999</v>
      </c>
      <c r="G40">
        <v>4.8609999999999998</v>
      </c>
    </row>
    <row r="41" spans="1:7" x14ac:dyDescent="0.15">
      <c r="A41" s="141" t="s">
        <v>110</v>
      </c>
      <c r="B41">
        <v>15333.28</v>
      </c>
      <c r="C41">
        <v>44.186999999999998</v>
      </c>
      <c r="D41">
        <v>46.915700000000001</v>
      </c>
      <c r="E41">
        <v>47.784700000000001</v>
      </c>
      <c r="F41">
        <v>22651.243999999999</v>
      </c>
      <c r="G41">
        <v>6.6689999999999996</v>
      </c>
    </row>
    <row r="42" spans="1:7" x14ac:dyDescent="0.15">
      <c r="A42" s="141" t="s">
        <v>111</v>
      </c>
      <c r="B42">
        <v>10381.4784</v>
      </c>
      <c r="C42">
        <v>42.454000000000001</v>
      </c>
      <c r="D42">
        <v>45.677100000000003</v>
      </c>
      <c r="E42">
        <v>46.354100000000003</v>
      </c>
      <c r="F42">
        <v>16846.557000000001</v>
      </c>
      <c r="G42">
        <v>6.1029999999999998</v>
      </c>
    </row>
    <row r="43" spans="1:7" x14ac:dyDescent="0.15">
      <c r="A43" s="141" t="s">
        <v>112</v>
      </c>
      <c r="B43">
        <v>6565.9391999999998</v>
      </c>
      <c r="C43">
        <v>40.113399999999999</v>
      </c>
      <c r="D43">
        <v>44.306199999999997</v>
      </c>
      <c r="E43">
        <v>44.808999999999997</v>
      </c>
      <c r="F43">
        <v>11844.957</v>
      </c>
      <c r="G43">
        <v>5.4649999999999999</v>
      </c>
    </row>
    <row r="44" spans="1:7" x14ac:dyDescent="0.15">
      <c r="A44" s="141" t="s">
        <v>113</v>
      </c>
      <c r="B44">
        <v>3798.1376</v>
      </c>
      <c r="C44">
        <v>37.1297</v>
      </c>
      <c r="D44">
        <v>42.521099999999997</v>
      </c>
      <c r="E44">
        <v>42.951700000000002</v>
      </c>
      <c r="F44">
        <v>7693.1869999999999</v>
      </c>
      <c r="G44">
        <v>4.9820000000000002</v>
      </c>
    </row>
    <row r="45" spans="1:7" x14ac:dyDescent="0.15">
      <c r="A45" s="141" t="s">
        <v>114</v>
      </c>
      <c r="B45">
        <v>16545.459200000001</v>
      </c>
      <c r="C45">
        <v>44.130200000000002</v>
      </c>
      <c r="D45">
        <v>48.399099999999997</v>
      </c>
      <c r="E45">
        <v>48.174700000000001</v>
      </c>
      <c r="F45">
        <v>22509.541000000001</v>
      </c>
      <c r="G45">
        <v>6.4610000000000003</v>
      </c>
    </row>
    <row r="46" spans="1:7" x14ac:dyDescent="0.15">
      <c r="A46" s="141" t="s">
        <v>115</v>
      </c>
      <c r="B46">
        <v>11477.0304</v>
      </c>
      <c r="C46">
        <v>42.388599999999997</v>
      </c>
      <c r="D46">
        <v>47.243299999999998</v>
      </c>
      <c r="E46">
        <v>46.553600000000003</v>
      </c>
      <c r="F46">
        <v>17083.561000000002</v>
      </c>
      <c r="G46">
        <v>5.9690000000000003</v>
      </c>
    </row>
    <row r="47" spans="1:7" x14ac:dyDescent="0.15">
      <c r="A47" s="141" t="s">
        <v>116</v>
      </c>
      <c r="B47">
        <v>7456.7615999999998</v>
      </c>
      <c r="C47">
        <v>40.000700000000002</v>
      </c>
      <c r="D47">
        <v>46.034199999999998</v>
      </c>
      <c r="E47">
        <v>44.6965</v>
      </c>
      <c r="F47">
        <v>12425.424999999999</v>
      </c>
      <c r="G47">
        <v>5.3449999999999998</v>
      </c>
    </row>
    <row r="48" spans="1:7" x14ac:dyDescent="0.15">
      <c r="A48" s="141" t="s">
        <v>117</v>
      </c>
      <c r="B48">
        <v>4335.0528000000004</v>
      </c>
      <c r="C48">
        <v>36.780200000000001</v>
      </c>
      <c r="D48">
        <v>44.255899999999997</v>
      </c>
      <c r="E48">
        <v>42.348700000000001</v>
      </c>
      <c r="F48">
        <v>8360.5990000000002</v>
      </c>
      <c r="G48">
        <v>4.7290000000000001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14735.227999999999</v>
      </c>
      <c r="C73">
        <v>40.08</v>
      </c>
      <c r="D73">
        <v>48.926000000000002</v>
      </c>
      <c r="E73">
        <v>46.9268</v>
      </c>
      <c r="F73">
        <v>342826.73100000003</v>
      </c>
      <c r="G73">
        <v>72.457999999999998</v>
      </c>
    </row>
    <row r="74" spans="1:7" x14ac:dyDescent="0.15">
      <c r="A74" s="141" t="s">
        <v>223</v>
      </c>
      <c r="B74">
        <v>6811.884</v>
      </c>
      <c r="C74">
        <v>39.578000000000003</v>
      </c>
      <c r="D74">
        <v>48.333599999999997</v>
      </c>
      <c r="E74">
        <v>46.0518</v>
      </c>
      <c r="F74">
        <v>184296.87100000001</v>
      </c>
      <c r="G74">
        <v>61.652000000000001</v>
      </c>
    </row>
    <row r="75" spans="1:7" x14ac:dyDescent="0.15">
      <c r="A75" s="141" t="s">
        <v>224</v>
      </c>
      <c r="B75">
        <v>3679.3679999999999</v>
      </c>
      <c r="C75">
        <v>38.723300000000002</v>
      </c>
      <c r="D75">
        <v>47.3568</v>
      </c>
      <c r="E75">
        <v>44.733600000000003</v>
      </c>
      <c r="F75">
        <v>92934.978000000003</v>
      </c>
      <c r="G75">
        <v>57.006</v>
      </c>
    </row>
    <row r="76" spans="1:7" x14ac:dyDescent="0.15">
      <c r="A76" s="141" t="s">
        <v>225</v>
      </c>
      <c r="B76">
        <v>1944.36</v>
      </c>
      <c r="C76">
        <v>37.212400000000002</v>
      </c>
      <c r="D76">
        <v>46.081699999999998</v>
      </c>
      <c r="E76">
        <v>43.076700000000002</v>
      </c>
      <c r="F76">
        <v>46574.275999999998</v>
      </c>
      <c r="G76">
        <v>52.923999999999999</v>
      </c>
    </row>
    <row r="77" spans="1:7" x14ac:dyDescent="0.15">
      <c r="A77" s="141" t="s">
        <v>226</v>
      </c>
      <c r="B77">
        <v>77584.547999999995</v>
      </c>
      <c r="C77">
        <v>41.605499999999999</v>
      </c>
      <c r="D77">
        <v>36.279299999999999</v>
      </c>
      <c r="E77">
        <v>37.362200000000001</v>
      </c>
      <c r="F77">
        <v>639438.84600000002</v>
      </c>
      <c r="G77">
        <v>71.881</v>
      </c>
    </row>
    <row r="78" spans="1:7" x14ac:dyDescent="0.15">
      <c r="A78" s="141" t="s">
        <v>227</v>
      </c>
      <c r="B78">
        <v>40249.156000000003</v>
      </c>
      <c r="C78">
        <v>39.008499999999998</v>
      </c>
      <c r="D78">
        <v>34.341799999999999</v>
      </c>
      <c r="E78">
        <v>35.651800000000001</v>
      </c>
      <c r="F78">
        <v>417293.663</v>
      </c>
      <c r="G78">
        <v>65.316999999999993</v>
      </c>
    </row>
    <row r="79" spans="1:7" x14ac:dyDescent="0.15">
      <c r="A79" s="141" t="s">
        <v>228</v>
      </c>
      <c r="B79">
        <v>18976.916000000001</v>
      </c>
      <c r="C79">
        <v>36.1008</v>
      </c>
      <c r="D79">
        <v>32.6098</v>
      </c>
      <c r="E79">
        <v>34.111899999999999</v>
      </c>
      <c r="F79">
        <v>256304.38</v>
      </c>
      <c r="G79">
        <v>60.972999999999999</v>
      </c>
    </row>
    <row r="80" spans="1:7" x14ac:dyDescent="0.15">
      <c r="A80" s="141" t="s">
        <v>229</v>
      </c>
      <c r="B80">
        <v>7830.0280000000002</v>
      </c>
      <c r="C80">
        <v>33.030299999999997</v>
      </c>
      <c r="D80">
        <v>31.006799999999998</v>
      </c>
      <c r="E80">
        <v>32.727499999999999</v>
      </c>
      <c r="F80">
        <v>144339.6</v>
      </c>
      <c r="G80">
        <v>55.158000000000001</v>
      </c>
    </row>
    <row r="81" spans="1:7" x14ac:dyDescent="0.15">
      <c r="A81" s="141" t="s">
        <v>230</v>
      </c>
      <c r="B81">
        <v>39109.487999999998</v>
      </c>
      <c r="C81">
        <v>38.314100000000003</v>
      </c>
      <c r="D81">
        <v>40.318399999999997</v>
      </c>
      <c r="E81">
        <v>41.315300000000001</v>
      </c>
      <c r="F81">
        <v>371595.67700000003</v>
      </c>
      <c r="G81">
        <v>40.738</v>
      </c>
    </row>
    <row r="82" spans="1:7" x14ac:dyDescent="0.15">
      <c r="A82" s="141" t="s">
        <v>231</v>
      </c>
      <c r="B82">
        <v>18970.608</v>
      </c>
      <c r="C82">
        <v>37.185200000000002</v>
      </c>
      <c r="D82">
        <v>37.828400000000002</v>
      </c>
      <c r="E82">
        <v>40.016599999999997</v>
      </c>
      <c r="F82">
        <v>216249.81599999999</v>
      </c>
      <c r="G82">
        <v>35.694000000000003</v>
      </c>
    </row>
    <row r="83" spans="1:7" x14ac:dyDescent="0.15">
      <c r="A83" s="141" t="s">
        <v>232</v>
      </c>
      <c r="B83">
        <v>9389.8960000000006</v>
      </c>
      <c r="C83">
        <v>35.803100000000001</v>
      </c>
      <c r="D83">
        <v>35.651000000000003</v>
      </c>
      <c r="E83">
        <v>38.702500000000001</v>
      </c>
      <c r="F83">
        <v>129823.318</v>
      </c>
      <c r="G83">
        <v>32.356000000000002</v>
      </c>
    </row>
    <row r="84" spans="1:7" x14ac:dyDescent="0.15">
      <c r="A84" s="141" t="s">
        <v>233</v>
      </c>
      <c r="B84">
        <v>4754.96</v>
      </c>
      <c r="C84">
        <v>33.963999999999999</v>
      </c>
      <c r="D84">
        <v>33.779400000000003</v>
      </c>
      <c r="E84">
        <v>37.248699999999999</v>
      </c>
      <c r="F84">
        <v>75203.266000000003</v>
      </c>
      <c r="G84">
        <v>29.181999999999999</v>
      </c>
    </row>
    <row r="85" spans="1:7" x14ac:dyDescent="0.15">
      <c r="A85" s="141" t="s">
        <v>234</v>
      </c>
      <c r="B85">
        <v>25526.184000000001</v>
      </c>
      <c r="C85">
        <v>37.617199999999997</v>
      </c>
      <c r="D85">
        <v>45.140799999999999</v>
      </c>
      <c r="E85">
        <v>42.776000000000003</v>
      </c>
      <c r="F85">
        <v>499359.80699999997</v>
      </c>
      <c r="G85">
        <v>68.474999999999994</v>
      </c>
    </row>
    <row r="86" spans="1:7" x14ac:dyDescent="0.15">
      <c r="A86" s="141" t="s">
        <v>235</v>
      </c>
      <c r="B86">
        <v>9218.1560000000009</v>
      </c>
      <c r="C86">
        <v>37.0535</v>
      </c>
      <c r="D86">
        <v>44.525799999999997</v>
      </c>
      <c r="E86">
        <v>42.092100000000002</v>
      </c>
      <c r="F86">
        <v>262968.761</v>
      </c>
      <c r="G86">
        <v>60.335999999999999</v>
      </c>
    </row>
    <row r="87" spans="1:7" x14ac:dyDescent="0.15">
      <c r="A87" s="141" t="s">
        <v>236</v>
      </c>
      <c r="B87">
        <v>4539.5720000000001</v>
      </c>
      <c r="C87">
        <v>36.189500000000002</v>
      </c>
      <c r="D87">
        <v>43.600299999999997</v>
      </c>
      <c r="E87">
        <v>41.108800000000002</v>
      </c>
      <c r="F87">
        <v>132016.96599999999</v>
      </c>
      <c r="G87">
        <v>49.716999999999999</v>
      </c>
    </row>
    <row r="88" spans="1:7" x14ac:dyDescent="0.15">
      <c r="A88" s="141" t="s">
        <v>237</v>
      </c>
      <c r="B88">
        <v>2194.1439999999998</v>
      </c>
      <c r="C88">
        <v>34.717300000000002</v>
      </c>
      <c r="D88">
        <v>42.299599999999998</v>
      </c>
      <c r="E88">
        <v>39.847200000000001</v>
      </c>
      <c r="F88">
        <v>64407.248</v>
      </c>
      <c r="G88">
        <v>42.106999999999999</v>
      </c>
    </row>
    <row r="89" spans="1:7" x14ac:dyDescent="0.15">
      <c r="A89" s="141" t="s">
        <v>118</v>
      </c>
      <c r="B89">
        <v>10037.796</v>
      </c>
      <c r="C89">
        <v>37.988900000000001</v>
      </c>
      <c r="D89">
        <v>39.727200000000003</v>
      </c>
      <c r="E89">
        <v>43.086799999999997</v>
      </c>
      <c r="F89">
        <v>111402.114</v>
      </c>
      <c r="G89">
        <v>14.115</v>
      </c>
    </row>
    <row r="90" spans="1:7" x14ac:dyDescent="0.15">
      <c r="A90" s="141" t="s">
        <v>119</v>
      </c>
      <c r="B90">
        <v>4712.8999999999996</v>
      </c>
      <c r="C90">
        <v>36.890900000000002</v>
      </c>
      <c r="D90">
        <v>39.1935</v>
      </c>
      <c r="E90">
        <v>41.983800000000002</v>
      </c>
      <c r="F90">
        <v>65046.853000000003</v>
      </c>
      <c r="G90">
        <v>11.175000000000001</v>
      </c>
    </row>
    <row r="91" spans="1:7" x14ac:dyDescent="0.15">
      <c r="A91" s="141" t="s">
        <v>120</v>
      </c>
      <c r="B91">
        <v>2397.576</v>
      </c>
      <c r="C91">
        <v>35.3078</v>
      </c>
      <c r="D91">
        <v>38.473599999999998</v>
      </c>
      <c r="E91">
        <v>40.623399999999997</v>
      </c>
      <c r="F91">
        <v>37324.262000000002</v>
      </c>
      <c r="G91">
        <v>10.146000000000001</v>
      </c>
    </row>
    <row r="92" spans="1:7" x14ac:dyDescent="0.15">
      <c r="A92" s="141" t="s">
        <v>121</v>
      </c>
      <c r="B92">
        <v>1118.94</v>
      </c>
      <c r="C92">
        <v>33.0565</v>
      </c>
      <c r="D92">
        <v>37.397599999999997</v>
      </c>
      <c r="E92">
        <v>38.921999999999997</v>
      </c>
      <c r="F92">
        <v>20319.468000000001</v>
      </c>
      <c r="G92">
        <v>9.0779999999999994</v>
      </c>
    </row>
    <row r="93" spans="1:7" x14ac:dyDescent="0.15">
      <c r="A93" s="141" t="s">
        <v>122</v>
      </c>
      <c r="B93">
        <v>8791.6239999999998</v>
      </c>
      <c r="C93">
        <v>38.920499999999997</v>
      </c>
      <c r="D93">
        <v>43.949599999999997</v>
      </c>
      <c r="E93">
        <v>45.045699999999997</v>
      </c>
      <c r="F93">
        <v>115021.36</v>
      </c>
      <c r="G93">
        <v>15.755000000000001</v>
      </c>
    </row>
    <row r="94" spans="1:7" x14ac:dyDescent="0.15">
      <c r="A94" s="141" t="s">
        <v>123</v>
      </c>
      <c r="B94">
        <v>4376.2039999999997</v>
      </c>
      <c r="C94">
        <v>37.874299999999998</v>
      </c>
      <c r="D94">
        <v>43.113700000000001</v>
      </c>
      <c r="E94">
        <v>43.629600000000003</v>
      </c>
      <c r="F94">
        <v>68956.406000000003</v>
      </c>
      <c r="G94">
        <v>13.972</v>
      </c>
    </row>
    <row r="95" spans="1:7" x14ac:dyDescent="0.15">
      <c r="A95" s="141" t="s">
        <v>124</v>
      </c>
      <c r="B95">
        <v>2227.9679999999998</v>
      </c>
      <c r="C95">
        <v>36.380200000000002</v>
      </c>
      <c r="D95">
        <v>42.0002</v>
      </c>
      <c r="E95">
        <v>41.9679</v>
      </c>
      <c r="F95">
        <v>38238.400000000001</v>
      </c>
      <c r="G95">
        <v>12.195</v>
      </c>
    </row>
    <row r="96" spans="1:7" x14ac:dyDescent="0.15">
      <c r="A96" s="141" t="s">
        <v>125</v>
      </c>
      <c r="B96">
        <v>1094.7919999999999</v>
      </c>
      <c r="C96">
        <v>34.309899999999999</v>
      </c>
      <c r="D96">
        <v>40.643300000000004</v>
      </c>
      <c r="E96">
        <v>40.149299999999997</v>
      </c>
      <c r="F96">
        <v>20670.499</v>
      </c>
      <c r="G96">
        <v>9.9250000000000007</v>
      </c>
    </row>
    <row r="97" spans="1:7" x14ac:dyDescent="0.15">
      <c r="A97" s="141" t="s">
        <v>238</v>
      </c>
      <c r="B97">
        <v>6870.3879999999999</v>
      </c>
      <c r="C97">
        <v>39.6785</v>
      </c>
      <c r="D97">
        <v>43.6586</v>
      </c>
      <c r="E97">
        <v>44.863</v>
      </c>
      <c r="F97">
        <v>103932.46</v>
      </c>
      <c r="G97">
        <v>16.116</v>
      </c>
    </row>
    <row r="98" spans="1:7" x14ac:dyDescent="0.15">
      <c r="A98" s="141" t="s">
        <v>239</v>
      </c>
      <c r="B98">
        <v>3233.616</v>
      </c>
      <c r="C98">
        <v>38.481099999999998</v>
      </c>
      <c r="D98">
        <v>42.895800000000001</v>
      </c>
      <c r="E98">
        <v>44.204000000000001</v>
      </c>
      <c r="F98">
        <v>61773.752999999997</v>
      </c>
      <c r="G98">
        <v>14.157</v>
      </c>
    </row>
    <row r="99" spans="1:7" x14ac:dyDescent="0.15">
      <c r="A99" s="141" t="s">
        <v>240</v>
      </c>
      <c r="B99">
        <v>1536.932</v>
      </c>
      <c r="C99">
        <v>36.770600000000002</v>
      </c>
      <c r="D99">
        <v>41.877400000000002</v>
      </c>
      <c r="E99">
        <v>43.168999999999997</v>
      </c>
      <c r="F99">
        <v>33076.375</v>
      </c>
      <c r="G99">
        <v>12.551</v>
      </c>
    </row>
    <row r="100" spans="1:7" x14ac:dyDescent="0.15">
      <c r="A100" s="141" t="s">
        <v>241</v>
      </c>
      <c r="B100">
        <v>689.88800000000003</v>
      </c>
      <c r="C100">
        <v>34.536999999999999</v>
      </c>
      <c r="D100">
        <v>40.622199999999999</v>
      </c>
      <c r="E100">
        <v>41.871299999999998</v>
      </c>
      <c r="F100">
        <v>16774.225999999999</v>
      </c>
      <c r="G100">
        <v>10.129</v>
      </c>
    </row>
    <row r="101" spans="1:7" x14ac:dyDescent="0.15">
      <c r="A101" s="141" t="s">
        <v>242</v>
      </c>
      <c r="B101">
        <v>5757.8320000000003</v>
      </c>
      <c r="C101">
        <v>44.841299999999997</v>
      </c>
      <c r="D101">
        <v>47.213900000000002</v>
      </c>
      <c r="E101">
        <v>48.175199999999997</v>
      </c>
      <c r="F101">
        <v>76941.203999999998</v>
      </c>
      <c r="G101">
        <v>16.088999999999999</v>
      </c>
    </row>
    <row r="102" spans="1:7" x14ac:dyDescent="0.15">
      <c r="A102" s="141" t="s">
        <v>243</v>
      </c>
      <c r="B102">
        <v>3526.5239999999999</v>
      </c>
      <c r="C102">
        <v>42.598700000000001</v>
      </c>
      <c r="D102">
        <v>45.667499999999997</v>
      </c>
      <c r="E102">
        <v>46.442500000000003</v>
      </c>
      <c r="F102">
        <v>52216.822999999997</v>
      </c>
      <c r="G102">
        <v>14.4</v>
      </c>
    </row>
    <row r="103" spans="1:7" x14ac:dyDescent="0.15">
      <c r="A103" s="141" t="s">
        <v>244</v>
      </c>
      <c r="B103">
        <v>1959.78</v>
      </c>
      <c r="C103">
        <v>39.791200000000003</v>
      </c>
      <c r="D103">
        <v>43.9985</v>
      </c>
      <c r="E103">
        <v>44.524900000000002</v>
      </c>
      <c r="F103">
        <v>32865.697999999997</v>
      </c>
      <c r="G103">
        <v>12.593999999999999</v>
      </c>
    </row>
    <row r="104" spans="1:7" x14ac:dyDescent="0.15">
      <c r="A104" s="141" t="s">
        <v>245</v>
      </c>
      <c r="B104">
        <v>996.65200000000004</v>
      </c>
      <c r="C104">
        <v>36.613199999999999</v>
      </c>
      <c r="D104">
        <v>42.3446</v>
      </c>
      <c r="E104">
        <v>42.651600000000002</v>
      </c>
      <c r="F104">
        <v>18839.503000000001</v>
      </c>
      <c r="G104">
        <v>10.332000000000001</v>
      </c>
    </row>
    <row r="105" spans="1:7" x14ac:dyDescent="0.15">
      <c r="A105" s="141" t="s">
        <v>126</v>
      </c>
      <c r="B105">
        <v>4198.4520000000002</v>
      </c>
      <c r="C105">
        <v>38.576900000000002</v>
      </c>
      <c r="D105">
        <v>45.843299999999999</v>
      </c>
      <c r="E105">
        <v>46.023499999999999</v>
      </c>
      <c r="F105">
        <v>51023.603999999999</v>
      </c>
      <c r="G105">
        <v>6.6050000000000004</v>
      </c>
    </row>
    <row r="106" spans="1:7" x14ac:dyDescent="0.15">
      <c r="A106" s="141" t="s">
        <v>127</v>
      </c>
      <c r="B106">
        <v>1772.008</v>
      </c>
      <c r="C106">
        <v>36.986499999999999</v>
      </c>
      <c r="D106">
        <v>44.655799999999999</v>
      </c>
      <c r="E106">
        <v>44.824300000000001</v>
      </c>
      <c r="F106">
        <v>27555.445</v>
      </c>
      <c r="G106">
        <v>5.4740000000000002</v>
      </c>
    </row>
    <row r="107" spans="1:7" x14ac:dyDescent="0.15">
      <c r="A107" s="141" t="s">
        <v>128</v>
      </c>
      <c r="B107">
        <v>813.77599999999995</v>
      </c>
      <c r="C107">
        <v>34.982300000000002</v>
      </c>
      <c r="D107">
        <v>43.190899999999999</v>
      </c>
      <c r="E107">
        <v>43.469000000000001</v>
      </c>
      <c r="F107">
        <v>14727.288</v>
      </c>
      <c r="G107">
        <v>4.5140000000000002</v>
      </c>
    </row>
    <row r="108" spans="1:7" x14ac:dyDescent="0.15">
      <c r="A108" s="141" t="s">
        <v>129</v>
      </c>
      <c r="B108">
        <v>391.16</v>
      </c>
      <c r="C108">
        <v>32.3733</v>
      </c>
      <c r="D108">
        <v>41.236499999999999</v>
      </c>
      <c r="E108">
        <v>41.790100000000002</v>
      </c>
      <c r="F108">
        <v>7664.7929999999997</v>
      </c>
      <c r="G108">
        <v>3.86</v>
      </c>
    </row>
    <row r="109" spans="1:7" x14ac:dyDescent="0.15">
      <c r="A109" s="141" t="s">
        <v>130</v>
      </c>
      <c r="B109">
        <v>2478.34</v>
      </c>
      <c r="C109">
        <v>40.608699999999999</v>
      </c>
      <c r="D109">
        <v>46.082700000000003</v>
      </c>
      <c r="E109">
        <v>47.183700000000002</v>
      </c>
      <c r="F109">
        <v>39500.218000000001</v>
      </c>
      <c r="G109">
        <v>6.7889999999999997</v>
      </c>
    </row>
    <row r="110" spans="1:7" x14ac:dyDescent="0.15">
      <c r="A110" s="141" t="s">
        <v>131</v>
      </c>
      <c r="B110">
        <v>1135.2760000000001</v>
      </c>
      <c r="C110">
        <v>39.495199999999997</v>
      </c>
      <c r="D110">
        <v>45.525700000000001</v>
      </c>
      <c r="E110">
        <v>45.935400000000001</v>
      </c>
      <c r="F110">
        <v>21675.761999999999</v>
      </c>
      <c r="G110">
        <v>5.7629999999999999</v>
      </c>
    </row>
    <row r="111" spans="1:7" x14ac:dyDescent="0.15">
      <c r="A111" s="141" t="s">
        <v>132</v>
      </c>
      <c r="B111">
        <v>533.44000000000005</v>
      </c>
      <c r="C111">
        <v>37.9298</v>
      </c>
      <c r="D111">
        <v>44.670200000000001</v>
      </c>
      <c r="E111">
        <v>44.332700000000003</v>
      </c>
      <c r="F111">
        <v>11268.545</v>
      </c>
      <c r="G111">
        <v>4.8140000000000001</v>
      </c>
    </row>
    <row r="112" spans="1:7" x14ac:dyDescent="0.15">
      <c r="A112" s="141" t="s">
        <v>133</v>
      </c>
      <c r="B112">
        <v>242.20400000000001</v>
      </c>
      <c r="C112">
        <v>35.837299999999999</v>
      </c>
      <c r="D112">
        <v>43.516599999999997</v>
      </c>
      <c r="E112">
        <v>42.331499999999998</v>
      </c>
      <c r="F112">
        <v>5634.0860000000002</v>
      </c>
      <c r="G112">
        <v>4.1900000000000004</v>
      </c>
    </row>
    <row r="113" spans="1:7" x14ac:dyDescent="0.15">
      <c r="A113" s="141" t="s">
        <v>134</v>
      </c>
      <c r="B113">
        <v>944.64</v>
      </c>
      <c r="C113">
        <v>43.492400000000004</v>
      </c>
      <c r="D113">
        <v>47.103200000000001</v>
      </c>
      <c r="E113">
        <v>48.0961</v>
      </c>
      <c r="F113">
        <v>17520.899000000001</v>
      </c>
      <c r="G113">
        <v>4.4640000000000004</v>
      </c>
    </row>
    <row r="114" spans="1:7" x14ac:dyDescent="0.15">
      <c r="A114" s="141" t="s">
        <v>135</v>
      </c>
      <c r="B114">
        <v>515.84</v>
      </c>
      <c r="C114">
        <v>42.2211</v>
      </c>
      <c r="D114">
        <v>46.317599999999999</v>
      </c>
      <c r="E114">
        <v>47.140999999999998</v>
      </c>
      <c r="F114">
        <v>10006.723</v>
      </c>
      <c r="G114">
        <v>4.1260000000000003</v>
      </c>
    </row>
    <row r="115" spans="1:7" x14ac:dyDescent="0.15">
      <c r="A115" s="141" t="s">
        <v>136</v>
      </c>
      <c r="B115">
        <v>294.2</v>
      </c>
      <c r="C115">
        <v>40.448700000000002</v>
      </c>
      <c r="D115">
        <v>45.252800000000001</v>
      </c>
      <c r="E115">
        <v>45.803100000000001</v>
      </c>
      <c r="F115">
        <v>5655.7520000000004</v>
      </c>
      <c r="G115">
        <v>4.0679999999999996</v>
      </c>
    </row>
    <row r="116" spans="1:7" x14ac:dyDescent="0.15">
      <c r="A116" s="141" t="s">
        <v>137</v>
      </c>
      <c r="B116">
        <v>163.608</v>
      </c>
      <c r="C116">
        <v>37.884700000000002</v>
      </c>
      <c r="D116">
        <v>43.508000000000003</v>
      </c>
      <c r="E116">
        <v>43.912700000000001</v>
      </c>
      <c r="F116">
        <v>3150.1889999999999</v>
      </c>
      <c r="G116">
        <v>3.9430000000000001</v>
      </c>
    </row>
    <row r="117" spans="1:7" x14ac:dyDescent="0.15">
      <c r="A117" s="141" t="s">
        <v>138</v>
      </c>
      <c r="B117">
        <v>1335.836</v>
      </c>
      <c r="C117">
        <v>42.864600000000003</v>
      </c>
      <c r="D117">
        <v>48.684100000000001</v>
      </c>
      <c r="E117">
        <v>48.4651</v>
      </c>
      <c r="F117">
        <v>20112.892</v>
      </c>
      <c r="G117">
        <v>4.4829999999999997</v>
      </c>
    </row>
    <row r="118" spans="1:7" x14ac:dyDescent="0.15">
      <c r="A118" s="141" t="s">
        <v>139</v>
      </c>
      <c r="B118">
        <v>722.79200000000003</v>
      </c>
      <c r="C118">
        <v>41.596800000000002</v>
      </c>
      <c r="D118">
        <v>47.8688</v>
      </c>
      <c r="E118">
        <v>47.339599999999997</v>
      </c>
      <c r="F118">
        <v>11528</v>
      </c>
      <c r="G118">
        <v>4.2519999999999998</v>
      </c>
    </row>
    <row r="119" spans="1:7" x14ac:dyDescent="0.15">
      <c r="A119" s="141" t="s">
        <v>140</v>
      </c>
      <c r="B119">
        <v>406.6</v>
      </c>
      <c r="C119">
        <v>39.722499999999997</v>
      </c>
      <c r="D119">
        <v>46.663899999999998</v>
      </c>
      <c r="E119">
        <v>45.861600000000003</v>
      </c>
      <c r="F119">
        <v>6654.3710000000001</v>
      </c>
      <c r="G119">
        <v>4.0140000000000002</v>
      </c>
    </row>
    <row r="120" spans="1:7" x14ac:dyDescent="0.15">
      <c r="A120" s="141" t="s">
        <v>141</v>
      </c>
      <c r="B120">
        <v>223.77199999999999</v>
      </c>
      <c r="C120">
        <v>37.011299999999999</v>
      </c>
      <c r="D120">
        <v>45.199399999999997</v>
      </c>
      <c r="E120">
        <v>43.265099999999997</v>
      </c>
      <c r="F120">
        <v>3855.2339999999999</v>
      </c>
      <c r="G120">
        <v>4.016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16962.056</v>
      </c>
      <c r="C145">
        <v>40.1526</v>
      </c>
      <c r="D145">
        <v>48.546700000000001</v>
      </c>
      <c r="E145">
        <v>46.405299999999997</v>
      </c>
      <c r="F145">
        <v>194105.18799999999</v>
      </c>
      <c r="G145">
        <v>33.133000000000003</v>
      </c>
    </row>
    <row r="146" spans="1:7" x14ac:dyDescent="0.15">
      <c r="A146" s="141" t="s">
        <v>255</v>
      </c>
      <c r="B146">
        <v>8526.1200000000008</v>
      </c>
      <c r="C146">
        <v>39.5364</v>
      </c>
      <c r="D146">
        <v>47.689100000000003</v>
      </c>
      <c r="E146">
        <v>45.265099999999997</v>
      </c>
      <c r="F146">
        <v>109730.211</v>
      </c>
      <c r="G146">
        <v>29.58</v>
      </c>
    </row>
    <row r="147" spans="1:7" x14ac:dyDescent="0.15">
      <c r="A147" s="141" t="s">
        <v>256</v>
      </c>
      <c r="B147">
        <v>4641.3760000000002</v>
      </c>
      <c r="C147">
        <v>38.535899999999998</v>
      </c>
      <c r="D147">
        <v>46.508099999999999</v>
      </c>
      <c r="E147">
        <v>43.863199999999999</v>
      </c>
      <c r="F147">
        <v>58841.938000000002</v>
      </c>
      <c r="G147">
        <v>26.038</v>
      </c>
    </row>
    <row r="148" spans="1:7" x14ac:dyDescent="0.15">
      <c r="A148" s="141" t="s">
        <v>257</v>
      </c>
      <c r="B148">
        <v>2524.3679999999999</v>
      </c>
      <c r="C148">
        <v>36.977899999999998</v>
      </c>
      <c r="D148">
        <v>45.150399999999998</v>
      </c>
      <c r="E148">
        <v>42.247599999999998</v>
      </c>
      <c r="F148">
        <v>30970.300999999999</v>
      </c>
      <c r="G148">
        <v>23.023</v>
      </c>
    </row>
    <row r="149" spans="1:7" x14ac:dyDescent="0.15">
      <c r="A149" s="141" t="s">
        <v>258</v>
      </c>
      <c r="B149">
        <v>93753.928</v>
      </c>
      <c r="C149">
        <v>41.677399999999999</v>
      </c>
      <c r="D149">
        <v>36.462400000000002</v>
      </c>
      <c r="E149">
        <v>37.464199999999998</v>
      </c>
      <c r="F149">
        <v>340892.93800000002</v>
      </c>
      <c r="G149">
        <v>33.561999999999998</v>
      </c>
    </row>
    <row r="150" spans="1:7" x14ac:dyDescent="0.15">
      <c r="A150" s="141" t="s">
        <v>259</v>
      </c>
      <c r="B150">
        <v>47974.103999999999</v>
      </c>
      <c r="C150">
        <v>38.897399999999998</v>
      </c>
      <c r="D150">
        <v>34.1419</v>
      </c>
      <c r="E150">
        <v>35.4773</v>
      </c>
      <c r="F150">
        <v>230847.18799999999</v>
      </c>
      <c r="G150">
        <v>29.513000000000002</v>
      </c>
    </row>
    <row r="151" spans="1:7" x14ac:dyDescent="0.15">
      <c r="A151" s="141" t="s">
        <v>260</v>
      </c>
      <c r="B151">
        <v>22203.944</v>
      </c>
      <c r="C151">
        <v>35.798699999999997</v>
      </c>
      <c r="D151">
        <v>32.199399999999997</v>
      </c>
      <c r="E151">
        <v>33.762900000000002</v>
      </c>
      <c r="F151">
        <v>149234.54699999999</v>
      </c>
      <c r="G151">
        <v>26.08</v>
      </c>
    </row>
    <row r="152" spans="1:7" x14ac:dyDescent="0.15">
      <c r="A152" s="141" t="s">
        <v>261</v>
      </c>
      <c r="B152">
        <v>9317.1679999999997</v>
      </c>
      <c r="C152">
        <v>32.770200000000003</v>
      </c>
      <c r="D152">
        <v>30.515000000000001</v>
      </c>
      <c r="E152">
        <v>32.304499999999997</v>
      </c>
      <c r="F152">
        <v>85645.491999999998</v>
      </c>
      <c r="G152">
        <v>22.687000000000001</v>
      </c>
    </row>
    <row r="153" spans="1:7" x14ac:dyDescent="0.15">
      <c r="A153" s="141" t="s">
        <v>262</v>
      </c>
      <c r="B153">
        <v>47071.28</v>
      </c>
      <c r="C153">
        <v>38.899299999999997</v>
      </c>
      <c r="D153">
        <v>40.985399999999998</v>
      </c>
      <c r="E153">
        <v>41.255499999999998</v>
      </c>
      <c r="F153">
        <v>185530.625</v>
      </c>
      <c r="G153">
        <v>18.876000000000001</v>
      </c>
    </row>
    <row r="154" spans="1:7" x14ac:dyDescent="0.15">
      <c r="A154" s="141" t="s">
        <v>263</v>
      </c>
      <c r="B154">
        <v>23179.16</v>
      </c>
      <c r="C154">
        <v>37.520699999999998</v>
      </c>
      <c r="D154">
        <v>38.4985</v>
      </c>
      <c r="E154">
        <v>39.794699999999999</v>
      </c>
      <c r="F154">
        <v>111533.125</v>
      </c>
      <c r="G154">
        <v>16.571999999999999</v>
      </c>
    </row>
    <row r="155" spans="1:7" x14ac:dyDescent="0.15">
      <c r="A155" s="141" t="s">
        <v>264</v>
      </c>
      <c r="B155">
        <v>12057.768</v>
      </c>
      <c r="C155">
        <v>35.950400000000002</v>
      </c>
      <c r="D155">
        <v>36.339700000000001</v>
      </c>
      <c r="E155">
        <v>38.344000000000001</v>
      </c>
      <c r="F155">
        <v>70395.366999999998</v>
      </c>
      <c r="G155">
        <v>14.884</v>
      </c>
    </row>
    <row r="156" spans="1:7" x14ac:dyDescent="0.15">
      <c r="A156" s="141" t="s">
        <v>265</v>
      </c>
      <c r="B156">
        <v>5904.152</v>
      </c>
      <c r="C156">
        <v>34.029299999999999</v>
      </c>
      <c r="D156">
        <v>33.937100000000001</v>
      </c>
      <c r="E156">
        <v>36.658499999999997</v>
      </c>
      <c r="F156">
        <v>42651.464999999997</v>
      </c>
      <c r="G156">
        <v>13.635999999999999</v>
      </c>
    </row>
    <row r="157" spans="1:7" x14ac:dyDescent="0.15">
      <c r="A157" s="141" t="s">
        <v>266</v>
      </c>
      <c r="B157">
        <v>24487.712</v>
      </c>
      <c r="C157">
        <v>37.518500000000003</v>
      </c>
      <c r="D157">
        <v>44.781999999999996</v>
      </c>
      <c r="E157">
        <v>42.488700000000001</v>
      </c>
      <c r="F157">
        <v>275392.53100000002</v>
      </c>
      <c r="G157">
        <v>30.92</v>
      </c>
    </row>
    <row r="158" spans="1:7" x14ac:dyDescent="0.15">
      <c r="A158" s="141" t="s">
        <v>267</v>
      </c>
      <c r="B158">
        <v>10405.656000000001</v>
      </c>
      <c r="C158">
        <v>36.878599999999999</v>
      </c>
      <c r="D158">
        <v>44.049799999999998</v>
      </c>
      <c r="E158">
        <v>41.69</v>
      </c>
      <c r="F158">
        <v>147130.09400000001</v>
      </c>
      <c r="G158">
        <v>25.937999999999999</v>
      </c>
    </row>
    <row r="159" spans="1:7" x14ac:dyDescent="0.15">
      <c r="A159" s="141" t="s">
        <v>268</v>
      </c>
      <c r="B159">
        <v>5216.5839999999998</v>
      </c>
      <c r="C159">
        <v>35.854500000000002</v>
      </c>
      <c r="D159">
        <v>43.015000000000001</v>
      </c>
      <c r="E159">
        <v>40.587499999999999</v>
      </c>
      <c r="F159">
        <v>79749.766000000003</v>
      </c>
      <c r="G159">
        <v>22.172000000000001</v>
      </c>
    </row>
    <row r="160" spans="1:7" x14ac:dyDescent="0.15">
      <c r="A160" s="141" t="s">
        <v>269</v>
      </c>
      <c r="B160">
        <v>2593.232</v>
      </c>
      <c r="C160">
        <v>34.264600000000002</v>
      </c>
      <c r="D160">
        <v>41.6995</v>
      </c>
      <c r="E160">
        <v>39.395099999999999</v>
      </c>
      <c r="F160">
        <v>39864.828000000001</v>
      </c>
      <c r="G160">
        <v>17.759</v>
      </c>
    </row>
    <row r="161" spans="1:7" x14ac:dyDescent="0.15">
      <c r="A161" s="141" t="s">
        <v>142</v>
      </c>
      <c r="B161">
        <v>8260.9887999999992</v>
      </c>
      <c r="C161">
        <v>37.964599999999997</v>
      </c>
      <c r="D161">
        <v>39.546799999999998</v>
      </c>
      <c r="E161">
        <v>42.538400000000003</v>
      </c>
      <c r="F161">
        <v>313644.93800000002</v>
      </c>
      <c r="G161">
        <v>26.984999999999999</v>
      </c>
    </row>
    <row r="162" spans="1:7" x14ac:dyDescent="0.15">
      <c r="A162" s="141" t="s">
        <v>143</v>
      </c>
      <c r="B162">
        <v>3912.7775999999999</v>
      </c>
      <c r="C162">
        <v>36.605899999999998</v>
      </c>
      <c r="D162">
        <v>38.846899999999998</v>
      </c>
      <c r="E162">
        <v>41.328200000000002</v>
      </c>
      <c r="F162">
        <v>188419.125</v>
      </c>
      <c r="G162">
        <v>22.36</v>
      </c>
    </row>
    <row r="163" spans="1:7" x14ac:dyDescent="0.15">
      <c r="A163" s="141" t="s">
        <v>144</v>
      </c>
      <c r="B163">
        <v>1920.8416</v>
      </c>
      <c r="C163">
        <v>34.773699999999998</v>
      </c>
      <c r="D163">
        <v>37.941600000000001</v>
      </c>
      <c r="E163">
        <v>39.782899999999998</v>
      </c>
      <c r="F163">
        <v>112512.70299999999</v>
      </c>
      <c r="G163">
        <v>19.622</v>
      </c>
    </row>
    <row r="164" spans="1:7" x14ac:dyDescent="0.15">
      <c r="A164" s="141" t="s">
        <v>145</v>
      </c>
      <c r="B164">
        <v>910.79520000000002</v>
      </c>
      <c r="C164">
        <v>32.440300000000001</v>
      </c>
      <c r="D164">
        <v>36.847000000000001</v>
      </c>
      <c r="E164">
        <v>38.143099999999997</v>
      </c>
      <c r="F164">
        <v>65150.218999999997</v>
      </c>
      <c r="G164">
        <v>16.460999999999999</v>
      </c>
    </row>
    <row r="165" spans="1:7" x14ac:dyDescent="0.15">
      <c r="A165" s="141" t="s">
        <v>146</v>
      </c>
      <c r="B165">
        <v>9498.4943999999996</v>
      </c>
      <c r="C165">
        <v>38.7087</v>
      </c>
      <c r="D165">
        <v>43.507100000000001</v>
      </c>
      <c r="E165">
        <v>44.373699999999999</v>
      </c>
      <c r="F165">
        <v>331458.43800000002</v>
      </c>
      <c r="G165">
        <v>36.058999999999997</v>
      </c>
    </row>
    <row r="166" spans="1:7" x14ac:dyDescent="0.15">
      <c r="A166" s="141" t="s">
        <v>147</v>
      </c>
      <c r="B166">
        <v>4865.6671999999999</v>
      </c>
      <c r="C166">
        <v>37.476199999999999</v>
      </c>
      <c r="D166">
        <v>42.493499999999997</v>
      </c>
      <c r="E166">
        <v>42.8583</v>
      </c>
      <c r="F166">
        <v>204161.375</v>
      </c>
      <c r="G166">
        <v>31.818999999999999</v>
      </c>
    </row>
    <row r="167" spans="1:7" x14ac:dyDescent="0.15">
      <c r="A167" s="141" t="s">
        <v>148</v>
      </c>
      <c r="B167">
        <v>2476.7536</v>
      </c>
      <c r="C167">
        <v>35.792400000000001</v>
      </c>
      <c r="D167">
        <v>41.178199999999997</v>
      </c>
      <c r="E167">
        <v>41.060400000000001</v>
      </c>
      <c r="F167">
        <v>121043.844</v>
      </c>
      <c r="G167">
        <v>27.443000000000001</v>
      </c>
    </row>
    <row r="168" spans="1:7" x14ac:dyDescent="0.15">
      <c r="A168" s="141" t="s">
        <v>149</v>
      </c>
      <c r="B168">
        <v>1228.152</v>
      </c>
      <c r="C168">
        <v>33.708500000000001</v>
      </c>
      <c r="D168">
        <v>39.783700000000003</v>
      </c>
      <c r="E168">
        <v>39.192999999999998</v>
      </c>
      <c r="F168">
        <v>68557.327999999994</v>
      </c>
      <c r="G168">
        <v>23.184000000000001</v>
      </c>
    </row>
    <row r="169" spans="1:7" x14ac:dyDescent="0.15">
      <c r="A169" s="141" t="s">
        <v>270</v>
      </c>
      <c r="B169">
        <v>6490.3184000000001</v>
      </c>
      <c r="C169">
        <v>39.802500000000002</v>
      </c>
      <c r="D169">
        <v>43.44</v>
      </c>
      <c r="E169">
        <v>44.283799999999999</v>
      </c>
      <c r="F169">
        <v>292029.40600000002</v>
      </c>
      <c r="G169">
        <v>37.677</v>
      </c>
    </row>
    <row r="170" spans="1:7" x14ac:dyDescent="0.15">
      <c r="A170" s="141" t="s">
        <v>271</v>
      </c>
      <c r="B170">
        <v>3107.1552000000001</v>
      </c>
      <c r="C170">
        <v>38.506</v>
      </c>
      <c r="D170">
        <v>42.525599999999997</v>
      </c>
      <c r="E170">
        <v>43.344099999999997</v>
      </c>
      <c r="F170">
        <v>170118.18799999999</v>
      </c>
      <c r="G170">
        <v>31.402000000000001</v>
      </c>
    </row>
    <row r="171" spans="1:7" x14ac:dyDescent="0.15">
      <c r="A171" s="141" t="s">
        <v>272</v>
      </c>
      <c r="B171">
        <v>1498.9151999999999</v>
      </c>
      <c r="C171">
        <v>36.689500000000002</v>
      </c>
      <c r="D171">
        <v>41.300899999999999</v>
      </c>
      <c r="E171">
        <v>41.998100000000001</v>
      </c>
      <c r="F171">
        <v>96464.375</v>
      </c>
      <c r="G171">
        <v>27.398</v>
      </c>
    </row>
    <row r="172" spans="1:7" x14ac:dyDescent="0.15">
      <c r="A172" s="141" t="s">
        <v>273</v>
      </c>
      <c r="B172">
        <v>703.84159999999997</v>
      </c>
      <c r="C172">
        <v>34.394399999999997</v>
      </c>
      <c r="D172">
        <v>40.152900000000002</v>
      </c>
      <c r="E172">
        <v>40.6661</v>
      </c>
      <c r="F172">
        <v>51744.211000000003</v>
      </c>
      <c r="G172">
        <v>21.925999999999998</v>
      </c>
    </row>
    <row r="173" spans="1:7" x14ac:dyDescent="0.15">
      <c r="A173" s="141" t="s">
        <v>274</v>
      </c>
      <c r="B173">
        <v>6932.1567999999997</v>
      </c>
      <c r="C173">
        <v>43.319400000000002</v>
      </c>
      <c r="D173">
        <v>46.08</v>
      </c>
      <c r="E173">
        <v>46.809199999999997</v>
      </c>
      <c r="F173">
        <v>239099.29699999999</v>
      </c>
      <c r="G173">
        <v>39.857999999999997</v>
      </c>
    </row>
    <row r="174" spans="1:7" x14ac:dyDescent="0.15">
      <c r="A174" s="141" t="s">
        <v>275</v>
      </c>
      <c r="B174">
        <v>4226.5775999999996</v>
      </c>
      <c r="C174">
        <v>41.008899999999997</v>
      </c>
      <c r="D174">
        <v>44.602899999999998</v>
      </c>
      <c r="E174">
        <v>45.152700000000003</v>
      </c>
      <c r="F174">
        <v>168534.766</v>
      </c>
      <c r="G174">
        <v>33.686</v>
      </c>
    </row>
    <row r="175" spans="1:7" x14ac:dyDescent="0.15">
      <c r="A175" s="141" t="s">
        <v>276</v>
      </c>
      <c r="B175">
        <v>2334.9023999999999</v>
      </c>
      <c r="C175">
        <v>38.224699999999999</v>
      </c>
      <c r="D175">
        <v>42.9664</v>
      </c>
      <c r="E175">
        <v>43.298000000000002</v>
      </c>
      <c r="F175">
        <v>107804.344</v>
      </c>
      <c r="G175">
        <v>29.652999999999999</v>
      </c>
    </row>
    <row r="176" spans="1:7" x14ac:dyDescent="0.15">
      <c r="A176" s="141" t="s">
        <v>277</v>
      </c>
      <c r="B176">
        <v>1215.3312000000001</v>
      </c>
      <c r="C176">
        <v>35.293399999999998</v>
      </c>
      <c r="D176">
        <v>41.494900000000001</v>
      </c>
      <c r="E176">
        <v>41.563699999999997</v>
      </c>
      <c r="F176">
        <v>64491.461000000003</v>
      </c>
      <c r="G176">
        <v>24.786999999999999</v>
      </c>
    </row>
    <row r="177" spans="1:7" x14ac:dyDescent="0.15">
      <c r="A177" s="141" t="s">
        <v>150</v>
      </c>
      <c r="B177" s="71">
        <v>4785.848</v>
      </c>
      <c r="C177" s="71">
        <v>38.424399999999999</v>
      </c>
      <c r="D177" s="71">
        <v>44.984400000000001</v>
      </c>
      <c r="E177" s="71">
        <v>45.290100000000002</v>
      </c>
      <c r="F177" s="71">
        <v>165154.29699999999</v>
      </c>
      <c r="G177" s="71">
        <v>16.835000000000001</v>
      </c>
    </row>
    <row r="178" spans="1:7" x14ac:dyDescent="0.15">
      <c r="A178" s="141" t="s">
        <v>151</v>
      </c>
      <c r="B178" s="71">
        <v>1677.4480000000001</v>
      </c>
      <c r="C178" s="71">
        <v>36.436399999999999</v>
      </c>
      <c r="D178" s="71">
        <v>43.790799999999997</v>
      </c>
      <c r="E178" s="71">
        <v>44.095700000000001</v>
      </c>
      <c r="F178" s="71">
        <v>85448.054999999993</v>
      </c>
      <c r="G178" s="71">
        <v>13.468999999999999</v>
      </c>
    </row>
    <row r="179" spans="1:7" x14ac:dyDescent="0.15">
      <c r="A179" s="141" t="s">
        <v>152</v>
      </c>
      <c r="B179" s="71">
        <v>659.15520000000004</v>
      </c>
      <c r="C179" s="71">
        <v>33.984400000000001</v>
      </c>
      <c r="D179" s="71">
        <v>42.138599999999997</v>
      </c>
      <c r="E179" s="71">
        <v>42.463299999999997</v>
      </c>
      <c r="F179" s="71">
        <v>48867.461000000003</v>
      </c>
      <c r="G179" s="71">
        <v>9.7539999999999996</v>
      </c>
    </row>
    <row r="180" spans="1:7" x14ac:dyDescent="0.15">
      <c r="A180" s="141" t="s">
        <v>153</v>
      </c>
      <c r="B180" s="71">
        <v>276.43360000000001</v>
      </c>
      <c r="C180" s="71">
        <v>30.956800000000001</v>
      </c>
      <c r="D180" s="71">
        <v>40.897500000000001</v>
      </c>
      <c r="E180" s="71">
        <v>41.325699999999998</v>
      </c>
      <c r="F180" s="71">
        <v>29194.437999999998</v>
      </c>
      <c r="G180" s="71">
        <v>7.2539999999999996</v>
      </c>
    </row>
    <row r="181" spans="1:7" x14ac:dyDescent="0.15">
      <c r="A181" s="141" t="s">
        <v>154</v>
      </c>
      <c r="B181" s="71">
        <v>3924.1792</v>
      </c>
      <c r="C181" s="71">
        <v>40.491500000000002</v>
      </c>
      <c r="D181" s="71">
        <v>45.169400000000003</v>
      </c>
      <c r="E181" s="71">
        <v>45.931699999999999</v>
      </c>
      <c r="F181" s="71">
        <v>144939.68799999999</v>
      </c>
      <c r="G181" s="71">
        <v>18.346</v>
      </c>
    </row>
    <row r="182" spans="1:7" x14ac:dyDescent="0.15">
      <c r="A182" s="141" t="s">
        <v>155</v>
      </c>
      <c r="B182" s="71">
        <v>1796.6815999999999</v>
      </c>
      <c r="C182" s="71">
        <v>38.8658</v>
      </c>
      <c r="D182" s="71">
        <v>44.351500000000001</v>
      </c>
      <c r="E182" s="71">
        <v>44.365699999999997</v>
      </c>
      <c r="F182" s="71">
        <v>84338.304999999993</v>
      </c>
      <c r="G182" s="71">
        <v>15.752000000000001</v>
      </c>
    </row>
    <row r="183" spans="1:7" x14ac:dyDescent="0.15">
      <c r="A183" s="141" t="s">
        <v>156</v>
      </c>
      <c r="B183" s="71">
        <v>861.52319999999997</v>
      </c>
      <c r="C183" s="71">
        <v>36.928899999999999</v>
      </c>
      <c r="D183" s="71">
        <v>43.293799999999997</v>
      </c>
      <c r="E183" s="71">
        <v>42.518799999999999</v>
      </c>
      <c r="F183" s="71">
        <v>47672.362999999998</v>
      </c>
      <c r="G183" s="71">
        <v>12.662000000000001</v>
      </c>
    </row>
    <row r="184" spans="1:7" x14ac:dyDescent="0.15">
      <c r="A184" s="141" t="s">
        <v>157</v>
      </c>
      <c r="B184" s="71">
        <v>403.68799999999999</v>
      </c>
      <c r="C184" s="71">
        <v>34.716700000000003</v>
      </c>
      <c r="D184" s="71">
        <v>42.020099999999999</v>
      </c>
      <c r="E184" s="71">
        <v>40.642099999999999</v>
      </c>
      <c r="F184" s="71">
        <v>25391.268</v>
      </c>
      <c r="G184" s="71">
        <v>9.0069999999999997</v>
      </c>
    </row>
    <row r="185" spans="1:7" x14ac:dyDescent="0.15">
      <c r="A185" s="141" t="s">
        <v>158</v>
      </c>
      <c r="B185" s="71">
        <v>969.08</v>
      </c>
      <c r="C185" s="71">
        <v>42.946100000000001</v>
      </c>
      <c r="D185" s="71">
        <v>46.5152</v>
      </c>
      <c r="E185" s="71">
        <v>47.292499999999997</v>
      </c>
      <c r="F185" s="71">
        <v>56499.957000000002</v>
      </c>
      <c r="G185" s="71">
        <v>8.7720000000000002</v>
      </c>
    </row>
    <row r="186" spans="1:7" x14ac:dyDescent="0.15">
      <c r="A186" s="141" t="s">
        <v>159</v>
      </c>
      <c r="B186" s="71">
        <v>495.84480000000002</v>
      </c>
      <c r="C186" s="71">
        <v>41.306899999999999</v>
      </c>
      <c r="D186" s="71">
        <v>45.576999999999998</v>
      </c>
      <c r="E186" s="71">
        <v>46.17</v>
      </c>
      <c r="F186" s="71">
        <v>33617.483999999997</v>
      </c>
      <c r="G186" s="71">
        <v>7.4329999999999998</v>
      </c>
    </row>
    <row r="187" spans="1:7" x14ac:dyDescent="0.15">
      <c r="A187" s="141" t="s">
        <v>160</v>
      </c>
      <c r="B187" s="71">
        <v>263.3424</v>
      </c>
      <c r="C187" s="71">
        <v>39.142699999999998</v>
      </c>
      <c r="D187" s="71">
        <v>44.177799999999998</v>
      </c>
      <c r="E187" s="71">
        <v>44.761000000000003</v>
      </c>
      <c r="F187" s="71">
        <v>19386.967000000001</v>
      </c>
      <c r="G187" s="71">
        <v>5.6029999999999998</v>
      </c>
    </row>
    <row r="188" spans="1:7" x14ac:dyDescent="0.15">
      <c r="A188" s="141" t="s">
        <v>161</v>
      </c>
      <c r="B188" s="71">
        <v>143.5728</v>
      </c>
      <c r="C188" s="71">
        <v>36.380699999999997</v>
      </c>
      <c r="D188" s="71">
        <v>42.5351</v>
      </c>
      <c r="E188" s="71">
        <v>42.828099999999999</v>
      </c>
      <c r="F188" s="71">
        <v>11421.744000000001</v>
      </c>
      <c r="G188" s="71">
        <v>4.7640000000000002</v>
      </c>
    </row>
    <row r="189" spans="1:7" x14ac:dyDescent="0.15">
      <c r="A189" s="141" t="s">
        <v>162</v>
      </c>
      <c r="B189" s="71">
        <v>1344.4384</v>
      </c>
      <c r="C189" s="71">
        <v>42.6404</v>
      </c>
      <c r="D189" s="71">
        <v>48.012599999999999</v>
      </c>
      <c r="E189" s="71">
        <v>47.463700000000003</v>
      </c>
      <c r="F189" s="71">
        <v>60866.612999999998</v>
      </c>
      <c r="G189" s="71">
        <v>9.8510000000000009</v>
      </c>
    </row>
    <row r="190" spans="1:7" x14ac:dyDescent="0.15">
      <c r="A190" s="141" t="s">
        <v>163</v>
      </c>
      <c r="B190" s="71">
        <v>660.74080000000004</v>
      </c>
      <c r="C190" s="71">
        <v>40.947499999999998</v>
      </c>
      <c r="D190" s="71">
        <v>47.2423</v>
      </c>
      <c r="E190" s="71">
        <v>46.268700000000003</v>
      </c>
      <c r="F190" s="71">
        <v>35176.175999999999</v>
      </c>
      <c r="G190" s="71">
        <v>7.1239999999999997</v>
      </c>
    </row>
    <row r="191" spans="1:7" x14ac:dyDescent="0.15">
      <c r="A191" s="141" t="s">
        <v>164</v>
      </c>
      <c r="B191" s="71">
        <v>350.69760000000002</v>
      </c>
      <c r="C191" s="71">
        <v>38.663400000000003</v>
      </c>
      <c r="D191" s="71">
        <v>46.154499999999999</v>
      </c>
      <c r="E191" s="71">
        <v>44.591999999999999</v>
      </c>
      <c r="F191" s="71">
        <v>21055.178</v>
      </c>
      <c r="G191" s="71">
        <v>6.4249999999999998</v>
      </c>
    </row>
    <row r="192" spans="1:7" x14ac:dyDescent="0.15">
      <c r="A192" s="141" t="s">
        <v>165</v>
      </c>
      <c r="B192" s="71">
        <v>192.2576</v>
      </c>
      <c r="C192" s="71">
        <v>35.631399999999999</v>
      </c>
      <c r="D192" s="71">
        <v>44.6372</v>
      </c>
      <c r="E192" s="71">
        <v>42.174700000000001</v>
      </c>
      <c r="F192" s="71">
        <v>13238.692999999999</v>
      </c>
      <c r="G192" s="71">
        <v>5.4960000000000004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zoomScaleNormal="100" workbookViewId="0">
      <selection activeCell="I1" sqref="I1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76649.785900000003</v>
      </c>
      <c r="C1">
        <v>40.8003</v>
      </c>
      <c r="D1">
        <v>49.140099999999997</v>
      </c>
      <c r="E1">
        <v>47.6663</v>
      </c>
      <c r="F1">
        <v>106931.18</v>
      </c>
      <c r="G1">
        <v>29.477</v>
      </c>
    </row>
    <row r="2" spans="1:7" x14ac:dyDescent="0.15">
      <c r="A2" s="141" t="s">
        <v>191</v>
      </c>
      <c r="B2">
        <v>41628.596799999999</v>
      </c>
      <c r="C2">
        <v>40.1571</v>
      </c>
      <c r="D2">
        <v>48.378999999999998</v>
      </c>
      <c r="E2">
        <v>46.562100000000001</v>
      </c>
      <c r="F2">
        <v>58473.608999999997</v>
      </c>
      <c r="G2">
        <v>26.978999999999999</v>
      </c>
    </row>
    <row r="3" spans="1:7" x14ac:dyDescent="0.15">
      <c r="A3" s="141" t="s">
        <v>192</v>
      </c>
      <c r="B3">
        <v>24995.338400000001</v>
      </c>
      <c r="C3">
        <v>39.431199999999997</v>
      </c>
      <c r="D3">
        <v>47.451300000000003</v>
      </c>
      <c r="E3">
        <v>45.295099999999998</v>
      </c>
      <c r="F3">
        <v>34968.699000000001</v>
      </c>
      <c r="G3">
        <v>24.978000000000002</v>
      </c>
    </row>
    <row r="4" spans="1:7" x14ac:dyDescent="0.15">
      <c r="A4" s="141" t="s">
        <v>193</v>
      </c>
      <c r="B4">
        <v>14279.8184</v>
      </c>
      <c r="C4">
        <v>38.212000000000003</v>
      </c>
      <c r="D4">
        <v>46.055300000000003</v>
      </c>
      <c r="E4">
        <v>43.520400000000002</v>
      </c>
      <c r="F4">
        <v>19412.008000000002</v>
      </c>
      <c r="G4">
        <v>23.248999999999999</v>
      </c>
    </row>
    <row r="5" spans="1:7" x14ac:dyDescent="0.15">
      <c r="A5" s="141" t="s">
        <v>194</v>
      </c>
      <c r="B5">
        <v>325191</v>
      </c>
      <c r="C5">
        <v>44.685899999999997</v>
      </c>
      <c r="D5">
        <v>38.907800000000002</v>
      </c>
      <c r="E5">
        <v>39.401299999999999</v>
      </c>
      <c r="F5">
        <v>174948.391</v>
      </c>
      <c r="G5">
        <v>41.789000000000001</v>
      </c>
    </row>
    <row r="6" spans="1:7" x14ac:dyDescent="0.15">
      <c r="A6" s="141" t="s">
        <v>195</v>
      </c>
      <c r="B6">
        <v>207706.78950000001</v>
      </c>
      <c r="C6">
        <v>41.917299999999997</v>
      </c>
      <c r="D6">
        <v>36.338299999999997</v>
      </c>
      <c r="E6">
        <v>37.145000000000003</v>
      </c>
      <c r="F6">
        <v>139175.07800000001</v>
      </c>
      <c r="G6">
        <v>39.683999999999997</v>
      </c>
    </row>
    <row r="7" spans="1:7" x14ac:dyDescent="0.15">
      <c r="A7" s="141" t="s">
        <v>196</v>
      </c>
      <c r="B7">
        <v>118700.8737</v>
      </c>
      <c r="C7">
        <v>38.681100000000001</v>
      </c>
      <c r="D7">
        <v>34.052100000000003</v>
      </c>
      <c r="E7">
        <v>35.096699999999998</v>
      </c>
      <c r="F7">
        <v>100112.07</v>
      </c>
      <c r="G7">
        <v>32.762999999999998</v>
      </c>
    </row>
    <row r="8" spans="1:7" x14ac:dyDescent="0.15">
      <c r="A8" s="141" t="s">
        <v>197</v>
      </c>
      <c r="B8">
        <v>55985.368399999999</v>
      </c>
      <c r="C8">
        <v>35.217300000000002</v>
      </c>
      <c r="D8">
        <v>31.694900000000001</v>
      </c>
      <c r="E8">
        <v>33.150799999999997</v>
      </c>
      <c r="F8">
        <v>64531.328000000001</v>
      </c>
      <c r="G8">
        <v>27.908999999999999</v>
      </c>
    </row>
    <row r="9" spans="1:7" x14ac:dyDescent="0.15">
      <c r="A9" s="141" t="s">
        <v>198</v>
      </c>
      <c r="B9">
        <v>125343.15790000001</v>
      </c>
      <c r="C9">
        <v>41.550699999999999</v>
      </c>
      <c r="D9">
        <v>43.853999999999999</v>
      </c>
      <c r="E9">
        <v>42.776200000000003</v>
      </c>
      <c r="F9">
        <v>163862.891</v>
      </c>
      <c r="G9">
        <v>34.17</v>
      </c>
    </row>
    <row r="10" spans="1:7" x14ac:dyDescent="0.15">
      <c r="A10" s="141" t="s">
        <v>199</v>
      </c>
      <c r="B10">
        <v>56248.269500000002</v>
      </c>
      <c r="C10">
        <v>38.854999999999997</v>
      </c>
      <c r="D10">
        <v>41.252400000000002</v>
      </c>
      <c r="E10">
        <v>41.615400000000001</v>
      </c>
      <c r="F10">
        <v>102536.04700000001</v>
      </c>
      <c r="G10">
        <v>28.288</v>
      </c>
    </row>
    <row r="11" spans="1:7" x14ac:dyDescent="0.15">
      <c r="A11" s="141" t="s">
        <v>200</v>
      </c>
      <c r="B11">
        <v>25640.936799999999</v>
      </c>
      <c r="C11">
        <v>37.2943</v>
      </c>
      <c r="D11">
        <v>38.950499999999998</v>
      </c>
      <c r="E11">
        <v>40.486499999999999</v>
      </c>
      <c r="F11">
        <v>55392.008000000002</v>
      </c>
      <c r="G11">
        <v>24.074000000000002</v>
      </c>
    </row>
    <row r="12" spans="1:7" x14ac:dyDescent="0.15">
      <c r="A12" s="141" t="s">
        <v>201</v>
      </c>
      <c r="B12">
        <v>12412.503199999999</v>
      </c>
      <c r="C12">
        <v>35.906500000000001</v>
      </c>
      <c r="D12">
        <v>36.248899999999999</v>
      </c>
      <c r="E12">
        <v>39.0047</v>
      </c>
      <c r="F12">
        <v>30209.081999999999</v>
      </c>
      <c r="G12">
        <v>21.193000000000001</v>
      </c>
    </row>
    <row r="13" spans="1:7" x14ac:dyDescent="0.15">
      <c r="A13" s="141" t="s">
        <v>202</v>
      </c>
      <c r="B13">
        <v>178117.78109999999</v>
      </c>
      <c r="C13">
        <v>38.604399999999998</v>
      </c>
      <c r="D13">
        <v>45.508600000000001</v>
      </c>
      <c r="E13">
        <v>43.3018</v>
      </c>
      <c r="F13">
        <v>191939.75</v>
      </c>
      <c r="G13">
        <v>36.988</v>
      </c>
    </row>
    <row r="14" spans="1:7" x14ac:dyDescent="0.15">
      <c r="A14" s="141" t="s">
        <v>203</v>
      </c>
      <c r="B14">
        <v>87373.364199999996</v>
      </c>
      <c r="C14">
        <v>37.670999999999999</v>
      </c>
      <c r="D14">
        <v>44.5745</v>
      </c>
      <c r="E14">
        <v>42.164400000000001</v>
      </c>
      <c r="F14">
        <v>107080.227</v>
      </c>
      <c r="G14">
        <v>29.106999999999999</v>
      </c>
    </row>
    <row r="15" spans="1:7" x14ac:dyDescent="0.15">
      <c r="A15" s="141" t="s">
        <v>204</v>
      </c>
      <c r="B15">
        <v>50253.814700000003</v>
      </c>
      <c r="C15">
        <v>36.746899999999997</v>
      </c>
      <c r="D15">
        <v>43.557400000000001</v>
      </c>
      <c r="E15">
        <v>40.963900000000002</v>
      </c>
      <c r="F15">
        <v>66440.875</v>
      </c>
      <c r="G15">
        <v>26.120999999999999</v>
      </c>
    </row>
    <row r="16" spans="1:7" x14ac:dyDescent="0.15">
      <c r="A16" s="141" t="s">
        <v>205</v>
      </c>
      <c r="B16">
        <v>26481.6126</v>
      </c>
      <c r="C16">
        <v>35.2455</v>
      </c>
      <c r="D16">
        <v>42.153399999999998</v>
      </c>
      <c r="E16">
        <v>39.581800000000001</v>
      </c>
      <c r="F16">
        <v>38869.171999999999</v>
      </c>
      <c r="G16">
        <v>24.297000000000001</v>
      </c>
    </row>
    <row r="17" spans="1:7" x14ac:dyDescent="0.15">
      <c r="A17" s="141" t="s">
        <v>94</v>
      </c>
      <c r="B17">
        <v>68053.606299999999</v>
      </c>
      <c r="C17">
        <v>39.547499999999999</v>
      </c>
      <c r="D17">
        <v>40.388199999999998</v>
      </c>
      <c r="E17">
        <v>43.313899999999997</v>
      </c>
      <c r="F17">
        <v>96712.031000000003</v>
      </c>
      <c r="G17">
        <v>17.533000000000001</v>
      </c>
    </row>
    <row r="18" spans="1:7" x14ac:dyDescent="0.15">
      <c r="A18" s="141" t="s">
        <v>95</v>
      </c>
      <c r="B18">
        <v>40667.898399999998</v>
      </c>
      <c r="C18">
        <v>37.911799999999999</v>
      </c>
      <c r="D18">
        <v>39.354300000000002</v>
      </c>
      <c r="E18">
        <v>41.866</v>
      </c>
      <c r="F18">
        <v>67085.625</v>
      </c>
      <c r="G18">
        <v>15.324</v>
      </c>
    </row>
    <row r="19" spans="1:7" x14ac:dyDescent="0.15">
      <c r="A19" s="141" t="s">
        <v>96</v>
      </c>
      <c r="B19">
        <v>23442.323799999998</v>
      </c>
      <c r="C19">
        <v>35.995800000000003</v>
      </c>
      <c r="D19">
        <v>38.438600000000001</v>
      </c>
      <c r="E19">
        <v>40.432299999999998</v>
      </c>
      <c r="F19">
        <v>44470.074000000001</v>
      </c>
      <c r="G19">
        <v>13.132999999999999</v>
      </c>
    </row>
    <row r="20" spans="1:7" x14ac:dyDescent="0.15">
      <c r="A20" s="141" t="s">
        <v>97</v>
      </c>
      <c r="B20">
        <v>11971.784100000001</v>
      </c>
      <c r="C20">
        <v>33.523400000000002</v>
      </c>
      <c r="D20">
        <v>37.2363</v>
      </c>
      <c r="E20">
        <v>38.716299999999997</v>
      </c>
      <c r="F20">
        <v>27220.050999999999</v>
      </c>
      <c r="G20">
        <v>10.984999999999999</v>
      </c>
    </row>
    <row r="21" spans="1:7" x14ac:dyDescent="0.15">
      <c r="A21" s="141" t="s">
        <v>98</v>
      </c>
      <c r="B21">
        <v>42855.479399999997</v>
      </c>
      <c r="C21">
        <v>40.194000000000003</v>
      </c>
      <c r="D21">
        <v>44.0944</v>
      </c>
      <c r="E21">
        <v>45.518999999999998</v>
      </c>
      <c r="F21">
        <v>73820.25</v>
      </c>
      <c r="G21">
        <v>15.134</v>
      </c>
    </row>
    <row r="22" spans="1:7" x14ac:dyDescent="0.15">
      <c r="A22" s="141" t="s">
        <v>99</v>
      </c>
      <c r="B22">
        <v>23397.618999999999</v>
      </c>
      <c r="C22">
        <v>38.724600000000002</v>
      </c>
      <c r="D22">
        <v>43.077800000000003</v>
      </c>
      <c r="E22">
        <v>44.020299999999999</v>
      </c>
      <c r="F22">
        <v>49390.870999999999</v>
      </c>
      <c r="G22">
        <v>13.492000000000001</v>
      </c>
    </row>
    <row r="23" spans="1:7" x14ac:dyDescent="0.15">
      <c r="A23" s="141" t="s">
        <v>100</v>
      </c>
      <c r="B23">
        <v>13162.374599999999</v>
      </c>
      <c r="C23">
        <v>37.273699999999998</v>
      </c>
      <c r="D23">
        <v>41.967199999999998</v>
      </c>
      <c r="E23">
        <v>42.439</v>
      </c>
      <c r="F23">
        <v>30672.664000000001</v>
      </c>
      <c r="G23">
        <v>11.760999999999999</v>
      </c>
    </row>
    <row r="24" spans="1:7" x14ac:dyDescent="0.15">
      <c r="A24" s="141" t="s">
        <v>101</v>
      </c>
      <c r="B24">
        <v>7046.1016</v>
      </c>
      <c r="C24">
        <v>35.351500000000001</v>
      </c>
      <c r="D24">
        <v>40.4833</v>
      </c>
      <c r="E24">
        <v>40.491399999999999</v>
      </c>
      <c r="F24">
        <v>18230.025000000001</v>
      </c>
      <c r="G24">
        <v>10.513</v>
      </c>
    </row>
    <row r="25" spans="1:7" x14ac:dyDescent="0.15">
      <c r="A25" s="141" t="s">
        <v>206</v>
      </c>
      <c r="B25">
        <v>65102.380799999999</v>
      </c>
      <c r="C25">
        <v>41.709899999999998</v>
      </c>
      <c r="D25">
        <v>44.219200000000001</v>
      </c>
      <c r="E25">
        <v>45.032699999999998</v>
      </c>
      <c r="F25">
        <v>82715.75</v>
      </c>
      <c r="G25">
        <v>19.068000000000001</v>
      </c>
    </row>
    <row r="26" spans="1:7" x14ac:dyDescent="0.15">
      <c r="A26" s="141" t="s">
        <v>207</v>
      </c>
      <c r="B26">
        <v>41983.161599999999</v>
      </c>
      <c r="C26">
        <v>39.9178</v>
      </c>
      <c r="D26">
        <v>42.728999999999999</v>
      </c>
      <c r="E26">
        <v>43.779699999999998</v>
      </c>
      <c r="F26">
        <v>60941.23</v>
      </c>
      <c r="G26">
        <v>17.414999999999999</v>
      </c>
    </row>
    <row r="27" spans="1:7" x14ac:dyDescent="0.15">
      <c r="A27" s="141" t="s">
        <v>208</v>
      </c>
      <c r="B27">
        <v>24699.251199999999</v>
      </c>
      <c r="C27">
        <v>37.699399999999997</v>
      </c>
      <c r="D27">
        <v>41.391100000000002</v>
      </c>
      <c r="E27">
        <v>42.497900000000001</v>
      </c>
      <c r="F27">
        <v>42497</v>
      </c>
      <c r="G27">
        <v>15.631</v>
      </c>
    </row>
    <row r="28" spans="1:7" x14ac:dyDescent="0.15">
      <c r="A28" s="141" t="s">
        <v>209</v>
      </c>
      <c r="B28">
        <v>12489.92</v>
      </c>
      <c r="C28">
        <v>35.015599999999999</v>
      </c>
      <c r="D28">
        <v>39.8917</v>
      </c>
      <c r="E28">
        <v>40.892000000000003</v>
      </c>
      <c r="F28">
        <v>25933.42</v>
      </c>
      <c r="G28">
        <v>13.493</v>
      </c>
    </row>
    <row r="29" spans="1:7" x14ac:dyDescent="0.15">
      <c r="A29" s="141" t="s">
        <v>210</v>
      </c>
      <c r="B29">
        <v>39871.756800000003</v>
      </c>
      <c r="C29">
        <v>44.8919</v>
      </c>
      <c r="D29">
        <v>47.1158</v>
      </c>
      <c r="E29">
        <v>48.105600000000003</v>
      </c>
      <c r="F29">
        <v>60258.311999999998</v>
      </c>
      <c r="G29">
        <v>17.326000000000001</v>
      </c>
    </row>
    <row r="30" spans="1:7" x14ac:dyDescent="0.15">
      <c r="A30" s="141" t="s">
        <v>211</v>
      </c>
      <c r="B30">
        <v>26317.497599999999</v>
      </c>
      <c r="C30">
        <v>42.747300000000003</v>
      </c>
      <c r="D30">
        <v>45.390099999999997</v>
      </c>
      <c r="E30">
        <v>46.268700000000003</v>
      </c>
      <c r="F30">
        <v>44876.156000000003</v>
      </c>
      <c r="G30">
        <v>15.143000000000001</v>
      </c>
    </row>
    <row r="31" spans="1:7" x14ac:dyDescent="0.15">
      <c r="A31" s="141" t="s">
        <v>212</v>
      </c>
      <c r="B31">
        <v>15607.1232</v>
      </c>
      <c r="C31">
        <v>40.072099999999999</v>
      </c>
      <c r="D31">
        <v>43.784599999999998</v>
      </c>
      <c r="E31">
        <v>44.485999999999997</v>
      </c>
      <c r="F31">
        <v>30874.067999999999</v>
      </c>
      <c r="G31">
        <v>13.422000000000001</v>
      </c>
    </row>
    <row r="32" spans="1:7" x14ac:dyDescent="0.15">
      <c r="A32" s="141" t="s">
        <v>213</v>
      </c>
      <c r="B32">
        <v>8154.8864000000003</v>
      </c>
      <c r="C32">
        <v>37.004800000000003</v>
      </c>
      <c r="D32">
        <v>41.983699999999999</v>
      </c>
      <c r="E32">
        <v>42.400500000000001</v>
      </c>
      <c r="F32">
        <v>19387.455000000002</v>
      </c>
      <c r="G32">
        <v>12.192</v>
      </c>
    </row>
    <row r="33" spans="1:7" x14ac:dyDescent="0.15">
      <c r="A33" s="141" t="s">
        <v>102</v>
      </c>
      <c r="B33">
        <v>54214.182399999998</v>
      </c>
      <c r="C33">
        <v>41.725099999999998</v>
      </c>
      <c r="D33">
        <v>45.887700000000002</v>
      </c>
      <c r="E33">
        <v>46.165599999999998</v>
      </c>
      <c r="F33">
        <v>56115.175999999999</v>
      </c>
      <c r="G33">
        <v>10.597</v>
      </c>
    </row>
    <row r="34" spans="1:7" x14ac:dyDescent="0.15">
      <c r="A34" s="141" t="s">
        <v>103</v>
      </c>
      <c r="B34">
        <v>37072.134400000003</v>
      </c>
      <c r="C34">
        <v>38.802</v>
      </c>
      <c r="D34">
        <v>44.061799999999998</v>
      </c>
      <c r="E34">
        <v>44.345300000000002</v>
      </c>
      <c r="F34">
        <v>45583.991999999998</v>
      </c>
      <c r="G34">
        <v>9.3800000000000008</v>
      </c>
    </row>
    <row r="35" spans="1:7" x14ac:dyDescent="0.15">
      <c r="A35" s="141" t="s">
        <v>104</v>
      </c>
      <c r="B35">
        <v>22057.216</v>
      </c>
      <c r="C35">
        <v>35.427199999999999</v>
      </c>
      <c r="D35">
        <v>42.538800000000002</v>
      </c>
      <c r="E35">
        <v>42.848100000000002</v>
      </c>
      <c r="F35">
        <v>33975.004000000001</v>
      </c>
      <c r="G35">
        <v>8.24</v>
      </c>
    </row>
    <row r="36" spans="1:7" x14ac:dyDescent="0.15">
      <c r="A36" s="141" t="s">
        <v>105</v>
      </c>
      <c r="B36">
        <v>10893.4144</v>
      </c>
      <c r="C36">
        <v>31.806799999999999</v>
      </c>
      <c r="D36">
        <v>41.0974</v>
      </c>
      <c r="E36">
        <v>41.4831</v>
      </c>
      <c r="F36">
        <v>21971.445</v>
      </c>
      <c r="G36">
        <v>6.8479999999999999</v>
      </c>
    </row>
    <row r="37" spans="1:7" x14ac:dyDescent="0.15">
      <c r="A37" s="141" t="s">
        <v>106</v>
      </c>
      <c r="B37">
        <v>20318.848000000002</v>
      </c>
      <c r="C37">
        <v>42.681699999999999</v>
      </c>
      <c r="D37">
        <v>45.4392</v>
      </c>
      <c r="E37">
        <v>46.920099999999998</v>
      </c>
      <c r="F37">
        <v>32437.641</v>
      </c>
      <c r="G37">
        <v>7.6550000000000002</v>
      </c>
    </row>
    <row r="38" spans="1:7" x14ac:dyDescent="0.15">
      <c r="A38" s="141" t="s">
        <v>107</v>
      </c>
      <c r="B38">
        <v>11578.105600000001</v>
      </c>
      <c r="C38">
        <v>40.668700000000001</v>
      </c>
      <c r="D38">
        <v>44.493400000000001</v>
      </c>
      <c r="E38">
        <v>45.2515</v>
      </c>
      <c r="F38">
        <v>22657.116999999998</v>
      </c>
      <c r="G38">
        <v>6.8810000000000002</v>
      </c>
    </row>
    <row r="39" spans="1:7" x14ac:dyDescent="0.15">
      <c r="A39" s="141" t="s">
        <v>108</v>
      </c>
      <c r="B39">
        <v>6429.5551999999998</v>
      </c>
      <c r="C39">
        <v>38.6614</v>
      </c>
      <c r="D39">
        <v>43.5411</v>
      </c>
      <c r="E39">
        <v>43.520899999999997</v>
      </c>
      <c r="F39">
        <v>14506.779</v>
      </c>
      <c r="G39">
        <v>5.89</v>
      </c>
    </row>
    <row r="40" spans="1:7" x14ac:dyDescent="0.15">
      <c r="A40" s="141" t="s">
        <v>109</v>
      </c>
      <c r="B40">
        <v>3286.9184</v>
      </c>
      <c r="C40">
        <v>36.287700000000001</v>
      </c>
      <c r="D40">
        <v>42.219900000000003</v>
      </c>
      <c r="E40">
        <v>41.399299999999997</v>
      </c>
      <c r="F40">
        <v>8463.7450000000008</v>
      </c>
      <c r="G40">
        <v>5.1890000000000001</v>
      </c>
    </row>
    <row r="41" spans="1:7" x14ac:dyDescent="0.15">
      <c r="A41" s="141" t="s">
        <v>110</v>
      </c>
      <c r="B41">
        <v>15327.68</v>
      </c>
      <c r="C41">
        <v>44.203000000000003</v>
      </c>
      <c r="D41">
        <v>46.948399999999999</v>
      </c>
      <c r="E41">
        <v>47.7941</v>
      </c>
      <c r="F41">
        <v>25641.223000000002</v>
      </c>
      <c r="G41">
        <v>7.1689999999999996</v>
      </c>
    </row>
    <row r="42" spans="1:7" x14ac:dyDescent="0.15">
      <c r="A42" s="141" t="s">
        <v>111</v>
      </c>
      <c r="B42">
        <v>10395.251200000001</v>
      </c>
      <c r="C42">
        <v>42.479399999999998</v>
      </c>
      <c r="D42">
        <v>45.753700000000002</v>
      </c>
      <c r="E42">
        <v>46.3782</v>
      </c>
      <c r="F42">
        <v>19503.208999999999</v>
      </c>
      <c r="G42">
        <v>6.6550000000000002</v>
      </c>
    </row>
    <row r="43" spans="1:7" x14ac:dyDescent="0.15">
      <c r="A43" s="141" t="s">
        <v>112</v>
      </c>
      <c r="B43">
        <v>6571.8208000000004</v>
      </c>
      <c r="C43">
        <v>40.133000000000003</v>
      </c>
      <c r="D43">
        <v>44.436999999999998</v>
      </c>
      <c r="E43">
        <v>44.869100000000003</v>
      </c>
      <c r="F43">
        <v>13893.214</v>
      </c>
      <c r="G43">
        <v>6.0679999999999996</v>
      </c>
    </row>
    <row r="44" spans="1:7" x14ac:dyDescent="0.15">
      <c r="A44" s="141" t="s">
        <v>113</v>
      </c>
      <c r="B44">
        <v>3809.0239999999999</v>
      </c>
      <c r="C44">
        <v>37.149799999999999</v>
      </c>
      <c r="D44">
        <v>42.751100000000001</v>
      </c>
      <c r="E44">
        <v>42.981400000000001</v>
      </c>
      <c r="F44">
        <v>9048.2579999999998</v>
      </c>
      <c r="G44">
        <v>5.5739999999999998</v>
      </c>
    </row>
    <row r="45" spans="1:7" x14ac:dyDescent="0.15">
      <c r="A45" s="141" t="s">
        <v>114</v>
      </c>
      <c r="B45">
        <v>16561.529600000002</v>
      </c>
      <c r="C45">
        <v>44.141500000000001</v>
      </c>
      <c r="D45">
        <v>48.619100000000003</v>
      </c>
      <c r="E45">
        <v>48.207599999999999</v>
      </c>
      <c r="F45">
        <v>25197.912</v>
      </c>
      <c r="G45">
        <v>6.8630000000000004</v>
      </c>
    </row>
    <row r="46" spans="1:7" x14ac:dyDescent="0.15">
      <c r="A46" s="141" t="s">
        <v>115</v>
      </c>
      <c r="B46">
        <v>11503.263999999999</v>
      </c>
      <c r="C46">
        <v>42.404200000000003</v>
      </c>
      <c r="D46">
        <v>47.503100000000003</v>
      </c>
      <c r="E46">
        <v>46.644500000000001</v>
      </c>
      <c r="F46">
        <v>19292.474999999999</v>
      </c>
      <c r="G46">
        <v>6.2350000000000003</v>
      </c>
    </row>
    <row r="47" spans="1:7" x14ac:dyDescent="0.15">
      <c r="A47" s="141" t="s">
        <v>116</v>
      </c>
      <c r="B47">
        <v>7477.9520000000002</v>
      </c>
      <c r="C47">
        <v>40.014499999999998</v>
      </c>
      <c r="D47">
        <v>46.2074</v>
      </c>
      <c r="E47">
        <v>44.831600000000002</v>
      </c>
      <c r="F47">
        <v>14076.474</v>
      </c>
      <c r="G47">
        <v>5.7469999999999999</v>
      </c>
    </row>
    <row r="48" spans="1:7" x14ac:dyDescent="0.15">
      <c r="A48" s="141" t="s">
        <v>117</v>
      </c>
      <c r="B48">
        <v>4355.2064</v>
      </c>
      <c r="C48">
        <v>36.799399999999999</v>
      </c>
      <c r="D48">
        <v>44.3733</v>
      </c>
      <c r="E48">
        <v>42.559699999999999</v>
      </c>
      <c r="F48">
        <v>9546.2009999999991</v>
      </c>
      <c r="G48">
        <v>5.1829999999999998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14648.451999999999</v>
      </c>
      <c r="C73">
        <v>40.081299999999999</v>
      </c>
      <c r="D73">
        <v>48.959200000000003</v>
      </c>
      <c r="E73">
        <v>46.956299999999999</v>
      </c>
      <c r="F73">
        <v>356762.59600000002</v>
      </c>
      <c r="G73">
        <v>68.363</v>
      </c>
    </row>
    <row r="74" spans="1:7" x14ac:dyDescent="0.15">
      <c r="A74" s="141" t="s">
        <v>223</v>
      </c>
      <c r="B74">
        <v>6774.02</v>
      </c>
      <c r="C74">
        <v>39.581099999999999</v>
      </c>
      <c r="D74">
        <v>48.368400000000001</v>
      </c>
      <c r="E74">
        <v>46.093499999999999</v>
      </c>
      <c r="F74">
        <v>196225.78</v>
      </c>
      <c r="G74">
        <v>63.82</v>
      </c>
    </row>
    <row r="75" spans="1:7" x14ac:dyDescent="0.15">
      <c r="A75" s="141" t="s">
        <v>224</v>
      </c>
      <c r="B75">
        <v>3668.7559999999999</v>
      </c>
      <c r="C75">
        <v>38.727699999999999</v>
      </c>
      <c r="D75">
        <v>47.4148</v>
      </c>
      <c r="E75">
        <v>44.790399999999998</v>
      </c>
      <c r="F75">
        <v>98305.538</v>
      </c>
      <c r="G75">
        <v>59.079000000000001</v>
      </c>
    </row>
    <row r="76" spans="1:7" x14ac:dyDescent="0.15">
      <c r="A76" s="141" t="s">
        <v>225</v>
      </c>
      <c r="B76">
        <v>1940.48</v>
      </c>
      <c r="C76">
        <v>37.220300000000002</v>
      </c>
      <c r="D76">
        <v>46.148200000000003</v>
      </c>
      <c r="E76">
        <v>43.143700000000003</v>
      </c>
      <c r="F76">
        <v>48407.292000000001</v>
      </c>
      <c r="G76">
        <v>52.418999999999997</v>
      </c>
    </row>
    <row r="77" spans="1:7" x14ac:dyDescent="0.15">
      <c r="A77" s="141" t="s">
        <v>226</v>
      </c>
      <c r="B77">
        <v>77034.58</v>
      </c>
      <c r="C77">
        <v>41.629399999999997</v>
      </c>
      <c r="D77">
        <v>36.307600000000001</v>
      </c>
      <c r="E77">
        <v>37.3842</v>
      </c>
      <c r="F77">
        <v>736122.39</v>
      </c>
      <c r="G77">
        <v>79.975999999999999</v>
      </c>
    </row>
    <row r="78" spans="1:7" x14ac:dyDescent="0.15">
      <c r="A78" s="141" t="s">
        <v>227</v>
      </c>
      <c r="B78">
        <v>40002.552000000003</v>
      </c>
      <c r="C78">
        <v>39.0259</v>
      </c>
      <c r="D78">
        <v>34.376899999999999</v>
      </c>
      <c r="E78">
        <v>35.6753</v>
      </c>
      <c r="F78">
        <v>458299.413</v>
      </c>
      <c r="G78">
        <v>69.453000000000003</v>
      </c>
    </row>
    <row r="79" spans="1:7" x14ac:dyDescent="0.15">
      <c r="A79" s="141" t="s">
        <v>228</v>
      </c>
      <c r="B79">
        <v>18902.835999999999</v>
      </c>
      <c r="C79">
        <v>36.116399999999999</v>
      </c>
      <c r="D79">
        <v>32.645200000000003</v>
      </c>
      <c r="E79">
        <v>34.134500000000003</v>
      </c>
      <c r="F79">
        <v>272111.23499999999</v>
      </c>
      <c r="G79">
        <v>63.418999999999997</v>
      </c>
    </row>
    <row r="80" spans="1:7" x14ac:dyDescent="0.15">
      <c r="A80" s="141" t="s">
        <v>229</v>
      </c>
      <c r="B80">
        <v>7817.6760000000004</v>
      </c>
      <c r="C80">
        <v>33.0428</v>
      </c>
      <c r="D80">
        <v>31.040400000000002</v>
      </c>
      <c r="E80">
        <v>32.747700000000002</v>
      </c>
      <c r="F80">
        <v>160663.5</v>
      </c>
      <c r="G80">
        <v>62.247</v>
      </c>
    </row>
    <row r="81" spans="1:7" x14ac:dyDescent="0.15">
      <c r="A81" s="141" t="s">
        <v>230</v>
      </c>
      <c r="B81">
        <v>39036.26</v>
      </c>
      <c r="C81">
        <v>38.319699999999997</v>
      </c>
      <c r="D81">
        <v>40.369500000000002</v>
      </c>
      <c r="E81">
        <v>41.366900000000001</v>
      </c>
      <c r="F81">
        <v>411884.10800000001</v>
      </c>
      <c r="G81">
        <v>42.488</v>
      </c>
    </row>
    <row r="82" spans="1:7" x14ac:dyDescent="0.15">
      <c r="A82" s="141" t="s">
        <v>231</v>
      </c>
      <c r="B82">
        <v>18968.712</v>
      </c>
      <c r="C82">
        <v>37.190800000000003</v>
      </c>
      <c r="D82">
        <v>37.874200000000002</v>
      </c>
      <c r="E82">
        <v>40.105499999999999</v>
      </c>
      <c r="F82">
        <v>243259.89199999999</v>
      </c>
      <c r="G82">
        <v>37.767000000000003</v>
      </c>
    </row>
    <row r="83" spans="1:7" x14ac:dyDescent="0.15">
      <c r="A83" s="141" t="s">
        <v>232</v>
      </c>
      <c r="B83">
        <v>9387.7119999999995</v>
      </c>
      <c r="C83">
        <v>35.8095</v>
      </c>
      <c r="D83">
        <v>35.6751</v>
      </c>
      <c r="E83">
        <v>38.809800000000003</v>
      </c>
      <c r="F83">
        <v>138305.81899999999</v>
      </c>
      <c r="G83">
        <v>33.911000000000001</v>
      </c>
    </row>
    <row r="84" spans="1:7" x14ac:dyDescent="0.15">
      <c r="A84" s="141" t="s">
        <v>233</v>
      </c>
      <c r="B84">
        <v>4761.0320000000002</v>
      </c>
      <c r="C84">
        <v>33.973599999999998</v>
      </c>
      <c r="D84">
        <v>33.798999999999999</v>
      </c>
      <c r="E84">
        <v>37.342300000000002</v>
      </c>
      <c r="F84">
        <v>81880.039999999994</v>
      </c>
      <c r="G84">
        <v>31.777000000000001</v>
      </c>
    </row>
    <row r="85" spans="1:7" x14ac:dyDescent="0.15">
      <c r="A85" s="141" t="s">
        <v>234</v>
      </c>
      <c r="B85">
        <v>25489.187999999998</v>
      </c>
      <c r="C85">
        <v>37.620800000000003</v>
      </c>
      <c r="D85">
        <v>45.173099999999998</v>
      </c>
      <c r="E85">
        <v>42.7911</v>
      </c>
      <c r="F85">
        <v>529003.41099999996</v>
      </c>
      <c r="G85">
        <v>70.576999999999998</v>
      </c>
    </row>
    <row r="86" spans="1:7" x14ac:dyDescent="0.15">
      <c r="A86" s="141" t="s">
        <v>235</v>
      </c>
      <c r="B86">
        <v>9126.8799999999992</v>
      </c>
      <c r="C86">
        <v>37.054099999999998</v>
      </c>
      <c r="D86">
        <v>44.578400000000002</v>
      </c>
      <c r="E86">
        <v>42.118499999999997</v>
      </c>
      <c r="F86">
        <v>272557.19400000002</v>
      </c>
      <c r="G86">
        <v>62.271999999999998</v>
      </c>
    </row>
    <row r="87" spans="1:7" x14ac:dyDescent="0.15">
      <c r="A87" s="141" t="s">
        <v>236</v>
      </c>
      <c r="B87">
        <v>4517.1559999999999</v>
      </c>
      <c r="C87">
        <v>36.196800000000003</v>
      </c>
      <c r="D87">
        <v>43.665900000000001</v>
      </c>
      <c r="E87">
        <v>41.165700000000001</v>
      </c>
      <c r="F87">
        <v>135979.07699999999</v>
      </c>
      <c r="G87">
        <v>50.695999999999998</v>
      </c>
    </row>
    <row r="88" spans="1:7" x14ac:dyDescent="0.15">
      <c r="A88" s="141" t="s">
        <v>237</v>
      </c>
      <c r="B88">
        <v>2188.8200000000002</v>
      </c>
      <c r="C88">
        <v>34.725000000000001</v>
      </c>
      <c r="D88">
        <v>42.462200000000003</v>
      </c>
      <c r="E88">
        <v>39.923699999999997</v>
      </c>
      <c r="F88">
        <v>66114.960000000006</v>
      </c>
      <c r="G88">
        <v>43.334000000000003</v>
      </c>
    </row>
    <row r="89" spans="1:7" x14ac:dyDescent="0.15">
      <c r="A89" s="141" t="s">
        <v>118</v>
      </c>
      <c r="B89">
        <v>9926.8919999999998</v>
      </c>
      <c r="C89">
        <v>37.994700000000002</v>
      </c>
      <c r="D89">
        <v>39.739600000000003</v>
      </c>
      <c r="E89">
        <v>43.135599999999997</v>
      </c>
      <c r="F89">
        <v>120803.552</v>
      </c>
      <c r="G89">
        <v>14.596</v>
      </c>
    </row>
    <row r="90" spans="1:7" x14ac:dyDescent="0.15">
      <c r="A90" s="141" t="s">
        <v>119</v>
      </c>
      <c r="B90">
        <v>4579.72</v>
      </c>
      <c r="C90">
        <v>36.884399999999999</v>
      </c>
      <c r="D90">
        <v>39.217300000000002</v>
      </c>
      <c r="E90">
        <v>42.014400000000002</v>
      </c>
      <c r="F90">
        <v>72065.808999999994</v>
      </c>
      <c r="G90">
        <v>12.944000000000001</v>
      </c>
    </row>
    <row r="91" spans="1:7" x14ac:dyDescent="0.15">
      <c r="A91" s="141" t="s">
        <v>120</v>
      </c>
      <c r="B91">
        <v>2327.9639999999999</v>
      </c>
      <c r="C91">
        <v>35.334499999999998</v>
      </c>
      <c r="D91">
        <v>38.509</v>
      </c>
      <c r="E91">
        <v>40.659399999999998</v>
      </c>
      <c r="F91">
        <v>39117.675000000003</v>
      </c>
      <c r="G91">
        <v>10.847</v>
      </c>
    </row>
    <row r="92" spans="1:7" x14ac:dyDescent="0.15">
      <c r="A92" s="141" t="s">
        <v>121</v>
      </c>
      <c r="B92">
        <v>1111.0160000000001</v>
      </c>
      <c r="C92">
        <v>33.130899999999997</v>
      </c>
      <c r="D92">
        <v>37.452500000000001</v>
      </c>
      <c r="E92">
        <v>38.9602</v>
      </c>
      <c r="F92">
        <v>20994.385999999999</v>
      </c>
      <c r="G92">
        <v>9.6159999999999997</v>
      </c>
    </row>
    <row r="93" spans="1:7" x14ac:dyDescent="0.15">
      <c r="A93" s="141" t="s">
        <v>122</v>
      </c>
      <c r="B93">
        <v>8734.3040000000001</v>
      </c>
      <c r="C93">
        <v>38.923699999999997</v>
      </c>
      <c r="D93">
        <v>43.968699999999998</v>
      </c>
      <c r="E93">
        <v>45.089100000000002</v>
      </c>
      <c r="F93">
        <v>128012.63499999999</v>
      </c>
      <c r="G93">
        <v>16.875</v>
      </c>
    </row>
    <row r="94" spans="1:7" x14ac:dyDescent="0.15">
      <c r="A94" s="141" t="s">
        <v>123</v>
      </c>
      <c r="B94">
        <v>4353.0879999999997</v>
      </c>
      <c r="C94">
        <v>37.878799999999998</v>
      </c>
      <c r="D94">
        <v>43.138399999999997</v>
      </c>
      <c r="E94">
        <v>43.670299999999997</v>
      </c>
      <c r="F94">
        <v>75876.255999999994</v>
      </c>
      <c r="G94">
        <v>15.452</v>
      </c>
    </row>
    <row r="95" spans="1:7" x14ac:dyDescent="0.15">
      <c r="A95" s="141" t="s">
        <v>124</v>
      </c>
      <c r="B95">
        <v>2219.9920000000002</v>
      </c>
      <c r="C95">
        <v>36.3827</v>
      </c>
      <c r="D95">
        <v>42.052700000000002</v>
      </c>
      <c r="E95">
        <v>42.040500000000002</v>
      </c>
      <c r="F95">
        <v>40932.618999999999</v>
      </c>
      <c r="G95">
        <v>12.715</v>
      </c>
    </row>
    <row r="96" spans="1:7" x14ac:dyDescent="0.15">
      <c r="A96" s="141" t="s">
        <v>125</v>
      </c>
      <c r="B96">
        <v>1094.644</v>
      </c>
      <c r="C96">
        <v>34.320799999999998</v>
      </c>
      <c r="D96">
        <v>40.712800000000001</v>
      </c>
      <c r="E96">
        <v>40.188400000000001</v>
      </c>
      <c r="F96">
        <v>21697.035</v>
      </c>
      <c r="G96">
        <v>10.708</v>
      </c>
    </row>
    <row r="97" spans="1:7" x14ac:dyDescent="0.15">
      <c r="A97" s="141" t="s">
        <v>238</v>
      </c>
      <c r="B97">
        <v>6822.7560000000003</v>
      </c>
      <c r="C97">
        <v>39.688000000000002</v>
      </c>
      <c r="D97">
        <v>43.720100000000002</v>
      </c>
      <c r="E97">
        <v>44.931699999999999</v>
      </c>
      <c r="F97">
        <v>117224.412</v>
      </c>
      <c r="G97">
        <v>17.481999999999999</v>
      </c>
    </row>
    <row r="98" spans="1:7" x14ac:dyDescent="0.15">
      <c r="A98" s="141" t="s">
        <v>239</v>
      </c>
      <c r="B98">
        <v>3205.944</v>
      </c>
      <c r="C98">
        <v>38.490900000000003</v>
      </c>
      <c r="D98">
        <v>42.976300000000002</v>
      </c>
      <c r="E98">
        <v>44.306899999999999</v>
      </c>
      <c r="F98">
        <v>66037.455000000002</v>
      </c>
      <c r="G98">
        <v>15.395</v>
      </c>
    </row>
    <row r="99" spans="1:7" x14ac:dyDescent="0.15">
      <c r="A99" s="141" t="s">
        <v>240</v>
      </c>
      <c r="B99">
        <v>1529.164</v>
      </c>
      <c r="C99">
        <v>36.781799999999997</v>
      </c>
      <c r="D99">
        <v>42.005299999999998</v>
      </c>
      <c r="E99">
        <v>43.366500000000002</v>
      </c>
      <c r="F99">
        <v>35724.523999999998</v>
      </c>
      <c r="G99">
        <v>14.026999999999999</v>
      </c>
    </row>
    <row r="100" spans="1:7" x14ac:dyDescent="0.15">
      <c r="A100" s="141" t="s">
        <v>241</v>
      </c>
      <c r="B100">
        <v>688.24</v>
      </c>
      <c r="C100">
        <v>34.547600000000003</v>
      </c>
      <c r="D100">
        <v>40.743400000000001</v>
      </c>
      <c r="E100">
        <v>42.061999999999998</v>
      </c>
      <c r="F100">
        <v>17344.760999999999</v>
      </c>
      <c r="G100">
        <v>11.099</v>
      </c>
    </row>
    <row r="101" spans="1:7" x14ac:dyDescent="0.15">
      <c r="A101" s="141" t="s">
        <v>242</v>
      </c>
      <c r="B101">
        <v>5729.6679999999997</v>
      </c>
      <c r="C101">
        <v>44.845799999999997</v>
      </c>
      <c r="D101">
        <v>47.294800000000002</v>
      </c>
      <c r="E101">
        <v>48.337299999999999</v>
      </c>
      <c r="F101">
        <v>83481.726999999999</v>
      </c>
      <c r="G101">
        <v>16.920000000000002</v>
      </c>
    </row>
    <row r="102" spans="1:7" x14ac:dyDescent="0.15">
      <c r="A102" s="141" t="s">
        <v>243</v>
      </c>
      <c r="B102">
        <v>3514.0639999999999</v>
      </c>
      <c r="C102">
        <v>42.605499999999999</v>
      </c>
      <c r="D102">
        <v>45.787799999999997</v>
      </c>
      <c r="E102">
        <v>46.650799999999997</v>
      </c>
      <c r="F102">
        <v>60917.785000000003</v>
      </c>
      <c r="G102">
        <v>16.5</v>
      </c>
    </row>
    <row r="103" spans="1:7" x14ac:dyDescent="0.15">
      <c r="A103" s="141" t="s">
        <v>244</v>
      </c>
      <c r="B103">
        <v>1957.2760000000001</v>
      </c>
      <c r="C103">
        <v>39.801600000000001</v>
      </c>
      <c r="D103">
        <v>44.164999999999999</v>
      </c>
      <c r="E103">
        <v>44.7714</v>
      </c>
      <c r="F103">
        <v>36417.644</v>
      </c>
      <c r="G103">
        <v>13.96</v>
      </c>
    </row>
    <row r="104" spans="1:7" x14ac:dyDescent="0.15">
      <c r="A104" s="141" t="s">
        <v>245</v>
      </c>
      <c r="B104">
        <v>992.97199999999998</v>
      </c>
      <c r="C104">
        <v>36.622799999999998</v>
      </c>
      <c r="D104">
        <v>42.489899999999999</v>
      </c>
      <c r="E104">
        <v>42.858699999999999</v>
      </c>
      <c r="F104">
        <v>20542.932000000001</v>
      </c>
      <c r="G104">
        <v>11.705</v>
      </c>
    </row>
    <row r="105" spans="1:7" x14ac:dyDescent="0.15">
      <c r="A105" s="141" t="s">
        <v>126</v>
      </c>
      <c r="B105">
        <v>4187.8280000000004</v>
      </c>
      <c r="C105">
        <v>38.594999999999999</v>
      </c>
      <c r="D105">
        <v>45.962000000000003</v>
      </c>
      <c r="E105">
        <v>46.188200000000002</v>
      </c>
      <c r="F105">
        <v>55278.142</v>
      </c>
      <c r="G105">
        <v>7.1829999999999998</v>
      </c>
    </row>
    <row r="106" spans="1:7" x14ac:dyDescent="0.15">
      <c r="A106" s="141" t="s">
        <v>127</v>
      </c>
      <c r="B106">
        <v>1769.2360000000001</v>
      </c>
      <c r="C106">
        <v>36.999600000000001</v>
      </c>
      <c r="D106">
        <v>44.939500000000002</v>
      </c>
      <c r="E106">
        <v>45.103400000000001</v>
      </c>
      <c r="F106">
        <v>29185.89</v>
      </c>
      <c r="G106">
        <v>5.8259999999999996</v>
      </c>
    </row>
    <row r="107" spans="1:7" x14ac:dyDescent="0.15">
      <c r="A107" s="141" t="s">
        <v>128</v>
      </c>
      <c r="B107">
        <v>814.09199999999998</v>
      </c>
      <c r="C107">
        <v>35.008000000000003</v>
      </c>
      <c r="D107">
        <v>43.5625</v>
      </c>
      <c r="E107">
        <v>43.693800000000003</v>
      </c>
      <c r="F107">
        <v>15356.73</v>
      </c>
      <c r="G107">
        <v>4.8739999999999997</v>
      </c>
    </row>
    <row r="108" spans="1:7" x14ac:dyDescent="0.15">
      <c r="A108" s="141" t="s">
        <v>129</v>
      </c>
      <c r="B108">
        <v>393.58800000000002</v>
      </c>
      <c r="C108">
        <v>32.387799999999999</v>
      </c>
      <c r="D108">
        <v>41.8367</v>
      </c>
      <c r="E108">
        <v>42.123899999999999</v>
      </c>
      <c r="F108">
        <v>7805.0029999999997</v>
      </c>
      <c r="G108">
        <v>4.0940000000000003</v>
      </c>
    </row>
    <row r="109" spans="1:7" x14ac:dyDescent="0.15">
      <c r="A109" s="141" t="s">
        <v>130</v>
      </c>
      <c r="B109">
        <v>2472.6880000000001</v>
      </c>
      <c r="C109">
        <v>40.6143</v>
      </c>
      <c r="D109">
        <v>46.106400000000001</v>
      </c>
      <c r="E109">
        <v>47.214399999999998</v>
      </c>
      <c r="F109">
        <v>42678.713000000003</v>
      </c>
      <c r="G109">
        <v>7.2080000000000002</v>
      </c>
    </row>
    <row r="110" spans="1:7" x14ac:dyDescent="0.15">
      <c r="A110" s="141" t="s">
        <v>131</v>
      </c>
      <c r="B110">
        <v>1131.26</v>
      </c>
      <c r="C110">
        <v>39.497599999999998</v>
      </c>
      <c r="D110">
        <v>45.560299999999998</v>
      </c>
      <c r="E110">
        <v>46.035600000000002</v>
      </c>
      <c r="F110">
        <v>23400.652999999998</v>
      </c>
      <c r="G110">
        <v>6.2329999999999997</v>
      </c>
    </row>
    <row r="111" spans="1:7" x14ac:dyDescent="0.15">
      <c r="A111" s="141" t="s">
        <v>132</v>
      </c>
      <c r="B111">
        <v>533.64</v>
      </c>
      <c r="C111">
        <v>37.935299999999998</v>
      </c>
      <c r="D111">
        <v>44.752299999999998</v>
      </c>
      <c r="E111">
        <v>44.426200000000001</v>
      </c>
      <c r="F111">
        <v>11817.421</v>
      </c>
      <c r="G111">
        <v>5.4429999999999996</v>
      </c>
    </row>
    <row r="112" spans="1:7" x14ac:dyDescent="0.15">
      <c r="A112" s="141" t="s">
        <v>133</v>
      </c>
      <c r="B112">
        <v>242.00800000000001</v>
      </c>
      <c r="C112">
        <v>35.841900000000003</v>
      </c>
      <c r="D112">
        <v>43.587699999999998</v>
      </c>
      <c r="E112">
        <v>42.516199999999998</v>
      </c>
      <c r="F112">
        <v>5876.7659999999996</v>
      </c>
      <c r="G112">
        <v>4.6310000000000002</v>
      </c>
    </row>
    <row r="113" spans="1:7" x14ac:dyDescent="0.15">
      <c r="A113" s="141" t="s">
        <v>134</v>
      </c>
      <c r="B113">
        <v>942.20399999999995</v>
      </c>
      <c r="C113">
        <v>43.501100000000001</v>
      </c>
      <c r="D113">
        <v>47.124699999999997</v>
      </c>
      <c r="E113">
        <v>48.166899999999998</v>
      </c>
      <c r="F113">
        <v>18429.93</v>
      </c>
      <c r="G113">
        <v>5.0090000000000003</v>
      </c>
    </row>
    <row r="114" spans="1:7" x14ac:dyDescent="0.15">
      <c r="A114" s="141" t="s">
        <v>135</v>
      </c>
      <c r="B114">
        <v>512.4</v>
      </c>
      <c r="C114">
        <v>42.223300000000002</v>
      </c>
      <c r="D114">
        <v>46.345500000000001</v>
      </c>
      <c r="E114">
        <v>47.1646</v>
      </c>
      <c r="F114">
        <v>10318.111000000001</v>
      </c>
      <c r="G114">
        <v>4.4939999999999998</v>
      </c>
    </row>
    <row r="115" spans="1:7" x14ac:dyDescent="0.15">
      <c r="A115" s="141" t="s">
        <v>136</v>
      </c>
      <c r="B115">
        <v>293.02</v>
      </c>
      <c r="C115">
        <v>40.446300000000001</v>
      </c>
      <c r="D115">
        <v>45.316800000000001</v>
      </c>
      <c r="E115">
        <v>45.792999999999999</v>
      </c>
      <c r="F115">
        <v>5672.6319999999996</v>
      </c>
      <c r="G115">
        <v>4.3419999999999996</v>
      </c>
    </row>
    <row r="116" spans="1:7" x14ac:dyDescent="0.15">
      <c r="A116" s="141" t="s">
        <v>137</v>
      </c>
      <c r="B116">
        <v>163.72399999999999</v>
      </c>
      <c r="C116">
        <v>37.885599999999997</v>
      </c>
      <c r="D116">
        <v>43.615400000000001</v>
      </c>
      <c r="E116">
        <v>43.978499999999997</v>
      </c>
      <c r="F116">
        <v>3235.473</v>
      </c>
      <c r="G116">
        <v>4.327</v>
      </c>
    </row>
    <row r="117" spans="1:7" x14ac:dyDescent="0.15">
      <c r="A117" s="141" t="s">
        <v>138</v>
      </c>
      <c r="B117">
        <v>1321.2719999999999</v>
      </c>
      <c r="C117">
        <v>42.871299999999998</v>
      </c>
      <c r="D117">
        <v>48.833199999999998</v>
      </c>
      <c r="E117">
        <v>48.4831</v>
      </c>
      <c r="F117">
        <v>21149.31</v>
      </c>
      <c r="G117">
        <v>4.9610000000000003</v>
      </c>
    </row>
    <row r="118" spans="1:7" x14ac:dyDescent="0.15">
      <c r="A118" s="141" t="s">
        <v>139</v>
      </c>
      <c r="B118">
        <v>708.45600000000002</v>
      </c>
      <c r="C118">
        <v>41.603000000000002</v>
      </c>
      <c r="D118">
        <v>48.036700000000003</v>
      </c>
      <c r="E118">
        <v>47.447899999999997</v>
      </c>
      <c r="F118">
        <v>11928.617</v>
      </c>
      <c r="G118">
        <v>4.492</v>
      </c>
    </row>
    <row r="119" spans="1:7" x14ac:dyDescent="0.15">
      <c r="A119" s="141" t="s">
        <v>140</v>
      </c>
      <c r="B119">
        <v>402.14400000000001</v>
      </c>
      <c r="C119">
        <v>39.738199999999999</v>
      </c>
      <c r="D119">
        <v>47.016800000000003</v>
      </c>
      <c r="E119">
        <v>45.979799999999997</v>
      </c>
      <c r="F119">
        <v>6853.585</v>
      </c>
      <c r="G119">
        <v>4.1820000000000004</v>
      </c>
    </row>
    <row r="120" spans="1:7" x14ac:dyDescent="0.15">
      <c r="A120" s="141" t="s">
        <v>141</v>
      </c>
      <c r="B120">
        <v>222.96799999999999</v>
      </c>
      <c r="C120">
        <v>37.013199999999998</v>
      </c>
      <c r="D120">
        <v>45.243899999999996</v>
      </c>
      <c r="E120">
        <v>43.4071</v>
      </c>
      <c r="F120">
        <v>3942.87</v>
      </c>
      <c r="G120">
        <v>4.1079999999999997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16904.815999999999</v>
      </c>
      <c r="C145">
        <v>40.155299999999997</v>
      </c>
      <c r="D145">
        <v>48.611400000000003</v>
      </c>
      <c r="E145">
        <v>46.481400000000001</v>
      </c>
      <c r="F145">
        <v>207952.375</v>
      </c>
      <c r="G145">
        <v>34.122999999999998</v>
      </c>
    </row>
    <row r="146" spans="1:7" x14ac:dyDescent="0.15">
      <c r="A146" s="141" t="s">
        <v>255</v>
      </c>
      <c r="B146">
        <v>8492.7999999999993</v>
      </c>
      <c r="C146">
        <v>39.540900000000001</v>
      </c>
      <c r="D146">
        <v>47.799700000000001</v>
      </c>
      <c r="E146">
        <v>45.3703</v>
      </c>
      <c r="F146">
        <v>119234.17200000001</v>
      </c>
      <c r="G146">
        <v>31.498000000000001</v>
      </c>
    </row>
    <row r="147" spans="1:7" x14ac:dyDescent="0.15">
      <c r="A147" s="141" t="s">
        <v>256</v>
      </c>
      <c r="B147">
        <v>4640.12</v>
      </c>
      <c r="C147">
        <v>38.539499999999997</v>
      </c>
      <c r="D147">
        <v>46.646099999999997</v>
      </c>
      <c r="E147">
        <v>43.985199999999999</v>
      </c>
      <c r="F147">
        <v>61269.800999999999</v>
      </c>
      <c r="G147">
        <v>26.885000000000002</v>
      </c>
    </row>
    <row r="148" spans="1:7" x14ac:dyDescent="0.15">
      <c r="A148" s="141" t="s">
        <v>257</v>
      </c>
      <c r="B148">
        <v>2523.1759999999999</v>
      </c>
      <c r="C148">
        <v>36.985500000000002</v>
      </c>
      <c r="D148">
        <v>45.305999999999997</v>
      </c>
      <c r="E148">
        <v>42.353000000000002</v>
      </c>
      <c r="F148">
        <v>32470.958999999999</v>
      </c>
      <c r="G148">
        <v>24.599</v>
      </c>
    </row>
    <row r="149" spans="1:7" x14ac:dyDescent="0.15">
      <c r="A149" s="141" t="s">
        <v>258</v>
      </c>
      <c r="B149">
        <v>93106.376000000004</v>
      </c>
      <c r="C149">
        <v>41.7027</v>
      </c>
      <c r="D149">
        <v>36.487900000000003</v>
      </c>
      <c r="E149">
        <v>37.486899999999999</v>
      </c>
      <c r="F149">
        <v>391366.06199999998</v>
      </c>
      <c r="G149">
        <v>35.554000000000002</v>
      </c>
    </row>
    <row r="150" spans="1:7" x14ac:dyDescent="0.15">
      <c r="A150" s="141" t="s">
        <v>259</v>
      </c>
      <c r="B150">
        <v>47681.552000000003</v>
      </c>
      <c r="C150">
        <v>38.9208</v>
      </c>
      <c r="D150">
        <v>34.177500000000002</v>
      </c>
      <c r="E150">
        <v>35.506700000000002</v>
      </c>
      <c r="F150">
        <v>252222.484</v>
      </c>
      <c r="G150">
        <v>30.202000000000002</v>
      </c>
    </row>
    <row r="151" spans="1:7" x14ac:dyDescent="0.15">
      <c r="A151" s="141" t="s">
        <v>260</v>
      </c>
      <c r="B151">
        <v>22093.088</v>
      </c>
      <c r="C151">
        <v>35.815199999999997</v>
      </c>
      <c r="D151">
        <v>32.246699999999997</v>
      </c>
      <c r="E151">
        <v>33.798400000000001</v>
      </c>
      <c r="F151">
        <v>162075.17199999999</v>
      </c>
      <c r="G151">
        <v>27.492999999999999</v>
      </c>
    </row>
    <row r="152" spans="1:7" x14ac:dyDescent="0.15">
      <c r="A152" s="141" t="s">
        <v>261</v>
      </c>
      <c r="B152">
        <v>9291.6640000000007</v>
      </c>
      <c r="C152">
        <v>32.783200000000001</v>
      </c>
      <c r="D152">
        <v>30.573899999999998</v>
      </c>
      <c r="E152">
        <v>32.3187</v>
      </c>
      <c r="F152">
        <v>89991.414000000004</v>
      </c>
      <c r="G152">
        <v>23.690999999999999</v>
      </c>
    </row>
    <row r="153" spans="1:7" x14ac:dyDescent="0.15">
      <c r="A153" s="141" t="s">
        <v>262</v>
      </c>
      <c r="B153">
        <v>46999.207999999999</v>
      </c>
      <c r="C153">
        <v>38.908999999999999</v>
      </c>
      <c r="D153">
        <v>41.106400000000001</v>
      </c>
      <c r="E153">
        <v>41.318300000000001</v>
      </c>
      <c r="F153">
        <v>210236.21900000001</v>
      </c>
      <c r="G153">
        <v>20.093</v>
      </c>
    </row>
    <row r="154" spans="1:7" x14ac:dyDescent="0.15">
      <c r="A154" s="141" t="s">
        <v>263</v>
      </c>
      <c r="B154">
        <v>23158.720000000001</v>
      </c>
      <c r="C154">
        <v>37.528300000000002</v>
      </c>
      <c r="D154">
        <v>38.581800000000001</v>
      </c>
      <c r="E154">
        <v>39.865400000000001</v>
      </c>
      <c r="F154">
        <v>122282.156</v>
      </c>
      <c r="G154">
        <v>17.251999999999999</v>
      </c>
    </row>
    <row r="155" spans="1:7" x14ac:dyDescent="0.15">
      <c r="A155" s="141" t="s">
        <v>264</v>
      </c>
      <c r="B155">
        <v>12056.976000000001</v>
      </c>
      <c r="C155">
        <v>35.9621</v>
      </c>
      <c r="D155">
        <v>36.381300000000003</v>
      </c>
      <c r="E155">
        <v>38.446100000000001</v>
      </c>
      <c r="F155">
        <v>77638.827999999994</v>
      </c>
      <c r="G155">
        <v>15.471</v>
      </c>
    </row>
    <row r="156" spans="1:7" x14ac:dyDescent="0.15">
      <c r="A156" s="141" t="s">
        <v>265</v>
      </c>
      <c r="B156">
        <v>5904.7120000000004</v>
      </c>
      <c r="C156">
        <v>34.030099999999997</v>
      </c>
      <c r="D156">
        <v>33.9771</v>
      </c>
      <c r="E156">
        <v>36.7517</v>
      </c>
      <c r="F156">
        <v>45484.125</v>
      </c>
      <c r="G156">
        <v>14.717000000000001</v>
      </c>
    </row>
    <row r="157" spans="1:7" x14ac:dyDescent="0.15">
      <c r="A157" s="141" t="s">
        <v>266</v>
      </c>
      <c r="B157">
        <v>24521.856</v>
      </c>
      <c r="C157">
        <v>37.524700000000003</v>
      </c>
      <c r="D157">
        <v>44.832700000000003</v>
      </c>
      <c r="E157">
        <v>42.493299999999998</v>
      </c>
      <c r="F157">
        <v>301329.84399999998</v>
      </c>
      <c r="G157">
        <v>33.204999999999998</v>
      </c>
    </row>
    <row r="158" spans="1:7" x14ac:dyDescent="0.15">
      <c r="A158" s="141" t="s">
        <v>267</v>
      </c>
      <c r="B158">
        <v>10381.912</v>
      </c>
      <c r="C158">
        <v>36.881999999999998</v>
      </c>
      <c r="D158">
        <v>44.121200000000002</v>
      </c>
      <c r="E158">
        <v>41.706299999999999</v>
      </c>
      <c r="F158">
        <v>153359.40599999999</v>
      </c>
      <c r="G158">
        <v>27.273</v>
      </c>
    </row>
    <row r="159" spans="1:7" x14ac:dyDescent="0.15">
      <c r="A159" s="141" t="s">
        <v>268</v>
      </c>
      <c r="B159">
        <v>5213.12</v>
      </c>
      <c r="C159">
        <v>35.859200000000001</v>
      </c>
      <c r="D159">
        <v>43.110900000000001</v>
      </c>
      <c r="E159">
        <v>40.633299999999998</v>
      </c>
      <c r="F159">
        <v>82811.233999999997</v>
      </c>
      <c r="G159">
        <v>23.245000000000001</v>
      </c>
    </row>
    <row r="160" spans="1:7" x14ac:dyDescent="0.15">
      <c r="A160" s="141" t="s">
        <v>269</v>
      </c>
      <c r="B160">
        <v>2592.6080000000002</v>
      </c>
      <c r="C160">
        <v>34.271999999999998</v>
      </c>
      <c r="D160">
        <v>41.859699999999997</v>
      </c>
      <c r="E160">
        <v>39.459699999999998</v>
      </c>
      <c r="F160">
        <v>42642.218999999997</v>
      </c>
      <c r="G160">
        <v>18.89</v>
      </c>
    </row>
    <row r="161" spans="1:7" x14ac:dyDescent="0.15">
      <c r="A161" s="141" t="s">
        <v>142</v>
      </c>
      <c r="B161">
        <v>8098.4351999999999</v>
      </c>
      <c r="C161">
        <v>37.986800000000002</v>
      </c>
      <c r="D161">
        <v>39.609499999999997</v>
      </c>
      <c r="E161">
        <v>42.655799999999999</v>
      </c>
      <c r="F161">
        <v>345088.81199999998</v>
      </c>
      <c r="G161">
        <v>28.481999999999999</v>
      </c>
    </row>
    <row r="162" spans="1:7" x14ac:dyDescent="0.15">
      <c r="A162" s="141" t="s">
        <v>143</v>
      </c>
      <c r="B162">
        <v>3857.24</v>
      </c>
      <c r="C162">
        <v>36.638599999999997</v>
      </c>
      <c r="D162">
        <v>38.949399999999997</v>
      </c>
      <c r="E162">
        <v>41.442</v>
      </c>
      <c r="F162">
        <v>209651.891</v>
      </c>
      <c r="G162">
        <v>24.66</v>
      </c>
    </row>
    <row r="163" spans="1:7" x14ac:dyDescent="0.15">
      <c r="A163" s="141" t="s">
        <v>144</v>
      </c>
      <c r="B163">
        <v>1893.7472</v>
      </c>
      <c r="C163">
        <v>34.789200000000001</v>
      </c>
      <c r="D163">
        <v>38.059800000000003</v>
      </c>
      <c r="E163">
        <v>39.917700000000004</v>
      </c>
      <c r="F163">
        <v>118901.266</v>
      </c>
      <c r="G163">
        <v>20.327999999999999</v>
      </c>
    </row>
    <row r="164" spans="1:7" x14ac:dyDescent="0.15">
      <c r="A164" s="141" t="s">
        <v>145</v>
      </c>
      <c r="B164">
        <v>905.65920000000006</v>
      </c>
      <c r="C164">
        <v>32.470199999999998</v>
      </c>
      <c r="D164">
        <v>36.9771</v>
      </c>
      <c r="E164">
        <v>38.200699999999998</v>
      </c>
      <c r="F164">
        <v>70028.077999999994</v>
      </c>
      <c r="G164">
        <v>16.495000000000001</v>
      </c>
    </row>
    <row r="165" spans="1:7" x14ac:dyDescent="0.15">
      <c r="A165" s="141" t="s">
        <v>146</v>
      </c>
      <c r="B165">
        <v>9438.44</v>
      </c>
      <c r="C165">
        <v>38.714599999999997</v>
      </c>
      <c r="D165">
        <v>43.552199999999999</v>
      </c>
      <c r="E165">
        <v>44.424399999999999</v>
      </c>
      <c r="F165">
        <v>371437.34399999998</v>
      </c>
      <c r="G165">
        <v>38.741999999999997</v>
      </c>
    </row>
    <row r="166" spans="1:7" x14ac:dyDescent="0.15">
      <c r="A166" s="141" t="s">
        <v>147</v>
      </c>
      <c r="B166">
        <v>4837.7536</v>
      </c>
      <c r="C166">
        <v>37.4818</v>
      </c>
      <c r="D166">
        <v>42.559699999999999</v>
      </c>
      <c r="E166">
        <v>42.904600000000002</v>
      </c>
      <c r="F166">
        <v>229367</v>
      </c>
      <c r="G166">
        <v>34.667999999999999</v>
      </c>
    </row>
    <row r="167" spans="1:7" x14ac:dyDescent="0.15">
      <c r="A167" s="141" t="s">
        <v>148</v>
      </c>
      <c r="B167">
        <v>2465.7375999999999</v>
      </c>
      <c r="C167">
        <v>35.799700000000001</v>
      </c>
      <c r="D167">
        <v>41.296900000000001</v>
      </c>
      <c r="E167">
        <v>41.140700000000002</v>
      </c>
      <c r="F167">
        <v>132535.84400000001</v>
      </c>
      <c r="G167">
        <v>29.023</v>
      </c>
    </row>
    <row r="168" spans="1:7" x14ac:dyDescent="0.15">
      <c r="A168" s="141" t="s">
        <v>149</v>
      </c>
      <c r="B168">
        <v>1225.24</v>
      </c>
      <c r="C168">
        <v>33.713200000000001</v>
      </c>
      <c r="D168">
        <v>39.895099999999999</v>
      </c>
      <c r="E168">
        <v>39.244999999999997</v>
      </c>
      <c r="F168">
        <v>74038.093999999997</v>
      </c>
      <c r="G168">
        <v>24.382000000000001</v>
      </c>
    </row>
    <row r="169" spans="1:7" x14ac:dyDescent="0.15">
      <c r="A169" s="141" t="s">
        <v>270</v>
      </c>
      <c r="B169">
        <v>6457.6815999999999</v>
      </c>
      <c r="C169">
        <v>39.820099999999996</v>
      </c>
      <c r="D169">
        <v>43.562899999999999</v>
      </c>
      <c r="E169">
        <v>44.409500000000001</v>
      </c>
      <c r="F169">
        <v>322627.5</v>
      </c>
      <c r="G169">
        <v>40.841000000000001</v>
      </c>
    </row>
    <row r="170" spans="1:7" x14ac:dyDescent="0.15">
      <c r="A170" s="141" t="s">
        <v>271</v>
      </c>
      <c r="B170">
        <v>3097.3312000000001</v>
      </c>
      <c r="C170">
        <v>38.519599999999997</v>
      </c>
      <c r="D170">
        <v>42.686900000000001</v>
      </c>
      <c r="E170">
        <v>43.520200000000003</v>
      </c>
      <c r="F170">
        <v>189483.15599999999</v>
      </c>
      <c r="G170">
        <v>34.697000000000003</v>
      </c>
    </row>
    <row r="171" spans="1:7" x14ac:dyDescent="0.15">
      <c r="A171" s="141" t="s">
        <v>272</v>
      </c>
      <c r="B171">
        <v>1496.5920000000001</v>
      </c>
      <c r="C171">
        <v>36.702500000000001</v>
      </c>
      <c r="D171">
        <v>41.512099999999997</v>
      </c>
      <c r="E171">
        <v>42.242600000000003</v>
      </c>
      <c r="F171">
        <v>102951.79700000001</v>
      </c>
      <c r="G171">
        <v>29.189</v>
      </c>
    </row>
    <row r="172" spans="1:7" x14ac:dyDescent="0.15">
      <c r="A172" s="141" t="s">
        <v>273</v>
      </c>
      <c r="B172">
        <v>703.2672</v>
      </c>
      <c r="C172">
        <v>34.409999999999997</v>
      </c>
      <c r="D172">
        <v>40.356099999999998</v>
      </c>
      <c r="E172">
        <v>40.905099999999997</v>
      </c>
      <c r="F172">
        <v>54888.288999999997</v>
      </c>
      <c r="G172">
        <v>24.846</v>
      </c>
    </row>
    <row r="173" spans="1:7" x14ac:dyDescent="0.15">
      <c r="A173" s="141" t="s">
        <v>274</v>
      </c>
      <c r="B173">
        <v>6885.3616000000002</v>
      </c>
      <c r="C173">
        <v>43.332299999999996</v>
      </c>
      <c r="D173">
        <v>46.180399999999999</v>
      </c>
      <c r="E173">
        <v>47.020800000000001</v>
      </c>
      <c r="F173">
        <v>266727.96899999998</v>
      </c>
      <c r="G173">
        <v>41.281999999999996</v>
      </c>
    </row>
    <row r="174" spans="1:7" x14ac:dyDescent="0.15">
      <c r="A174" s="141" t="s">
        <v>275</v>
      </c>
      <c r="B174">
        <v>4207.0672000000004</v>
      </c>
      <c r="C174">
        <v>41.024299999999997</v>
      </c>
      <c r="D174">
        <v>44.756700000000002</v>
      </c>
      <c r="E174">
        <v>45.395600000000002</v>
      </c>
      <c r="F174">
        <v>185585.65599999999</v>
      </c>
      <c r="G174">
        <v>36.685000000000002</v>
      </c>
    </row>
    <row r="175" spans="1:7" x14ac:dyDescent="0.15">
      <c r="A175" s="141" t="s">
        <v>276</v>
      </c>
      <c r="B175">
        <v>2330.3631999999998</v>
      </c>
      <c r="C175">
        <v>38.237499999999997</v>
      </c>
      <c r="D175">
        <v>43.149700000000003</v>
      </c>
      <c r="E175">
        <v>43.576500000000003</v>
      </c>
      <c r="F175">
        <v>120990.789</v>
      </c>
      <c r="G175">
        <v>32.755000000000003</v>
      </c>
    </row>
    <row r="176" spans="1:7" x14ac:dyDescent="0.15">
      <c r="A176" s="141" t="s">
        <v>277</v>
      </c>
      <c r="B176">
        <v>1215.1424</v>
      </c>
      <c r="C176">
        <v>35.303400000000003</v>
      </c>
      <c r="D176">
        <v>41.680500000000002</v>
      </c>
      <c r="E176">
        <v>41.814399999999999</v>
      </c>
      <c r="F176">
        <v>69653.266000000003</v>
      </c>
      <c r="G176">
        <v>27.251999999999999</v>
      </c>
    </row>
    <row r="177" spans="1:7" x14ac:dyDescent="0.15">
      <c r="A177" s="141" t="s">
        <v>150</v>
      </c>
      <c r="B177" s="71">
        <v>4772.9664000000002</v>
      </c>
      <c r="C177" s="71">
        <v>38.448599999999999</v>
      </c>
      <c r="D177" s="71">
        <v>45.257300000000001</v>
      </c>
      <c r="E177" s="71">
        <v>45.526699999999998</v>
      </c>
      <c r="F177" s="71">
        <v>181448.266</v>
      </c>
      <c r="G177" s="71">
        <v>18.832000000000001</v>
      </c>
    </row>
    <row r="178" spans="1:7" x14ac:dyDescent="0.15">
      <c r="A178" s="141" t="s">
        <v>151</v>
      </c>
      <c r="B178" s="71">
        <v>1671.9792</v>
      </c>
      <c r="C178" s="71">
        <v>36.455100000000002</v>
      </c>
      <c r="D178" s="71">
        <v>44.2102</v>
      </c>
      <c r="E178" s="71">
        <v>44.467599999999997</v>
      </c>
      <c r="F178" s="71">
        <v>90696.25</v>
      </c>
      <c r="G178" s="71">
        <v>13.500999999999999</v>
      </c>
    </row>
    <row r="179" spans="1:7" x14ac:dyDescent="0.15">
      <c r="A179" s="141" t="s">
        <v>152</v>
      </c>
      <c r="B179" s="71">
        <v>662.6</v>
      </c>
      <c r="C179" s="71">
        <v>33.992600000000003</v>
      </c>
      <c r="D179" s="71">
        <v>42.842700000000001</v>
      </c>
      <c r="E179" s="71">
        <v>43.009900000000002</v>
      </c>
      <c r="F179" s="71">
        <v>51685.292999999998</v>
      </c>
      <c r="G179" s="71">
        <v>10.603</v>
      </c>
    </row>
    <row r="180" spans="1:7" x14ac:dyDescent="0.15">
      <c r="A180" s="141" t="s">
        <v>153</v>
      </c>
      <c r="B180" s="71">
        <v>277.18880000000001</v>
      </c>
      <c r="C180" s="71">
        <v>30.979800000000001</v>
      </c>
      <c r="D180" s="71">
        <v>41.573399999999999</v>
      </c>
      <c r="E180" s="71">
        <v>41.677999999999997</v>
      </c>
      <c r="F180" s="71">
        <v>29555.726999999999</v>
      </c>
      <c r="G180" s="71">
        <v>8.2260000000000009</v>
      </c>
    </row>
    <row r="181" spans="1:7" x14ac:dyDescent="0.15">
      <c r="A181" s="141" t="s">
        <v>154</v>
      </c>
      <c r="B181" s="71">
        <v>3909.8768</v>
      </c>
      <c r="C181" s="71">
        <v>40.504199999999997</v>
      </c>
      <c r="D181" s="71">
        <v>45.222299999999997</v>
      </c>
      <c r="E181" s="71">
        <v>45.981900000000003</v>
      </c>
      <c r="F181" s="71">
        <v>158353.46900000001</v>
      </c>
      <c r="G181" s="71">
        <v>18.832999999999998</v>
      </c>
    </row>
    <row r="182" spans="1:7" x14ac:dyDescent="0.15">
      <c r="A182" s="141" t="s">
        <v>155</v>
      </c>
      <c r="B182" s="71">
        <v>1792.6048000000001</v>
      </c>
      <c r="C182" s="71">
        <v>38.877400000000002</v>
      </c>
      <c r="D182" s="71">
        <v>44.399799999999999</v>
      </c>
      <c r="E182" s="71">
        <v>44.444000000000003</v>
      </c>
      <c r="F182" s="71">
        <v>91813.656000000003</v>
      </c>
      <c r="G182" s="71">
        <v>16.789000000000001</v>
      </c>
    </row>
    <row r="183" spans="1:7" x14ac:dyDescent="0.15">
      <c r="A183" s="141" t="s">
        <v>156</v>
      </c>
      <c r="B183" s="71">
        <v>859.2432</v>
      </c>
      <c r="C183" s="71">
        <v>36.936599999999999</v>
      </c>
      <c r="D183" s="71">
        <v>43.384300000000003</v>
      </c>
      <c r="E183" s="71">
        <v>42.605200000000004</v>
      </c>
      <c r="F183" s="71">
        <v>50054.862999999998</v>
      </c>
      <c r="G183" s="71">
        <v>12.629</v>
      </c>
    </row>
    <row r="184" spans="1:7" x14ac:dyDescent="0.15">
      <c r="A184" s="141" t="s">
        <v>157</v>
      </c>
      <c r="B184" s="71">
        <v>403.45760000000001</v>
      </c>
      <c r="C184" s="71">
        <v>34.717599999999997</v>
      </c>
      <c r="D184" s="71">
        <v>42.119599999999998</v>
      </c>
      <c r="E184" s="71">
        <v>40.7453</v>
      </c>
      <c r="F184" s="71">
        <v>26320.982</v>
      </c>
      <c r="G184" s="71">
        <v>9.6820000000000004</v>
      </c>
    </row>
    <row r="185" spans="1:7" x14ac:dyDescent="0.15">
      <c r="A185" s="141" t="s">
        <v>158</v>
      </c>
      <c r="B185" s="71">
        <v>964.10559999999998</v>
      </c>
      <c r="C185" s="71">
        <v>42.948599999999999</v>
      </c>
      <c r="D185" s="71">
        <v>46.578699999999998</v>
      </c>
      <c r="E185" s="71">
        <v>47.352200000000003</v>
      </c>
      <c r="F185" s="71">
        <v>60261.440999999999</v>
      </c>
      <c r="G185" s="71">
        <v>9.3960000000000008</v>
      </c>
    </row>
    <row r="186" spans="1:7" x14ac:dyDescent="0.15">
      <c r="A186" s="141" t="s">
        <v>159</v>
      </c>
      <c r="B186" s="71">
        <v>494.52960000000002</v>
      </c>
      <c r="C186" s="71">
        <v>41.324800000000003</v>
      </c>
      <c r="D186" s="71">
        <v>45.757899999999999</v>
      </c>
      <c r="E186" s="71">
        <v>46.302199999999999</v>
      </c>
      <c r="F186" s="71">
        <v>35692.879000000001</v>
      </c>
      <c r="G186" s="71">
        <v>8.1120000000000001</v>
      </c>
    </row>
    <row r="187" spans="1:7" x14ac:dyDescent="0.15">
      <c r="A187" s="141" t="s">
        <v>160</v>
      </c>
      <c r="B187" s="71">
        <v>263.69600000000003</v>
      </c>
      <c r="C187" s="71">
        <v>39.152200000000001</v>
      </c>
      <c r="D187" s="71">
        <v>44.424399999999999</v>
      </c>
      <c r="E187" s="71">
        <v>44.779499999999999</v>
      </c>
      <c r="F187" s="71">
        <v>19936.072</v>
      </c>
      <c r="G187" s="71">
        <v>6.101</v>
      </c>
    </row>
    <row r="188" spans="1:7" x14ac:dyDescent="0.15">
      <c r="A188" s="141" t="s">
        <v>161</v>
      </c>
      <c r="B188" s="71">
        <v>143.37119999999999</v>
      </c>
      <c r="C188" s="71">
        <v>36.364400000000003</v>
      </c>
      <c r="D188" s="71">
        <v>42.905500000000004</v>
      </c>
      <c r="E188" s="71">
        <v>43.0837</v>
      </c>
      <c r="F188" s="71">
        <v>11935.268</v>
      </c>
      <c r="G188" s="71">
        <v>5.891</v>
      </c>
    </row>
    <row r="189" spans="1:7" x14ac:dyDescent="0.15">
      <c r="A189" s="141" t="s">
        <v>162</v>
      </c>
      <c r="B189" s="71">
        <v>1326.9087999999999</v>
      </c>
      <c r="C189" s="71">
        <v>42.6586</v>
      </c>
      <c r="D189" s="71">
        <v>48.304200000000002</v>
      </c>
      <c r="E189" s="71">
        <v>47.590499999999999</v>
      </c>
      <c r="F189" s="71">
        <v>65648.241999999998</v>
      </c>
      <c r="G189" s="71">
        <v>9.875</v>
      </c>
    </row>
    <row r="190" spans="1:7" x14ac:dyDescent="0.15">
      <c r="A190" s="141" t="s">
        <v>163</v>
      </c>
      <c r="B190" s="71">
        <v>654.29759999999999</v>
      </c>
      <c r="C190" s="71">
        <v>40.968000000000004</v>
      </c>
      <c r="D190" s="71">
        <v>47.557000000000002</v>
      </c>
      <c r="E190" s="71">
        <v>46.446399999999997</v>
      </c>
      <c r="F190" s="71">
        <v>38349.519999999997</v>
      </c>
      <c r="G190" s="71">
        <v>8.6950000000000003</v>
      </c>
    </row>
    <row r="191" spans="1:7" x14ac:dyDescent="0.15">
      <c r="A191" s="141" t="s">
        <v>164</v>
      </c>
      <c r="B191" s="71">
        <v>348.96640000000002</v>
      </c>
      <c r="C191" s="71">
        <v>38.689399999999999</v>
      </c>
      <c r="D191" s="71">
        <v>46.414299999999997</v>
      </c>
      <c r="E191" s="71">
        <v>44.871299999999998</v>
      </c>
      <c r="F191" s="71">
        <v>22319.613000000001</v>
      </c>
      <c r="G191" s="71">
        <v>7.1150000000000002</v>
      </c>
    </row>
    <row r="192" spans="1:7" x14ac:dyDescent="0.15">
      <c r="A192" s="141" t="s">
        <v>165</v>
      </c>
      <c r="B192" s="71">
        <v>190.6208</v>
      </c>
      <c r="C192" s="71">
        <v>35.633899999999997</v>
      </c>
      <c r="D192" s="71">
        <v>44.740499999999997</v>
      </c>
      <c r="E192" s="71">
        <v>42.4467</v>
      </c>
      <c r="F192" s="71">
        <v>13736.767</v>
      </c>
      <c r="G192" s="71">
        <v>6.3380000000000001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390</v>
      </c>
    </row>
    <row r="274" spans="1:1" x14ac:dyDescent="0.15">
      <c r="A274" s="141" t="s">
        <v>391</v>
      </c>
    </row>
    <row r="275" spans="1:1" x14ac:dyDescent="0.15">
      <c r="A275" s="141" t="s">
        <v>392</v>
      </c>
    </row>
    <row r="276" spans="1:1" x14ac:dyDescent="0.15">
      <c r="A276" s="141" t="s">
        <v>393</v>
      </c>
    </row>
    <row r="277" spans="1:1" x14ac:dyDescent="0.15">
      <c r="A277" s="141" t="s">
        <v>394</v>
      </c>
    </row>
    <row r="278" spans="1:1" x14ac:dyDescent="0.15">
      <c r="A278" s="141" t="s">
        <v>395</v>
      </c>
    </row>
    <row r="279" spans="1:1" x14ac:dyDescent="0.15">
      <c r="A279" s="141" t="s">
        <v>396</v>
      </c>
    </row>
    <row r="280" spans="1:1" x14ac:dyDescent="0.15">
      <c r="A280" s="141" t="s">
        <v>397</v>
      </c>
    </row>
    <row r="281" spans="1:1" x14ac:dyDescent="0.15">
      <c r="A281" s="141" t="s">
        <v>398</v>
      </c>
    </row>
    <row r="282" spans="1:1" x14ac:dyDescent="0.15">
      <c r="A282" s="141" t="s">
        <v>399</v>
      </c>
    </row>
    <row r="283" spans="1:1" x14ac:dyDescent="0.15">
      <c r="A283" s="141" t="s">
        <v>400</v>
      </c>
    </row>
    <row r="284" spans="1:1" x14ac:dyDescent="0.15">
      <c r="A284" s="141" t="s">
        <v>401</v>
      </c>
    </row>
    <row r="285" spans="1:1" x14ac:dyDescent="0.15">
      <c r="A285" s="141" t="s">
        <v>402</v>
      </c>
    </row>
    <row r="286" spans="1:1" x14ac:dyDescent="0.15">
      <c r="A286" s="141" t="s">
        <v>403</v>
      </c>
    </row>
    <row r="287" spans="1:1" x14ac:dyDescent="0.15">
      <c r="A287" s="141" t="s">
        <v>404</v>
      </c>
    </row>
    <row r="288" spans="1:1" x14ac:dyDescent="0.1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李俊儒</cp:lastModifiedBy>
  <dcterms:created xsi:type="dcterms:W3CDTF">2011-06-30T00:09:01Z</dcterms:created>
  <dcterms:modified xsi:type="dcterms:W3CDTF">2020-11-07T09:36:49Z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