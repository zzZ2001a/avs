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\res\"/>
    </mc:Choice>
  </mc:AlternateContent>
  <xr:revisionPtr revIDLastSave="0" documentId="13_ncr:1_{84D46C7D-8F2E-45BA-B92D-47437C1AB99B}" xr6:coauthVersionLast="36" xr6:coauthVersionMax="36" xr10:uidLastSave="{00000000-0000-0000-0000-000000000000}"/>
  <bookViews>
    <workbookView xWindow="0" yWindow="12000" windowWidth="28215" windowHeight="7305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T54" i="29" s="1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I4" i="25"/>
  <c r="R6" i="25"/>
  <c r="H7" i="25"/>
  <c r="J7" i="25" s="1"/>
  <c r="H8" i="25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T57" i="25" s="1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 s="1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8" i="25"/>
  <c r="J36" i="25"/>
  <c r="J50" i="20"/>
  <c r="J45" i="20"/>
  <c r="J48" i="25"/>
  <c r="J3" i="29"/>
  <c r="J63" i="20"/>
  <c r="J37" i="25"/>
  <c r="J13" i="20"/>
  <c r="J59" i="25"/>
  <c r="S62" i="29"/>
  <c r="S47" i="25"/>
  <c r="J55" i="20"/>
  <c r="J42" i="20"/>
  <c r="J3" i="25"/>
  <c r="J47" i="20"/>
  <c r="S53" i="25"/>
  <c r="T57" i="29"/>
  <c r="J48" i="29"/>
  <c r="R56" i="25"/>
  <c r="S31" i="29"/>
  <c r="M12" i="30" s="1"/>
  <c r="S50" i="29"/>
  <c r="J31" i="29"/>
  <c r="J22" i="25"/>
  <c r="T59" i="29"/>
  <c r="T79" i="29" s="1"/>
  <c r="N28" i="30" s="1"/>
  <c r="J10" i="25"/>
  <c r="J61" i="29"/>
  <c r="J4" i="25"/>
  <c r="R25" i="29"/>
  <c r="Y71" i="29"/>
  <c r="Y27" i="29"/>
  <c r="W39" i="29"/>
  <c r="V63" i="25"/>
  <c r="Y67" i="25"/>
  <c r="AA55" i="27"/>
  <c r="V31" i="29"/>
  <c r="X59" i="25"/>
  <c r="X71" i="27"/>
  <c r="X71" i="20"/>
  <c r="Y11" i="29"/>
  <c r="Y59" i="27"/>
  <c r="X43" i="29"/>
  <c r="V59" i="27"/>
  <c r="W59" i="20"/>
  <c r="V71" i="27"/>
  <c r="Z47" i="29"/>
  <c r="Z59" i="29"/>
  <c r="W15" i="29"/>
  <c r="AA19" i="29"/>
  <c r="W55" i="25"/>
  <c r="V67" i="29"/>
  <c r="V7" i="29"/>
  <c r="AA3" i="29"/>
  <c r="V3" i="29"/>
  <c r="AA55" i="29"/>
  <c r="X63" i="27"/>
  <c r="Y67" i="27"/>
  <c r="V63" i="20"/>
  <c r="Z15" i="29"/>
  <c r="X39" i="29"/>
  <c r="Z59" i="27"/>
  <c r="W31" i="29"/>
  <c r="W51" i="29"/>
  <c r="Z3" i="29"/>
  <c r="AA59" i="27"/>
  <c r="V35" i="29"/>
  <c r="AA59" i="25"/>
  <c r="W67" i="25"/>
  <c r="W3" i="29"/>
  <c r="Z51" i="29"/>
  <c r="Y47" i="29"/>
  <c r="W35" i="29"/>
  <c r="Y31" i="29"/>
  <c r="Z31" i="29"/>
  <c r="X67" i="27"/>
  <c r="AA7" i="29"/>
  <c r="Y67" i="29"/>
  <c r="AA31" i="29"/>
  <c r="V55" i="29"/>
  <c r="V67" i="25"/>
  <c r="X11" i="29"/>
  <c r="Y67" i="20"/>
  <c r="V55" i="20"/>
  <c r="AA55" i="20"/>
  <c r="Z71" i="27"/>
  <c r="X59" i="29"/>
  <c r="Y55" i="29"/>
  <c r="X67" i="25"/>
  <c r="Z55" i="20"/>
  <c r="AA23" i="29"/>
  <c r="V55" i="25"/>
  <c r="X7" i="29"/>
  <c r="Z55" i="29"/>
  <c r="W55" i="20"/>
  <c r="AA67" i="29"/>
  <c r="Z19" i="29"/>
  <c r="Y23" i="29"/>
  <c r="Z71" i="20"/>
  <c r="V67" i="20"/>
  <c r="W11" i="29"/>
  <c r="Z11" i="29"/>
  <c r="Y39" i="29"/>
  <c r="V51" i="29"/>
  <c r="W63" i="29"/>
  <c r="X67" i="20"/>
  <c r="Z67" i="25"/>
  <c r="X27" i="29"/>
  <c r="X19" i="29"/>
  <c r="AA51" i="29"/>
  <c r="V71" i="29"/>
  <c r="Z67" i="27"/>
  <c r="AA71" i="20"/>
  <c r="W23" i="29"/>
  <c r="V63" i="29"/>
  <c r="W59" i="29"/>
  <c r="X23" i="29"/>
  <c r="AA63" i="29"/>
  <c r="Y7" i="29"/>
  <c r="Y71" i="27"/>
  <c r="W19" i="29"/>
  <c r="X51" i="29"/>
  <c r="Z63" i="20"/>
  <c r="Y63" i="25"/>
  <c r="W63" i="20"/>
  <c r="Z71" i="25"/>
  <c r="Y59" i="25"/>
  <c r="Y63" i="27"/>
  <c r="W63" i="27"/>
  <c r="V59" i="20"/>
  <c r="V15" i="29"/>
  <c r="V55" i="27"/>
  <c r="Y3" i="29"/>
  <c r="AA43" i="29"/>
  <c r="Z63" i="25"/>
  <c r="X55" i="29"/>
  <c r="Y71" i="25"/>
  <c r="AA71" i="29"/>
  <c r="V71" i="25"/>
  <c r="AA35" i="29"/>
  <c r="Y19" i="29"/>
  <c r="X59" i="20"/>
  <c r="W71" i="29"/>
  <c r="Z59" i="20"/>
  <c r="Z71" i="29"/>
  <c r="X55" i="27"/>
  <c r="AA47" i="29"/>
  <c r="AA63" i="20"/>
  <c r="W59" i="27"/>
  <c r="X63" i="25"/>
  <c r="V47" i="29"/>
  <c r="W55" i="29"/>
  <c r="Z39" i="29"/>
  <c r="V23" i="29"/>
  <c r="AA39" i="29"/>
  <c r="AA59" i="29"/>
  <c r="Z63" i="27"/>
  <c r="W71" i="20"/>
  <c r="Y51" i="29"/>
  <c r="W27" i="29"/>
  <c r="W71" i="25"/>
  <c r="Y59" i="20"/>
  <c r="V11" i="29"/>
  <c r="AA71" i="25"/>
  <c r="AA15" i="29"/>
  <c r="X3" i="29"/>
  <c r="Z63" i="29"/>
  <c r="Z7" i="29"/>
  <c r="X63" i="20"/>
  <c r="W71" i="27"/>
  <c r="X71" i="29"/>
  <c r="Z55" i="25"/>
  <c r="X71" i="25"/>
  <c r="V59" i="29"/>
  <c r="V19" i="29"/>
  <c r="V67" i="27"/>
  <c r="Y59" i="29"/>
  <c r="X47" i="29"/>
  <c r="AA11" i="29"/>
  <c r="W63" i="25"/>
  <c r="Y55" i="25"/>
  <c r="AA27" i="29"/>
  <c r="Y55" i="20"/>
  <c r="X67" i="29"/>
  <c r="Y55" i="27"/>
  <c r="W7" i="29"/>
  <c r="X55" i="25"/>
  <c r="Z35" i="29"/>
  <c r="V59" i="25"/>
  <c r="Z59" i="25"/>
  <c r="V63" i="27"/>
  <c r="Y35" i="29"/>
  <c r="V71" i="20"/>
  <c r="X15" i="29"/>
  <c r="Y15" i="29"/>
  <c r="W55" i="27"/>
  <c r="Z23" i="29"/>
  <c r="V27" i="29"/>
  <c r="Z67" i="20"/>
  <c r="AA67" i="27"/>
  <c r="Z27" i="29"/>
  <c r="Z55" i="27"/>
  <c r="Y63" i="29"/>
  <c r="W67" i="27"/>
  <c r="AA59" i="20"/>
  <c r="Z43" i="29"/>
  <c r="X35" i="29"/>
  <c r="Y43" i="29"/>
  <c r="AA55" i="25"/>
  <c r="AA63" i="27"/>
  <c r="W47" i="29"/>
  <c r="W59" i="25"/>
  <c r="V43" i="29"/>
  <c r="Y63" i="20"/>
  <c r="W67" i="29"/>
  <c r="AA71" i="27"/>
  <c r="X63" i="29"/>
  <c r="W43" i="29"/>
  <c r="AA63" i="25"/>
  <c r="Y71" i="20"/>
  <c r="AA67" i="25"/>
  <c r="X59" i="27"/>
  <c r="W67" i="20"/>
  <c r="X55" i="20"/>
  <c r="X31" i="29"/>
  <c r="V39" i="29"/>
  <c r="AA67" i="20"/>
  <c r="Z67" i="29"/>
  <c r="X47" i="25"/>
  <c r="Y15" i="25"/>
  <c r="X7" i="25"/>
  <c r="W39" i="25"/>
  <c r="W31" i="25"/>
  <c r="AA35" i="25"/>
  <c r="V47" i="25"/>
  <c r="V23" i="25"/>
  <c r="V15" i="25"/>
  <c r="Y35" i="25"/>
  <c r="Z19" i="25"/>
  <c r="Y7" i="25"/>
  <c r="V27" i="25"/>
  <c r="X23" i="25"/>
  <c r="AA27" i="25"/>
  <c r="Y39" i="25"/>
  <c r="Z39" i="25"/>
  <c r="AA47" i="25"/>
  <c r="Y51" i="25"/>
  <c r="AA31" i="25"/>
  <c r="AA7" i="25"/>
  <c r="W35" i="25"/>
  <c r="AA23" i="25"/>
  <c r="AA3" i="25"/>
  <c r="Y23" i="25"/>
  <c r="Z27" i="25"/>
  <c r="Z43" i="25"/>
  <c r="W27" i="25"/>
  <c r="X43" i="25"/>
  <c r="Y19" i="25"/>
  <c r="Y27" i="25"/>
  <c r="Z15" i="25"/>
  <c r="X19" i="25"/>
  <c r="X3" i="25"/>
  <c r="W47" i="25"/>
  <c r="Y3" i="25"/>
  <c r="Z51" i="25"/>
  <c r="W19" i="25"/>
  <c r="V3" i="25"/>
  <c r="W3" i="25"/>
  <c r="Z11" i="25"/>
  <c r="Z35" i="25"/>
  <c r="V51" i="25"/>
  <c r="X51" i="25"/>
  <c r="AA51" i="25"/>
  <c r="AA15" i="25"/>
  <c r="V7" i="25"/>
  <c r="AA43" i="25"/>
  <c r="W43" i="25"/>
  <c r="Y47" i="25"/>
  <c r="X27" i="25"/>
  <c r="W11" i="25"/>
  <c r="Y43" i="25"/>
  <c r="X15" i="25"/>
  <c r="Y11" i="25"/>
  <c r="V39" i="25"/>
  <c r="X11" i="25"/>
  <c r="Z47" i="25"/>
  <c r="X31" i="25"/>
  <c r="Z23" i="25"/>
  <c r="AA11" i="25"/>
  <c r="X35" i="25"/>
  <c r="AA39" i="25"/>
  <c r="Z3" i="25"/>
  <c r="AA19" i="25"/>
  <c r="X39" i="25"/>
  <c r="W15" i="25"/>
  <c r="Z31" i="25"/>
  <c r="V31" i="25"/>
  <c r="Y31" i="25"/>
  <c r="V11" i="25"/>
  <c r="V19" i="25"/>
  <c r="V35" i="25"/>
  <c r="V43" i="25"/>
  <c r="W23" i="25"/>
  <c r="Z7" i="25"/>
  <c r="W7" i="25"/>
  <c r="W51" i="25"/>
  <c r="Y35" i="20"/>
  <c r="X39" i="20"/>
  <c r="W19" i="20"/>
  <c r="AA27" i="20"/>
  <c r="X31" i="20"/>
  <c r="AA11" i="20"/>
  <c r="AA51" i="20"/>
  <c r="V47" i="20"/>
  <c r="Y7" i="20"/>
  <c r="AA19" i="20"/>
  <c r="X47" i="20"/>
  <c r="X35" i="20"/>
  <c r="V23" i="20"/>
  <c r="X27" i="20"/>
  <c r="X3" i="20"/>
  <c r="W35" i="20"/>
  <c r="W43" i="20"/>
  <c r="V39" i="20"/>
  <c r="AA39" i="20"/>
  <c r="W51" i="20"/>
  <c r="Y39" i="20"/>
  <c r="AA43" i="20"/>
  <c r="Y43" i="20"/>
  <c r="W3" i="20"/>
  <c r="V27" i="20"/>
  <c r="Z35" i="20"/>
  <c r="W11" i="20"/>
  <c r="AA31" i="20"/>
  <c r="Z47" i="20"/>
  <c r="V19" i="20"/>
  <c r="X19" i="20"/>
  <c r="V43" i="20"/>
  <c r="Y19" i="20"/>
  <c r="V51" i="20"/>
  <c r="Z7" i="20"/>
  <c r="Z19" i="20"/>
  <c r="Y27" i="20"/>
  <c r="X43" i="20"/>
  <c r="X23" i="20"/>
  <c r="W31" i="20"/>
  <c r="V35" i="20"/>
  <c r="AA23" i="20"/>
  <c r="X7" i="20"/>
  <c r="Y47" i="20"/>
  <c r="Y15" i="20"/>
  <c r="Y31" i="20"/>
  <c r="V11" i="20"/>
  <c r="W15" i="20"/>
  <c r="V3" i="20"/>
  <c r="V7" i="20"/>
  <c r="V15" i="20"/>
  <c r="W7" i="20"/>
  <c r="AA47" i="20"/>
  <c r="W47" i="20"/>
  <c r="Z27" i="20"/>
  <c r="AA35" i="20"/>
  <c r="Z43" i="20"/>
  <c r="Y11" i="20"/>
  <c r="Y3" i="20"/>
  <c r="Z11" i="20"/>
  <c r="Z23" i="20"/>
  <c r="AA15" i="20"/>
  <c r="Z39" i="20"/>
  <c r="Y51" i="20"/>
  <c r="X51" i="20"/>
  <c r="V31" i="20"/>
  <c r="Z51" i="20"/>
  <c r="W39" i="20"/>
  <c r="W23" i="20"/>
  <c r="X15" i="20"/>
  <c r="Z15" i="20"/>
  <c r="AA3" i="20"/>
  <c r="X11" i="20"/>
  <c r="AA7" i="20"/>
  <c r="Z3" i="20"/>
  <c r="Y23" i="20"/>
  <c r="Z31" i="20"/>
  <c r="W27" i="20"/>
  <c r="X11" i="27"/>
  <c r="Z23" i="27"/>
  <c r="Z19" i="27"/>
  <c r="X31" i="27"/>
  <c r="V35" i="27"/>
  <c r="W35" i="27"/>
  <c r="Y27" i="27"/>
  <c r="W19" i="27"/>
  <c r="Z47" i="27"/>
  <c r="Y43" i="27"/>
  <c r="V47" i="27"/>
  <c r="W23" i="27"/>
  <c r="Z43" i="27"/>
  <c r="AA43" i="27"/>
  <c r="W43" i="27"/>
  <c r="X43" i="27"/>
  <c r="Y31" i="27"/>
  <c r="AA7" i="27"/>
  <c r="W47" i="27"/>
  <c r="V51" i="27"/>
  <c r="V27" i="27"/>
  <c r="X35" i="27"/>
  <c r="X27" i="27"/>
  <c r="X47" i="27"/>
  <c r="Z15" i="27"/>
  <c r="W3" i="27"/>
  <c r="W15" i="27"/>
  <c r="Z27" i="27"/>
  <c r="V43" i="27"/>
  <c r="Y11" i="27"/>
  <c r="Y47" i="27"/>
  <c r="W51" i="27"/>
  <c r="Y51" i="27"/>
  <c r="Z7" i="27"/>
  <c r="X19" i="27"/>
  <c r="Y3" i="27"/>
  <c r="X23" i="27"/>
  <c r="Z11" i="27"/>
  <c r="Z39" i="27"/>
  <c r="AA31" i="27"/>
  <c r="V31" i="27"/>
  <c r="AA39" i="27"/>
  <c r="V39" i="27"/>
  <c r="X15" i="27"/>
  <c r="V19" i="27"/>
  <c r="V15" i="27"/>
  <c r="W27" i="27"/>
  <c r="Y23" i="27"/>
  <c r="AA3" i="27"/>
  <c r="V23" i="27"/>
  <c r="Z51" i="27"/>
  <c r="AA27" i="27"/>
  <c r="AA19" i="27"/>
  <c r="V7" i="27"/>
  <c r="Y35" i="27"/>
  <c r="AA15" i="27"/>
  <c r="Z31" i="27"/>
  <c r="V3" i="27"/>
  <c r="W11" i="27"/>
  <c r="Z3" i="27"/>
  <c r="Y19" i="27"/>
  <c r="AA51" i="27"/>
  <c r="AA11" i="27"/>
  <c r="X51" i="27"/>
  <c r="W31" i="27"/>
  <c r="X3" i="27"/>
  <c r="Y7" i="27"/>
  <c r="Y39" i="27"/>
  <c r="X7" i="27"/>
  <c r="Z35" i="27"/>
  <c r="Y15" i="27"/>
  <c r="AA35" i="27"/>
  <c r="X39" i="27"/>
  <c r="V11" i="27"/>
  <c r="W7" i="27"/>
  <c r="AA23" i="27"/>
  <c r="AA47" i="27"/>
  <c r="W39" i="27"/>
  <c r="T4" i="29" l="1"/>
  <c r="T51" i="20"/>
  <c r="T78" i="2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M44" i="30" l="1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J3" i="10"/>
  <c r="AG3" i="10"/>
  <c r="AQ3" i="10"/>
  <c r="AN3" i="10"/>
  <c r="AK3" i="10"/>
  <c r="AI3" i="10"/>
  <c r="AE3" i="10"/>
  <c r="AF3" i="10"/>
  <c r="AD3" i="10"/>
  <c r="AP3" i="10"/>
  <c r="AO3" i="10"/>
  <c r="AL3" i="10"/>
  <c r="M25" i="30" l="1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F4" i="10"/>
  <c r="AI4" i="10"/>
  <c r="AG4" i="10"/>
  <c r="AQ4" i="10"/>
  <c r="AO4" i="10"/>
  <c r="AN4" i="10"/>
  <c r="AK4" i="10"/>
  <c r="AD4" i="10"/>
  <c r="AE4" i="10"/>
  <c r="AJ4" i="10"/>
  <c r="AL4" i="10"/>
  <c r="AP4" i="10"/>
  <c r="AC6" i="10" l="1"/>
  <c r="AN5" i="10"/>
  <c r="AO6" i="10"/>
  <c r="AL5" i="10"/>
  <c r="AK6" i="10"/>
  <c r="AF5" i="10"/>
  <c r="AQ6" i="10"/>
  <c r="AJ5" i="10"/>
  <c r="AL6" i="10"/>
  <c r="AO5" i="10"/>
  <c r="AG6" i="10"/>
  <c r="AI5" i="10"/>
  <c r="AE5" i="10"/>
  <c r="AJ6" i="10"/>
  <c r="AD5" i="10"/>
  <c r="AK5" i="10"/>
  <c r="AI6" i="10"/>
  <c r="AP5" i="10"/>
  <c r="AN6" i="10"/>
  <c r="AQ5" i="10"/>
  <c r="AF6" i="10"/>
  <c r="AD6" i="10"/>
  <c r="AP6" i="10"/>
  <c r="AE6" i="10"/>
  <c r="AG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<sst xmlns="http://schemas.openxmlformats.org/spreadsheetml/2006/main" count="974" uniqueCount="408">
  <si>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</si>
  <si>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</si>
  <si>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</si>
  <si>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</si>
  <si>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</si>
  <si>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</si>
  <si>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</si>
  <si>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</si>
  <si>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</si>
  <si>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</si>
  <si>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</si>
  <si>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</si>
  <si>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</si>
  <si>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</si>
  <si>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</si>
  <si>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</si>
  <si>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</si>
  <si>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</si>
  <si>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</si>
  <si>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</si>
  <si>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</si>
  <si>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</si>
  <si>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</si>
  <si>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</si>
  <si>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</si>
  <si>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</si>
  <si>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</si>
  <si>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</si>
  <si>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</si>
  <si>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</si>
  <si>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</si>
  <si>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</si>
  <si>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</si>
  <si>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</si>
  <si>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</si>
  <si>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</si>
  <si>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</si>
  <si>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</si>
  <si>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</si>
  <si>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</si>
  <si>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</si>
  <si>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</si>
  <si>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</si>
  <si>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</si>
  <si>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</si>
  <si>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</si>
  <si>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</si>
  <si>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</si>
  <si>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</si>
  <si>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</si>
  <si>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</si>
  <si>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</si>
  <si>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</si>
  <si>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</si>
  <si>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</si>
  <si>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</si>
  <si>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</si>
  <si>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</si>
  <si>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</si>
  <si>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</si>
  <si>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</si>
  <si>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</si>
  <si>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</si>
  <si>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</si>
  <si>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</si>
  <si>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</si>
  <si>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</si>
  <si>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</si>
  <si>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</si>
  <si>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</si>
  <si>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</si>
  <si>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</si>
  <si>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</si>
  <si>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</si>
  <si>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</si>
  <si>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</si>
  <si>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</si>
  <si>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</si>
  <si>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</si>
  <si>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</si>
  <si>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</si>
  <si>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</si>
  <si>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</si>
  <si>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</si>
  <si>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</si>
  <si>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</si>
  <si>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</si>
  <si>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</si>
  <si>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</si>
  <si>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</si>
  <si>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</si>
  <si>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</si>
  <si>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</si>
  <si>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</si>
  <si>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</si>
  <si>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</si>
  <si>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</si>
  <si>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</si>
  <si>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</si>
  <si>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</si>
  <si>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</si>
  <si>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</si>
  <si>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</si>
  <si>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</si>
  <si>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</si>
  <si>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</si>
  <si>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</si>
  <si>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</si>
  <si>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</si>
  <si>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</si>
  <si>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</si>
  <si>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</si>
  <si>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</si>
  <si>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</si>
  <si>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</si>
  <si>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</si>
  <si>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</si>
  <si>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</si>
  <si>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</si>
  <si>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</si>
  <si>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</si>
  <si>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</si>
  <si>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</si>
  <si>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</si>
  <si>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</si>
  <si>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</si>
  <si>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</si>
  <si>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</si>
  <si>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</si>
  <si>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</si>
  <si>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</si>
  <si>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</si>
  <si>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</si>
  <si>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</si>
  <si>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</si>
  <si>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</si>
  <si>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</si>
  <si>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</si>
  <si>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</si>
  <si>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</si>
  <si>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</si>
  <si>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</si>
  <si>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</si>
  <si>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</si>
  <si>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</si>
  <si>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</si>
  <si>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</si>
  <si>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</si>
  <si>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</si>
  <si>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</si>
  <si>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</si>
  <si>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</si>
  <si>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</si>
  <si>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</si>
  <si>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</si>
  <si>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</si>
  <si>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</si>
  <si>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</si>
  <si>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</si>
  <si>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</si>
  <si>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</si>
  <si>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</si>
  <si>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</si>
  <si>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</si>
  <si>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</si>
  <si>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</si>
  <si>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</si>
  <si>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</si>
  <si>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</si>
  <si>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</si>
  <si>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</si>
  <si>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</si>
  <si>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</si>
  <si>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</si>
  <si>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</si>
  <si>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</si>
  <si>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</si>
  <si>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</si>
  <si>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</si>
  <si>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</si>
  <si>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</si>
  <si>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</si>
  <si>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</si>
  <si>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</si>
  <si>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</si>
  <si>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</si>
  <si>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</si>
  <si>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</si>
  <si>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</si>
  <si>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</si>
  <si>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</si>
  <si>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</si>
  <si>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</si>
  <si>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</si>
  <si>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</si>
  <si>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</si>
  <si>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</si>
  <si>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</si>
  <si>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</si>
  <si>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</si>
  <si>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</si>
  <si>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</si>
  <si>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</si>
  <si>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</si>
  <si>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</si>
  <si>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</si>
  <si>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</si>
  <si>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</si>
  <si>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</si>
  <si>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</si>
  <si>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</si>
  <si>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</si>
  <si>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</si>
  <si>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</si>
  <si>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</si>
  <si>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</si>
  <si>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</si>
  <si>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</si>
  <si>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</si>
  <si>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</si>
  <si>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</si>
  <si>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</si>
  <si>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</si>
  <si>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</si>
  <si>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</si>
  <si>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</si>
  <si>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</si>
  <si>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</si>
  <si>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</si>
  <si>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</si>
  <si>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</si>
  <si>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</si>
  <si>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</si>
  <si>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</si>
  <si>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</si>
  <si>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</si>
  <si>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</si>
  <si>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</si>
  <si>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</si>
  <si>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</si>
  <si>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</si>
  <si>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</si>
  <si>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</si>
  <si>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</si>
  <si>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</si>
  <si>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</si>
  <si>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</si>
  <si>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</si>
  <si>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</si>
  <si>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</si>
  <si>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</si>
  <si>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</si>
  <si>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</si>
  <si>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</si>
  <si>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</si>
  <si>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</si>
  <si>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</si>
  <si>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</si>
  <si>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</si>
  <si>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</si>
  <si>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</si>
  <si>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</si>
  <si>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</si>
  <si>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</si>
  <si>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</si>
  <si>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</si>
  <si>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</si>
  <si>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</si>
  <si>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</si>
  <si>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</si>
  <si>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</si>
  <si>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</si>
  <si>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</si>
  <si>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</si>
  <si>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</si>
  <si>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</si>
  <si>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</si>
  <si>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</si>
  <si>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</si>
  <si>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</si>
  <si>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</si>
  <si>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</si>
  <si>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</si>
  <si>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</si>
  <si>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</si>
  <si>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</si>
  <si>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</si>
  <si>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</si>
  <si>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</si>
  <si>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</si>
  <si>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</si>
  <si>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</si>
  <si>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</si>
  <si>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</si>
  <si>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</si>
  <si>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</si>
  <si>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</si>
  <si>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</si>
  <si>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</si>
  <si>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</si>
  <si>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</si>
  <si>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</si>
  <si>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</si>
  <si>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</si>
  <si>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</si>
  <si>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</si>
  <si>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</si>
  <si>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</si>
  <si>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</si>
  <si>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</si>
  <si>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</si>
  <si>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</si>
  <si>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</si>
  <si>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</si>
  <si>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</si>
  <si>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</si>
  <si>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</si>
  <si>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</si>
  <si>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</si>
  <si>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</si>
  <si>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</si>
  <si>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</si>
  <si>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</si>
  <si>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</si>
  <si>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</si>
  <si>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</si>
  <si>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</si>
  <si>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</si>
  <si>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</si>
  <si>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</si>
  <si>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</si>
  <si>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</si>
  <si>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</si>
  <si>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</si>
  <si>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</si>
  <si>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</si>
  <si>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</si>
  <si>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</si>
  <si>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</si>
  <si>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</si>
  <si>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</si>
  <si>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</si>
  <si>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</si>
  <si>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</si>
  <si>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</si>
  <si>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</si>
  <si>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</si>
  <si>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</si>
  <si>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</si>
  <si>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</si>
  <si>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</si>
  <si>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</si>
  <si>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</si>
  <si>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</si>
  <si>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</si>
  <si>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</si>
  <si>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</si>
  <si>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</si>
  <si>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</si>
  <si>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</si>
  <si>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</si>
  <si>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</si>
  <si>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</si>
  <si>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</si>
  <si>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</si>
  <si>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</si>
  <si>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</si>
  <si>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</si>
  <si>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</si>
  <si>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</si>
  <si>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</si>
  <si>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</si>
  <si>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</si>
  <si>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</si>
  <si>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</si>
  <si>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</si>
  <si>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</si>
  <si>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</si>
  <si>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</si>
  <si>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</si>
  <si>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</si>
  <si>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</si>
  <si>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</si>
  <si>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</si>
  <si>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</si>
  <si>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</si>
  <si>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</si>
  <si>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</si>
  <si>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</si>
  <si>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</si>
  <si>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</si>
  <si>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</si>
  <si>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</si>
  <si>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</si>
  <si>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</si>
  <si>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</si>
  <si>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</si>
  <si>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</si>
  <si>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</si>
  <si>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</si>
  <si>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</si>
  <si>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</si>
  <si>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</si>
  <si>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</si>
  <si>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</si>
  <si>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</si>
  <si>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HPM9.1</t>
    <phoneticPr fontId="1" type="noConversion"/>
  </si>
  <si>
    <t>HPM10.0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</si>
</sst>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HPM9.1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HPM10.0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HPM9.1</v>
      </c>
      <c r="D3" s="151"/>
      <c r="E3" s="151"/>
      <c r="F3" s="151"/>
      <c r="G3" s="152"/>
      <c r="I3" s="102"/>
      <c r="J3" s="150" t="str">
        <f>CONCATENATE("Over ", Summary!$J$3)</f>
        <v>Over HPM9.1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>
        <f>'AI-10'!$V$3</f>
        <v>-4.6605484891028004E-3</v>
      </c>
      <c r="D5" s="112">
        <f>'AI-10'!$W$3</f>
        <v>-3.8233915608242963E-2</v>
      </c>
      <c r="E5" s="113">
        <f>'AI-10'!$X$3</f>
        <v>-1.7010614654062506E-2</v>
      </c>
      <c r="F5" s="114">
        <f>GEOMEAN('AI-10'!$S$3:'AI-10'!$S$6)</f>
        <v>1.1103119551235492</v>
      </c>
      <c r="G5" s="115">
        <f>GEOMEAN('AI-10'!$T$3:'AI-10'!$T$6)</f>
        <v>1.0015576918112519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>
        <f>'AI-10'!$V$7</f>
        <v>-2.1535241834499397E-3</v>
      </c>
      <c r="D6" s="118">
        <f>'AI-10'!$W$7</f>
        <v>-1.4027579958737046E-2</v>
      </c>
      <c r="E6" s="119">
        <f>'AI-10'!$X$7</f>
        <v>-1.7890760637517378E-2</v>
      </c>
      <c r="F6" s="120">
        <f>GEOMEAN('AI-10'!$S$7:'AI-10'!$S$10)</f>
        <v>1.0656499328440794</v>
      </c>
      <c r="G6" s="121">
        <f>GEOMEAN('AI-10'!$T$7:'AI-10'!$T$10)</f>
        <v>1.0145019263165207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>
        <f>'AI-10'!$V$11</f>
        <v>-1.7753565451582576E-3</v>
      </c>
      <c r="D7" s="118">
        <f>'AI-10'!$W$11</f>
        <v>-2.4916142596475011E-2</v>
      </c>
      <c r="E7" s="119">
        <f>'AI-10'!$X$11</f>
        <v>-3.9135260754635581E-2</v>
      </c>
      <c r="F7" s="130">
        <f>GEOMEAN('AI-10'!$S$11:'AI-10'!$S$14)</f>
        <v>1.0494921122600618</v>
      </c>
      <c r="G7" s="121">
        <f>GEOMEAN('AI-10'!$T$11:'AI-10'!$T$14)</f>
        <v>1.0286412504594127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>
        <f>'AI-10'!$V$15</f>
        <v>-2.7694256897887737E-3</v>
      </c>
      <c r="D8" s="124">
        <f>'AI-10'!$W$15</f>
        <v>-6.1717292531454193E-2</v>
      </c>
      <c r="E8" s="125">
        <f>'AI-10'!$X$15</f>
        <v>-3.3300745509303509E-2</v>
      </c>
      <c r="F8" s="126">
        <f>GEOMEAN('AI-10'!$S$15:'AI-10'!$S$18)</f>
        <v>1.0556538385809124</v>
      </c>
      <c r="G8" s="127">
        <f>GEOMEAN('AI-10'!$T$15:'AI-10'!$T$18)</f>
        <v>1.0225815342698481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>
        <f>'AI-10'!$V$19</f>
        <v>-3.8598628769181964E-3</v>
      </c>
      <c r="D9" s="112">
        <f>'AI-10'!$W$19</f>
        <v>-4.2651635232963225E-2</v>
      </c>
      <c r="E9" s="113">
        <f>'AI-10'!$X$19</f>
        <v>-4.4648040246787146E-2</v>
      </c>
      <c r="F9" s="114">
        <f>GEOMEAN('AI-10'!$S$19:'AI-10'!$S$22)</f>
        <v>0.93995458390916409</v>
      </c>
      <c r="G9" s="115">
        <f>GEOMEAN('AI-10'!$T$19:'AI-10'!$T$22)</f>
        <v>1.0026696677891189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>
        <f>'AI-10'!$V$23</f>
        <v>-5.1677671348572263E-3</v>
      </c>
      <c r="D10" s="118">
        <f>'AI-10'!$W$23</f>
        <v>-4.6931302328235502E-2</v>
      </c>
      <c r="E10" s="119">
        <f>'AI-10'!$X$23</f>
        <v>-4.0158797387481182E-2</v>
      </c>
      <c r="F10" s="120">
        <f>GEOMEAN('AI-10'!$S$23:'AI-10'!$S$26)</f>
        <v>1.0028112821730564</v>
      </c>
      <c r="G10" s="121">
        <f>GEOMEAN('AI-10'!$T$23:'AI-10'!$T$26)</f>
        <v>1.0035707028183642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>
        <f>'AI-10'!$V$27</f>
        <v>-2.3282097258221501E-3</v>
      </c>
      <c r="D11" s="118">
        <f>'AI-10'!$W$27</f>
        <v>-4.2107565555504545E-2</v>
      </c>
      <c r="E11" s="119">
        <f>'AI-10'!$X$27</f>
        <v>-4.0595468277102364E-2</v>
      </c>
      <c r="F11" s="120">
        <f>GEOMEAN('AI-10'!$S$27:'AI-10'!$S$30)</f>
        <v>1.047019228495927</v>
      </c>
      <c r="G11" s="121">
        <f>GEOMEAN('AI-10'!$T$27:'AI-10'!$T$30)</f>
        <v>0.98197168323604611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>
        <f>'AI-10'!$V$31</f>
        <v>-2.857174489492742E-3</v>
      </c>
      <c r="D12" s="124">
        <f>'AI-10'!$W$31</f>
        <v>-3.5870390535123642E-2</v>
      </c>
      <c r="E12" s="125">
        <f>'AI-10'!$X$31</f>
        <v>-3.299828068383992E-2</v>
      </c>
      <c r="F12" s="126">
        <f>GEOMEAN('AI-10'!$S$31:'AI-10'!$S$34)</f>
        <v>1.027696615439079</v>
      </c>
      <c r="G12" s="127">
        <f>GEOMEAN('AI-10'!$T$31:'AI-10'!$T$34)</f>
        <v>0.99108633803488344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>
        <f>'AI-10'!$V$35</f>
        <v>-2.978129918836725E-3</v>
      </c>
      <c r="D13" s="112">
        <f>'AI-10'!$W$35</f>
        <v>-8.6963045719989585E-2</v>
      </c>
      <c r="E13" s="113">
        <f>'AI-10'!$X$35</f>
        <v>-5.585679065912541E-2</v>
      </c>
      <c r="F13" s="114">
        <f>GEOMEAN('AI-10'!$S$35:'AI-10'!$S$38)</f>
        <v>0.94901890666234134</v>
      </c>
      <c r="G13" s="115">
        <f>GEOMEAN('AI-10'!$T$35:'AI-10'!$T$38)</f>
        <v>1.0200762037629627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>
        <f>'AI-10'!$V$39</f>
        <v>-5.0935889128542744E-3</v>
      </c>
      <c r="D14" s="118">
        <f>'AI-10'!$W$39</f>
        <v>-2.5992998813980206E-2</v>
      </c>
      <c r="E14" s="119">
        <f>'AI-10'!$X$39</f>
        <v>-1.224268013449703E-2</v>
      </c>
      <c r="F14" s="120">
        <f>GEOMEAN('AI-10'!$S$39:'AI-10'!$S$42)</f>
        <v>1.0428729518624922</v>
      </c>
      <c r="G14" s="121">
        <f>GEOMEAN('AI-10'!$T$39:'AI-10'!$T$42)</f>
        <v>1.0082357307253598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>
        <f>'AI-10'!$V$43</f>
        <v>-4.2130172876627681E-3</v>
      </c>
      <c r="D15" s="118">
        <f>'AI-10'!$W$43</f>
        <v>-4.2574292515990431E-2</v>
      </c>
      <c r="E15" s="119">
        <f>'AI-10'!$X$43</f>
        <v>-1.0257907168788272E-2</v>
      </c>
      <c r="F15" s="120">
        <f>GEOMEAN('AI-10'!$S$43:'AI-10'!$S$46)</f>
        <v>1.0070013047815152</v>
      </c>
      <c r="G15" s="121">
        <f>GEOMEAN('AI-10'!$T$43:'AI-10'!$T$46)</f>
        <v>0.99136973614700219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>
        <f>'AI-10'!$V$47</f>
        <v>-1.4540125786839386E-3</v>
      </c>
      <c r="D16" s="124">
        <f>'AI-10'!$W$47</f>
        <v>-6.6777110388473337E-2</v>
      </c>
      <c r="E16" s="125">
        <f>'AI-10'!$X$47</f>
        <v>-8.7806422958546682E-2</v>
      </c>
      <c r="F16" s="126">
        <f>GEOMEAN('AI-10'!$S$47:'AI-10'!$S$50)</f>
        <v>1.0408185469608811</v>
      </c>
      <c r="G16" s="127">
        <f>GEOMEAN('AI-10'!$T$47:'AI-10'!$T$50)</f>
        <v>0.99767435277121852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>
        <f>'AI-10'!$V75</f>
        <v>-2.8397137268749428E-3</v>
      </c>
      <c r="D23" s="112">
        <f>'AI-10'!$W75</f>
        <v>-3.4723732673727303E-2</v>
      </c>
      <c r="E23" s="113">
        <f>'AI-10'!$X75</f>
        <v>-2.6834345388879743E-2</v>
      </c>
      <c r="F23" s="128">
        <f>'AI-10'!$S75</f>
        <v>1.0700155078661064</v>
      </c>
      <c r="G23" s="115">
        <f>'AI-10'!$T75</f>
        <v>1.0167699027303214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>
        <f>'AI-10'!$V76</f>
        <v>-3.5532535567725787E-3</v>
      </c>
      <c r="D24" s="118">
        <f>'AI-10'!$W76</f>
        <v>-4.1890223412956729E-2</v>
      </c>
      <c r="E24" s="119">
        <f>'AI-10'!$X76</f>
        <v>-3.9600146648802653E-2</v>
      </c>
      <c r="F24" s="130">
        <f>'AI-10'!$S76</f>
        <v>1.0035439944973397</v>
      </c>
      <c r="G24" s="121">
        <f>'AI-10'!$T76</f>
        <v>0.99478465249229198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-3.4346871745094265E-3</v>
      </c>
      <c r="D25" s="118">
        <f>'AI-10'!$W77</f>
        <v>-5.557686185960839E-2</v>
      </c>
      <c r="E25" s="119">
        <f>'AI-10'!$X77</f>
        <v>-4.1540950230239349E-2</v>
      </c>
      <c r="F25" s="130">
        <f>'AI-10'!$S77</f>
        <v>1.0092013691646142</v>
      </c>
      <c r="G25" s="121">
        <f>'AI-10'!$T77</f>
        <v>1.0042799479886837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-3.2758848193856493E-3</v>
      </c>
      <c r="D26" s="137">
        <f>'AI-10'!$W80</f>
        <v>-4.4063605982097472E-2</v>
      </c>
      <c r="E26" s="136">
        <f>'AI-10'!$X80</f>
        <v>-3.5991814089307246E-2</v>
      </c>
      <c r="F26" s="135">
        <f>'AI-10'!$S80</f>
        <v>1.0271521348466444</v>
      </c>
      <c r="G26" s="134">
        <f>'AI-10'!$T80</f>
        <v>1.0052378902405577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HPM9.1</v>
      </c>
      <c r="D31" s="151"/>
      <c r="E31" s="151"/>
      <c r="F31" s="151"/>
      <c r="G31" s="152"/>
      <c r="I31" s="102"/>
      <c r="J31" s="150" t="str">
        <f>CONCATENATE("Over ", Summary!$J$3)</f>
        <v>Over HPM9.1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-7.2083287052689959E-3</v>
      </c>
      <c r="D33" s="112">
        <f>'RA-10'!$W$3</f>
        <v>-5.1593122097634114E-2</v>
      </c>
      <c r="E33" s="113">
        <f>'RA-10'!$X$3</f>
        <v>-1.9635844594015572E-2</v>
      </c>
      <c r="F33" s="114">
        <f>GEOMEAN('RA-10'!$S$3:'RA-10'!$S$6)</f>
        <v>1.0995609257256844</v>
      </c>
      <c r="G33" s="115">
        <f>GEOMEAN('RA-10'!$T$3:'RA-10'!$T$6)</f>
        <v>1.0259627403995557</v>
      </c>
      <c r="I33" s="110" t="str">
        <f>'AI-10'!$B$3</f>
        <v>Tango2</v>
      </c>
      <c r="J33" s="111">
        <f>'LDB-10'!$V$3</f>
        <v>-7.7508264659724713E-3</v>
      </c>
      <c r="K33" s="112">
        <f>'LDB-10'!$W$3</f>
        <v>-6.4403231398099114E-2</v>
      </c>
      <c r="L33" s="113">
        <f>'LDB-10'!$X$3</f>
        <v>-4.2407139240046243E-2</v>
      </c>
      <c r="M33" s="114">
        <f>GEOMEAN('LDB-10'!$S$3:'LDB-10'!$S$6)</f>
        <v>1.1054313281789871</v>
      </c>
      <c r="N33" s="115">
        <f>GEOMEAN('LDB-10'!$T$3:'LDB-10'!$T$6)</f>
        <v>1.0125870776365171</v>
      </c>
    </row>
    <row r="34" spans="2:14" ht="12.75" customHeight="1" x14ac:dyDescent="0.2">
      <c r="B34" s="116" t="str">
        <f>'AI-10'!$B$7</f>
        <v>ParkRunning3</v>
      </c>
      <c r="C34" s="117">
        <f>'RA-10'!$V$7</f>
        <v>-6.1045058755121451E-3</v>
      </c>
      <c r="D34" s="118">
        <f>'RA-10'!$W$7</f>
        <v>-1.9721483548383545E-2</v>
      </c>
      <c r="E34" s="119">
        <f>'RA-10'!$X$7</f>
        <v>-2.3050231488077055E-2</v>
      </c>
      <c r="F34" s="120">
        <f>GEOMEAN('RA-10'!$S$7:'RA-10'!$S$10)</f>
        <v>1.0462060615542015</v>
      </c>
      <c r="G34" s="121">
        <f>GEOMEAN('RA-10'!$T$7:'RA-10'!$T$10)</f>
        <v>0.99117036465345632</v>
      </c>
      <c r="I34" s="116" t="str">
        <f>'AI-10'!$B$7</f>
        <v>ParkRunning3</v>
      </c>
      <c r="J34" s="117">
        <f>'LDB-10'!$V$7</f>
        <v>-7.6514717687964362E-3</v>
      </c>
      <c r="K34" s="118">
        <f>'LDB-10'!$W$7</f>
        <v>-2.1896545954282587E-2</v>
      </c>
      <c r="L34" s="119">
        <f>'LDB-10'!$X$7</f>
        <v>-2.6920668619364374E-2</v>
      </c>
      <c r="M34" s="120">
        <f>GEOMEAN('LDB-10'!$S$7:'LDB-10'!$S$10)</f>
        <v>1.0430671241385887</v>
      </c>
      <c r="N34" s="121">
        <f>GEOMEAN('LDB-10'!$T$7:'LDB-10'!$T$10)</f>
        <v>1.021644254630286</v>
      </c>
    </row>
    <row r="35" spans="2:14" ht="12.75" customHeight="1" x14ac:dyDescent="0.2">
      <c r="B35" s="116" t="str">
        <f>'AI-10'!$B$11</f>
        <v>Campfire</v>
      </c>
      <c r="C35" s="117">
        <f>'RA-10'!$V$11</f>
        <v>-3.6998352561367076E-3</v>
      </c>
      <c r="D35" s="118">
        <f>'RA-10'!$W$11</f>
        <v>-2.3686059637696766E-2</v>
      </c>
      <c r="E35" s="119">
        <f>'RA-10'!$X$11</f>
        <v>-4.3185582015007329E-2</v>
      </c>
      <c r="F35" s="130">
        <f>GEOMEAN('RA-10'!$S$11:'RA-10'!$S$14)</f>
        <v>1.0693620493354417</v>
      </c>
      <c r="G35" s="121">
        <f>GEOMEAN('RA-10'!$T$11:'RA-10'!$T$14)</f>
        <v>0.99631487748576963</v>
      </c>
      <c r="I35" s="116" t="str">
        <f>'AI-10'!$B$11</f>
        <v>Campfire</v>
      </c>
      <c r="J35" s="117">
        <f>'LDB-10'!$V$11</f>
        <v>-3.0052287149043844E-3</v>
      </c>
      <c r="K35" s="118">
        <f>'LDB-10'!$W$11</f>
        <v>-2.6050497207949275E-2</v>
      </c>
      <c r="L35" s="119">
        <f>'LDB-10'!$X$11</f>
        <v>-4.3140051665116697E-2</v>
      </c>
      <c r="M35" s="130">
        <f>GEOMEAN('LDB-10'!$S$11:'LDB-10'!$S$14)</f>
        <v>1.0659321971509275</v>
      </c>
      <c r="N35" s="121">
        <f>GEOMEAN('LDB-10'!$T$11:'LDB-10'!$T$14)</f>
        <v>0.99656087313664687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-1.6215636461328953E-2</v>
      </c>
      <c r="D36" s="124">
        <f>'RA-10'!$W$15</f>
        <v>-7.4414217566819874E-2</v>
      </c>
      <c r="E36" s="125">
        <f>'RA-10'!$X$15</f>
        <v>-4.9641113791673241E-2</v>
      </c>
      <c r="F36" s="126">
        <f>GEOMEAN('RA-10'!$S$15:'RA-10'!$S$18)</f>
        <v>1.0911479423337096</v>
      </c>
      <c r="G36" s="127">
        <f>GEOMEAN('RA-10'!$T$15:'RA-10'!$T$18)</f>
        <v>1.0488916251824891</v>
      </c>
      <c r="I36" s="122" t="str">
        <f>'AI-10'!$B$15</f>
        <v>DaylightRoad2</v>
      </c>
      <c r="J36" s="123">
        <f>'LDB-10'!$V$15</f>
        <v>-1.3334871715656282E-2</v>
      </c>
      <c r="K36" s="124">
        <f>'LDB-10'!$W$15</f>
        <v>-7.7294562023127567E-2</v>
      </c>
      <c r="L36" s="125">
        <f>'LDB-10'!$X$15</f>
        <v>-5.5157972368192643E-2</v>
      </c>
      <c r="M36" s="126">
        <f>GEOMEAN('LDB-10'!$S$15:'LDB-10'!$S$18)</f>
        <v>1.0591340374203357</v>
      </c>
      <c r="N36" s="127">
        <f>GEOMEAN('LDB-10'!$T$15:'LDB-10'!$T$18)</f>
        <v>1.0038533208023597</v>
      </c>
    </row>
    <row r="37" spans="2:14" ht="12.75" customHeight="1" x14ac:dyDescent="0.2">
      <c r="B37" s="110" t="str">
        <f>'AI-10'!$B$19</f>
        <v>Cactus</v>
      </c>
      <c r="C37" s="111">
        <f>'RA-10'!$V$19</f>
        <v>-1.0388745874155614E-2</v>
      </c>
      <c r="D37" s="112">
        <f>'RA-10'!$W$19</f>
        <v>-5.2417570630327814E-2</v>
      </c>
      <c r="E37" s="113">
        <f>'RA-10'!$X$19</f>
        <v>-5.797910696127706E-2</v>
      </c>
      <c r="F37" s="114">
        <f>GEOMEAN('RA-10'!$S$19:'RA-10'!$S$22)</f>
        <v>1.0395447017614383</v>
      </c>
      <c r="G37" s="115">
        <f>GEOMEAN('RA-10'!$T$19:'RA-10'!$T$22)</f>
        <v>0.96821491524746295</v>
      </c>
      <c r="I37" s="110" t="str">
        <f>'AI-10'!$B$19</f>
        <v>Cactus</v>
      </c>
      <c r="J37" s="111">
        <f>'LDB-10'!$V$19</f>
        <v>-1.2586489073733054E-2</v>
      </c>
      <c r="K37" s="112">
        <f>'LDB-10'!$W$19</f>
        <v>-8.5885358233614539E-2</v>
      </c>
      <c r="L37" s="113">
        <f>'LDB-10'!$X$19</f>
        <v>-7.8158360696451989E-2</v>
      </c>
      <c r="M37" s="114">
        <f>GEOMEAN('LDB-10'!$S$19:'LDB-10'!$S$22)</f>
        <v>1.0443571924449726</v>
      </c>
      <c r="N37" s="115">
        <f>GEOMEAN('LDB-10'!$T$19:'LDB-10'!$T$22)</f>
        <v>1.0280235388523136</v>
      </c>
    </row>
    <row r="38" spans="2:14" ht="12.75" customHeight="1" x14ac:dyDescent="0.2">
      <c r="B38" s="116" t="str">
        <f>'AI-10'!$B$23</f>
        <v>BasketballDrive</v>
      </c>
      <c r="C38" s="117">
        <f>'RA-10'!$V$23</f>
        <v>-1.2850448641840595E-2</v>
      </c>
      <c r="D38" s="118">
        <f>'RA-10'!$W$23</f>
        <v>-2.4392175148663986E-2</v>
      </c>
      <c r="E38" s="119">
        <f>'RA-10'!$X$23</f>
        <v>-3.349669905219077E-2</v>
      </c>
      <c r="F38" s="120">
        <f>GEOMEAN('RA-10'!$S$23:'RA-10'!$S$26)</f>
        <v>1.0698767064199792</v>
      </c>
      <c r="G38" s="121">
        <f>GEOMEAN('RA-10'!$T$23:'RA-10'!$T$26)</f>
        <v>0.96822658742766432</v>
      </c>
      <c r="I38" s="116" t="str">
        <f>'AI-10'!$B$23</f>
        <v>BasketballDrive</v>
      </c>
      <c r="J38" s="117">
        <f>'LDB-10'!$V$23</f>
        <v>-1.1554674854206803E-2</v>
      </c>
      <c r="K38" s="118">
        <f>'LDB-10'!$W$23</f>
        <v>-5.5043835984378786E-2</v>
      </c>
      <c r="L38" s="119">
        <f>'LDB-10'!$X$23</f>
        <v>-5.1632457627369677E-2</v>
      </c>
      <c r="M38" s="120">
        <f>GEOMEAN('LDB-10'!$S$23:'LDB-10'!$S$26)</f>
        <v>1.0604512883716202</v>
      </c>
      <c r="N38" s="121">
        <f>GEOMEAN('LDB-10'!$T$23:'LDB-10'!$T$26)</f>
        <v>1.0070107816653495</v>
      </c>
    </row>
    <row r="39" spans="2:14" ht="12.75" customHeight="1" x14ac:dyDescent="0.2">
      <c r="B39" s="116" t="str">
        <f>'AI-10'!$B$27</f>
        <v>MarketPlace</v>
      </c>
      <c r="C39" s="117">
        <f>'RA-10'!$V$27</f>
        <v>-8.637613314644299E-3</v>
      </c>
      <c r="D39" s="118">
        <f>'RA-10'!$W$27</f>
        <v>-6.9335546829999317E-2</v>
      </c>
      <c r="E39" s="119">
        <f>'RA-10'!$X$27</f>
        <v>-2.4514896602020775E-2</v>
      </c>
      <c r="F39" s="120">
        <f>GEOMEAN('RA-10'!$S$27:'RA-10'!$S$30)</f>
        <v>1.073347448199887</v>
      </c>
      <c r="G39" s="121">
        <f>GEOMEAN('RA-10'!$T$27:'RA-10'!$T$30)</f>
        <v>0.95064132763380949</v>
      </c>
      <c r="I39" s="116" t="str">
        <f>'AI-10'!$B$27</f>
        <v>MarketPlace</v>
      </c>
      <c r="J39" s="117">
        <f>'LDB-10'!$V$27</f>
        <v>-7.5299032602246241E-3</v>
      </c>
      <c r="K39" s="118">
        <f>'LDB-10'!$W$27</f>
        <v>-9.4878507621571906E-2</v>
      </c>
      <c r="L39" s="119">
        <f>'LDB-10'!$X$27</f>
        <v>-5.789988073450647E-2</v>
      </c>
      <c r="M39" s="120">
        <f>GEOMEAN('LDB-10'!$S$27:'LDB-10'!$S$30)</f>
        <v>1.0915613134220374</v>
      </c>
      <c r="N39" s="121">
        <f>GEOMEAN('LDB-10'!$T$27:'LDB-10'!$T$30)</f>
        <v>1.001487782624582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-6.3424469209355516E-3</v>
      </c>
      <c r="D40" s="124">
        <f>'RA-10'!$W$31</f>
        <v>-4.0906175170341008E-2</v>
      </c>
      <c r="E40" s="125">
        <f>'RA-10'!$X$31</f>
        <v>-1.9446072467811049E-2</v>
      </c>
      <c r="F40" s="126">
        <f>GEOMEAN('RA-10'!$S$31:'RA-10'!$S$34)</f>
        <v>1.0728853827161429</v>
      </c>
      <c r="G40" s="127">
        <f>GEOMEAN('RA-10'!$T$31:'RA-10'!$T$34)</f>
        <v>0.94824223927517837</v>
      </c>
      <c r="I40" s="122" t="str">
        <f>'AI-10'!$B$31</f>
        <v>RitualDance</v>
      </c>
      <c r="J40" s="123">
        <f>'LDB-10'!$V$31</f>
        <v>-6.3748222941836241E-3</v>
      </c>
      <c r="K40" s="124">
        <f>'LDB-10'!$W$31</f>
        <v>-6.6262357642120073E-2</v>
      </c>
      <c r="L40" s="125">
        <f>'LDB-10'!$X$31</f>
        <v>-3.8969721697798998E-2</v>
      </c>
      <c r="M40" s="126">
        <f>GEOMEAN('LDB-10'!$S$31:'LDB-10'!$S$34)</f>
        <v>1.0846597894467989</v>
      </c>
      <c r="N40" s="127">
        <f>GEOMEAN('LDB-10'!$T$31:'LDB-10'!$T$34)</f>
        <v>0.98332656564017051</v>
      </c>
    </row>
    <row r="41" spans="2:14" ht="12.75" customHeight="1" x14ac:dyDescent="0.2">
      <c r="B41" s="110" t="str">
        <f>'AI-10'!$B$35</f>
        <v>City</v>
      </c>
      <c r="C41" s="111">
        <f>'RA-10'!$V$35</f>
        <v>-7.8554984125912553E-3</v>
      </c>
      <c r="D41" s="112">
        <f>'RA-10'!$W$35</f>
        <v>-6.7542233440373134E-2</v>
      </c>
      <c r="E41" s="113">
        <f>'RA-10'!$X$35</f>
        <v>-7.0796623990419527E-2</v>
      </c>
      <c r="F41" s="114">
        <f>GEOMEAN('RA-10'!$S$35:'RA-10'!$S$38)</f>
        <v>1.0584574828864601</v>
      </c>
      <c r="G41" s="115">
        <f>GEOMEAN('RA-10'!$T$35:'RA-10'!$T$38)</f>
        <v>0.99084173429864453</v>
      </c>
      <c r="I41" s="110" t="str">
        <f>'AI-10'!$B$35</f>
        <v>City</v>
      </c>
      <c r="J41" s="111">
        <f>'LDB-10'!$V$35</f>
        <v>-9.8246126590313398E-3</v>
      </c>
      <c r="K41" s="112">
        <f>'LDB-10'!$W$35</f>
        <v>-0.1450638645013691</v>
      </c>
      <c r="L41" s="113">
        <f>'LDB-10'!$X$35</f>
        <v>-0.13383538981768994</v>
      </c>
      <c r="M41" s="114">
        <f>GEOMEAN('LDB-10'!$S$35:'LDB-10'!$S$38)</f>
        <v>1.075581948180766</v>
      </c>
      <c r="N41" s="115">
        <f>GEOMEAN('LDB-10'!$T$35:'LDB-10'!$T$38)</f>
        <v>0.98709525672803544</v>
      </c>
    </row>
    <row r="42" spans="2:14" ht="12.75" customHeight="1" x14ac:dyDescent="0.2">
      <c r="B42" s="116" t="str">
        <f>'AI-10'!$B$39</f>
        <v>Crew</v>
      </c>
      <c r="C42" s="117">
        <f>'RA-10'!$V$39</f>
        <v>-8.9313924653926513E-3</v>
      </c>
      <c r="D42" s="118">
        <f>'RA-10'!$W$39</f>
        <v>-2.7345214703805465E-2</v>
      </c>
      <c r="E42" s="119">
        <f>'RA-10'!$X$39</f>
        <v>-1.7055431270543431E-2</v>
      </c>
      <c r="F42" s="120">
        <f>GEOMEAN('RA-10'!$S$39:'RA-10'!$S$42)</f>
        <v>1.0836535045217348</v>
      </c>
      <c r="G42" s="121">
        <f>GEOMEAN('RA-10'!$T$39:'RA-10'!$T$42)</f>
        <v>0.97153975320122454</v>
      </c>
      <c r="I42" s="116" t="str">
        <f>'AI-10'!$B$39</f>
        <v>Crew</v>
      </c>
      <c r="J42" s="117">
        <f>'LDB-10'!$V$39</f>
        <v>-7.6182161705181661E-3</v>
      </c>
      <c r="K42" s="118">
        <f>'LDB-10'!$W$39</f>
        <v>-2.8964943064087145E-2</v>
      </c>
      <c r="L42" s="119">
        <f>'LDB-10'!$X$39</f>
        <v>-3.6251921732290526E-2</v>
      </c>
      <c r="M42" s="120">
        <f>GEOMEAN('LDB-10'!$S$39:'LDB-10'!$S$42)</f>
        <v>1.0726875893246786</v>
      </c>
      <c r="N42" s="121">
        <f>GEOMEAN('LDB-10'!$T$39:'LDB-10'!$T$42)</f>
        <v>0.95217309581806175</v>
      </c>
    </row>
    <row r="43" spans="2:14" ht="12.75" customHeight="1" x14ac:dyDescent="0.2">
      <c r="B43" s="116" t="str">
        <f>'AI-10'!$B$43</f>
        <v>vidyo1</v>
      </c>
      <c r="C43" s="117">
        <f>'RA-10'!$V$43</f>
        <v>-8.227694045943923E-3</v>
      </c>
      <c r="D43" s="118">
        <f>'RA-10'!$W$43</f>
        <v>-3.9829618351988283E-2</v>
      </c>
      <c r="E43" s="119">
        <f>'RA-10'!$X$43</f>
        <v>-1.0569766051669371E-2</v>
      </c>
      <c r="F43" s="120">
        <f>GEOMEAN('RA-10'!$S$43:'RA-10'!$S$46)</f>
        <v>1.0813963559496373</v>
      </c>
      <c r="G43" s="121">
        <f>GEOMEAN('RA-10'!$T$43:'RA-10'!$T$46)</f>
        <v>0.97066614505103266</v>
      </c>
      <c r="I43" s="116" t="str">
        <f>'AI-10'!$B$43</f>
        <v>vidyo1</v>
      </c>
      <c r="J43" s="117">
        <f>'LDB-10'!$V$43</f>
        <v>-1.4891977532229261E-2</v>
      </c>
      <c r="K43" s="118">
        <f>'LDB-10'!$W$43</f>
        <v>-7.7345042499959771E-2</v>
      </c>
      <c r="L43" s="119">
        <f>'LDB-10'!$X$43</f>
        <v>-4.3558633600123353E-2</v>
      </c>
      <c r="M43" s="120">
        <f>GEOMEAN('LDB-10'!$S$43:'LDB-10'!$S$46)</f>
        <v>1.0711857242017675</v>
      </c>
      <c r="N43" s="121">
        <f>GEOMEAN('LDB-10'!$T$43:'LDB-10'!$T$46)</f>
        <v>0.95211280687702937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-1.052888591486012E-2</v>
      </c>
      <c r="D44" s="124">
        <f>'RA-10'!$W$47</f>
        <v>-6.5462806504021587E-2</v>
      </c>
      <c r="E44" s="125">
        <f>'RA-10'!$X$47</f>
        <v>-8.9388313158580424E-2</v>
      </c>
      <c r="F44" s="126">
        <f>GEOMEAN('RA-10'!$S$47:'RA-10'!$S$50)</f>
        <v>1.0924436340304866</v>
      </c>
      <c r="G44" s="127">
        <f>GEOMEAN('RA-10'!$T$47:'RA-10'!$T$50)</f>
        <v>1.0016840609316686</v>
      </c>
      <c r="I44" s="122" t="str">
        <f>'AI-10'!$B$47</f>
        <v>vidyo3</v>
      </c>
      <c r="J44" s="123">
        <f>'LDB-10'!$V$47</f>
        <v>-1.4511813481080105E-2</v>
      </c>
      <c r="K44" s="124">
        <f>'LDB-10'!$W$47</f>
        <v>-0.10147923191158392</v>
      </c>
      <c r="L44" s="125">
        <f>'LDB-10'!$X$47</f>
        <v>-0.17496207128521224</v>
      </c>
      <c r="M44" s="126">
        <f>GEOMEAN('LDB-10'!$S$47:'LDB-10'!$S$50)</f>
        <v>1.0566686352751165</v>
      </c>
      <c r="N44" s="127">
        <f>GEOMEAN('LDB-10'!$T$47:'LDB-10'!$T$50)</f>
        <v>0.93710009862289645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-8.3070765745617003E-3</v>
      </c>
      <c r="D51" s="112">
        <f>'RA-10'!$W75</f>
        <v>-4.2353720712633575E-2</v>
      </c>
      <c r="E51" s="113">
        <f>'RA-10'!$X75</f>
        <v>-3.38781929721933E-2</v>
      </c>
      <c r="F51" s="128">
        <f>'RA-10'!$S75</f>
        <v>1.0763691301722684</v>
      </c>
      <c r="G51" s="115">
        <f>'RA-10'!$T75</f>
        <v>1.0153172917439373</v>
      </c>
      <c r="I51" s="132" t="s">
        <v>78</v>
      </c>
      <c r="J51" s="111">
        <f>'LDB-10'!$V75</f>
        <v>-7.9355996663323936E-3</v>
      </c>
      <c r="K51" s="112">
        <f>'LDB-10'!$W75</f>
        <v>-4.7411209145864636E-2</v>
      </c>
      <c r="L51" s="113">
        <f>'LDB-10'!$X75</f>
        <v>-4.1906457973179989E-2</v>
      </c>
      <c r="M51" s="128">
        <f>'LDB-10'!$S75</f>
        <v>1.0681472651511941</v>
      </c>
      <c r="N51" s="115">
        <f>'LDB-10'!$T75</f>
        <v>1.0086176006083181</v>
      </c>
    </row>
    <row r="52" spans="2:14" ht="12.75" customHeight="1" x14ac:dyDescent="0.2">
      <c r="B52" s="133" t="s">
        <v>79</v>
      </c>
      <c r="C52" s="117">
        <f>'RA-10'!$V76</f>
        <v>-9.5548136878940149E-3</v>
      </c>
      <c r="D52" s="118">
        <f>'RA-10'!$W76</f>
        <v>-4.6762866944833031E-2</v>
      </c>
      <c r="E52" s="119">
        <f>'RA-10'!$X76</f>
        <v>-3.3859193770824914E-2</v>
      </c>
      <c r="F52" s="130">
        <f>'RA-10'!$S76</f>
        <v>1.0638187472978775</v>
      </c>
      <c r="G52" s="121">
        <f>'RA-10'!$T76</f>
        <v>0.95878490978292041</v>
      </c>
      <c r="I52" s="133" t="s">
        <v>79</v>
      </c>
      <c r="J52" s="117">
        <f>'LDB-10'!$V76</f>
        <v>-9.5114723705870263E-3</v>
      </c>
      <c r="K52" s="118">
        <f>'LDB-10'!$W76</f>
        <v>-7.5517514870421326E-2</v>
      </c>
      <c r="L52" s="119">
        <f>'LDB-10'!$X76</f>
        <v>-5.6665105189031784E-2</v>
      </c>
      <c r="M52" s="130">
        <f>'LDB-10'!$S76</f>
        <v>1.0700901473800757</v>
      </c>
      <c r="N52" s="121">
        <f>'LDB-10'!$T76</f>
        <v>1.004835920782571</v>
      </c>
    </row>
    <row r="53" spans="2:14" ht="12.75" customHeight="1" thickBot="1" x14ac:dyDescent="0.25">
      <c r="B53" s="133" t="s">
        <v>51</v>
      </c>
      <c r="C53" s="117">
        <f>'RA-10'!$V77</f>
        <v>-8.8858677096969874E-3</v>
      </c>
      <c r="D53" s="118">
        <f>'RA-10'!$W77</f>
        <v>-5.0044968250047117E-2</v>
      </c>
      <c r="E53" s="119">
        <f>'RA-10'!$X77</f>
        <v>-4.6952533617803188E-2</v>
      </c>
      <c r="F53" s="130">
        <f>'RA-10'!$S77</f>
        <v>1.0789143001333299</v>
      </c>
      <c r="G53" s="121">
        <f>'RA-10'!$T77</f>
        <v>0.98359514872628151</v>
      </c>
      <c r="I53" s="133" t="s">
        <v>80</v>
      </c>
      <c r="J53" s="117">
        <f>'LDB-10'!$V77</f>
        <v>-1.1711654960714718E-2</v>
      </c>
      <c r="K53" s="118">
        <f>'LDB-10'!$W77</f>
        <v>-8.8213270494249985E-2</v>
      </c>
      <c r="L53" s="119">
        <f>'LDB-10'!$X77</f>
        <v>-9.7152004108829015E-2</v>
      </c>
      <c r="M53" s="130">
        <f>'LDB-10'!$S77</f>
        <v>1.0690058660745652</v>
      </c>
      <c r="N53" s="121">
        <f>'LDB-10'!$T77</f>
        <v>0.95694579937684654</v>
      </c>
    </row>
    <row r="54" spans="2:14" ht="12.75" customHeight="1" thickBot="1" x14ac:dyDescent="0.25">
      <c r="B54" s="139" t="s">
        <v>37</v>
      </c>
      <c r="C54" s="138">
        <f>'RA-10'!$V80</f>
        <v>-8.9159193240509003E-3</v>
      </c>
      <c r="D54" s="137">
        <f>'RA-10'!$W80</f>
        <v>-4.6387185302504574E-2</v>
      </c>
      <c r="E54" s="136">
        <f>'RA-10'!$X80</f>
        <v>-3.8229973453607131E-2</v>
      </c>
      <c r="F54" s="135">
        <f>'RA-10'!$S80</f>
        <v>1.073013717934709</v>
      </c>
      <c r="G54" s="134">
        <f>'RA-10'!$T80</f>
        <v>0.98562819150260428</v>
      </c>
      <c r="I54" s="139" t="s">
        <v>37</v>
      </c>
      <c r="J54" s="138">
        <f>'LDB-10'!$V80</f>
        <v>-9.7195756658780465E-3</v>
      </c>
      <c r="K54" s="137">
        <f>'LDB-10'!$W80</f>
        <v>-7.0380664836845311E-2</v>
      </c>
      <c r="L54" s="136">
        <f>'LDB-10'!$X80</f>
        <v>-6.5241189090346929E-2</v>
      </c>
      <c r="M54" s="135">
        <f>'LDB-10'!$S80</f>
        <v>1.0690807973262979</v>
      </c>
      <c r="N54" s="134">
        <f>'LDB-10'!$T80</f>
        <v>0.98985066276158662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J1" sqref="J1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HPM9.1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>
        <f>'AI-10'!V75</f>
        <v>-2.8397137268749428E-3</v>
      </c>
      <c r="D5" s="61">
        <f>'AI-10'!W75</f>
        <v>-3.4723732673727303E-2</v>
      </c>
      <c r="E5" s="62">
        <f>'AI-10'!X75</f>
        <v>-2.6834345388879743E-2</v>
      </c>
      <c r="F5" s="63">
        <f>'AI-10'!S75</f>
        <v>1.0700155078661064</v>
      </c>
      <c r="G5" s="64">
        <f>'AI-10'!T75</f>
        <v>1.0167699027303214</v>
      </c>
      <c r="H5" s="25"/>
      <c r="J5" s="28"/>
    </row>
    <row r="6" spans="2:10" ht="12.75" customHeight="1" x14ac:dyDescent="0.2">
      <c r="B6" s="94" t="s">
        <v>91</v>
      </c>
      <c r="C6" s="65">
        <f>'AI-10'!V76</f>
        <v>-3.5532535567725787E-3</v>
      </c>
      <c r="D6" s="66">
        <f>'AI-10'!W76</f>
        <v>-4.1890223412956729E-2</v>
      </c>
      <c r="E6" s="67">
        <f>'AI-10'!X76</f>
        <v>-3.9600146648802653E-2</v>
      </c>
      <c r="F6" s="68">
        <f>'AI-10'!S76</f>
        <v>1.0035439944973397</v>
      </c>
      <c r="G6" s="69">
        <f>'AI-10'!T76</f>
        <v>0.99478465249229198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-3.4346871745094265E-3</v>
      </c>
      <c r="D7" s="66">
        <f>'AI-10'!W77</f>
        <v>-5.557686185960839E-2</v>
      </c>
      <c r="E7" s="67">
        <f>'AI-10'!X77</f>
        <v>-4.1540950230239349E-2</v>
      </c>
      <c r="F7" s="68">
        <f>'AI-10'!S77</f>
        <v>1.0092013691646142</v>
      </c>
      <c r="G7" s="69">
        <f>'AI-10'!T77</f>
        <v>1.0042799479886837</v>
      </c>
      <c r="H7" s="25"/>
    </row>
    <row r="8" spans="2:10" s="20" customFormat="1" ht="12.75" customHeight="1" thickBot="1" x14ac:dyDescent="0.25">
      <c r="B8" s="81" t="s">
        <v>37</v>
      </c>
      <c r="C8" s="60">
        <f>'AI-10'!V80</f>
        <v>-3.2758848193856493E-3</v>
      </c>
      <c r="D8" s="61">
        <f>'AI-10'!W80</f>
        <v>-4.4063605982097472E-2</v>
      </c>
      <c r="E8" s="61">
        <f>'AI-10'!X80</f>
        <v>-3.5991814089307246E-2</v>
      </c>
      <c r="F8" s="100">
        <f>'AI-10'!S80</f>
        <v>1.0271521348466444</v>
      </c>
      <c r="G8" s="101">
        <f>'AI-10'!T80</f>
        <v>1.0052378902405577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HPM9.1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>
        <f>'RA-10'!V75</f>
        <v>-8.3070765745617003E-3</v>
      </c>
      <c r="D15" s="61">
        <f>'RA-10'!W75</f>
        <v>-4.2353720712633575E-2</v>
      </c>
      <c r="E15" s="62">
        <f>'RA-10'!X75</f>
        <v>-3.38781929721933E-2</v>
      </c>
      <c r="F15" s="63">
        <f>'RA-10'!S75</f>
        <v>1.0763691301722684</v>
      </c>
      <c r="G15" s="64">
        <f>'RA-10'!T75</f>
        <v>1.0153172917439373</v>
      </c>
      <c r="H15" s="25"/>
      <c r="I15" s="28"/>
    </row>
    <row r="16" spans="2:10" ht="12.75" customHeight="1" x14ac:dyDescent="0.2">
      <c r="B16" s="94" t="s">
        <v>91</v>
      </c>
      <c r="C16" s="65">
        <f>'RA-10'!V76</f>
        <v>-9.5548136878940149E-3</v>
      </c>
      <c r="D16" s="66">
        <f>'RA-10'!W76</f>
        <v>-4.6762866944833031E-2</v>
      </c>
      <c r="E16" s="67">
        <f>'RA-10'!X76</f>
        <v>-3.3859193770824914E-2</v>
      </c>
      <c r="F16" s="68">
        <f>'RA-10'!S76</f>
        <v>1.0638187472978775</v>
      </c>
      <c r="G16" s="69">
        <f>'RA-10'!T76</f>
        <v>0.95878490978292041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-8.8858677096969874E-3</v>
      </c>
      <c r="D17" s="66">
        <f>'RA-10'!W77</f>
        <v>-5.0044968250047117E-2</v>
      </c>
      <c r="E17" s="67">
        <f>'RA-10'!X77</f>
        <v>-4.6952533617803188E-2</v>
      </c>
      <c r="F17" s="68">
        <f>'RA-10'!S77</f>
        <v>1.0789143001333299</v>
      </c>
      <c r="G17" s="69">
        <f>'RA-10'!T77</f>
        <v>0.98359514872628151</v>
      </c>
      <c r="H17" s="25"/>
    </row>
    <row r="18" spans="2:9" ht="12.75" customHeight="1" thickBot="1" x14ac:dyDescent="0.25">
      <c r="B18" s="81" t="s">
        <v>37</v>
      </c>
      <c r="C18" s="60">
        <f>'RA-10'!V80</f>
        <v>-8.9159193240509003E-3</v>
      </c>
      <c r="D18" s="61">
        <f>'RA-10'!W80</f>
        <v>-4.6387185302504574E-2</v>
      </c>
      <c r="E18" s="61">
        <f>'RA-10'!X80</f>
        <v>-3.8229973453607131E-2</v>
      </c>
      <c r="F18" s="100">
        <f>'RA-10'!S80</f>
        <v>1.073013717934709</v>
      </c>
      <c r="G18" s="101">
        <f>'RA-10'!T80</f>
        <v>0.98562819150260428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HPM9.1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>
        <f>'LDB-10'!V75</f>
        <v>-7.9355996663323936E-3</v>
      </c>
      <c r="D25" s="61">
        <f>'LDB-10'!W75</f>
        <v>-4.7411209145864636E-2</v>
      </c>
      <c r="E25" s="62">
        <f>'LDB-10'!X75</f>
        <v>-4.1906457973179989E-2</v>
      </c>
      <c r="F25" s="63">
        <f>'LDB-10'!S75</f>
        <v>1.0681472651511941</v>
      </c>
      <c r="G25" s="64">
        <f>'LDB-10'!T75</f>
        <v>1.0086176006083181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-9.5114723705870263E-3</v>
      </c>
      <c r="D26" s="66">
        <f>'LDB-10'!W76</f>
        <v>-7.5517514870421326E-2</v>
      </c>
      <c r="E26" s="67">
        <f>'LDB-10'!X76</f>
        <v>-5.6665105189031784E-2</v>
      </c>
      <c r="F26" s="68">
        <f>'LDB-10'!S76</f>
        <v>1.0700901473800757</v>
      </c>
      <c r="G26" s="69">
        <f>'LDB-10'!T76</f>
        <v>1.004835920782571</v>
      </c>
      <c r="H26" s="25"/>
    </row>
    <row r="27" spans="2:9" ht="12.75" customHeight="1" thickBot="1" x14ac:dyDescent="0.25">
      <c r="B27" s="95" t="s">
        <v>93</v>
      </c>
      <c r="C27" s="65">
        <f>'LDB-10'!V77</f>
        <v>-1.1711654960714718E-2</v>
      </c>
      <c r="D27" s="66">
        <f>'LDB-10'!W77</f>
        <v>-8.8213270494249985E-2</v>
      </c>
      <c r="E27" s="67">
        <f>'LDB-10'!X77</f>
        <v>-9.7152004108829015E-2</v>
      </c>
      <c r="F27" s="68">
        <f>'LDB-10'!S77</f>
        <v>1.0690058660745652</v>
      </c>
      <c r="G27" s="69">
        <f>'LDB-10'!T77</f>
        <v>0.95694579937684654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-9.7195756658780465E-3</v>
      </c>
      <c r="D28" s="61">
        <f>'LDB-10'!W80</f>
        <v>-7.0380664836845311E-2</v>
      </c>
      <c r="E28" s="61">
        <f>'LDB-10'!X80</f>
        <v>-6.5241189090346929E-2</v>
      </c>
      <c r="F28" s="100">
        <f>'LDB-10'!S80</f>
        <v>1.0690807973262979</v>
      </c>
      <c r="G28" s="101">
        <f>'LDB-10'!T80</f>
        <v>0.98985066276158662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HPM9.1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76649.785900000003</v>
      </c>
      <c r="E3" s="13">
        <f>Reference!C1</f>
        <v>40.8003</v>
      </c>
      <c r="F3" s="13">
        <f>Reference!D1</f>
        <v>49.140099999999997</v>
      </c>
      <c r="G3" s="13">
        <f>Reference!E1</f>
        <v>47.6663</v>
      </c>
      <c r="H3" s="13">
        <f>Reference!F1</f>
        <v>106931.18</v>
      </c>
      <c r="I3" s="13">
        <f>Reference!G1</f>
        <v>29.477</v>
      </c>
      <c r="J3" s="14">
        <f>H3/3600</f>
        <v>29.703105555555553</v>
      </c>
      <c r="L3" s="12">
        <f>Test!B1</f>
        <v>77021.915699999998</v>
      </c>
      <c r="M3" s="13">
        <f>Test!C1</f>
        <v>40.809899999999999</v>
      </c>
      <c r="N3" s="13">
        <f>Test!D1</f>
        <v>49.187199999999997</v>
      </c>
      <c r="O3" s="13">
        <f>Test!E1</f>
        <v>47.707500000000003</v>
      </c>
      <c r="P3" s="13">
        <f>Test!F1</f>
        <v>116099.383</v>
      </c>
      <c r="Q3" s="13">
        <f>Test!G1</f>
        <v>29.303000000000001</v>
      </c>
      <c r="R3" s="13">
        <f>P3/3600</f>
        <v>32.249828611111113</v>
      </c>
      <c r="S3" s="12">
        <f>P3/H3</f>
        <v>1.0857392857724006</v>
      </c>
      <c r="T3" s="13">
        <f>Q3/I3</f>
        <v>0.99409709264850565</v>
      </c>
      <c r="U3" s="90"/>
      <c r="V3" s="42">
        <f>bdrate($D3:$D6,E3:E6,$L3:$L6,M3:M6)</f>
        <v>-4.6605484891028004E-3</v>
      </c>
      <c r="W3" s="42">
        <f>bdrate($D3:$D6,F3:F6,$L3:$L6,N3:N6)</f>
        <v>-3.8233915608242963E-2</v>
      </c>
      <c r="X3" s="43">
        <f>bdrate($D3:$D6,G3:G6,$L3:$L6,O3:O6)</f>
        <v>-1.7010614654062506E-2</v>
      </c>
      <c r="Y3" s="37">
        <f>bdrateOld($D3:$D6,E3:E6,$L3:$L6,M3:M6)</f>
        <v>-4.7696012158102707E-3</v>
      </c>
      <c r="Z3" s="42">
        <f>bdrateOld($D3:$D6,F3:F6,$L3:$L6,N3:N6)</f>
        <v>-3.879272479410012E-2</v>
      </c>
      <c r="AA3" s="43">
        <f>bdrateOld($D3:$D6,G3:G6,$L3:$L6,O3:O6)</f>
        <v>-1.6350838629372255E-2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41628.596799999999</v>
      </c>
      <c r="E4" s="18">
        <f>Reference!C2</f>
        <v>40.1571</v>
      </c>
      <c r="F4" s="18">
        <f>Reference!D2</f>
        <v>48.378999999999998</v>
      </c>
      <c r="G4" s="18">
        <f>Reference!E2</f>
        <v>46.562100000000001</v>
      </c>
      <c r="H4" s="18">
        <f>Reference!F2</f>
        <v>58473.608999999997</v>
      </c>
      <c r="I4" s="18">
        <f>Reference!G2</f>
        <v>26.978999999999999</v>
      </c>
      <c r="J4" s="19">
        <f t="shared" ref="J4:J14" si="0">H4/3600</f>
        <v>16.242669166666666</v>
      </c>
      <c r="L4" s="17">
        <f>Test!B2</f>
        <v>41648.419500000004</v>
      </c>
      <c r="M4" s="18">
        <f>Test!C2</f>
        <v>40.162399999999998</v>
      </c>
      <c r="N4" s="18">
        <f>Test!D2</f>
        <v>48.4407</v>
      </c>
      <c r="O4" s="18">
        <f>Test!E2</f>
        <v>46.614899999999999</v>
      </c>
      <c r="P4" s="18">
        <f>Test!F2</f>
        <v>64593.004000000001</v>
      </c>
      <c r="Q4" s="18">
        <f>Test!G2</f>
        <v>26.18</v>
      </c>
      <c r="R4" s="18">
        <f t="shared" ref="R4:R14" si="1">P4/3600</f>
        <v>17.94250111111111</v>
      </c>
      <c r="S4" s="17">
        <f t="shared" ref="S4:T14" si="2">P4/H4</f>
        <v>1.1046522543186963</v>
      </c>
      <c r="T4" s="18">
        <f t="shared" si="2"/>
        <v>0.97038437303087588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24995.338400000001</v>
      </c>
      <c r="E5" s="18">
        <f>Reference!C3</f>
        <v>39.431199999999997</v>
      </c>
      <c r="F5" s="18">
        <f>Reference!D3</f>
        <v>47.451300000000003</v>
      </c>
      <c r="G5" s="18">
        <f>Reference!E3</f>
        <v>45.295099999999998</v>
      </c>
      <c r="H5" s="18">
        <f>Reference!F3</f>
        <v>34968.699000000001</v>
      </c>
      <c r="I5" s="18">
        <f>Reference!G3</f>
        <v>24.978000000000002</v>
      </c>
      <c r="J5" s="19">
        <f t="shared" si="0"/>
        <v>9.7135274999999996</v>
      </c>
      <c r="L5" s="17">
        <f>Test!B3</f>
        <v>24974.724300000002</v>
      </c>
      <c r="M5" s="18">
        <f>Test!C3</f>
        <v>39.437199999999997</v>
      </c>
      <c r="N5" s="18">
        <f>Test!D3</f>
        <v>47.550800000000002</v>
      </c>
      <c r="O5" s="18">
        <f>Test!E3</f>
        <v>45.335900000000002</v>
      </c>
      <c r="P5" s="18">
        <f>Test!F3</f>
        <v>39183.733999999997</v>
      </c>
      <c r="Q5" s="18">
        <f>Test!G3</f>
        <v>25.306000000000001</v>
      </c>
      <c r="R5" s="18">
        <f t="shared" si="1"/>
        <v>10.884370555555554</v>
      </c>
      <c r="S5" s="17">
        <f t="shared" si="2"/>
        <v>1.1205373697202745</v>
      </c>
      <c r="T5" s="18">
        <f t="shared" si="2"/>
        <v>1.0131315557690768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14279.8184</v>
      </c>
      <c r="E6" s="23">
        <f>Reference!C4</f>
        <v>38.212000000000003</v>
      </c>
      <c r="F6" s="23">
        <f>Reference!D4</f>
        <v>46.055300000000003</v>
      </c>
      <c r="G6" s="23">
        <f>Reference!E4</f>
        <v>43.520400000000002</v>
      </c>
      <c r="H6" s="23">
        <f>Reference!F4</f>
        <v>19412.008000000002</v>
      </c>
      <c r="I6" s="23">
        <f>Reference!G4</f>
        <v>23.248999999999999</v>
      </c>
      <c r="J6" s="24">
        <f t="shared" si="0"/>
        <v>5.3922244444444445</v>
      </c>
      <c r="L6" s="22">
        <f>Test!B4</f>
        <v>14235.710300000001</v>
      </c>
      <c r="M6" s="23">
        <f>Test!C4</f>
        <v>38.220300000000002</v>
      </c>
      <c r="N6" s="23">
        <f>Test!D4</f>
        <v>46.0732</v>
      </c>
      <c r="O6" s="23">
        <f>Test!E4</f>
        <v>43.532499999999999</v>
      </c>
      <c r="P6" s="23">
        <f>Test!F4</f>
        <v>21951.947</v>
      </c>
      <c r="Q6" s="23">
        <f>Test!G4</f>
        <v>23.937000000000001</v>
      </c>
      <c r="R6" s="23">
        <f t="shared" si="1"/>
        <v>6.0977630555555553</v>
      </c>
      <c r="S6" s="17">
        <f t="shared" si="2"/>
        <v>1.1308437025165041</v>
      </c>
      <c r="T6" s="18">
        <f t="shared" si="2"/>
        <v>1.0295926706525014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325191</v>
      </c>
      <c r="E7" s="13">
        <f>Reference!C5</f>
        <v>44.685899999999997</v>
      </c>
      <c r="F7" s="13">
        <f>Reference!D5</f>
        <v>38.907800000000002</v>
      </c>
      <c r="G7" s="13">
        <f>Reference!E5</f>
        <v>39.401299999999999</v>
      </c>
      <c r="H7" s="13">
        <f>Reference!F5</f>
        <v>174948.391</v>
      </c>
      <c r="I7" s="13">
        <f>Reference!G5</f>
        <v>41.789000000000001</v>
      </c>
      <c r="J7" s="14">
        <f t="shared" si="0"/>
        <v>48.59677527777778</v>
      </c>
      <c r="L7" s="12">
        <f>Test!B5</f>
        <v>325668.84210000001</v>
      </c>
      <c r="M7" s="13">
        <f>Test!C5</f>
        <v>44.723300000000002</v>
      </c>
      <c r="N7" s="13">
        <f>Test!D5</f>
        <v>38.966000000000001</v>
      </c>
      <c r="O7" s="13">
        <f>Test!E5</f>
        <v>39.462299999999999</v>
      </c>
      <c r="P7" s="13">
        <f>Test!F5</f>
        <v>181246.17199999999</v>
      </c>
      <c r="Q7" s="13">
        <f>Test!G5</f>
        <v>43.972000000000001</v>
      </c>
      <c r="R7" s="13">
        <f t="shared" si="1"/>
        <v>50.346158888888887</v>
      </c>
      <c r="S7" s="17">
        <f t="shared" si="2"/>
        <v>1.0359979360999094</v>
      </c>
      <c r="T7" s="18">
        <f t="shared" si="2"/>
        <v>1.0522386273899831</v>
      </c>
      <c r="U7" s="91"/>
      <c r="V7" s="42">
        <f>bdrate($D7:$D10,E7:E10,$L7:$L10,M7:M10)</f>
        <v>-2.1535241834499397E-3</v>
      </c>
      <c r="W7" s="42">
        <f>bdrate($D7:$D10,F7:F10,$L7:$L10,N7:N10)</f>
        <v>-1.4027579958737046E-2</v>
      </c>
      <c r="X7" s="42">
        <f>bdrate($D7:$D10,G7:G10,$L7:$L10,O7:O10)</f>
        <v>-1.7890760637517378E-2</v>
      </c>
      <c r="Y7" s="40">
        <f>bdrateOld($D7:$D10,E7:E10,$L7:$L10,M7:M10)</f>
        <v>-2.1463870952389552E-3</v>
      </c>
      <c r="Z7" s="44">
        <f>bdrateOld($D7:$D10,F7:F10,$L7:$L10,N7:N10)</f>
        <v>-1.4035558822222849E-2</v>
      </c>
      <c r="AA7" s="45">
        <f>bdrateOld($D7:$D10,G7:G10,$L7:$L10,O7:O10)</f>
        <v>-1.7869107939612161E-2</v>
      </c>
    </row>
    <row r="8" spans="1:27" x14ac:dyDescent="0.2">
      <c r="A8" s="16"/>
      <c r="B8" s="85"/>
      <c r="C8" s="16">
        <v>48</v>
      </c>
      <c r="D8" s="17">
        <f>Reference!B6</f>
        <v>207706.78950000001</v>
      </c>
      <c r="E8" s="18">
        <f>Reference!C6</f>
        <v>41.917299999999997</v>
      </c>
      <c r="F8" s="18">
        <f>Reference!D6</f>
        <v>36.338299999999997</v>
      </c>
      <c r="G8" s="18">
        <f>Reference!E6</f>
        <v>37.145000000000003</v>
      </c>
      <c r="H8" s="18">
        <f>Reference!F6</f>
        <v>139175.07800000001</v>
      </c>
      <c r="I8" s="18">
        <f>Reference!G6</f>
        <v>39.683999999999997</v>
      </c>
      <c r="J8" s="19">
        <f t="shared" si="0"/>
        <v>38.65974388888889</v>
      </c>
      <c r="L8" s="17">
        <f>Test!B6</f>
        <v>208104.7789</v>
      </c>
      <c r="M8" s="18">
        <f>Test!C6</f>
        <v>41.950499999999998</v>
      </c>
      <c r="N8" s="18">
        <f>Test!D6</f>
        <v>36.403599999999997</v>
      </c>
      <c r="O8" s="18">
        <f>Test!E6</f>
        <v>37.210700000000003</v>
      </c>
      <c r="P8" s="18">
        <f>Test!F6</f>
        <v>144649.56200000001</v>
      </c>
      <c r="Q8" s="18">
        <f>Test!G6</f>
        <v>38.107999999999997</v>
      </c>
      <c r="R8" s="18">
        <f t="shared" si="1"/>
        <v>40.180433888888892</v>
      </c>
      <c r="S8" s="17">
        <f t="shared" si="2"/>
        <v>1.0393352321311435</v>
      </c>
      <c r="T8" s="18">
        <f t="shared" si="2"/>
        <v>0.96028626146557805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118700.8737</v>
      </c>
      <c r="E9" s="18">
        <f>Reference!C7</f>
        <v>38.681100000000001</v>
      </c>
      <c r="F9" s="18">
        <f>Reference!D7</f>
        <v>34.052100000000003</v>
      </c>
      <c r="G9" s="18">
        <f>Reference!E7</f>
        <v>35.096699999999998</v>
      </c>
      <c r="H9" s="18">
        <f>Reference!F7</f>
        <v>100112.07</v>
      </c>
      <c r="I9" s="18">
        <f>Reference!G7</f>
        <v>32.762999999999998</v>
      </c>
      <c r="J9" s="19">
        <f t="shared" si="0"/>
        <v>27.808908333333335</v>
      </c>
      <c r="L9" s="17">
        <f>Test!B7</f>
        <v>119094.7895</v>
      </c>
      <c r="M9" s="18">
        <f>Test!C7</f>
        <v>38.707999999999998</v>
      </c>
      <c r="N9" s="18">
        <f>Test!D7</f>
        <v>34.122500000000002</v>
      </c>
      <c r="O9" s="18">
        <f>Test!E7</f>
        <v>35.174599999999998</v>
      </c>
      <c r="P9" s="18">
        <f>Test!F7</f>
        <v>108629.07799999999</v>
      </c>
      <c r="Q9" s="18">
        <f>Test!G7</f>
        <v>33.520000000000003</v>
      </c>
      <c r="R9" s="18">
        <f t="shared" si="1"/>
        <v>30.174743888888887</v>
      </c>
      <c r="S9" s="17">
        <f t="shared" si="2"/>
        <v>1.0850747367425324</v>
      </c>
      <c r="T9" s="18">
        <f t="shared" si="2"/>
        <v>1.0231053322345329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55985.368399999999</v>
      </c>
      <c r="E10" s="23">
        <f>Reference!C8</f>
        <v>35.217300000000002</v>
      </c>
      <c r="F10" s="23">
        <f>Reference!D8</f>
        <v>31.694900000000001</v>
      </c>
      <c r="G10" s="23">
        <f>Reference!E8</f>
        <v>33.150799999999997</v>
      </c>
      <c r="H10" s="23">
        <f>Reference!F8</f>
        <v>64531.328000000001</v>
      </c>
      <c r="I10" s="23">
        <f>Reference!G8</f>
        <v>27.908999999999999</v>
      </c>
      <c r="J10" s="24">
        <f t="shared" si="0"/>
        <v>17.92536888888889</v>
      </c>
      <c r="L10" s="22">
        <f>Test!B8</f>
        <v>56287.8842</v>
      </c>
      <c r="M10" s="23">
        <f>Test!C8</f>
        <v>35.231000000000002</v>
      </c>
      <c r="N10" s="23">
        <f>Test!D8</f>
        <v>31.7742</v>
      </c>
      <c r="O10" s="23">
        <f>Test!E8</f>
        <v>33.236800000000002</v>
      </c>
      <c r="P10" s="23">
        <f>Test!F8</f>
        <v>71228.641000000003</v>
      </c>
      <c r="Q10" s="23">
        <f>Test!G8</f>
        <v>28.597000000000001</v>
      </c>
      <c r="R10" s="23">
        <f t="shared" si="1"/>
        <v>19.785733611111112</v>
      </c>
      <c r="S10" s="17">
        <f t="shared" si="2"/>
        <v>1.1037839016733082</v>
      </c>
      <c r="T10" s="18">
        <f t="shared" si="2"/>
        <v>1.0246515460962415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125343.15790000001</v>
      </c>
      <c r="E11" s="13">
        <f>Reference!C9</f>
        <v>41.550699999999999</v>
      </c>
      <c r="F11" s="13">
        <f>Reference!D9</f>
        <v>43.853999999999999</v>
      </c>
      <c r="G11" s="13">
        <f>Reference!E9</f>
        <v>42.776200000000003</v>
      </c>
      <c r="H11" s="13">
        <f>Reference!F9</f>
        <v>163862.891</v>
      </c>
      <c r="I11" s="13">
        <f>Reference!G9</f>
        <v>34.17</v>
      </c>
      <c r="J11" s="14">
        <f t="shared" si="0"/>
        <v>45.517469722222224</v>
      </c>
      <c r="L11" s="12">
        <f>Test!B9</f>
        <v>125661.85890000001</v>
      </c>
      <c r="M11" s="13">
        <f>Test!C9</f>
        <v>41.569499999999998</v>
      </c>
      <c r="N11" s="13">
        <f>Test!D9</f>
        <v>43.9527</v>
      </c>
      <c r="O11" s="13">
        <f>Test!E9</f>
        <v>42.842100000000002</v>
      </c>
      <c r="P11" s="13">
        <f>Test!F9</f>
        <v>151437.40599999999</v>
      </c>
      <c r="Q11" s="13">
        <f>Test!G9</f>
        <v>35.847999999999999</v>
      </c>
      <c r="R11" s="13">
        <f t="shared" si="1"/>
        <v>42.06594611111111</v>
      </c>
      <c r="S11" s="17">
        <f t="shared" si="2"/>
        <v>0.92417145258348932</v>
      </c>
      <c r="T11" s="18">
        <f t="shared" si="2"/>
        <v>1.049107404155692</v>
      </c>
      <c r="U11" s="91"/>
      <c r="V11" s="42">
        <f>bdrate($D11:$D14,E11:E14,$L11:$L14,M11:M14)</f>
        <v>-1.7753565451582576E-3</v>
      </c>
      <c r="W11" s="42">
        <f>bdrate($D11:$D14,F11:F14,$L11:$L14,N11:N14)</f>
        <v>-2.4916142596475011E-2</v>
      </c>
      <c r="X11" s="42">
        <f>bdrate($D11:$D14,G11:G14,$L11:$L14,O11:O14)</f>
        <v>-3.9135260754635581E-2</v>
      </c>
      <c r="Y11" s="40">
        <f>bdrateOld($D11:$D14,E11:E14,$L11:$L14,M11:M14)</f>
        <v>-1.8467919434882463E-3</v>
      </c>
      <c r="Z11" s="44">
        <f>bdrateOld($D11:$D14,F11:F14,$L11:$L14,N11:N14)</f>
        <v>-2.4919672465929743E-2</v>
      </c>
      <c r="AA11" s="45">
        <f>bdrateOld($D11:$D14,G11:G14,$L11:$L14,O11:O14)</f>
        <v>-3.9430369632267093E-2</v>
      </c>
    </row>
    <row r="12" spans="1:27" x14ac:dyDescent="0.2">
      <c r="A12" s="34"/>
      <c r="B12" s="83"/>
      <c r="C12" s="16">
        <v>48</v>
      </c>
      <c r="D12" s="17">
        <f>Reference!B10</f>
        <v>56248.269500000002</v>
      </c>
      <c r="E12" s="18">
        <f>Reference!C10</f>
        <v>38.854999999999997</v>
      </c>
      <c r="F12" s="18">
        <f>Reference!D10</f>
        <v>41.252400000000002</v>
      </c>
      <c r="G12" s="18">
        <f>Reference!E10</f>
        <v>41.615400000000001</v>
      </c>
      <c r="H12" s="18">
        <f>Reference!F10</f>
        <v>102536.04700000001</v>
      </c>
      <c r="I12" s="18">
        <f>Reference!G10</f>
        <v>28.288</v>
      </c>
      <c r="J12" s="19">
        <f t="shared" si="0"/>
        <v>28.482235277777779</v>
      </c>
      <c r="L12" s="17">
        <f>Test!B10</f>
        <v>56584.945299999999</v>
      </c>
      <c r="M12" s="18">
        <f>Test!C10</f>
        <v>38.874000000000002</v>
      </c>
      <c r="N12" s="18">
        <f>Test!D10</f>
        <v>41.349299999999999</v>
      </c>
      <c r="O12" s="18">
        <f>Test!E10</f>
        <v>41.681800000000003</v>
      </c>
      <c r="P12" s="18">
        <f>Test!F10</f>
        <v>104476.969</v>
      </c>
      <c r="Q12" s="18">
        <f>Test!G10</f>
        <v>28.556000000000001</v>
      </c>
      <c r="R12" s="18">
        <f t="shared" si="1"/>
        <v>29.021380277777777</v>
      </c>
      <c r="S12" s="17">
        <f t="shared" si="2"/>
        <v>1.0189291674175813</v>
      </c>
      <c r="T12" s="18">
        <f t="shared" si="2"/>
        <v>1.0094739819004526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25640.936799999999</v>
      </c>
      <c r="E13" s="18">
        <f>Reference!C11</f>
        <v>37.2943</v>
      </c>
      <c r="F13" s="18">
        <f>Reference!D11</f>
        <v>38.950499999999998</v>
      </c>
      <c r="G13" s="18">
        <f>Reference!E11</f>
        <v>40.486499999999999</v>
      </c>
      <c r="H13" s="18">
        <f>Reference!F11</f>
        <v>55392.008000000002</v>
      </c>
      <c r="I13" s="18">
        <f>Reference!G11</f>
        <v>24.074000000000002</v>
      </c>
      <c r="J13" s="19">
        <f t="shared" si="0"/>
        <v>15.38666888888889</v>
      </c>
      <c r="L13" s="17">
        <f>Test!B11</f>
        <v>25718.987400000002</v>
      </c>
      <c r="M13" s="18">
        <f>Test!C11</f>
        <v>37.304099999999998</v>
      </c>
      <c r="N13" s="18">
        <f>Test!D11</f>
        <v>39.045299999999997</v>
      </c>
      <c r="O13" s="18">
        <f>Test!E11</f>
        <v>40.561799999999998</v>
      </c>
      <c r="P13" s="18">
        <f>Test!F11</f>
        <v>61651.559000000001</v>
      </c>
      <c r="Q13" s="18">
        <f>Test!G11</f>
        <v>24.568999999999999</v>
      </c>
      <c r="R13" s="18">
        <f t="shared" si="1"/>
        <v>17.125433055555558</v>
      </c>
      <c r="S13" s="17">
        <f t="shared" si="2"/>
        <v>1.1130045872321508</v>
      </c>
      <c r="T13" s="18">
        <f t="shared" si="2"/>
        <v>1.0205616017280053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12412.503199999999</v>
      </c>
      <c r="E14" s="23">
        <f>Reference!C12</f>
        <v>35.906500000000001</v>
      </c>
      <c r="F14" s="23">
        <f>Reference!D12</f>
        <v>36.248899999999999</v>
      </c>
      <c r="G14" s="23">
        <f>Reference!E12</f>
        <v>39.0047</v>
      </c>
      <c r="H14" s="23">
        <f>Reference!F12</f>
        <v>30209.081999999999</v>
      </c>
      <c r="I14" s="23">
        <f>Reference!G12</f>
        <v>21.193000000000001</v>
      </c>
      <c r="J14" s="24">
        <f t="shared" si="0"/>
        <v>8.3914116666666665</v>
      </c>
      <c r="L14" s="22">
        <f>Test!B12</f>
        <v>12475.484200000001</v>
      </c>
      <c r="M14" s="23">
        <f>Test!C12</f>
        <v>35.918799999999997</v>
      </c>
      <c r="N14" s="23">
        <f>Test!D12</f>
        <v>36.352600000000002</v>
      </c>
      <c r="O14" s="23">
        <f>Test!E12</f>
        <v>39.089500000000001</v>
      </c>
      <c r="P14" s="23">
        <f>Test!F12</f>
        <v>34967.190999999999</v>
      </c>
      <c r="Q14" s="23">
        <f>Test!G12</f>
        <v>21.952999999999999</v>
      </c>
      <c r="R14" s="23">
        <f t="shared" si="1"/>
        <v>9.7131086111111102</v>
      </c>
      <c r="S14" s="17">
        <f t="shared" si="2"/>
        <v>1.1575059116327997</v>
      </c>
      <c r="T14" s="18">
        <f t="shared" si="2"/>
        <v>1.0358608974661443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178117.78109999999</v>
      </c>
      <c r="E15" s="13">
        <f>Reference!C13</f>
        <v>38.604399999999998</v>
      </c>
      <c r="F15" s="13">
        <f>Reference!D13</f>
        <v>45.508600000000001</v>
      </c>
      <c r="G15" s="13">
        <f>Reference!E13</f>
        <v>43.3018</v>
      </c>
      <c r="H15" s="13">
        <f>Reference!F13</f>
        <v>191939.75</v>
      </c>
      <c r="I15" s="13">
        <f>Reference!G13</f>
        <v>36.988</v>
      </c>
      <c r="J15" s="14">
        <f>H15/3600</f>
        <v>53.316597222222221</v>
      </c>
      <c r="L15" s="12">
        <f>Test!B13</f>
        <v>179126.4253</v>
      </c>
      <c r="M15" s="13">
        <f>Test!C13</f>
        <v>38.617400000000004</v>
      </c>
      <c r="N15" s="13">
        <f>Test!D13</f>
        <v>45.573500000000003</v>
      </c>
      <c r="O15" s="13">
        <f>Test!E13</f>
        <v>43.353200000000001</v>
      </c>
      <c r="P15" s="13">
        <f>Test!F13</f>
        <v>179450.859</v>
      </c>
      <c r="Q15" s="13">
        <f>Test!G13</f>
        <v>37.904000000000003</v>
      </c>
      <c r="R15" s="13">
        <f>P15/3600</f>
        <v>49.847460833333329</v>
      </c>
      <c r="S15" s="17">
        <f>P15/H15</f>
        <v>0.93493327463435794</v>
      </c>
      <c r="T15" s="18">
        <f>Q15/I15</f>
        <v>1.0247647885800801</v>
      </c>
      <c r="U15" s="91"/>
      <c r="V15" s="42">
        <f>bdrate($D15:$D18,E15:E18,$L15:$L18,M15:M18)</f>
        <v>-2.7694256897887737E-3</v>
      </c>
      <c r="W15" s="42">
        <f>bdrate($D15:$D18,F15:F18,$L15:$L18,N15:N18)</f>
        <v>-6.1717292531454193E-2</v>
      </c>
      <c r="X15" s="43">
        <f>bdrate($D15:$D18,G15:G18,$L15:$L18,O15:O18)</f>
        <v>-3.3300745509303509E-2</v>
      </c>
      <c r="Y15" s="37">
        <f>bdrateOld($D15:$D18,E15:E18,$L15:$L18,M15:M18)</f>
        <v>-2.8956456818244325E-3</v>
      </c>
      <c r="Z15" s="42">
        <f>bdrateOld($D15:$D18,F15:F18,$L15:$L18,N15:N18)</f>
        <v>-6.1495951671686755E-2</v>
      </c>
      <c r="AA15" s="43">
        <f>bdrateOld($D15:$D18,G15:G18,$L15:$L18,O15:O18)</f>
        <v>-3.3326499508453233E-2</v>
      </c>
    </row>
    <row r="16" spans="1:27" x14ac:dyDescent="0.2">
      <c r="A16" s="16"/>
      <c r="B16" s="85"/>
      <c r="C16" s="16">
        <v>48</v>
      </c>
      <c r="D16" s="17">
        <f>Reference!B14</f>
        <v>87373.364199999996</v>
      </c>
      <c r="E16" s="18">
        <f>Reference!C14</f>
        <v>37.670999999999999</v>
      </c>
      <c r="F16" s="18">
        <f>Reference!D14</f>
        <v>44.5745</v>
      </c>
      <c r="G16" s="18">
        <f>Reference!E14</f>
        <v>42.164400000000001</v>
      </c>
      <c r="H16" s="18">
        <f>Reference!F14</f>
        <v>107080.227</v>
      </c>
      <c r="I16" s="18">
        <f>Reference!G14</f>
        <v>29.106999999999999</v>
      </c>
      <c r="J16" s="19">
        <f t="shared" ref="J16:J26" si="3">H16/3600</f>
        <v>29.744507500000001</v>
      </c>
      <c r="L16" s="17">
        <f>Test!B14</f>
        <v>87553.288400000005</v>
      </c>
      <c r="M16" s="18">
        <f>Test!C14</f>
        <v>37.679400000000001</v>
      </c>
      <c r="N16" s="18">
        <f>Test!D14</f>
        <v>44.670099999999998</v>
      </c>
      <c r="O16" s="18">
        <f>Test!E14</f>
        <v>42.222299999999997</v>
      </c>
      <c r="P16" s="18">
        <f>Test!F14</f>
        <v>114663.79700000001</v>
      </c>
      <c r="Q16" s="18">
        <f>Test!G14</f>
        <v>30.193000000000001</v>
      </c>
      <c r="R16" s="18">
        <f t="shared" ref="R16:R26" si="4">P16/3600</f>
        <v>31.851054722222223</v>
      </c>
      <c r="S16" s="17">
        <f t="shared" ref="S16:S26" si="5">P16/H16</f>
        <v>1.0708213851657227</v>
      </c>
      <c r="T16" s="18">
        <f t="shared" ref="T16:T26" si="6">Q16/I16</f>
        <v>1.0373106125674236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50253.814700000003</v>
      </c>
      <c r="E17" s="18">
        <f>Reference!C15</f>
        <v>36.746899999999997</v>
      </c>
      <c r="F17" s="18">
        <f>Reference!D15</f>
        <v>43.557400000000001</v>
      </c>
      <c r="G17" s="18">
        <f>Reference!E15</f>
        <v>40.963900000000002</v>
      </c>
      <c r="H17" s="18">
        <f>Reference!F15</f>
        <v>66440.875</v>
      </c>
      <c r="I17" s="18">
        <f>Reference!G15</f>
        <v>26.120999999999999</v>
      </c>
      <c r="J17" s="19">
        <f t="shared" si="3"/>
        <v>18.45579861111111</v>
      </c>
      <c r="L17" s="17">
        <f>Test!B15</f>
        <v>50423.040000000001</v>
      </c>
      <c r="M17" s="18">
        <f>Test!C15</f>
        <v>36.759099999999997</v>
      </c>
      <c r="N17" s="18">
        <f>Test!D15</f>
        <v>43.692700000000002</v>
      </c>
      <c r="O17" s="18">
        <f>Test!E15</f>
        <v>41.050600000000003</v>
      </c>
      <c r="P17" s="18">
        <f>Test!F15</f>
        <v>72873.702999999994</v>
      </c>
      <c r="Q17" s="18">
        <f>Test!G15</f>
        <v>26.931999999999999</v>
      </c>
      <c r="R17" s="18">
        <f t="shared" si="4"/>
        <v>20.242695277777777</v>
      </c>
      <c r="S17" s="17">
        <f t="shared" si="5"/>
        <v>1.0968203383835626</v>
      </c>
      <c r="T17" s="18">
        <f t="shared" si="6"/>
        <v>1.0310478159335401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26481.6126</v>
      </c>
      <c r="E18" s="23">
        <f>Reference!C16</f>
        <v>35.2455</v>
      </c>
      <c r="F18" s="23">
        <f>Reference!D16</f>
        <v>42.153399999999998</v>
      </c>
      <c r="G18" s="23">
        <f>Reference!E16</f>
        <v>39.581800000000001</v>
      </c>
      <c r="H18" s="23">
        <f>Reference!F16</f>
        <v>38869.171999999999</v>
      </c>
      <c r="I18" s="23">
        <f>Reference!G16</f>
        <v>24.297000000000001</v>
      </c>
      <c r="J18" s="24">
        <f t="shared" si="3"/>
        <v>10.796992222222222</v>
      </c>
      <c r="L18" s="22">
        <f>Test!B16</f>
        <v>26597.494699999999</v>
      </c>
      <c r="M18" s="23">
        <f>Test!C16</f>
        <v>35.2562</v>
      </c>
      <c r="N18" s="23">
        <f>Test!D16</f>
        <v>42.3354</v>
      </c>
      <c r="O18" s="23">
        <f>Test!E16</f>
        <v>39.679000000000002</v>
      </c>
      <c r="P18" s="23">
        <f>Test!F16</f>
        <v>43960.059000000001</v>
      </c>
      <c r="Q18" s="23">
        <f>Test!G16</f>
        <v>24.24</v>
      </c>
      <c r="R18" s="23">
        <f t="shared" si="4"/>
        <v>12.2111275</v>
      </c>
      <c r="S18" s="17">
        <f t="shared" si="5"/>
        <v>1.1309749278940133</v>
      </c>
      <c r="T18" s="18">
        <f t="shared" si="6"/>
        <v>0.99765403136189645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68053.606299999999</v>
      </c>
      <c r="E19" s="13">
        <f>Reference!C17</f>
        <v>39.547499999999999</v>
      </c>
      <c r="F19" s="13">
        <f>Reference!D17</f>
        <v>40.388199999999998</v>
      </c>
      <c r="G19" s="13">
        <f>Reference!E17</f>
        <v>43.313899999999997</v>
      </c>
      <c r="H19" s="13">
        <f>Reference!F17</f>
        <v>96712.031000000003</v>
      </c>
      <c r="I19" s="13">
        <f>Reference!G17</f>
        <v>17.533000000000001</v>
      </c>
      <c r="J19" s="14">
        <f t="shared" si="3"/>
        <v>26.864453055555558</v>
      </c>
      <c r="L19" s="12">
        <f>Test!B17</f>
        <v>68179.834900000002</v>
      </c>
      <c r="M19" s="13">
        <f>Test!C17</f>
        <v>39.560899999999997</v>
      </c>
      <c r="N19" s="13">
        <f>Test!D17</f>
        <v>40.447800000000001</v>
      </c>
      <c r="O19" s="13">
        <f>Test!E17</f>
        <v>43.422699999999999</v>
      </c>
      <c r="P19" s="13">
        <f>Test!F17</f>
        <v>79137.108999999997</v>
      </c>
      <c r="Q19" s="13">
        <f>Test!G17</f>
        <v>17.774000000000001</v>
      </c>
      <c r="R19" s="13">
        <f t="shared" si="4"/>
        <v>21.982530277777776</v>
      </c>
      <c r="S19" s="12">
        <f t="shared" si="5"/>
        <v>0.8182757427563484</v>
      </c>
      <c r="T19" s="13">
        <f t="shared" si="6"/>
        <v>1.0137455084697427</v>
      </c>
      <c r="U19" s="90"/>
      <c r="V19" s="42">
        <f>bdrate($D19:$D22,E19:E22,$L19:$L22,M19:M22)</f>
        <v>-3.8598628769181964E-3</v>
      </c>
      <c r="W19" s="42">
        <f>bdrate($D19:$D22,F19:F22,$L19:$L22,N19:N22)</f>
        <v>-4.2651635232963225E-2</v>
      </c>
      <c r="X19" s="42">
        <f>bdrate($D19:$D22,G19:G22,$L19:$L22,O19:O22)</f>
        <v>-4.4648040246787146E-2</v>
      </c>
      <c r="Y19" s="40">
        <f>bdrateOld($D19:$D22,E19:E22,$L19:$L22,M19:M22)</f>
        <v>-3.8494240958943937E-3</v>
      </c>
      <c r="Z19" s="44">
        <f>bdrateOld($D19:$D22,F19:F22,$L19:$L22,N19:N22)</f>
        <v>-4.2943605498241277E-2</v>
      </c>
      <c r="AA19" s="45">
        <f>bdrateOld($D19:$D22,G19:G22,$L19:$L22,O19:O22)</f>
        <v>-4.4903552707630801E-2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40667.898399999998</v>
      </c>
      <c r="E20" s="18">
        <f>Reference!C18</f>
        <v>37.911799999999999</v>
      </c>
      <c r="F20" s="18">
        <f>Reference!D18</f>
        <v>39.354300000000002</v>
      </c>
      <c r="G20" s="18">
        <f>Reference!E18</f>
        <v>41.866</v>
      </c>
      <c r="H20" s="18">
        <f>Reference!F18</f>
        <v>67085.625</v>
      </c>
      <c r="I20" s="18">
        <f>Reference!G18</f>
        <v>15.324</v>
      </c>
      <c r="J20" s="19">
        <f t="shared" si="3"/>
        <v>18.634895833333335</v>
      </c>
      <c r="L20" s="17">
        <f>Test!B18</f>
        <v>40705.104800000001</v>
      </c>
      <c r="M20" s="18">
        <f>Test!C18</f>
        <v>37.9268</v>
      </c>
      <c r="N20" s="18">
        <f>Test!D18</f>
        <v>39.423000000000002</v>
      </c>
      <c r="O20" s="18">
        <f>Test!E18</f>
        <v>41.9925</v>
      </c>
      <c r="P20" s="18">
        <f>Test!F18</f>
        <v>59761.66</v>
      </c>
      <c r="Q20" s="18">
        <f>Test!G18</f>
        <v>14.984999999999999</v>
      </c>
      <c r="R20" s="18">
        <f t="shared" si="4"/>
        <v>16.600461111111112</v>
      </c>
      <c r="S20" s="17">
        <f t="shared" si="5"/>
        <v>0.89082661151327136</v>
      </c>
      <c r="T20" s="18">
        <f t="shared" si="6"/>
        <v>0.97787783868441658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23442.323799999998</v>
      </c>
      <c r="E21" s="18">
        <f>Reference!C19</f>
        <v>35.995800000000003</v>
      </c>
      <c r="F21" s="18">
        <f>Reference!D19</f>
        <v>38.438600000000001</v>
      </c>
      <c r="G21" s="18">
        <f>Reference!E19</f>
        <v>40.432299999999998</v>
      </c>
      <c r="H21" s="18">
        <f>Reference!F19</f>
        <v>44470.074000000001</v>
      </c>
      <c r="I21" s="18">
        <f>Reference!G19</f>
        <v>13.132999999999999</v>
      </c>
      <c r="J21" s="19">
        <f t="shared" si="3"/>
        <v>12.352798333333334</v>
      </c>
      <c r="L21" s="17">
        <f>Test!B19</f>
        <v>23480.685700000002</v>
      </c>
      <c r="M21" s="18">
        <f>Test!C19</f>
        <v>36.016500000000001</v>
      </c>
      <c r="N21" s="18">
        <f>Test!D19</f>
        <v>38.529000000000003</v>
      </c>
      <c r="O21" s="18">
        <f>Test!E19</f>
        <v>40.570599999999999</v>
      </c>
      <c r="P21" s="18">
        <f>Test!F19</f>
        <v>44204.464999999997</v>
      </c>
      <c r="Q21" s="18">
        <f>Test!G19</f>
        <v>13.132999999999999</v>
      </c>
      <c r="R21" s="18">
        <f t="shared" si="4"/>
        <v>12.279018055555554</v>
      </c>
      <c r="S21" s="17">
        <f t="shared" si="5"/>
        <v>0.99402724178061852</v>
      </c>
      <c r="T21" s="18">
        <f t="shared" si="6"/>
        <v>1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11971.784100000001</v>
      </c>
      <c r="E22" s="23">
        <f>Reference!C20</f>
        <v>33.523400000000002</v>
      </c>
      <c r="F22" s="23">
        <f>Reference!D20</f>
        <v>37.2363</v>
      </c>
      <c r="G22" s="23">
        <f>Reference!E20</f>
        <v>38.716299999999997</v>
      </c>
      <c r="H22" s="23">
        <f>Reference!F20</f>
        <v>27220.050999999999</v>
      </c>
      <c r="I22" s="23">
        <f>Reference!G20</f>
        <v>10.984999999999999</v>
      </c>
      <c r="J22" s="24">
        <f t="shared" si="3"/>
        <v>7.5611252777777773</v>
      </c>
      <c r="L22" s="22">
        <f>Test!B20</f>
        <v>11982.596799999999</v>
      </c>
      <c r="M22" s="23">
        <f>Test!C20</f>
        <v>33.543399999999998</v>
      </c>
      <c r="N22" s="23">
        <f>Test!D20</f>
        <v>37.332599999999999</v>
      </c>
      <c r="O22" s="23">
        <f>Test!E20</f>
        <v>38.805700000000002</v>
      </c>
      <c r="P22" s="23">
        <f>Test!F20</f>
        <v>29324.138999999999</v>
      </c>
      <c r="Q22" s="23">
        <f>Test!G20</f>
        <v>11.2</v>
      </c>
      <c r="R22" s="23">
        <f t="shared" si="4"/>
        <v>8.1455941666666671</v>
      </c>
      <c r="S22" s="17">
        <f t="shared" si="5"/>
        <v>1.077299193892032</v>
      </c>
      <c r="T22" s="18">
        <f t="shared" si="6"/>
        <v>1.0195721438324989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42855.479399999997</v>
      </c>
      <c r="E23" s="13">
        <f>Reference!C21</f>
        <v>40.194000000000003</v>
      </c>
      <c r="F23" s="13">
        <f>Reference!D21</f>
        <v>44.0944</v>
      </c>
      <c r="G23" s="13">
        <f>Reference!E21</f>
        <v>45.518999999999998</v>
      </c>
      <c r="H23" s="13">
        <f>Reference!F21</f>
        <v>73820.25</v>
      </c>
      <c r="I23" s="13">
        <f>Reference!G21</f>
        <v>15.134</v>
      </c>
      <c r="J23" s="14">
        <f t="shared" si="3"/>
        <v>20.505624999999998</v>
      </c>
      <c r="L23" s="12">
        <f>Test!B21</f>
        <v>42890.069799999997</v>
      </c>
      <c r="M23" s="13">
        <f>Test!C21</f>
        <v>40.205100000000002</v>
      </c>
      <c r="N23" s="13">
        <f>Test!D21</f>
        <v>44.1554</v>
      </c>
      <c r="O23" s="13">
        <f>Test!E21</f>
        <v>45.609699999999997</v>
      </c>
      <c r="P23" s="13">
        <f>Test!F21</f>
        <v>68327.562000000005</v>
      </c>
      <c r="Q23" s="13">
        <f>Test!G21</f>
        <v>15.43</v>
      </c>
      <c r="R23" s="13">
        <f t="shared" si="4"/>
        <v>18.979878333333335</v>
      </c>
      <c r="S23" s="17">
        <f t="shared" si="5"/>
        <v>0.92559374968250585</v>
      </c>
      <c r="T23" s="18">
        <f t="shared" si="6"/>
        <v>1.0195586097528744</v>
      </c>
      <c r="U23" s="91"/>
      <c r="V23" s="42">
        <f>bdrate($D23:$D26,E23:E26,$L23:$L26,M23:M26)</f>
        <v>-5.1677671348572263E-3</v>
      </c>
      <c r="W23" s="42">
        <f>bdrate($D23:$D26,F23:F26,$L23:$L26,N23:N26)</f>
        <v>-4.6931302328235502E-2</v>
      </c>
      <c r="X23" s="42">
        <f>bdrate($D23:$D26,G23:G26,$L23:$L26,O23:O26)</f>
        <v>-4.0158797387481182E-2</v>
      </c>
      <c r="Y23" s="40">
        <f>bdrateOld($D23:$D26,E23:E26,$L23:$L26,M23:M26)</f>
        <v>-5.1689457001852235E-3</v>
      </c>
      <c r="Z23" s="44">
        <f>bdrateOld($D23:$D26,F23:F26,$L23:$L26,N23:N26)</f>
        <v>-4.7026226417032801E-2</v>
      </c>
      <c r="AA23" s="45">
        <f>bdrateOld($D23:$D26,G23:G26,$L23:$L26,O23:O26)</f>
        <v>-4.0412084364743639E-2</v>
      </c>
    </row>
    <row r="24" spans="1:27" x14ac:dyDescent="0.2">
      <c r="A24" s="34"/>
      <c r="B24" s="85"/>
      <c r="C24" s="16">
        <v>32</v>
      </c>
      <c r="D24" s="17">
        <f>Reference!B22</f>
        <v>23397.618999999999</v>
      </c>
      <c r="E24" s="18">
        <f>Reference!C22</f>
        <v>38.724600000000002</v>
      </c>
      <c r="F24" s="18">
        <f>Reference!D22</f>
        <v>43.077800000000003</v>
      </c>
      <c r="G24" s="18">
        <f>Reference!E22</f>
        <v>44.020299999999999</v>
      </c>
      <c r="H24" s="18">
        <f>Reference!F22</f>
        <v>49390.870999999999</v>
      </c>
      <c r="I24" s="18">
        <f>Reference!G22</f>
        <v>13.492000000000001</v>
      </c>
      <c r="J24" s="19">
        <f t="shared" si="3"/>
        <v>13.719686388888888</v>
      </c>
      <c r="L24" s="17">
        <f>Test!B22</f>
        <v>23408.101600000002</v>
      </c>
      <c r="M24" s="18">
        <f>Test!C22</f>
        <v>38.739100000000001</v>
      </c>
      <c r="N24" s="18">
        <f>Test!D22</f>
        <v>43.165100000000002</v>
      </c>
      <c r="O24" s="18">
        <f>Test!E22</f>
        <v>44.130099999999999</v>
      </c>
      <c r="P24" s="18">
        <f>Test!F22</f>
        <v>48418.641000000003</v>
      </c>
      <c r="Q24" s="18">
        <f>Test!G22</f>
        <v>13.566000000000001</v>
      </c>
      <c r="R24" s="18">
        <f t="shared" si="4"/>
        <v>13.4496225</v>
      </c>
      <c r="S24" s="17">
        <f t="shared" si="5"/>
        <v>0.98031559313865924</v>
      </c>
      <c r="T24" s="18">
        <f t="shared" si="6"/>
        <v>1.005484731692855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13162.374599999999</v>
      </c>
      <c r="E25" s="18">
        <f>Reference!C23</f>
        <v>37.273699999999998</v>
      </c>
      <c r="F25" s="18">
        <f>Reference!D23</f>
        <v>41.967199999999998</v>
      </c>
      <c r="G25" s="18">
        <f>Reference!E23</f>
        <v>42.439</v>
      </c>
      <c r="H25" s="18">
        <f>Reference!F23</f>
        <v>30672.664000000001</v>
      </c>
      <c r="I25" s="18">
        <f>Reference!G23</f>
        <v>11.760999999999999</v>
      </c>
      <c r="J25" s="19">
        <f t="shared" si="3"/>
        <v>8.5201844444444443</v>
      </c>
      <c r="L25" s="17">
        <f>Test!B23</f>
        <v>13177.2127</v>
      </c>
      <c r="M25" s="18">
        <f>Test!C23</f>
        <v>37.291699999999999</v>
      </c>
      <c r="N25" s="18">
        <f>Test!D23</f>
        <v>42.078299999999999</v>
      </c>
      <c r="O25" s="18">
        <f>Test!E23</f>
        <v>42.573799999999999</v>
      </c>
      <c r="P25" s="18">
        <f>Test!F23</f>
        <v>31840.324000000001</v>
      </c>
      <c r="Q25" s="18">
        <f>Test!G23</f>
        <v>11.614000000000001</v>
      </c>
      <c r="R25" s="18">
        <f t="shared" si="4"/>
        <v>8.8445344444444451</v>
      </c>
      <c r="S25" s="17">
        <f t="shared" si="5"/>
        <v>1.0380684247054641</v>
      </c>
      <c r="T25" s="18">
        <f t="shared" si="6"/>
        <v>0.98750106283479311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7046.1016</v>
      </c>
      <c r="E26" s="23">
        <f>Reference!C24</f>
        <v>35.351500000000001</v>
      </c>
      <c r="F26" s="23">
        <f>Reference!D24</f>
        <v>40.4833</v>
      </c>
      <c r="G26" s="23">
        <f>Reference!E24</f>
        <v>40.491399999999999</v>
      </c>
      <c r="H26" s="23">
        <f>Reference!F24</f>
        <v>18230.025000000001</v>
      </c>
      <c r="I26" s="23">
        <f>Reference!G24</f>
        <v>10.513</v>
      </c>
      <c r="J26" s="24">
        <f t="shared" si="3"/>
        <v>5.0638958333333335</v>
      </c>
      <c r="L26" s="22">
        <f>Test!B24</f>
        <v>7044.8316999999997</v>
      </c>
      <c r="M26" s="23">
        <f>Test!C24</f>
        <v>35.367699999999999</v>
      </c>
      <c r="N26" s="23">
        <f>Test!D24</f>
        <v>40.5946</v>
      </c>
      <c r="O26" s="23">
        <f>Test!E24</f>
        <v>40.587400000000002</v>
      </c>
      <c r="P26" s="23">
        <f>Test!F24</f>
        <v>19572.748</v>
      </c>
      <c r="Q26" s="23">
        <f>Test!G24</f>
        <v>10.534000000000001</v>
      </c>
      <c r="R26" s="23">
        <f t="shared" si="4"/>
        <v>5.4368744444444443</v>
      </c>
      <c r="S26" s="17">
        <f t="shared" si="5"/>
        <v>1.0736544793548006</v>
      </c>
      <c r="T26" s="18">
        <f t="shared" si="6"/>
        <v>1.0019975268714925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65102.380799999999</v>
      </c>
      <c r="E27" s="13">
        <f>Reference!C25</f>
        <v>41.709899999999998</v>
      </c>
      <c r="F27" s="13">
        <f>Reference!D25</f>
        <v>44.219200000000001</v>
      </c>
      <c r="G27" s="13">
        <f>Reference!E25</f>
        <v>45.032699999999998</v>
      </c>
      <c r="H27" s="13">
        <f>Reference!F25</f>
        <v>82715.75</v>
      </c>
      <c r="I27" s="13">
        <f>Reference!G25</f>
        <v>19.068000000000001</v>
      </c>
      <c r="J27" s="14">
        <f>H27/3600</f>
        <v>22.976597222222221</v>
      </c>
      <c r="L27" s="12">
        <f>Test!B25</f>
        <v>65210.7264</v>
      </c>
      <c r="M27" s="13">
        <f>Test!C25</f>
        <v>41.730200000000004</v>
      </c>
      <c r="N27" s="13">
        <f>Test!D25</f>
        <v>44.2956</v>
      </c>
      <c r="O27" s="13">
        <f>Test!E25</f>
        <v>45.124299999999998</v>
      </c>
      <c r="P27" s="13">
        <f>Test!F25</f>
        <v>82721.633000000002</v>
      </c>
      <c r="Q27" s="13">
        <f>Test!G25</f>
        <v>19.289000000000001</v>
      </c>
      <c r="R27" s="13">
        <f>P27/3600</f>
        <v>22.97823138888889</v>
      </c>
      <c r="S27" s="17">
        <f>P27/H27</f>
        <v>1.000071123093244</v>
      </c>
      <c r="T27" s="18">
        <f>Q27/I27</f>
        <v>1.0115900985945039</v>
      </c>
      <c r="U27" s="91"/>
      <c r="V27" s="42">
        <f>bdrate($D27:$D30,E27:E30,$L27:$L30,M27:M30)</f>
        <v>-2.3282097258221501E-3</v>
      </c>
      <c r="W27" s="42">
        <f>bdrate($D27:$D30,F27:F30,$L27:$L30,N27:N30)</f>
        <v>-4.2107565555504545E-2</v>
      </c>
      <c r="X27" s="43">
        <f>bdrate($D27:$D30,G27:G30,$L27:$L30,O27:O30)</f>
        <v>-4.0595468277102364E-2</v>
      </c>
      <c r="Y27" s="37">
        <f>bdrateOld($D27:$D30,E27:E30,$L27:$L30,M27:M30)</f>
        <v>-2.3426177604245479E-3</v>
      </c>
      <c r="Z27" s="42">
        <f>bdrateOld($D27:$D30,F27:F30,$L27:$L30,N27:N30)</f>
        <v>-4.2339916517736387E-2</v>
      </c>
      <c r="AA27" s="43">
        <f>bdrateOld($D27:$D30,G27:G30,$L27:$L30,O27:O30)</f>
        <v>-4.0530879197534286E-2</v>
      </c>
    </row>
    <row r="28" spans="1:27" x14ac:dyDescent="0.2">
      <c r="A28" s="16"/>
      <c r="B28" s="85"/>
      <c r="C28" s="16">
        <v>48</v>
      </c>
      <c r="D28" s="17">
        <f>Reference!B26</f>
        <v>41983.161599999999</v>
      </c>
      <c r="E28" s="18">
        <f>Reference!C26</f>
        <v>39.9178</v>
      </c>
      <c r="F28" s="18">
        <f>Reference!D26</f>
        <v>42.728999999999999</v>
      </c>
      <c r="G28" s="18">
        <f>Reference!E26</f>
        <v>43.779699999999998</v>
      </c>
      <c r="H28" s="18">
        <f>Reference!F26</f>
        <v>60941.23</v>
      </c>
      <c r="I28" s="18">
        <f>Reference!G26</f>
        <v>17.414999999999999</v>
      </c>
      <c r="J28" s="19">
        <f t="shared" ref="J28:J46" si="7">H28/3600</f>
        <v>16.928119444444444</v>
      </c>
      <c r="L28" s="17">
        <f>Test!B26</f>
        <v>42021.1584</v>
      </c>
      <c r="M28" s="18">
        <f>Test!C26</f>
        <v>39.9313</v>
      </c>
      <c r="N28" s="18">
        <f>Test!D26</f>
        <v>42.842100000000002</v>
      </c>
      <c r="O28" s="18">
        <f>Test!E26</f>
        <v>43.899700000000003</v>
      </c>
      <c r="P28" s="18">
        <f>Test!F26</f>
        <v>63022.394999999997</v>
      </c>
      <c r="Q28" s="18">
        <f>Test!G26</f>
        <v>17.120999999999999</v>
      </c>
      <c r="R28" s="18">
        <f t="shared" ref="R28:R46" si="8">P28/3600</f>
        <v>17.506220833333334</v>
      </c>
      <c r="S28" s="17">
        <f t="shared" ref="S28:S46" si="9">P28/H28</f>
        <v>1.0341503609297023</v>
      </c>
      <c r="T28" s="18">
        <f t="shared" ref="T28:T46" si="10">Q28/I28</f>
        <v>0.98311800172265285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24699.251199999999</v>
      </c>
      <c r="E29" s="18">
        <f>Reference!C27</f>
        <v>37.699399999999997</v>
      </c>
      <c r="F29" s="18">
        <f>Reference!D27</f>
        <v>41.391100000000002</v>
      </c>
      <c r="G29" s="18">
        <f>Reference!E27</f>
        <v>42.497900000000001</v>
      </c>
      <c r="H29" s="18">
        <f>Reference!F27</f>
        <v>42497</v>
      </c>
      <c r="I29" s="18">
        <f>Reference!G27</f>
        <v>15.631</v>
      </c>
      <c r="J29" s="19">
        <f t="shared" si="7"/>
        <v>11.804722222222223</v>
      </c>
      <c r="L29" s="17">
        <f>Test!B27</f>
        <v>24716.902399999999</v>
      </c>
      <c r="M29" s="18">
        <f>Test!C27</f>
        <v>37.710999999999999</v>
      </c>
      <c r="N29" s="18">
        <f>Test!D27</f>
        <v>41.521500000000003</v>
      </c>
      <c r="O29" s="18">
        <f>Test!E27</f>
        <v>42.603900000000003</v>
      </c>
      <c r="P29" s="18">
        <f>Test!F27</f>
        <v>45234.913999999997</v>
      </c>
      <c r="Q29" s="18">
        <f>Test!G27</f>
        <v>15.18</v>
      </c>
      <c r="R29" s="18">
        <f t="shared" si="8"/>
        <v>12.565253888888888</v>
      </c>
      <c r="S29" s="17">
        <f t="shared" si="9"/>
        <v>1.0644260536037837</v>
      </c>
      <c r="T29" s="18">
        <f t="shared" si="10"/>
        <v>0.97114707952146373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12489.92</v>
      </c>
      <c r="E30" s="23">
        <f>Reference!C28</f>
        <v>35.015599999999999</v>
      </c>
      <c r="F30" s="23">
        <f>Reference!D28</f>
        <v>39.8917</v>
      </c>
      <c r="G30" s="23">
        <f>Reference!E28</f>
        <v>40.892000000000003</v>
      </c>
      <c r="H30" s="23">
        <f>Reference!F28</f>
        <v>25933.42</v>
      </c>
      <c r="I30" s="23">
        <f>Reference!G28</f>
        <v>13.493</v>
      </c>
      <c r="J30" s="24">
        <f t="shared" si="7"/>
        <v>7.2037277777777771</v>
      </c>
      <c r="L30" s="22">
        <f>Test!B28</f>
        <v>12492.5952</v>
      </c>
      <c r="M30" s="23">
        <f>Test!C28</f>
        <v>35.024999999999999</v>
      </c>
      <c r="N30" s="23">
        <f>Test!D28</f>
        <v>39.986499999999999</v>
      </c>
      <c r="O30" s="23">
        <f>Test!E28</f>
        <v>40.976100000000002</v>
      </c>
      <c r="P30" s="23">
        <f>Test!F28</f>
        <v>28310.553</v>
      </c>
      <c r="Q30" s="23">
        <f>Test!G28</f>
        <v>12.99</v>
      </c>
      <c r="R30" s="23">
        <f t="shared" si="8"/>
        <v>7.8640425</v>
      </c>
      <c r="S30" s="17">
        <f t="shared" si="9"/>
        <v>1.0916629198925556</v>
      </c>
      <c r="T30" s="18">
        <f t="shared" si="10"/>
        <v>0.96272141110205289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39871.756800000003</v>
      </c>
      <c r="E31" s="13">
        <f>Reference!C29</f>
        <v>44.8919</v>
      </c>
      <c r="F31" s="13">
        <f>Reference!D29</f>
        <v>47.1158</v>
      </c>
      <c r="G31" s="13">
        <f>Reference!E29</f>
        <v>48.105600000000003</v>
      </c>
      <c r="H31" s="13">
        <f>Reference!F29</f>
        <v>60258.311999999998</v>
      </c>
      <c r="I31" s="13">
        <f>Reference!G29</f>
        <v>17.326000000000001</v>
      </c>
      <c r="J31" s="14">
        <f t="shared" si="7"/>
        <v>16.738419999999998</v>
      </c>
      <c r="L31" s="12">
        <f>Test!B29</f>
        <v>39911.296000000002</v>
      </c>
      <c r="M31" s="13">
        <f>Test!C29</f>
        <v>44.921799999999998</v>
      </c>
      <c r="N31" s="13">
        <f>Test!D29</f>
        <v>47.2104</v>
      </c>
      <c r="O31" s="13">
        <f>Test!E29</f>
        <v>48.206099999999999</v>
      </c>
      <c r="P31" s="13">
        <f>Test!F29</f>
        <v>55917.550999999999</v>
      </c>
      <c r="Q31" s="13">
        <f>Test!G29</f>
        <v>16.77</v>
      </c>
      <c r="R31" s="13">
        <f t="shared" si="8"/>
        <v>15.532653055555555</v>
      </c>
      <c r="S31" s="17">
        <f t="shared" si="9"/>
        <v>0.92796411223732922</v>
      </c>
      <c r="T31" s="18">
        <f t="shared" si="10"/>
        <v>0.96790950017315014</v>
      </c>
      <c r="U31" s="91"/>
      <c r="V31" s="42">
        <f>bdrate($D31:$D34,E31:E34,$L31:$L34,M31:M34)</f>
        <v>-2.857174489492742E-3</v>
      </c>
      <c r="W31" s="42">
        <f>bdrate($D31:$D34,F31:F34,$L31:$L34,N31:N34)</f>
        <v>-3.5870390535123642E-2</v>
      </c>
      <c r="X31" s="42">
        <f>bdrate($D31:$D34,G31:G34,$L31:$L34,O31:O34)</f>
        <v>-3.299828068383992E-2</v>
      </c>
      <c r="Y31" s="40">
        <f>bdrateOld($D31:$D34,E31:E34,$L31:$L34,M31:M34)</f>
        <v>-2.8497164620412407E-3</v>
      </c>
      <c r="Z31" s="44">
        <f>bdrateOld($D31:$D34,F31:F34,$L31:$L34,N31:N34)</f>
        <v>-3.6209175848270325E-2</v>
      </c>
      <c r="AA31" s="45">
        <f>bdrateOld($D31:$D34,G31:G34,$L31:$L34,O31:O34)</f>
        <v>-3.3718116993309621E-2</v>
      </c>
    </row>
    <row r="32" spans="1:27" x14ac:dyDescent="0.2">
      <c r="A32" s="16"/>
      <c r="B32" s="85"/>
      <c r="C32" s="16">
        <v>48</v>
      </c>
      <c r="D32" s="17">
        <f>Reference!B30</f>
        <v>26317.497599999999</v>
      </c>
      <c r="E32" s="18">
        <f>Reference!C30</f>
        <v>42.747300000000003</v>
      </c>
      <c r="F32" s="18">
        <f>Reference!D30</f>
        <v>45.390099999999997</v>
      </c>
      <c r="G32" s="18">
        <f>Reference!E30</f>
        <v>46.268700000000003</v>
      </c>
      <c r="H32" s="18">
        <f>Reference!F30</f>
        <v>44876.156000000003</v>
      </c>
      <c r="I32" s="18">
        <f>Reference!G30</f>
        <v>15.143000000000001</v>
      </c>
      <c r="J32" s="19">
        <f t="shared" si="7"/>
        <v>12.46559888888889</v>
      </c>
      <c r="L32" s="17">
        <f>Test!B30</f>
        <v>26329.7536</v>
      </c>
      <c r="M32" s="18">
        <f>Test!C30</f>
        <v>42.767099999999999</v>
      </c>
      <c r="N32" s="18">
        <f>Test!D30</f>
        <v>45.508000000000003</v>
      </c>
      <c r="O32" s="18">
        <f>Test!E30</f>
        <v>46.402200000000001</v>
      </c>
      <c r="P32" s="18">
        <f>Test!F30</f>
        <v>45213.883000000002</v>
      </c>
      <c r="Q32" s="18">
        <f>Test!G30</f>
        <v>15.279</v>
      </c>
      <c r="R32" s="18">
        <f t="shared" si="8"/>
        <v>12.559411944444445</v>
      </c>
      <c r="S32" s="17">
        <f t="shared" si="9"/>
        <v>1.0075257559938957</v>
      </c>
      <c r="T32" s="18">
        <f t="shared" si="10"/>
        <v>1.0089810473486098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15607.1232</v>
      </c>
      <c r="E33" s="18">
        <f>Reference!C31</f>
        <v>40.072099999999999</v>
      </c>
      <c r="F33" s="18">
        <f>Reference!D31</f>
        <v>43.784599999999998</v>
      </c>
      <c r="G33" s="18">
        <f>Reference!E31</f>
        <v>44.485999999999997</v>
      </c>
      <c r="H33" s="18">
        <f>Reference!F31</f>
        <v>30874.067999999999</v>
      </c>
      <c r="I33" s="18">
        <f>Reference!G31</f>
        <v>13.422000000000001</v>
      </c>
      <c r="J33" s="19">
        <f t="shared" si="7"/>
        <v>8.5761299999999991</v>
      </c>
      <c r="L33" s="17">
        <f>Test!B31</f>
        <v>15614.2016</v>
      </c>
      <c r="M33" s="18">
        <f>Test!C31</f>
        <v>40.085299999999997</v>
      </c>
      <c r="N33" s="18">
        <f>Test!D31</f>
        <v>43.9238</v>
      </c>
      <c r="O33" s="18">
        <f>Test!E31</f>
        <v>44.636000000000003</v>
      </c>
      <c r="P33" s="18">
        <f>Test!F31</f>
        <v>33409.519999999997</v>
      </c>
      <c r="Q33" s="18">
        <f>Test!G31</f>
        <v>13.718</v>
      </c>
      <c r="R33" s="18">
        <f t="shared" si="8"/>
        <v>9.2804222222222208</v>
      </c>
      <c r="S33" s="17">
        <f t="shared" si="9"/>
        <v>1.0821223817995089</v>
      </c>
      <c r="T33" s="18">
        <f t="shared" si="10"/>
        <v>1.0220533452540606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8154.8864000000003</v>
      </c>
      <c r="E34" s="23">
        <f>Reference!C32</f>
        <v>37.004800000000003</v>
      </c>
      <c r="F34" s="23">
        <f>Reference!D32</f>
        <v>41.983699999999999</v>
      </c>
      <c r="G34" s="23">
        <f>Reference!E32</f>
        <v>42.400500000000001</v>
      </c>
      <c r="H34" s="23">
        <f>Reference!F32</f>
        <v>19387.455000000002</v>
      </c>
      <c r="I34" s="23">
        <f>Reference!G32</f>
        <v>12.192</v>
      </c>
      <c r="J34" s="24">
        <f t="shared" si="7"/>
        <v>5.3854041666666674</v>
      </c>
      <c r="L34" s="22">
        <f>Test!B32</f>
        <v>8151.4431999999997</v>
      </c>
      <c r="M34" s="23">
        <f>Test!C32</f>
        <v>37.0139</v>
      </c>
      <c r="N34" s="23">
        <f>Test!D32</f>
        <v>42.063699999999997</v>
      </c>
      <c r="O34" s="23">
        <f>Test!E32</f>
        <v>42.4345</v>
      </c>
      <c r="P34" s="23">
        <f>Test!F32</f>
        <v>21375.525000000001</v>
      </c>
      <c r="Q34" s="23">
        <f>Test!G32</f>
        <v>11.785</v>
      </c>
      <c r="R34" s="23">
        <f t="shared" si="8"/>
        <v>5.9376458333333337</v>
      </c>
      <c r="S34" s="17">
        <f t="shared" si="9"/>
        <v>1.1025441451701627</v>
      </c>
      <c r="T34" s="18">
        <f t="shared" si="10"/>
        <v>0.96661745406824151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54214.182399999998</v>
      </c>
      <c r="E35" s="13">
        <f>Reference!C33</f>
        <v>41.725099999999998</v>
      </c>
      <c r="F35" s="13">
        <f>Reference!D33</f>
        <v>45.887700000000002</v>
      </c>
      <c r="G35" s="13">
        <f>Reference!E33</f>
        <v>46.165599999999998</v>
      </c>
      <c r="H35" s="13">
        <f>Reference!F33</f>
        <v>56115.175999999999</v>
      </c>
      <c r="I35" s="13">
        <f>Reference!G33</f>
        <v>10.597</v>
      </c>
      <c r="J35" s="14">
        <f t="shared" si="7"/>
        <v>15.58754888888889</v>
      </c>
      <c r="L35" s="12">
        <f>Test!B33</f>
        <v>54226.937599999997</v>
      </c>
      <c r="M35" s="13">
        <f>Test!C33</f>
        <v>41.741</v>
      </c>
      <c r="N35" s="13">
        <f>Test!D33</f>
        <v>46.038200000000003</v>
      </c>
      <c r="O35" s="13">
        <f>Test!E33</f>
        <v>46.290300000000002</v>
      </c>
      <c r="P35" s="13">
        <f>Test!F33</f>
        <v>48347.777000000002</v>
      </c>
      <c r="Q35" s="13">
        <f>Test!G33</f>
        <v>10.77</v>
      </c>
      <c r="R35" s="13">
        <f t="shared" si="8"/>
        <v>13.429938055555557</v>
      </c>
      <c r="S35" s="12">
        <f t="shared" si="9"/>
        <v>0.86158113448668505</v>
      </c>
      <c r="T35" s="13">
        <f t="shared" si="10"/>
        <v>1.0163253751061621</v>
      </c>
      <c r="U35" s="90"/>
      <c r="V35" s="42">
        <f>bdrate($D35:$D38,E35:E38,$L35:$L38,M35:M38)</f>
        <v>-2.978129918836725E-3</v>
      </c>
      <c r="W35" s="42">
        <f>bdrate($D35:$D38,F35:F38,$L35:$L38,N35:N38)</f>
        <v>-8.6963045719989585E-2</v>
      </c>
      <c r="X35" s="42">
        <f>bdrate($D35:$D38,G35:G38,$L35:$L38,O35:O38)</f>
        <v>-5.585679065912541E-2</v>
      </c>
      <c r="Y35" s="40">
        <f>bdrateOld($D35:$D38,E35:E38,$L35:$L38,M35:M38)</f>
        <v>-2.9910408081611495E-3</v>
      </c>
      <c r="Z35" s="44">
        <f>bdrateOld($D35:$D38,F35:F38,$L35:$L38,N35:N38)</f>
        <v>-8.7275406523918964E-2</v>
      </c>
      <c r="AA35" s="45">
        <f>bdrateOld($D35:$D38,G35:G38,$L35:$L38,O35:O38)</f>
        <v>-5.5586178392360241E-2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37072.134400000003</v>
      </c>
      <c r="E36" s="18">
        <f>Reference!C34</f>
        <v>38.802</v>
      </c>
      <c r="F36" s="18">
        <f>Reference!D34</f>
        <v>44.061799999999998</v>
      </c>
      <c r="G36" s="18">
        <f>Reference!E34</f>
        <v>44.345300000000002</v>
      </c>
      <c r="H36" s="18">
        <f>Reference!F34</f>
        <v>45583.991999999998</v>
      </c>
      <c r="I36" s="18">
        <f>Reference!G34</f>
        <v>9.3800000000000008</v>
      </c>
      <c r="J36" s="19">
        <f t="shared" si="7"/>
        <v>12.66222</v>
      </c>
      <c r="L36" s="17">
        <f>Test!B34</f>
        <v>37057.561600000001</v>
      </c>
      <c r="M36" s="18">
        <f>Test!C34</f>
        <v>38.816699999999997</v>
      </c>
      <c r="N36" s="18">
        <f>Test!D34</f>
        <v>44.281399999999998</v>
      </c>
      <c r="O36" s="18">
        <f>Test!E34</f>
        <v>44.496600000000001</v>
      </c>
      <c r="P36" s="18">
        <f>Test!F34</f>
        <v>41159.608999999997</v>
      </c>
      <c r="Q36" s="18">
        <f>Test!G34</f>
        <v>9.6880000000000006</v>
      </c>
      <c r="R36" s="18">
        <f t="shared" si="8"/>
        <v>11.433224722222221</v>
      </c>
      <c r="S36" s="17">
        <f t="shared" si="9"/>
        <v>0.90293998384345098</v>
      </c>
      <c r="T36" s="18">
        <f t="shared" si="10"/>
        <v>1.0328358208955224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22057.216</v>
      </c>
      <c r="E37" s="18">
        <f>Reference!C35</f>
        <v>35.427199999999999</v>
      </c>
      <c r="F37" s="18">
        <f>Reference!D35</f>
        <v>42.538800000000002</v>
      </c>
      <c r="G37" s="18">
        <f>Reference!E35</f>
        <v>42.848100000000002</v>
      </c>
      <c r="H37" s="18">
        <f>Reference!F35</f>
        <v>33975.004000000001</v>
      </c>
      <c r="I37" s="18">
        <f>Reference!G35</f>
        <v>8.24</v>
      </c>
      <c r="J37" s="19">
        <f t="shared" si="7"/>
        <v>9.4375011111111107</v>
      </c>
      <c r="L37" s="17">
        <f>Test!B35</f>
        <v>22045.075199999999</v>
      </c>
      <c r="M37" s="18">
        <f>Test!C35</f>
        <v>35.4452</v>
      </c>
      <c r="N37" s="18">
        <f>Test!D35</f>
        <v>42.823399999999999</v>
      </c>
      <c r="O37" s="18">
        <f>Test!E35</f>
        <v>43.026899999999998</v>
      </c>
      <c r="P37" s="18">
        <f>Test!F35</f>
        <v>33270.550999999999</v>
      </c>
      <c r="Q37" s="18">
        <f>Test!G35</f>
        <v>8.3819999999999997</v>
      </c>
      <c r="R37" s="18">
        <f t="shared" si="8"/>
        <v>9.2418197222222229</v>
      </c>
      <c r="S37" s="17">
        <f t="shared" si="9"/>
        <v>0.97926555063834575</v>
      </c>
      <c r="T37" s="18">
        <f t="shared" si="10"/>
        <v>1.0172330097087379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10893.4144</v>
      </c>
      <c r="E38" s="23">
        <f>Reference!C36</f>
        <v>31.806799999999999</v>
      </c>
      <c r="F38" s="23">
        <f>Reference!D36</f>
        <v>41.0974</v>
      </c>
      <c r="G38" s="23">
        <f>Reference!E36</f>
        <v>41.4831</v>
      </c>
      <c r="H38" s="23">
        <f>Reference!F36</f>
        <v>21971.445</v>
      </c>
      <c r="I38" s="23">
        <f>Reference!G36</f>
        <v>6.8479999999999999</v>
      </c>
      <c r="J38" s="24">
        <f t="shared" si="7"/>
        <v>6.1031791666666662</v>
      </c>
      <c r="L38" s="22">
        <f>Test!B36</f>
        <v>10893.1456</v>
      </c>
      <c r="M38" s="23">
        <f>Test!C36</f>
        <v>31.821999999999999</v>
      </c>
      <c r="N38" s="23">
        <f>Test!D36</f>
        <v>41.499400000000001</v>
      </c>
      <c r="O38" s="23">
        <f>Test!E36</f>
        <v>41.667400000000001</v>
      </c>
      <c r="P38" s="23">
        <f>Test!F36</f>
        <v>23393.895</v>
      </c>
      <c r="Q38" s="23">
        <f>Test!G36</f>
        <v>6.944</v>
      </c>
      <c r="R38" s="23">
        <f t="shared" si="8"/>
        <v>6.4983041666666672</v>
      </c>
      <c r="S38" s="17">
        <f t="shared" si="9"/>
        <v>1.0647408488608738</v>
      </c>
      <c r="T38" s="18">
        <f t="shared" si="10"/>
        <v>1.014018691588785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20318.848000000002</v>
      </c>
      <c r="E39" s="13">
        <f>Reference!C37</f>
        <v>42.681699999999999</v>
      </c>
      <c r="F39" s="13">
        <f>Reference!D37</f>
        <v>45.4392</v>
      </c>
      <c r="G39" s="13">
        <f>Reference!E37</f>
        <v>46.920099999999998</v>
      </c>
      <c r="H39" s="13">
        <f>Reference!F37</f>
        <v>32437.641</v>
      </c>
      <c r="I39" s="13">
        <f>Reference!G37</f>
        <v>7.6550000000000002</v>
      </c>
      <c r="J39" s="14">
        <f t="shared" si="7"/>
        <v>9.0104558333333333</v>
      </c>
      <c r="L39" s="12">
        <f>Test!B37</f>
        <v>20309.324799999999</v>
      </c>
      <c r="M39" s="13">
        <f>Test!C37</f>
        <v>42.694400000000002</v>
      </c>
      <c r="N39" s="13">
        <f>Test!D37</f>
        <v>45.4724</v>
      </c>
      <c r="O39" s="13">
        <f>Test!E37</f>
        <v>46.966200000000001</v>
      </c>
      <c r="P39" s="13">
        <f>Test!F37</f>
        <v>31377.298999999999</v>
      </c>
      <c r="Q39" s="13">
        <f>Test!G37</f>
        <v>7.875</v>
      </c>
      <c r="R39" s="13">
        <f t="shared" si="8"/>
        <v>8.7159163888888891</v>
      </c>
      <c r="S39" s="17">
        <f t="shared" si="9"/>
        <v>0.96731137137870171</v>
      </c>
      <c r="T39" s="18">
        <f t="shared" si="10"/>
        <v>1.0287393860222076</v>
      </c>
      <c r="U39" s="91"/>
      <c r="V39" s="42">
        <f>bdrate($D39:$D42,E39:E42,$L39:$L42,M39:M42)</f>
        <v>-5.0935889128542744E-3</v>
      </c>
      <c r="W39" s="42">
        <f>bdrate($D39:$D42,F39:F42,$L39:$L42,N39:N42)</f>
        <v>-2.5992998813980206E-2</v>
      </c>
      <c r="X39" s="42">
        <f>bdrate($D39:$D42,G39:G42,$L39:$L42,O39:O42)</f>
        <v>-1.224268013449703E-2</v>
      </c>
      <c r="Y39" s="40">
        <f>bdrateOld($D39:$D42,E39:E42,$L39:$L42,M39:M42)</f>
        <v>-5.1143054213584893E-3</v>
      </c>
      <c r="Z39" s="44">
        <f>bdrateOld($D39:$D42,F39:F42,$L39:$L42,N39:N42)</f>
        <v>-2.5476049445204874E-2</v>
      </c>
      <c r="AA39" s="45">
        <f>bdrateOld($D39:$D42,G39:G42,$L39:$L42,O39:O42)</f>
        <v>-1.1801330617749795E-2</v>
      </c>
    </row>
    <row r="40" spans="1:27" x14ac:dyDescent="0.2">
      <c r="A40" s="16"/>
      <c r="B40" s="85"/>
      <c r="C40" s="16">
        <v>32</v>
      </c>
      <c r="D40" s="17">
        <f>Reference!B38</f>
        <v>11578.105600000001</v>
      </c>
      <c r="E40" s="18">
        <f>Reference!C38</f>
        <v>40.668700000000001</v>
      </c>
      <c r="F40" s="18">
        <f>Reference!D38</f>
        <v>44.493400000000001</v>
      </c>
      <c r="G40" s="18">
        <f>Reference!E38</f>
        <v>45.2515</v>
      </c>
      <c r="H40" s="18">
        <f>Reference!F38</f>
        <v>22657.116999999998</v>
      </c>
      <c r="I40" s="18">
        <f>Reference!G38</f>
        <v>6.8810000000000002</v>
      </c>
      <c r="J40" s="19">
        <f t="shared" si="7"/>
        <v>6.2936436111111105</v>
      </c>
      <c r="L40" s="17">
        <f>Test!B38</f>
        <v>11570.822399999999</v>
      </c>
      <c r="M40" s="18">
        <f>Test!C38</f>
        <v>40.680999999999997</v>
      </c>
      <c r="N40" s="18">
        <f>Test!D38</f>
        <v>44.548900000000003</v>
      </c>
      <c r="O40" s="18">
        <f>Test!E38</f>
        <v>45.315399999999997</v>
      </c>
      <c r="P40" s="18">
        <f>Test!F38</f>
        <v>23137.796999999999</v>
      </c>
      <c r="Q40" s="18">
        <f>Test!G38</f>
        <v>6.7990000000000004</v>
      </c>
      <c r="R40" s="18">
        <f t="shared" si="8"/>
        <v>6.4271658333333326</v>
      </c>
      <c r="S40" s="17">
        <f t="shared" si="9"/>
        <v>1.021215408827169</v>
      </c>
      <c r="T40" s="18">
        <f t="shared" si="10"/>
        <v>0.98808312745240523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6429.5551999999998</v>
      </c>
      <c r="E41" s="18">
        <f>Reference!C39</f>
        <v>38.6614</v>
      </c>
      <c r="F41" s="18">
        <f>Reference!D39</f>
        <v>43.5411</v>
      </c>
      <c r="G41" s="18">
        <f>Reference!E39</f>
        <v>43.520899999999997</v>
      </c>
      <c r="H41" s="18">
        <f>Reference!F39</f>
        <v>14506.779</v>
      </c>
      <c r="I41" s="18">
        <f>Reference!G39</f>
        <v>5.89</v>
      </c>
      <c r="J41" s="19">
        <f t="shared" si="7"/>
        <v>4.0296608333333337</v>
      </c>
      <c r="L41" s="17">
        <f>Test!B39</f>
        <v>6419.5519999999997</v>
      </c>
      <c r="M41" s="18">
        <f>Test!C39</f>
        <v>38.675699999999999</v>
      </c>
      <c r="N41" s="18">
        <f>Test!D39</f>
        <v>43.581400000000002</v>
      </c>
      <c r="O41" s="18">
        <f>Test!E39</f>
        <v>43.5351</v>
      </c>
      <c r="P41" s="18">
        <f>Test!F39</f>
        <v>15464.049000000001</v>
      </c>
      <c r="Q41" s="18">
        <f>Test!G39</f>
        <v>5.8789999999999996</v>
      </c>
      <c r="R41" s="18">
        <f t="shared" si="8"/>
        <v>4.2955691666666667</v>
      </c>
      <c r="S41" s="17">
        <f t="shared" si="9"/>
        <v>1.0659877702693341</v>
      </c>
      <c r="T41" s="18">
        <f t="shared" si="10"/>
        <v>0.99813242784380307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3286.9184</v>
      </c>
      <c r="E42" s="23">
        <f>Reference!C40</f>
        <v>36.287700000000001</v>
      </c>
      <c r="F42" s="23">
        <f>Reference!D40</f>
        <v>42.219900000000003</v>
      </c>
      <c r="G42" s="23">
        <f>Reference!E40</f>
        <v>41.399299999999997</v>
      </c>
      <c r="H42" s="23">
        <f>Reference!F40</f>
        <v>8463.7450000000008</v>
      </c>
      <c r="I42" s="23">
        <f>Reference!G40</f>
        <v>5.1890000000000001</v>
      </c>
      <c r="J42" s="24">
        <f t="shared" si="7"/>
        <v>2.3510402777777779</v>
      </c>
      <c r="L42" s="22">
        <f>Test!B40</f>
        <v>3275.2447999999999</v>
      </c>
      <c r="M42" s="23">
        <f>Test!C40</f>
        <v>36.298999999999999</v>
      </c>
      <c r="N42" s="23">
        <f>Test!D40</f>
        <v>42.2545</v>
      </c>
      <c r="O42" s="23">
        <f>Test!E40</f>
        <v>41.402299999999997</v>
      </c>
      <c r="P42" s="23">
        <f>Test!F40</f>
        <v>9507.1929999999993</v>
      </c>
      <c r="Q42" s="23">
        <f>Test!G40</f>
        <v>5.2850000000000001</v>
      </c>
      <c r="R42" s="23">
        <f t="shared" si="8"/>
        <v>2.6408869444444441</v>
      </c>
      <c r="S42" s="17">
        <f t="shared" si="9"/>
        <v>1.1232844326004621</v>
      </c>
      <c r="T42" s="18">
        <f t="shared" si="10"/>
        <v>1.0185006745037579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15327.68</v>
      </c>
      <c r="E43" s="13">
        <f>Reference!C41</f>
        <v>44.203000000000003</v>
      </c>
      <c r="F43" s="13">
        <f>Reference!D41</f>
        <v>46.948399999999999</v>
      </c>
      <c r="G43" s="13">
        <f>Reference!E41</f>
        <v>47.7941</v>
      </c>
      <c r="H43" s="13">
        <f>Reference!F41</f>
        <v>25641.223000000002</v>
      </c>
      <c r="I43" s="13">
        <f>Reference!G41</f>
        <v>7.1689999999999996</v>
      </c>
      <c r="J43" s="14">
        <f t="shared" si="7"/>
        <v>7.1225619444444446</v>
      </c>
      <c r="L43" s="12">
        <f>Test!B41</f>
        <v>15316.076800000001</v>
      </c>
      <c r="M43" s="13">
        <f>Test!C41</f>
        <v>44.216799999999999</v>
      </c>
      <c r="N43" s="13">
        <f>Test!D41</f>
        <v>47.027299999999997</v>
      </c>
      <c r="O43" s="13">
        <f>Test!E41</f>
        <v>47.834200000000003</v>
      </c>
      <c r="P43" s="13">
        <f>Test!F41</f>
        <v>24302.870999999999</v>
      </c>
      <c r="Q43" s="13">
        <f>Test!G41</f>
        <v>7.1859999999999999</v>
      </c>
      <c r="R43" s="13">
        <f t="shared" si="8"/>
        <v>6.7507975</v>
      </c>
      <c r="S43" s="17">
        <f t="shared" si="9"/>
        <v>0.94780467374742605</v>
      </c>
      <c r="T43" s="18">
        <f t="shared" si="10"/>
        <v>1.0023713209652672</v>
      </c>
      <c r="U43" s="91"/>
      <c r="V43" s="42">
        <f>bdrate($D43:$D46,E43:E46,$L43:$L46,M43:M46)</f>
        <v>-4.2130172876627681E-3</v>
      </c>
      <c r="W43" s="42">
        <f>bdrate($D43:$D46,F43:F46,$L43:$L46,N43:N46)</f>
        <v>-4.2574292515990431E-2</v>
      </c>
      <c r="X43" s="42">
        <f>bdrate($D43:$D46,G43:G46,$L43:$L46,O43:O46)</f>
        <v>-1.0257907168788272E-2</v>
      </c>
      <c r="Y43" s="40">
        <f>bdrateOld($D43:$D46,E43:E46,$L43:$L46,M43:M46)</f>
        <v>-4.2180820776042127E-3</v>
      </c>
      <c r="Z43" s="44">
        <f>bdrateOld($D43:$D46,F43:F46,$L43:$L46,N43:N46)</f>
        <v>-4.304727268922981E-2</v>
      </c>
      <c r="AA43" s="45">
        <f>bdrateOld($D43:$D46,G43:G46,$L43:$L46,O43:O46)</f>
        <v>-1.0146876310174857E-2</v>
      </c>
    </row>
    <row r="44" spans="1:27" x14ac:dyDescent="0.2">
      <c r="A44" s="16"/>
      <c r="B44" s="85"/>
      <c r="C44" s="16">
        <v>32</v>
      </c>
      <c r="D44" s="17">
        <f>Reference!B42</f>
        <v>10395.251200000001</v>
      </c>
      <c r="E44" s="18">
        <f>Reference!C42</f>
        <v>42.479399999999998</v>
      </c>
      <c r="F44" s="18">
        <f>Reference!D42</f>
        <v>45.753700000000002</v>
      </c>
      <c r="G44" s="18">
        <f>Reference!E42</f>
        <v>46.3782</v>
      </c>
      <c r="H44" s="18">
        <f>Reference!F42</f>
        <v>19503.208999999999</v>
      </c>
      <c r="I44" s="18">
        <f>Reference!G42</f>
        <v>6.6550000000000002</v>
      </c>
      <c r="J44" s="19">
        <f t="shared" si="7"/>
        <v>5.4175580555555554</v>
      </c>
      <c r="L44" s="17">
        <f>Test!B42</f>
        <v>10386.771199999999</v>
      </c>
      <c r="M44" s="18">
        <f>Test!C42</f>
        <v>42.494799999999998</v>
      </c>
      <c r="N44" s="18">
        <f>Test!D42</f>
        <v>45.884300000000003</v>
      </c>
      <c r="O44" s="18">
        <f>Test!E42</f>
        <v>46.427199999999999</v>
      </c>
      <c r="P44" s="18">
        <f>Test!F42</f>
        <v>19200.991999999998</v>
      </c>
      <c r="Q44" s="18">
        <f>Test!G42</f>
        <v>6.6520000000000001</v>
      </c>
      <c r="R44" s="18">
        <f t="shared" si="8"/>
        <v>5.3336088888888886</v>
      </c>
      <c r="S44" s="17">
        <f t="shared" si="9"/>
        <v>0.98450424235314293</v>
      </c>
      <c r="T44" s="18">
        <f t="shared" si="10"/>
        <v>0.99954921111945905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6571.8208000000004</v>
      </c>
      <c r="E45" s="18">
        <f>Reference!C43</f>
        <v>40.133000000000003</v>
      </c>
      <c r="F45" s="18">
        <f>Reference!D43</f>
        <v>44.436999999999998</v>
      </c>
      <c r="G45" s="18">
        <f>Reference!E43</f>
        <v>44.869100000000003</v>
      </c>
      <c r="H45" s="18">
        <f>Reference!F43</f>
        <v>13893.214</v>
      </c>
      <c r="I45" s="18">
        <f>Reference!G43</f>
        <v>6.0679999999999996</v>
      </c>
      <c r="J45" s="19">
        <f t="shared" si="7"/>
        <v>3.859226111111111</v>
      </c>
      <c r="L45" s="17">
        <f>Test!B43</f>
        <v>6566.5087999999996</v>
      </c>
      <c r="M45" s="18">
        <f>Test!C43</f>
        <v>40.151400000000002</v>
      </c>
      <c r="N45" s="18">
        <f>Test!D43</f>
        <v>44.586599999999997</v>
      </c>
      <c r="O45" s="18">
        <f>Test!E43</f>
        <v>44.896900000000002</v>
      </c>
      <c r="P45" s="18">
        <f>Test!F43</f>
        <v>14145.019</v>
      </c>
      <c r="Q45" s="18">
        <f>Test!G43</f>
        <v>5.9459999999999997</v>
      </c>
      <c r="R45" s="18">
        <f t="shared" si="8"/>
        <v>3.9291719444444446</v>
      </c>
      <c r="S45" s="17">
        <f t="shared" si="9"/>
        <v>1.0181243159430209</v>
      </c>
      <c r="T45" s="18">
        <f t="shared" si="10"/>
        <v>0.97989452867501647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3809.0239999999999</v>
      </c>
      <c r="E46" s="23">
        <f>Reference!C44</f>
        <v>37.149799999999999</v>
      </c>
      <c r="F46" s="23">
        <f>Reference!D44</f>
        <v>42.751100000000001</v>
      </c>
      <c r="G46" s="23">
        <f>Reference!E44</f>
        <v>42.981400000000001</v>
      </c>
      <c r="H46" s="23">
        <f>Reference!F44</f>
        <v>9048.2579999999998</v>
      </c>
      <c r="I46" s="23">
        <f>Reference!G44</f>
        <v>5.5739999999999998</v>
      </c>
      <c r="J46" s="24">
        <f t="shared" si="7"/>
        <v>2.5134050000000001</v>
      </c>
      <c r="L46" s="22">
        <f>Test!B44</f>
        <v>3805.2864</v>
      </c>
      <c r="M46" s="23">
        <f>Test!C44</f>
        <v>37.1693</v>
      </c>
      <c r="N46" s="23">
        <f>Test!D44</f>
        <v>42.838000000000001</v>
      </c>
      <c r="O46" s="23">
        <f>Test!E44</f>
        <v>42.988999999999997</v>
      </c>
      <c r="P46" s="23">
        <f>Test!F44</f>
        <v>9793.7240000000002</v>
      </c>
      <c r="Q46" s="23">
        <f>Test!G44</f>
        <v>5.484</v>
      </c>
      <c r="R46" s="23">
        <f t="shared" si="8"/>
        <v>2.7204788888888891</v>
      </c>
      <c r="S46" s="17">
        <f t="shared" si="9"/>
        <v>1.0823877922137057</v>
      </c>
      <c r="T46" s="18">
        <f t="shared" si="10"/>
        <v>0.9838536060279871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16561.529600000002</v>
      </c>
      <c r="E47" s="13">
        <f>Reference!C45</f>
        <v>44.141500000000001</v>
      </c>
      <c r="F47" s="13">
        <f>Reference!D45</f>
        <v>48.619100000000003</v>
      </c>
      <c r="G47" s="13">
        <f>Reference!E45</f>
        <v>48.207599999999999</v>
      </c>
      <c r="H47" s="13">
        <f>Reference!F45</f>
        <v>25197.912</v>
      </c>
      <c r="I47" s="13">
        <f>Reference!G45</f>
        <v>6.8630000000000004</v>
      </c>
      <c r="J47" s="14">
        <f>H47/3600</f>
        <v>6.9994199999999998</v>
      </c>
      <c r="L47" s="12">
        <f>Test!B45</f>
        <v>16583.142400000001</v>
      </c>
      <c r="M47" s="13">
        <f>Test!C45</f>
        <v>44.158000000000001</v>
      </c>
      <c r="N47" s="13">
        <f>Test!D45</f>
        <v>48.7624</v>
      </c>
      <c r="O47" s="13">
        <f>Test!E45</f>
        <v>48.401800000000001</v>
      </c>
      <c r="P47" s="13">
        <f>Test!F45</f>
        <v>25200.213</v>
      </c>
      <c r="Q47" s="13">
        <f>Test!G45</f>
        <v>6.952</v>
      </c>
      <c r="R47" s="13">
        <f>P47/3600</f>
        <v>7.0000591666666665</v>
      </c>
      <c r="S47" s="17">
        <f>P47/H47</f>
        <v>1.0000913170900827</v>
      </c>
      <c r="T47" s="18">
        <f>Q47/I47</f>
        <v>1.0129680897566662</v>
      </c>
      <c r="U47" s="91"/>
      <c r="V47" s="42">
        <f>bdrate($D47:$D50,E47:E50,$L47:$L50,M47:M50)</f>
        <v>-1.4540125786839386E-3</v>
      </c>
      <c r="W47" s="42">
        <f>bdrate($D47:$D50,F47:F50,$L47:$L50,N47:N50)</f>
        <v>-6.6777110388473337E-2</v>
      </c>
      <c r="X47" s="43">
        <f>bdrate($D47:$D50,G47:G50,$L47:$L50,O47:O50)</f>
        <v>-8.7806422958546682E-2</v>
      </c>
      <c r="Y47" s="37">
        <f>bdrateOld($D47:$D50,E47:E50,$L47:$L50,M47:M50)</f>
        <v>-1.4690957833520812E-3</v>
      </c>
      <c r="Z47" s="42">
        <f>bdrateOld($D47:$D50,F47:F50,$L47:$L50,N47:N50)</f>
        <v>-6.8403412876841596E-2</v>
      </c>
      <c r="AA47" s="43">
        <f>bdrateOld($D47:$D50,G47:G50,$L47:$L50,O47:O50)</f>
        <v>-8.8400841966716603E-2</v>
      </c>
    </row>
    <row r="48" spans="1:27" x14ac:dyDescent="0.2">
      <c r="A48" s="16"/>
      <c r="B48" s="85"/>
      <c r="C48" s="16">
        <v>32</v>
      </c>
      <c r="D48" s="17">
        <f>Reference!B46</f>
        <v>11503.263999999999</v>
      </c>
      <c r="E48" s="18">
        <f>Reference!C46</f>
        <v>42.404200000000003</v>
      </c>
      <c r="F48" s="18">
        <f>Reference!D46</f>
        <v>47.503100000000003</v>
      </c>
      <c r="G48" s="18">
        <f>Reference!E46</f>
        <v>46.644500000000001</v>
      </c>
      <c r="H48" s="18">
        <f>Reference!F46</f>
        <v>19292.474999999999</v>
      </c>
      <c r="I48" s="18">
        <f>Reference!G46</f>
        <v>6.2350000000000003</v>
      </c>
      <c r="J48" s="19">
        <f t="shared" ref="J48:J70" si="11">H48/3600</f>
        <v>5.3590208333333331</v>
      </c>
      <c r="L48" s="17">
        <f>Test!B46</f>
        <v>11518.316800000001</v>
      </c>
      <c r="M48" s="18">
        <f>Test!C46</f>
        <v>42.420099999999998</v>
      </c>
      <c r="N48" s="18">
        <f>Test!D46</f>
        <v>47.731400000000001</v>
      </c>
      <c r="O48" s="18">
        <f>Test!E46</f>
        <v>46.951599999999999</v>
      </c>
      <c r="P48" s="18">
        <f>Test!F46</f>
        <v>19920.344000000001</v>
      </c>
      <c r="Q48" s="18">
        <f>Test!G46</f>
        <v>6.3259999999999996</v>
      </c>
      <c r="R48" s="18">
        <f t="shared" ref="R48:R70" si="12">P48/3600</f>
        <v>5.5334288888888894</v>
      </c>
      <c r="S48" s="17">
        <f t="shared" ref="S48:S70" si="13">P48/H48</f>
        <v>1.0325447616233792</v>
      </c>
      <c r="T48" s="18">
        <f t="shared" ref="T48:T70" si="14">Q48/I48</f>
        <v>1.0145950280673615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7477.9520000000002</v>
      </c>
      <c r="E49" s="18">
        <f>Reference!C47</f>
        <v>40.014499999999998</v>
      </c>
      <c r="F49" s="18">
        <f>Reference!D47</f>
        <v>46.2074</v>
      </c>
      <c r="G49" s="18">
        <f>Reference!E47</f>
        <v>44.831600000000002</v>
      </c>
      <c r="H49" s="18">
        <f>Reference!F47</f>
        <v>14076.474</v>
      </c>
      <c r="I49" s="18">
        <f>Reference!G47</f>
        <v>5.7469999999999999</v>
      </c>
      <c r="J49" s="19">
        <f t="shared" si="11"/>
        <v>3.9101316666666666</v>
      </c>
      <c r="L49" s="17">
        <f>Test!B47</f>
        <v>7499.2064</v>
      </c>
      <c r="M49" s="18">
        <f>Test!C47</f>
        <v>40.040100000000002</v>
      </c>
      <c r="N49" s="18">
        <f>Test!D47</f>
        <v>46.484299999999998</v>
      </c>
      <c r="O49" s="18">
        <f>Test!E47</f>
        <v>45.282499999999999</v>
      </c>
      <c r="P49" s="18">
        <f>Test!F47</f>
        <v>14962.897999999999</v>
      </c>
      <c r="Q49" s="18">
        <f>Test!G47</f>
        <v>5.7210000000000001</v>
      </c>
      <c r="R49" s="18">
        <f t="shared" si="12"/>
        <v>4.1563605555555556</v>
      </c>
      <c r="S49" s="17">
        <f t="shared" si="13"/>
        <v>1.0629720198396273</v>
      </c>
      <c r="T49" s="18">
        <f t="shared" si="14"/>
        <v>0.99547590046981038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4355.2064</v>
      </c>
      <c r="E50" s="23">
        <f>Reference!C48</f>
        <v>36.799399999999999</v>
      </c>
      <c r="F50" s="23">
        <f>Reference!D48</f>
        <v>44.3733</v>
      </c>
      <c r="G50" s="23">
        <f>Reference!E48</f>
        <v>42.559699999999999</v>
      </c>
      <c r="H50" s="23">
        <f>Reference!F48</f>
        <v>9546.2009999999991</v>
      </c>
      <c r="I50" s="23">
        <f>Reference!G48</f>
        <v>5.1829999999999998</v>
      </c>
      <c r="J50" s="24">
        <f t="shared" si="11"/>
        <v>2.6517224999999995</v>
      </c>
      <c r="L50" s="22">
        <f>Test!B48</f>
        <v>4363.6095999999998</v>
      </c>
      <c r="M50" s="23">
        <f>Test!C48</f>
        <v>36.811399999999999</v>
      </c>
      <c r="N50" s="23">
        <f>Test!D48</f>
        <v>44.476500000000001</v>
      </c>
      <c r="O50" s="23">
        <f>Test!E48</f>
        <v>43.052900000000001</v>
      </c>
      <c r="P50" s="23">
        <f>Test!F48</f>
        <v>10206.111000000001</v>
      </c>
      <c r="Q50" s="23">
        <f>Test!G48</f>
        <v>5.0190000000000001</v>
      </c>
      <c r="R50" s="23">
        <f t="shared" si="12"/>
        <v>2.8350308333333336</v>
      </c>
      <c r="S50" s="22">
        <f t="shared" si="13"/>
        <v>1.0691280227600488</v>
      </c>
      <c r="T50" s="23">
        <f t="shared" si="14"/>
        <v>0.96835809376808801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28.893760466670834</v>
      </c>
      <c r="J75" s="15">
        <f>GEOMEAN(J3:J18)</f>
        <v>20.825596859489071</v>
      </c>
      <c r="Q75" s="15">
        <f>GEOMEAN(Q3:Q18)</f>
        <v>29.378306019210108</v>
      </c>
      <c r="R75" s="15">
        <f>GEOMEAN(R3:R18)</f>
        <v>22.28371160022099</v>
      </c>
      <c r="S75" s="15">
        <f>GEOMEAN(S3:S18)</f>
        <v>1.0700155078661064</v>
      </c>
      <c r="T75" s="15">
        <f>GEOMEAN(T3:T18)</f>
        <v>1.0167699027303214</v>
      </c>
      <c r="V75" s="37">
        <f>AVERAGE(V3:V18)</f>
        <v>-2.8397137268749428E-3</v>
      </c>
      <c r="W75" s="42">
        <f t="shared" ref="W75:AA75" si="19">AVERAGE(W3:W18)</f>
        <v>-3.4723732673727303E-2</v>
      </c>
      <c r="X75" s="42">
        <f t="shared" si="19"/>
        <v>-2.6834345388879743E-2</v>
      </c>
      <c r="Y75" s="37">
        <f>AVERAGE(Y3:Y18)</f>
        <v>-2.9146064840904762E-3</v>
      </c>
      <c r="Z75" s="42">
        <f t="shared" si="19"/>
        <v>-3.4810976938484867E-2</v>
      </c>
      <c r="AA75" s="43">
        <f t="shared" si="19"/>
        <v>-2.6744203927426186E-2</v>
      </c>
    </row>
    <row r="76" spans="1:27" x14ac:dyDescent="0.2">
      <c r="B76" s="89" t="s">
        <v>47</v>
      </c>
      <c r="I76" s="15">
        <f>GEOMEAN(I19:I34)</f>
        <v>14.265762197259699</v>
      </c>
      <c r="J76" s="15">
        <f>GEOMEAN(J19:J34)</f>
        <v>11.983695889560007</v>
      </c>
      <c r="Q76" s="15">
        <f>GEOMEAN(Q19:Q34)</f>
        <v>14.191361289938664</v>
      </c>
      <c r="R76" s="15">
        <f>GEOMEAN(R19:R34)</f>
        <v>12.0261660418504</v>
      </c>
      <c r="S76" s="15">
        <f>GEOMEAN(S19:S34)</f>
        <v>1.0035439944973397</v>
      </c>
      <c r="T76" s="15">
        <f>GEOMEAN(T19:T34)</f>
        <v>0.99478465249229198</v>
      </c>
      <c r="V76" s="40">
        <f>AVERAGE(V19:V34)</f>
        <v>-3.5532535567725787E-3</v>
      </c>
      <c r="W76" s="44">
        <f t="shared" ref="W76:AA76" si="20">AVERAGE(W19:W34)</f>
        <v>-4.1890223412956729E-2</v>
      </c>
      <c r="X76" s="44">
        <f t="shared" si="20"/>
        <v>-3.9600146648802653E-2</v>
      </c>
      <c r="Y76" s="40">
        <f t="shared" si="20"/>
        <v>-3.5526760046363515E-3</v>
      </c>
      <c r="Z76" s="44">
        <f t="shared" si="20"/>
        <v>-4.2129731070320198E-2</v>
      </c>
      <c r="AA76" s="45">
        <f t="shared" si="20"/>
        <v>-3.9891158315804587E-2</v>
      </c>
    </row>
    <row r="77" spans="1:27" x14ac:dyDescent="0.2">
      <c r="B77" s="89" t="s">
        <v>51</v>
      </c>
      <c r="I77" s="15">
        <f>GEOMEAN(I35:I50)</f>
        <v>6.7500040104526251</v>
      </c>
      <c r="J77" s="15">
        <f>GEOMEAN(J35:J50)</f>
        <v>5.5822493862966924</v>
      </c>
      <c r="Q77" s="15">
        <f>GEOMEAN(Q35:Q50)</f>
        <v>6.7788936765407684</v>
      </c>
      <c r="R77" s="15">
        <f>GEOMEAN(R35:R50)</f>
        <v>5.6336137236689501</v>
      </c>
      <c r="S77" s="15">
        <f>GEOMEAN(S35:S50)</f>
        <v>1.0092013691646142</v>
      </c>
      <c r="T77" s="15">
        <f>GEOMEAN(T35:T50)</f>
        <v>1.0042799479886837</v>
      </c>
      <c r="V77" s="40">
        <f>AVERAGE(V35:V50)</f>
        <v>-3.4346871745094265E-3</v>
      </c>
      <c r="W77" s="44">
        <f t="shared" ref="W77:AA77" si="21">AVERAGE(W35:W50)</f>
        <v>-5.557686185960839E-2</v>
      </c>
      <c r="X77" s="44">
        <f t="shared" si="21"/>
        <v>-4.1540950230239349E-2</v>
      </c>
      <c r="Y77" s="40">
        <f t="shared" si="21"/>
        <v>-3.4481310226189832E-3</v>
      </c>
      <c r="Z77" s="44">
        <f t="shared" si="21"/>
        <v>-5.6050535383798811E-2</v>
      </c>
      <c r="AA77" s="45">
        <f t="shared" si="21"/>
        <v>-4.1483806821750374E-2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14.064825870389722</v>
      </c>
      <c r="J80" s="54">
        <f xml:space="preserve"> GEOMEAN(J3:J50)</f>
        <v>11.168610799724608</v>
      </c>
      <c r="K80" s="4"/>
      <c r="L80" s="4"/>
      <c r="M80" s="4"/>
      <c r="N80" s="4"/>
      <c r="O80" s="4"/>
      <c r="P80" s="4"/>
      <c r="Q80" s="54">
        <f xml:space="preserve"> GEOMEAN(Q3:Q50)</f>
        <v>14.138495884551379</v>
      </c>
      <c r="R80" s="54">
        <f xml:space="preserve"> GEOMEAN(R3:R50)</f>
        <v>11.471862426208419</v>
      </c>
      <c r="S80" s="54">
        <f xml:space="preserve"> GEOMEAN(S3:S50)</f>
        <v>1.0271521348466444</v>
      </c>
      <c r="T80" s="54">
        <f>GEOMEAN(T3:T50)</f>
        <v>1.0052378902405577</v>
      </c>
      <c r="U80" s="4"/>
      <c r="V80" s="41">
        <f>AVERAGE(V3:V50)</f>
        <v>-3.2758848193856493E-3</v>
      </c>
      <c r="W80" s="46">
        <f t="shared" ref="W80:AA80" si="25">AVERAGE(W3:W50)</f>
        <v>-4.4063605982097472E-2</v>
      </c>
      <c r="X80" s="47">
        <f t="shared" si="25"/>
        <v>-3.5991814089307246E-2</v>
      </c>
      <c r="Y80" s="46">
        <f t="shared" si="25"/>
        <v>-3.3051378371152704E-3</v>
      </c>
      <c r="Z80" s="46">
        <f t="shared" si="25"/>
        <v>-4.4330414464201294E-2</v>
      </c>
      <c r="AA80" s="47">
        <f t="shared" si="25"/>
        <v>-3.6039723021660384E-2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N28" sqref="N2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14648.451999999999</v>
      </c>
      <c r="E3" s="13">
        <f>Reference!C73</f>
        <v>40.081299999999999</v>
      </c>
      <c r="F3" s="13">
        <f>Reference!D73</f>
        <v>48.959200000000003</v>
      </c>
      <c r="G3" s="13">
        <f>Reference!E73</f>
        <v>46.956299999999999</v>
      </c>
      <c r="H3" s="13">
        <f>Reference!F73</f>
        <v>356762.59600000002</v>
      </c>
      <c r="I3" s="13">
        <f>Reference!G73</f>
        <v>68.363</v>
      </c>
      <c r="J3" s="14">
        <f>H3/3600</f>
        <v>99.100721111111113</v>
      </c>
      <c r="L3" s="12">
        <f>Test!B73</f>
        <v>14645.343999999999</v>
      </c>
      <c r="M3" s="13">
        <f>Test!C73</f>
        <v>40.086500000000001</v>
      </c>
      <c r="N3" s="13">
        <f>Test!D73</f>
        <v>48.993699999999997</v>
      </c>
      <c r="O3" s="13">
        <f>Test!E73</f>
        <v>46.991100000000003</v>
      </c>
      <c r="P3" s="13">
        <f>Test!F73</f>
        <v>384553.77299999999</v>
      </c>
      <c r="Q3" s="13">
        <f>Test!G73</f>
        <v>71.62</v>
      </c>
      <c r="R3" s="14">
        <f>P3/3600</f>
        <v>106.8204925</v>
      </c>
      <c r="S3" s="12">
        <f>P3/H3</f>
        <v>1.0778982362825948</v>
      </c>
      <c r="T3" s="13">
        <f>Q3/I3</f>
        <v>1.0476427307169083</v>
      </c>
      <c r="U3" s="90"/>
      <c r="V3" s="37">
        <f>bdrate($D3:$D6,E3:E6,$L3:$L6,M3:M6)</f>
        <v>-7.2083287052689959E-3</v>
      </c>
      <c r="W3" s="42">
        <f>bdrate($D3:$D6,F3:F6,$L3:$L6,N3:N6)</f>
        <v>-5.1593122097634114E-2</v>
      </c>
      <c r="X3" s="43">
        <f>bdrate($D3:$D6,G3:G6,$L3:$L6,O3:O6)</f>
        <v>-1.9635844594015572E-2</v>
      </c>
      <c r="Y3" s="37">
        <f>bdrateOld($D3:$D6,E3:E6,$L3:$L6,M3:M6)</f>
        <v>-7.6384083819028836E-3</v>
      </c>
      <c r="Z3" s="42">
        <f>bdrateOld($D3:$D6,F3:F6,$L3:$L6,N3:N6)</f>
        <v>-5.0195761528395E-2</v>
      </c>
      <c r="AA3" s="43">
        <f>bdrateOld($D3:$D6,G3:G6,$L3:$L6,O3:O6)</f>
        <v>-1.9552778407426641E-2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6774.02</v>
      </c>
      <c r="E4" s="18">
        <f>Reference!C74</f>
        <v>39.581099999999999</v>
      </c>
      <c r="F4" s="18">
        <f>Reference!D74</f>
        <v>48.368400000000001</v>
      </c>
      <c r="G4" s="18">
        <f>Reference!E74</f>
        <v>46.093499999999999</v>
      </c>
      <c r="H4" s="18">
        <f>Reference!F74</f>
        <v>196225.78</v>
      </c>
      <c r="I4" s="18">
        <f>Reference!G74</f>
        <v>63.82</v>
      </c>
      <c r="J4" s="19">
        <f t="shared" ref="J4:J14" si="0">H4/3600</f>
        <v>54.50716111111111</v>
      </c>
      <c r="L4" s="17">
        <f>Test!B74</f>
        <v>6760.3239999999996</v>
      </c>
      <c r="M4" s="18">
        <f>Test!C74</f>
        <v>39.586199999999998</v>
      </c>
      <c r="N4" s="18">
        <f>Test!D74</f>
        <v>48.442100000000003</v>
      </c>
      <c r="O4" s="18">
        <f>Test!E74</f>
        <v>46.127699999999997</v>
      </c>
      <c r="P4" s="18">
        <f>Test!F74</f>
        <v>213320.86300000001</v>
      </c>
      <c r="Q4" s="18">
        <f>Test!G74</f>
        <v>64.662999999999997</v>
      </c>
      <c r="R4" s="19">
        <f t="shared" ref="R4:R14" si="1">P4/3600</f>
        <v>59.255795277777779</v>
      </c>
      <c r="S4" s="17">
        <f t="shared" ref="S4:T46" si="2">P4/H4</f>
        <v>1.087119454946236</v>
      </c>
      <c r="T4" s="18">
        <f t="shared" si="2"/>
        <v>1.0132090253838921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3668.7559999999999</v>
      </c>
      <c r="E5" s="18">
        <f>Reference!C75</f>
        <v>38.727699999999999</v>
      </c>
      <c r="F5" s="18">
        <f>Reference!D75</f>
        <v>47.4148</v>
      </c>
      <c r="G5" s="18">
        <f>Reference!E75</f>
        <v>44.790399999999998</v>
      </c>
      <c r="H5" s="18">
        <f>Reference!F75</f>
        <v>98305.538</v>
      </c>
      <c r="I5" s="18">
        <f>Reference!G75</f>
        <v>59.079000000000001</v>
      </c>
      <c r="J5" s="19">
        <f t="shared" si="0"/>
        <v>27.30709388888889</v>
      </c>
      <c r="L5" s="17">
        <f>Test!B75</f>
        <v>3653.4560000000001</v>
      </c>
      <c r="M5" s="18">
        <f>Test!C75</f>
        <v>38.732999999999997</v>
      </c>
      <c r="N5" s="18">
        <f>Test!D75</f>
        <v>47.477699999999999</v>
      </c>
      <c r="O5" s="18">
        <f>Test!E75</f>
        <v>44.82</v>
      </c>
      <c r="P5" s="18">
        <f>Test!F75</f>
        <v>108198.00599999999</v>
      </c>
      <c r="Q5" s="18">
        <f>Test!G75</f>
        <v>59.585999999999999</v>
      </c>
      <c r="R5" s="19">
        <f t="shared" si="1"/>
        <v>30.055001666666666</v>
      </c>
      <c r="S5" s="17">
        <f t="shared" si="2"/>
        <v>1.1006298139581923</v>
      </c>
      <c r="T5" s="18">
        <f t="shared" si="2"/>
        <v>1.0085817295485706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1940.48</v>
      </c>
      <c r="E6" s="23">
        <f>Reference!C76</f>
        <v>37.220300000000002</v>
      </c>
      <c r="F6" s="23">
        <f>Reference!D76</f>
        <v>46.148200000000003</v>
      </c>
      <c r="G6" s="23">
        <f>Reference!E76</f>
        <v>43.143700000000003</v>
      </c>
      <c r="H6" s="23">
        <f>Reference!F76</f>
        <v>48407.292000000001</v>
      </c>
      <c r="I6" s="23">
        <f>Reference!G76</f>
        <v>52.418999999999997</v>
      </c>
      <c r="J6" s="24">
        <f t="shared" si="0"/>
        <v>13.44647</v>
      </c>
      <c r="L6" s="22">
        <f>Test!B76</f>
        <v>1934.24</v>
      </c>
      <c r="M6" s="23">
        <f>Test!C76</f>
        <v>37.229100000000003</v>
      </c>
      <c r="N6" s="23">
        <f>Test!D76</f>
        <v>46.270899999999997</v>
      </c>
      <c r="O6" s="23">
        <f>Test!E76</f>
        <v>43.169499999999999</v>
      </c>
      <c r="P6" s="23">
        <f>Test!F76</f>
        <v>54864.531999999999</v>
      </c>
      <c r="Q6" s="23">
        <f>Test!G76</f>
        <v>54.249000000000002</v>
      </c>
      <c r="R6" s="24">
        <f t="shared" si="1"/>
        <v>15.240147777777777</v>
      </c>
      <c r="S6" s="17">
        <f t="shared" si="2"/>
        <v>1.1333939522995833</v>
      </c>
      <c r="T6" s="18">
        <f t="shared" si="2"/>
        <v>1.0349110055514223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77034.58</v>
      </c>
      <c r="E7" s="13">
        <f>Reference!C77</f>
        <v>41.629399999999997</v>
      </c>
      <c r="F7" s="13">
        <f>Reference!D77</f>
        <v>36.307600000000001</v>
      </c>
      <c r="G7" s="13">
        <f>Reference!E77</f>
        <v>37.3842</v>
      </c>
      <c r="H7" s="13">
        <f>Reference!F77</f>
        <v>736122.39</v>
      </c>
      <c r="I7" s="13">
        <f>Reference!G77</f>
        <v>79.975999999999999</v>
      </c>
      <c r="J7" s="14">
        <f t="shared" si="0"/>
        <v>204.47844166666667</v>
      </c>
      <c r="L7" s="12">
        <f>Test!B77</f>
        <v>76945.892000000007</v>
      </c>
      <c r="M7" s="13">
        <f>Test!C77</f>
        <v>41.662500000000001</v>
      </c>
      <c r="N7" s="13">
        <f>Test!D77</f>
        <v>36.344099999999997</v>
      </c>
      <c r="O7" s="13">
        <f>Test!E77</f>
        <v>37.424399999999999</v>
      </c>
      <c r="P7" s="13">
        <f>Test!F77</f>
        <v>717424.98600000003</v>
      </c>
      <c r="Q7" s="13">
        <f>Test!G77</f>
        <v>78.513999999999996</v>
      </c>
      <c r="R7" s="14">
        <f t="shared" si="1"/>
        <v>199.28471833333333</v>
      </c>
      <c r="S7" s="17">
        <f t="shared" si="2"/>
        <v>0.97460014223993374</v>
      </c>
      <c r="T7" s="18">
        <f t="shared" si="2"/>
        <v>0.98171951585475636</v>
      </c>
      <c r="U7" s="91"/>
      <c r="V7" s="37">
        <f>bdrate($D7:$D10,E7:E10,$L7:$L10,M7:M10)</f>
        <v>-6.1045058755121451E-3</v>
      </c>
      <c r="W7" s="42">
        <f>bdrate($D7:$D10,F7:F10,$L7:$L10,N7:N10)</f>
        <v>-1.9721483548383545E-2</v>
      </c>
      <c r="X7" s="42">
        <f>bdrate($D7:$D10,G7:G10,$L7:$L10,O7:O10)</f>
        <v>-2.3050231488077055E-2</v>
      </c>
      <c r="Y7" s="40">
        <f>bdrateOld($D7:$D10,E7:E10,$L7:$L10,M7:M10)</f>
        <v>-6.1029361798241588E-3</v>
      </c>
      <c r="Z7" s="44">
        <f>bdrateOld($D7:$D10,F7:F10,$L7:$L10,N7:N10)</f>
        <v>-1.9725452100417873E-2</v>
      </c>
      <c r="AA7" s="45">
        <f>bdrateOld($D7:$D10,G7:G10,$L7:$L10,O7:O10)</f>
        <v>-2.3059824045829624E-2</v>
      </c>
    </row>
    <row r="8" spans="1:27" x14ac:dyDescent="0.2">
      <c r="A8" s="16"/>
      <c r="B8" s="85"/>
      <c r="C8" s="16">
        <v>48</v>
      </c>
      <c r="D8" s="17">
        <f>Reference!B78</f>
        <v>40002.552000000003</v>
      </c>
      <c r="E8" s="18">
        <f>Reference!C78</f>
        <v>39.0259</v>
      </c>
      <c r="F8" s="18">
        <f>Reference!D78</f>
        <v>34.376899999999999</v>
      </c>
      <c r="G8" s="18">
        <f>Reference!E78</f>
        <v>35.6753</v>
      </c>
      <c r="H8" s="18">
        <f>Reference!F78</f>
        <v>458299.413</v>
      </c>
      <c r="I8" s="18">
        <f>Reference!G78</f>
        <v>69.453000000000003</v>
      </c>
      <c r="J8" s="19">
        <f t="shared" si="0"/>
        <v>127.3053925</v>
      </c>
      <c r="L8" s="17">
        <f>Test!B78</f>
        <v>39972.743999999999</v>
      </c>
      <c r="M8" s="18">
        <f>Test!C78</f>
        <v>39.052100000000003</v>
      </c>
      <c r="N8" s="18">
        <f>Test!D78</f>
        <v>34.421300000000002</v>
      </c>
      <c r="O8" s="18">
        <f>Test!E78</f>
        <v>35.7196</v>
      </c>
      <c r="P8" s="18">
        <f>Test!F78</f>
        <v>479018.54399999999</v>
      </c>
      <c r="Q8" s="18">
        <f>Test!G78</f>
        <v>71.444000000000003</v>
      </c>
      <c r="R8" s="19">
        <f t="shared" si="1"/>
        <v>133.06070666666668</v>
      </c>
      <c r="S8" s="17">
        <f t="shared" si="2"/>
        <v>1.04520872253441</v>
      </c>
      <c r="T8" s="18">
        <f t="shared" si="2"/>
        <v>1.0286668682418325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18902.835999999999</v>
      </c>
      <c r="E9" s="18">
        <f>Reference!C79</f>
        <v>36.116399999999999</v>
      </c>
      <c r="F9" s="18">
        <f>Reference!D79</f>
        <v>32.645200000000003</v>
      </c>
      <c r="G9" s="18">
        <f>Reference!E79</f>
        <v>34.134500000000003</v>
      </c>
      <c r="H9" s="18">
        <f>Reference!F79</f>
        <v>272111.23499999999</v>
      </c>
      <c r="I9" s="18">
        <f>Reference!G79</f>
        <v>63.418999999999997</v>
      </c>
      <c r="J9" s="19">
        <f t="shared" si="0"/>
        <v>75.58645416666667</v>
      </c>
      <c r="L9" s="17">
        <f>Test!B79</f>
        <v>18881.848000000002</v>
      </c>
      <c r="M9" s="18">
        <f>Test!C79</f>
        <v>36.131300000000003</v>
      </c>
      <c r="N9" s="18">
        <f>Test!D79</f>
        <v>32.689300000000003</v>
      </c>
      <c r="O9" s="18">
        <f>Test!E79</f>
        <v>34.180100000000003</v>
      </c>
      <c r="P9" s="18">
        <f>Test!F79</f>
        <v>299586.82500000001</v>
      </c>
      <c r="Q9" s="18">
        <f>Test!G79</f>
        <v>63.439</v>
      </c>
      <c r="R9" s="19">
        <f t="shared" si="1"/>
        <v>83.218562500000004</v>
      </c>
      <c r="S9" s="17">
        <f t="shared" si="2"/>
        <v>1.1009719058457841</v>
      </c>
      <c r="T9" s="18">
        <f t="shared" si="2"/>
        <v>1.0003153629038617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7817.6760000000004</v>
      </c>
      <c r="E10" s="23">
        <f>Reference!C80</f>
        <v>33.0428</v>
      </c>
      <c r="F10" s="23">
        <f>Reference!D80</f>
        <v>31.040400000000002</v>
      </c>
      <c r="G10" s="23">
        <f>Reference!E80</f>
        <v>32.747700000000002</v>
      </c>
      <c r="H10" s="23">
        <f>Reference!F80</f>
        <v>160663.5</v>
      </c>
      <c r="I10" s="23">
        <f>Reference!G80</f>
        <v>62.247</v>
      </c>
      <c r="J10" s="24">
        <f t="shared" si="0"/>
        <v>44.628749999999997</v>
      </c>
      <c r="L10" s="22">
        <f>Test!B80</f>
        <v>7817.96</v>
      </c>
      <c r="M10" s="23">
        <f>Test!C80</f>
        <v>33.053400000000003</v>
      </c>
      <c r="N10" s="23">
        <f>Test!D80</f>
        <v>31.087199999999999</v>
      </c>
      <c r="O10" s="23">
        <f>Test!E80</f>
        <v>32.799300000000002</v>
      </c>
      <c r="P10" s="23">
        <f>Test!F80</f>
        <v>171624.948</v>
      </c>
      <c r="Q10" s="23">
        <f>Test!G80</f>
        <v>59.472000000000001</v>
      </c>
      <c r="R10" s="24">
        <f t="shared" si="1"/>
        <v>47.673596666666668</v>
      </c>
      <c r="S10" s="17">
        <f t="shared" si="2"/>
        <v>1.0682261247887666</v>
      </c>
      <c r="T10" s="18">
        <f t="shared" si="2"/>
        <v>0.95541953829100201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39036.26</v>
      </c>
      <c r="E11" s="13">
        <f>Reference!C81</f>
        <v>38.319699999999997</v>
      </c>
      <c r="F11" s="13">
        <f>Reference!D81</f>
        <v>40.369500000000002</v>
      </c>
      <c r="G11" s="13">
        <f>Reference!E81</f>
        <v>41.366900000000001</v>
      </c>
      <c r="H11" s="13">
        <f>Reference!F81</f>
        <v>411884.10800000001</v>
      </c>
      <c r="I11" s="13">
        <f>Reference!G81</f>
        <v>42.488</v>
      </c>
      <c r="J11" s="14">
        <f t="shared" si="0"/>
        <v>114.41225222222222</v>
      </c>
      <c r="L11" s="12">
        <f>Test!B81</f>
        <v>39120.720000000001</v>
      </c>
      <c r="M11" s="13">
        <f>Test!C81</f>
        <v>38.330300000000001</v>
      </c>
      <c r="N11" s="13">
        <f>Test!D81</f>
        <v>40.482500000000002</v>
      </c>
      <c r="O11" s="13">
        <f>Test!E81</f>
        <v>41.447099999999999</v>
      </c>
      <c r="P11" s="13">
        <f>Test!F81</f>
        <v>419497.33899999998</v>
      </c>
      <c r="Q11" s="13">
        <f>Test!G81</f>
        <v>44.161999999999999</v>
      </c>
      <c r="R11" s="14">
        <f t="shared" si="1"/>
        <v>116.52703861111111</v>
      </c>
      <c r="S11" s="17">
        <f t="shared" si="2"/>
        <v>1.0184839153833047</v>
      </c>
      <c r="T11" s="18">
        <f t="shared" si="2"/>
        <v>1.039399359819243</v>
      </c>
      <c r="U11" s="91"/>
      <c r="V11" s="37">
        <f>bdrate($D11:$D14,E11:E14,$L11:$L14,M11:M14)</f>
        <v>-3.6998352561367076E-3</v>
      </c>
      <c r="W11" s="42">
        <f>bdrate($D11:$D14,F11:F14,$L11:$L14,N11:N14)</f>
        <v>-2.3686059637696766E-2</v>
      </c>
      <c r="X11" s="42">
        <f>bdrate($D11:$D14,G11:G14,$L11:$L14,O11:O14)</f>
        <v>-4.3185582015007329E-2</v>
      </c>
      <c r="Y11" s="40">
        <f>bdrateOld($D11:$D14,E11:E14,$L11:$L14,M11:M14)</f>
        <v>-3.7563597384446812E-3</v>
      </c>
      <c r="Z11" s="44">
        <f>bdrateOld($D11:$D14,F11:F14,$L11:$L14,N11:N14)</f>
        <v>-2.3696843360832331E-2</v>
      </c>
      <c r="AA11" s="45">
        <f>bdrateOld($D11:$D14,G11:G14,$L11:$L14,O11:O14)</f>
        <v>-4.3039923282986781E-2</v>
      </c>
    </row>
    <row r="12" spans="1:27" x14ac:dyDescent="0.2">
      <c r="A12" s="34"/>
      <c r="B12" s="83"/>
      <c r="C12" s="16">
        <v>48</v>
      </c>
      <c r="D12" s="17">
        <f>Reference!B82</f>
        <v>18968.712</v>
      </c>
      <c r="E12" s="18">
        <f>Reference!C82</f>
        <v>37.190800000000003</v>
      </c>
      <c r="F12" s="18">
        <f>Reference!D82</f>
        <v>37.874200000000002</v>
      </c>
      <c r="G12" s="18">
        <f>Reference!E82</f>
        <v>40.105499999999999</v>
      </c>
      <c r="H12" s="18">
        <f>Reference!F82</f>
        <v>243259.89199999999</v>
      </c>
      <c r="I12" s="18">
        <f>Reference!G82</f>
        <v>37.767000000000003</v>
      </c>
      <c r="J12" s="19">
        <f t="shared" si="0"/>
        <v>67.572192222222213</v>
      </c>
      <c r="L12" s="17">
        <f>Test!B82</f>
        <v>19016.995999999999</v>
      </c>
      <c r="M12" s="18">
        <f>Test!C82</f>
        <v>37.202199999999998</v>
      </c>
      <c r="N12" s="18">
        <f>Test!D82</f>
        <v>37.963299999999997</v>
      </c>
      <c r="O12" s="18">
        <f>Test!E82</f>
        <v>40.2104</v>
      </c>
      <c r="P12" s="18">
        <f>Test!F82</f>
        <v>252164.932</v>
      </c>
      <c r="Q12" s="18">
        <f>Test!G82</f>
        <v>36.927999999999997</v>
      </c>
      <c r="R12" s="19">
        <f t="shared" si="1"/>
        <v>70.045814444444446</v>
      </c>
      <c r="S12" s="17">
        <f t="shared" si="2"/>
        <v>1.0366071033197697</v>
      </c>
      <c r="T12" s="18">
        <f t="shared" si="2"/>
        <v>0.97778483861572252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9387.7119999999995</v>
      </c>
      <c r="E13" s="18">
        <f>Reference!C83</f>
        <v>35.8095</v>
      </c>
      <c r="F13" s="18">
        <f>Reference!D83</f>
        <v>35.6751</v>
      </c>
      <c r="G13" s="18">
        <f>Reference!E83</f>
        <v>38.809800000000003</v>
      </c>
      <c r="H13" s="18">
        <f>Reference!F83</f>
        <v>138305.81899999999</v>
      </c>
      <c r="I13" s="18">
        <f>Reference!G83</f>
        <v>33.911000000000001</v>
      </c>
      <c r="J13" s="19">
        <f t="shared" si="0"/>
        <v>38.418283055555555</v>
      </c>
      <c r="L13" s="17">
        <f>Test!B83</f>
        <v>9405.5519999999997</v>
      </c>
      <c r="M13" s="18">
        <f>Test!C83</f>
        <v>35.822200000000002</v>
      </c>
      <c r="N13" s="18">
        <f>Test!D83</f>
        <v>35.745699999999999</v>
      </c>
      <c r="O13" s="18">
        <f>Test!E83</f>
        <v>38.892899999999997</v>
      </c>
      <c r="P13" s="18">
        <f>Test!F83</f>
        <v>155990.02299999999</v>
      </c>
      <c r="Q13" s="18">
        <f>Test!G83</f>
        <v>34.119999999999997</v>
      </c>
      <c r="R13" s="19">
        <f t="shared" si="1"/>
        <v>43.33056194444444</v>
      </c>
      <c r="S13" s="17">
        <f t="shared" si="2"/>
        <v>1.1278630510839172</v>
      </c>
      <c r="T13" s="18">
        <f t="shared" si="2"/>
        <v>1.006163191884639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4761.0320000000002</v>
      </c>
      <c r="E14" s="23">
        <f>Reference!C84</f>
        <v>33.973599999999998</v>
      </c>
      <c r="F14" s="23">
        <f>Reference!D84</f>
        <v>33.798999999999999</v>
      </c>
      <c r="G14" s="23">
        <f>Reference!E84</f>
        <v>37.342300000000002</v>
      </c>
      <c r="H14" s="23">
        <f>Reference!F84</f>
        <v>81880.039999999994</v>
      </c>
      <c r="I14" s="23">
        <f>Reference!G84</f>
        <v>31.777000000000001</v>
      </c>
      <c r="J14" s="24">
        <f t="shared" si="0"/>
        <v>22.744455555555554</v>
      </c>
      <c r="L14" s="22">
        <f>Test!B84</f>
        <v>4771.1880000000001</v>
      </c>
      <c r="M14" s="23">
        <f>Test!C84</f>
        <v>33.9876</v>
      </c>
      <c r="N14" s="23">
        <f>Test!D84</f>
        <v>33.861400000000003</v>
      </c>
      <c r="O14" s="23">
        <f>Test!E84</f>
        <v>37.4054</v>
      </c>
      <c r="P14" s="23">
        <f>Test!F84</f>
        <v>89919.191000000006</v>
      </c>
      <c r="Q14" s="23">
        <f>Test!G84</f>
        <v>30.62</v>
      </c>
      <c r="R14" s="24">
        <f t="shared" si="1"/>
        <v>24.977553055555557</v>
      </c>
      <c r="S14" s="17">
        <f t="shared" si="2"/>
        <v>1.0981820599989938</v>
      </c>
      <c r="T14" s="18">
        <f t="shared" si="2"/>
        <v>0.96359001793750199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25489.187999999998</v>
      </c>
      <c r="E15" s="13">
        <f>Reference!C85</f>
        <v>37.620800000000003</v>
      </c>
      <c r="F15" s="13">
        <f>Reference!D85</f>
        <v>45.173099999999998</v>
      </c>
      <c r="G15" s="13">
        <f>Reference!E85</f>
        <v>42.7911</v>
      </c>
      <c r="H15" s="13">
        <f>Reference!F85</f>
        <v>529003.41099999996</v>
      </c>
      <c r="I15" s="13">
        <f>Reference!G85</f>
        <v>70.576999999999998</v>
      </c>
      <c r="J15" s="14">
        <f>H15/3600</f>
        <v>146.94539194444442</v>
      </c>
      <c r="L15" s="12">
        <f>Test!B85</f>
        <v>25441.756000000001</v>
      </c>
      <c r="M15" s="13">
        <f>Test!C85</f>
        <v>37.631300000000003</v>
      </c>
      <c r="N15" s="13">
        <f>Test!D85</f>
        <v>45.2136</v>
      </c>
      <c r="O15" s="13">
        <f>Test!E85</f>
        <v>42.8217</v>
      </c>
      <c r="P15" s="13">
        <f>Test!F85</f>
        <v>558515.14899999998</v>
      </c>
      <c r="Q15" s="13">
        <f>Test!G85</f>
        <v>77.436000000000007</v>
      </c>
      <c r="R15" s="14">
        <f>P15/3600</f>
        <v>155.14309694444444</v>
      </c>
      <c r="S15" s="17">
        <f>P15/H15</f>
        <v>1.0557874247808963</v>
      </c>
      <c r="T15" s="18">
        <f>Q15/I15</f>
        <v>1.0971846352211061</v>
      </c>
      <c r="U15" s="91"/>
      <c r="V15" s="37">
        <f>bdrate($D15:$D18,E15:E18,$L15:$L18,M15:M18)</f>
        <v>-1.6215636461328953E-2</v>
      </c>
      <c r="W15" s="42">
        <f>bdrate($D15:$D18,F15:F18,$L15:$L18,N15:N18)</f>
        <v>-7.4414217566819874E-2</v>
      </c>
      <c r="X15" s="43">
        <f>bdrate($D15:$D18,G15:G18,$L15:$L18,O15:O18)</f>
        <v>-4.9641113791673241E-2</v>
      </c>
      <c r="Y15" s="37">
        <f>bdrateOld($D15:$D18,E15:E18,$L15:$L18,M15:M18)</f>
        <v>-1.5947404581264202E-2</v>
      </c>
      <c r="Z15" s="42">
        <f>bdrateOld($D15:$D18,F15:F18,$L15:$L18,N15:N18)</f>
        <v>-6.949237415923426E-2</v>
      </c>
      <c r="AA15" s="43">
        <f>bdrateOld($D15:$D18,G15:G18,$L15:$L18,O15:O18)</f>
        <v>-4.9600796348231335E-2</v>
      </c>
    </row>
    <row r="16" spans="1:27" x14ac:dyDescent="0.2">
      <c r="A16" s="16"/>
      <c r="B16" s="85"/>
      <c r="C16" s="16">
        <v>48</v>
      </c>
      <c r="D16" s="17">
        <f>Reference!B86</f>
        <v>9126.8799999999992</v>
      </c>
      <c r="E16" s="18">
        <f>Reference!C86</f>
        <v>37.054099999999998</v>
      </c>
      <c r="F16" s="18">
        <f>Reference!D86</f>
        <v>44.578400000000002</v>
      </c>
      <c r="G16" s="18">
        <f>Reference!E86</f>
        <v>42.118499999999997</v>
      </c>
      <c r="H16" s="18">
        <f>Reference!F86</f>
        <v>272557.19400000002</v>
      </c>
      <c r="I16" s="18">
        <f>Reference!G86</f>
        <v>62.271999999999998</v>
      </c>
      <c r="J16" s="19">
        <f t="shared" ref="J16:J26" si="3">H16/3600</f>
        <v>75.710331666666676</v>
      </c>
      <c r="L16" s="17">
        <f>Test!B86</f>
        <v>9101.2520000000004</v>
      </c>
      <c r="M16" s="18">
        <f>Test!C86</f>
        <v>37.067599999999999</v>
      </c>
      <c r="N16" s="18">
        <f>Test!D86</f>
        <v>44.642200000000003</v>
      </c>
      <c r="O16" s="18">
        <f>Test!E86</f>
        <v>42.163400000000003</v>
      </c>
      <c r="P16" s="18">
        <f>Test!F86</f>
        <v>295095.34399999998</v>
      </c>
      <c r="Q16" s="18">
        <f>Test!G86</f>
        <v>64.497</v>
      </c>
      <c r="R16" s="19">
        <f t="shared" ref="R16:R26" si="4">P16/3600</f>
        <v>81.970928888888878</v>
      </c>
      <c r="S16" s="17">
        <f t="shared" ref="S16:S26" si="5">P16/H16</f>
        <v>1.0826914515417265</v>
      </c>
      <c r="T16" s="18">
        <f t="shared" ref="T16:T26" si="6">Q16/I16</f>
        <v>1.0357303442959918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4517.1559999999999</v>
      </c>
      <c r="E17" s="18">
        <f>Reference!C87</f>
        <v>36.196800000000003</v>
      </c>
      <c r="F17" s="18">
        <f>Reference!D87</f>
        <v>43.665900000000001</v>
      </c>
      <c r="G17" s="18">
        <f>Reference!E87</f>
        <v>41.165700000000001</v>
      </c>
      <c r="H17" s="18">
        <f>Reference!F87</f>
        <v>135979.07699999999</v>
      </c>
      <c r="I17" s="18">
        <f>Reference!G87</f>
        <v>50.695999999999998</v>
      </c>
      <c r="J17" s="19">
        <f t="shared" si="3"/>
        <v>37.771965833333333</v>
      </c>
      <c r="L17" s="17">
        <f>Test!B87</f>
        <v>4490.7839999999997</v>
      </c>
      <c r="M17" s="18">
        <f>Test!C87</f>
        <v>36.212200000000003</v>
      </c>
      <c r="N17" s="18">
        <f>Test!D87</f>
        <v>43.781999999999996</v>
      </c>
      <c r="O17" s="18">
        <f>Test!E87</f>
        <v>41.230499999999999</v>
      </c>
      <c r="P17" s="18">
        <f>Test!F87</f>
        <v>152478.39600000001</v>
      </c>
      <c r="Q17" s="18">
        <f>Test!G87</f>
        <v>53.375</v>
      </c>
      <c r="R17" s="19">
        <f t="shared" si="4"/>
        <v>42.355110000000003</v>
      </c>
      <c r="S17" s="17">
        <f t="shared" si="5"/>
        <v>1.1213371892500787</v>
      </c>
      <c r="T17" s="18">
        <f t="shared" si="6"/>
        <v>1.0528444058702857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2188.8200000000002</v>
      </c>
      <c r="E18" s="23">
        <f>Reference!C88</f>
        <v>34.725000000000001</v>
      </c>
      <c r="F18" s="23">
        <f>Reference!D88</f>
        <v>42.462200000000003</v>
      </c>
      <c r="G18" s="23">
        <f>Reference!E88</f>
        <v>39.923699999999997</v>
      </c>
      <c r="H18" s="23">
        <f>Reference!F88</f>
        <v>66114.960000000006</v>
      </c>
      <c r="I18" s="23">
        <f>Reference!G88</f>
        <v>43.334000000000003</v>
      </c>
      <c r="J18" s="24">
        <f t="shared" si="3"/>
        <v>18.365266666666667</v>
      </c>
      <c r="L18" s="22">
        <f>Test!B88</f>
        <v>2180.16</v>
      </c>
      <c r="M18" s="23">
        <f>Test!C88</f>
        <v>34.7408</v>
      </c>
      <c r="N18" s="23">
        <f>Test!D88</f>
        <v>42.538200000000003</v>
      </c>
      <c r="O18" s="23">
        <f>Test!E88</f>
        <v>40.014800000000001</v>
      </c>
      <c r="P18" s="23">
        <f>Test!F88</f>
        <v>73116.748999999996</v>
      </c>
      <c r="Q18" s="23">
        <f>Test!G88</f>
        <v>43.838999999999999</v>
      </c>
      <c r="R18" s="24">
        <f t="shared" si="4"/>
        <v>20.310208055555556</v>
      </c>
      <c r="S18" s="17">
        <f t="shared" si="5"/>
        <v>1.1059032479184741</v>
      </c>
      <c r="T18" s="18">
        <f t="shared" si="6"/>
        <v>1.0116536668666636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9926.8919999999998</v>
      </c>
      <c r="E19" s="13">
        <f>Reference!C89</f>
        <v>37.994700000000002</v>
      </c>
      <c r="F19" s="13">
        <f>Reference!D89</f>
        <v>39.739600000000003</v>
      </c>
      <c r="G19" s="13">
        <f>Reference!E89</f>
        <v>43.135599999999997</v>
      </c>
      <c r="H19" s="13">
        <f>Reference!F89</f>
        <v>120803.552</v>
      </c>
      <c r="I19" s="13">
        <f>Reference!G89</f>
        <v>14.596</v>
      </c>
      <c r="J19" s="14">
        <f t="shared" si="3"/>
        <v>33.55654222222222</v>
      </c>
      <c r="L19" s="12">
        <f>Test!B89</f>
        <v>9908.152</v>
      </c>
      <c r="M19" s="13">
        <f>Test!C89</f>
        <v>38.006100000000004</v>
      </c>
      <c r="N19" s="13">
        <f>Test!D89</f>
        <v>39.775799999999997</v>
      </c>
      <c r="O19" s="13">
        <f>Test!E89</f>
        <v>43.214799999999997</v>
      </c>
      <c r="P19" s="13">
        <f>Test!F89</f>
        <v>119146.42200000001</v>
      </c>
      <c r="Q19" s="13">
        <f>Test!G89</f>
        <v>14.337</v>
      </c>
      <c r="R19" s="14">
        <f t="shared" si="4"/>
        <v>33.096228333333336</v>
      </c>
      <c r="S19" s="12">
        <f t="shared" si="5"/>
        <v>0.9862824397746186</v>
      </c>
      <c r="T19" s="13">
        <f t="shared" si="6"/>
        <v>0.98225541244176484</v>
      </c>
      <c r="U19" s="90"/>
      <c r="V19" s="37">
        <f>bdrate($D19:$D22,E19:E22,$L19:$L22,M19:M22)</f>
        <v>-1.0388745874155614E-2</v>
      </c>
      <c r="W19" s="42">
        <f>bdrate($D19:$D22,F19:F22,$L19:$L22,N19:N22)</f>
        <v>-5.2417570630327814E-2</v>
      </c>
      <c r="X19" s="42">
        <f>bdrate($D19:$D22,G19:G22,$L19:$L22,O19:O22)</f>
        <v>-5.797910696127706E-2</v>
      </c>
      <c r="Y19" s="40">
        <f>bdrateOld($D19:$D22,E19:E22,$L19:$L22,M19:M22)</f>
        <v>-1.0498939397365459E-2</v>
      </c>
      <c r="Z19" s="44">
        <f>bdrateOld($D19:$D22,F19:F22,$L19:$L22,N19:N22)</f>
        <v>-5.223910903361606E-2</v>
      </c>
      <c r="AA19" s="45">
        <f>bdrateOld($D19:$D22,G19:G22,$L19:$L22,O19:O22)</f>
        <v>-5.7821282351735781E-2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4579.72</v>
      </c>
      <c r="E20" s="18">
        <f>Reference!C90</f>
        <v>36.884399999999999</v>
      </c>
      <c r="F20" s="18">
        <f>Reference!D90</f>
        <v>39.217300000000002</v>
      </c>
      <c r="G20" s="18">
        <f>Reference!E90</f>
        <v>42.014400000000002</v>
      </c>
      <c r="H20" s="18">
        <f>Reference!F90</f>
        <v>72065.808999999994</v>
      </c>
      <c r="I20" s="18">
        <f>Reference!G90</f>
        <v>12.944000000000001</v>
      </c>
      <c r="J20" s="19">
        <f t="shared" si="3"/>
        <v>20.018280277777777</v>
      </c>
      <c r="L20" s="17">
        <f>Test!B90</f>
        <v>4570.3119999999999</v>
      </c>
      <c r="M20" s="18">
        <f>Test!C90</f>
        <v>36.898699999999998</v>
      </c>
      <c r="N20" s="18">
        <f>Test!D90</f>
        <v>39.2637</v>
      </c>
      <c r="O20" s="18">
        <f>Test!E90</f>
        <v>42.116100000000003</v>
      </c>
      <c r="P20" s="18">
        <f>Test!F90</f>
        <v>73452.239000000001</v>
      </c>
      <c r="Q20" s="18">
        <f>Test!G90</f>
        <v>12.337999999999999</v>
      </c>
      <c r="R20" s="19">
        <f t="shared" si="4"/>
        <v>20.403399722222222</v>
      </c>
      <c r="S20" s="17">
        <f t="shared" si="5"/>
        <v>1.019238388068328</v>
      </c>
      <c r="T20" s="18">
        <f t="shared" si="6"/>
        <v>0.95318294190358455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2327.9639999999999</v>
      </c>
      <c r="E21" s="18">
        <f>Reference!C91</f>
        <v>35.334499999999998</v>
      </c>
      <c r="F21" s="18">
        <f>Reference!D91</f>
        <v>38.509</v>
      </c>
      <c r="G21" s="18">
        <f>Reference!E91</f>
        <v>40.659399999999998</v>
      </c>
      <c r="H21" s="18">
        <f>Reference!F91</f>
        <v>39117.675000000003</v>
      </c>
      <c r="I21" s="18">
        <f>Reference!G91</f>
        <v>10.847</v>
      </c>
      <c r="J21" s="19">
        <f t="shared" si="3"/>
        <v>10.866020833333334</v>
      </c>
      <c r="L21" s="17">
        <f>Test!B91</f>
        <v>2324.9079999999999</v>
      </c>
      <c r="M21" s="18">
        <f>Test!C91</f>
        <v>35.3598</v>
      </c>
      <c r="N21" s="18">
        <f>Test!D91</f>
        <v>38.572200000000002</v>
      </c>
      <c r="O21" s="18">
        <f>Test!E91</f>
        <v>40.793300000000002</v>
      </c>
      <c r="P21" s="18">
        <f>Test!F91</f>
        <v>42347.1</v>
      </c>
      <c r="Q21" s="18">
        <f>Test!G91</f>
        <v>10.535</v>
      </c>
      <c r="R21" s="19">
        <f t="shared" si="4"/>
        <v>11.763083333333332</v>
      </c>
      <c r="S21" s="17">
        <f t="shared" si="5"/>
        <v>1.082556670354258</v>
      </c>
      <c r="T21" s="18">
        <f t="shared" si="6"/>
        <v>0.97123628653083804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1111.0160000000001</v>
      </c>
      <c r="E22" s="23">
        <f>Reference!C92</f>
        <v>33.130899999999997</v>
      </c>
      <c r="F22" s="23">
        <f>Reference!D92</f>
        <v>37.452500000000001</v>
      </c>
      <c r="G22" s="23">
        <f>Reference!E92</f>
        <v>38.9602</v>
      </c>
      <c r="H22" s="23">
        <f>Reference!F92</f>
        <v>20994.385999999999</v>
      </c>
      <c r="I22" s="23">
        <f>Reference!G92</f>
        <v>9.6159999999999997</v>
      </c>
      <c r="J22" s="24">
        <f t="shared" si="3"/>
        <v>5.8317738888888888</v>
      </c>
      <c r="L22" s="22">
        <f>Test!B92</f>
        <v>1110.2639999999999</v>
      </c>
      <c r="M22" s="23">
        <f>Test!C92</f>
        <v>33.159199999999998</v>
      </c>
      <c r="N22" s="23">
        <f>Test!D92</f>
        <v>37.520000000000003</v>
      </c>
      <c r="O22" s="23">
        <f>Test!E92</f>
        <v>39.057400000000001</v>
      </c>
      <c r="P22" s="23">
        <f>Test!F92</f>
        <v>22529.323</v>
      </c>
      <c r="Q22" s="23">
        <f>Test!G92</f>
        <v>9.2929999999999993</v>
      </c>
      <c r="R22" s="24">
        <f t="shared" si="4"/>
        <v>6.2581452777777775</v>
      </c>
      <c r="S22" s="17">
        <f t="shared" si="5"/>
        <v>1.073111783311977</v>
      </c>
      <c r="T22" s="18">
        <f t="shared" si="6"/>
        <v>0.96641014975041595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8734.3040000000001</v>
      </c>
      <c r="E23" s="13">
        <f>Reference!C93</f>
        <v>38.923699999999997</v>
      </c>
      <c r="F23" s="13">
        <f>Reference!D93</f>
        <v>43.968699999999998</v>
      </c>
      <c r="G23" s="13">
        <f>Reference!E93</f>
        <v>45.089100000000002</v>
      </c>
      <c r="H23" s="13">
        <f>Reference!F93</f>
        <v>128012.63499999999</v>
      </c>
      <c r="I23" s="13">
        <f>Reference!G93</f>
        <v>16.875</v>
      </c>
      <c r="J23" s="14">
        <f t="shared" si="3"/>
        <v>35.559065277777776</v>
      </c>
      <c r="L23" s="12">
        <f>Test!B93</f>
        <v>8721.2279999999992</v>
      </c>
      <c r="M23" s="13">
        <f>Test!C93</f>
        <v>38.941600000000001</v>
      </c>
      <c r="N23" s="13">
        <f>Test!D93</f>
        <v>44.001199999999997</v>
      </c>
      <c r="O23" s="13">
        <f>Test!E93</f>
        <v>45.1357</v>
      </c>
      <c r="P23" s="13">
        <f>Test!F93</f>
        <v>128823.71799999999</v>
      </c>
      <c r="Q23" s="13">
        <f>Test!G93</f>
        <v>16.553000000000001</v>
      </c>
      <c r="R23" s="14">
        <f t="shared" si="4"/>
        <v>35.784366111111112</v>
      </c>
      <c r="S23" s="17">
        <f t="shared" si="5"/>
        <v>1.0063359605088982</v>
      </c>
      <c r="T23" s="18">
        <f t="shared" si="6"/>
        <v>0.98091851851851852</v>
      </c>
      <c r="U23" s="91"/>
      <c r="V23" s="37">
        <f>bdrate($D23:$D26,E23:E26,$L23:$L26,M23:M26)</f>
        <v>-1.2850448641840595E-2</v>
      </c>
      <c r="W23" s="42">
        <f>bdrate($D23:$D26,F23:F26,$L23:$L26,N23:N26)</f>
        <v>-2.4392175148663986E-2</v>
      </c>
      <c r="X23" s="42">
        <f>bdrate($D23:$D26,G23:G26,$L23:$L26,O23:O26)</f>
        <v>-3.349669905219077E-2</v>
      </c>
      <c r="Y23" s="40">
        <f>bdrateOld($D23:$D26,E23:E26,$L23:$L26,M23:M26)</f>
        <v>-1.2668219198872177E-2</v>
      </c>
      <c r="Z23" s="44">
        <f>bdrateOld($D23:$D26,F23:F26,$L23:$L26,N23:N26)</f>
        <v>-2.4647572284153263E-2</v>
      </c>
      <c r="AA23" s="45">
        <f>bdrateOld($D23:$D26,G23:G26,$L23:$L26,O23:O26)</f>
        <v>-3.3433178036486488E-2</v>
      </c>
    </row>
    <row r="24" spans="1:27" x14ac:dyDescent="0.2">
      <c r="A24" s="34"/>
      <c r="B24" s="85"/>
      <c r="C24" s="16">
        <v>32</v>
      </c>
      <c r="D24" s="17">
        <f>Reference!B94</f>
        <v>4353.0879999999997</v>
      </c>
      <c r="E24" s="18">
        <f>Reference!C94</f>
        <v>37.878799999999998</v>
      </c>
      <c r="F24" s="18">
        <f>Reference!D94</f>
        <v>43.138399999999997</v>
      </c>
      <c r="G24" s="18">
        <f>Reference!E94</f>
        <v>43.670299999999997</v>
      </c>
      <c r="H24" s="18">
        <f>Reference!F94</f>
        <v>75876.255999999994</v>
      </c>
      <c r="I24" s="18">
        <f>Reference!G94</f>
        <v>15.452</v>
      </c>
      <c r="J24" s="19">
        <f t="shared" si="3"/>
        <v>21.076737777777776</v>
      </c>
      <c r="L24" s="17">
        <f>Test!B94</f>
        <v>4341.4120000000003</v>
      </c>
      <c r="M24" s="18">
        <f>Test!C94</f>
        <v>37.900599999999997</v>
      </c>
      <c r="N24" s="18">
        <f>Test!D94</f>
        <v>43.1661</v>
      </c>
      <c r="O24" s="18">
        <f>Test!E94</f>
        <v>43.7423</v>
      </c>
      <c r="P24" s="18">
        <f>Test!F94</f>
        <v>79758.191999999995</v>
      </c>
      <c r="Q24" s="18">
        <f>Test!G94</f>
        <v>14.388999999999999</v>
      </c>
      <c r="R24" s="19">
        <f t="shared" si="4"/>
        <v>22.155053333333331</v>
      </c>
      <c r="S24" s="17">
        <f t="shared" si="5"/>
        <v>1.0511614068042576</v>
      </c>
      <c r="T24" s="18">
        <f t="shared" si="6"/>
        <v>0.93120631633445505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2219.9920000000002</v>
      </c>
      <c r="E25" s="18">
        <f>Reference!C95</f>
        <v>36.3827</v>
      </c>
      <c r="F25" s="18">
        <f>Reference!D95</f>
        <v>42.052700000000002</v>
      </c>
      <c r="G25" s="18">
        <f>Reference!E95</f>
        <v>42.040500000000002</v>
      </c>
      <c r="H25" s="18">
        <f>Reference!F95</f>
        <v>40932.618999999999</v>
      </c>
      <c r="I25" s="18">
        <f>Reference!G95</f>
        <v>12.715</v>
      </c>
      <c r="J25" s="19">
        <f t="shared" si="3"/>
        <v>11.370171944444444</v>
      </c>
      <c r="L25" s="17">
        <f>Test!B95</f>
        <v>2215.4639999999999</v>
      </c>
      <c r="M25" s="18">
        <f>Test!C95</f>
        <v>36.409599999999998</v>
      </c>
      <c r="N25" s="18">
        <f>Test!D95</f>
        <v>42.089700000000001</v>
      </c>
      <c r="O25" s="18">
        <f>Test!E95</f>
        <v>42.131700000000002</v>
      </c>
      <c r="P25" s="18">
        <f>Test!F95</f>
        <v>45251.025999999998</v>
      </c>
      <c r="Q25" s="18">
        <f>Test!G95</f>
        <v>12.712999999999999</v>
      </c>
      <c r="R25" s="19">
        <f t="shared" si="4"/>
        <v>12.569729444444445</v>
      </c>
      <c r="S25" s="17">
        <f t="shared" si="5"/>
        <v>1.1055003834472452</v>
      </c>
      <c r="T25" s="18">
        <f t="shared" si="6"/>
        <v>0.99984270546598497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1094.644</v>
      </c>
      <c r="E26" s="23">
        <f>Reference!C96</f>
        <v>34.320799999999998</v>
      </c>
      <c r="F26" s="23">
        <f>Reference!D96</f>
        <v>40.712800000000001</v>
      </c>
      <c r="G26" s="23">
        <f>Reference!E96</f>
        <v>40.188400000000001</v>
      </c>
      <c r="H26" s="23">
        <f>Reference!F96</f>
        <v>21697.035</v>
      </c>
      <c r="I26" s="23">
        <f>Reference!G96</f>
        <v>10.708</v>
      </c>
      <c r="J26" s="24">
        <f t="shared" si="3"/>
        <v>6.0269541666666671</v>
      </c>
      <c r="L26" s="22">
        <f>Test!B96</f>
        <v>1091.3920000000001</v>
      </c>
      <c r="M26" s="23">
        <f>Test!C96</f>
        <v>34.3431</v>
      </c>
      <c r="N26" s="23">
        <f>Test!D96</f>
        <v>40.765000000000001</v>
      </c>
      <c r="O26" s="23">
        <f>Test!E96</f>
        <v>40.247700000000002</v>
      </c>
      <c r="P26" s="23">
        <f>Test!F96</f>
        <v>24308.828000000001</v>
      </c>
      <c r="Q26" s="23">
        <f>Test!G96</f>
        <v>10.304</v>
      </c>
      <c r="R26" s="24">
        <f t="shared" si="4"/>
        <v>6.7524522222222227</v>
      </c>
      <c r="S26" s="17">
        <f t="shared" si="5"/>
        <v>1.1203755720539696</v>
      </c>
      <c r="T26" s="18">
        <f t="shared" si="6"/>
        <v>0.96227119910347403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6822.7560000000003</v>
      </c>
      <c r="E27" s="13">
        <f>Reference!C97</f>
        <v>39.688000000000002</v>
      </c>
      <c r="F27" s="13">
        <f>Reference!D97</f>
        <v>43.720100000000002</v>
      </c>
      <c r="G27" s="13">
        <f>Reference!E97</f>
        <v>44.931699999999999</v>
      </c>
      <c r="H27" s="13">
        <f>Reference!F97</f>
        <v>117224.412</v>
      </c>
      <c r="I27" s="13">
        <f>Reference!G97</f>
        <v>17.481999999999999</v>
      </c>
      <c r="J27" s="14">
        <f>H27/3600</f>
        <v>32.562336666666667</v>
      </c>
      <c r="L27" s="12">
        <f>Test!B97</f>
        <v>6818.6639999999998</v>
      </c>
      <c r="M27" s="13">
        <f>Test!C97</f>
        <v>39.702399999999997</v>
      </c>
      <c r="N27" s="13">
        <f>Test!D97</f>
        <v>43.778100000000002</v>
      </c>
      <c r="O27" s="13">
        <f>Test!E97</f>
        <v>44.973799999999997</v>
      </c>
      <c r="P27" s="13">
        <f>Test!F97</f>
        <v>120134.077</v>
      </c>
      <c r="Q27" s="13">
        <f>Test!G97</f>
        <v>17.141999999999999</v>
      </c>
      <c r="R27" s="14">
        <f>P27/3600</f>
        <v>33.370576944444444</v>
      </c>
      <c r="S27" s="17">
        <f t="shared" si="2"/>
        <v>1.0248213230534269</v>
      </c>
      <c r="T27" s="18">
        <f t="shared" si="2"/>
        <v>0.98055142432215991</v>
      </c>
      <c r="U27" s="91"/>
      <c r="V27" s="37">
        <f>bdrate($D27:$D30,E27:E30,$L27:$L30,M27:M30)</f>
        <v>-8.637613314644299E-3</v>
      </c>
      <c r="W27" s="42">
        <f>bdrate($D27:$D30,F27:F30,$L27:$L30,N27:N30)</f>
        <v>-6.9335546829999317E-2</v>
      </c>
      <c r="X27" s="43">
        <f>bdrate($D27:$D30,G27:G30,$L27:$L30,O27:O30)</f>
        <v>-2.4514896602020775E-2</v>
      </c>
      <c r="Y27" s="37">
        <f>bdrateOld($D27:$D30,E27:E30,$L27:$L30,M27:M30)</f>
        <v>-8.7828006048805696E-3</v>
      </c>
      <c r="Z27" s="42">
        <f>bdrateOld($D27:$D30,F27:F30,$L27:$L30,N27:N30)</f>
        <v>-6.9936783171771433E-2</v>
      </c>
      <c r="AA27" s="43">
        <f>bdrateOld($D27:$D30,G27:G30,$L27:$L30,O27:O30)</f>
        <v>-2.5930533457770744E-2</v>
      </c>
    </row>
    <row r="28" spans="1:27" x14ac:dyDescent="0.2">
      <c r="A28" s="16"/>
      <c r="B28" s="85"/>
      <c r="C28" s="16">
        <v>48</v>
      </c>
      <c r="D28" s="17">
        <f>Reference!B98</f>
        <v>3205.944</v>
      </c>
      <c r="E28" s="18">
        <f>Reference!C98</f>
        <v>38.490900000000003</v>
      </c>
      <c r="F28" s="18">
        <f>Reference!D98</f>
        <v>42.976300000000002</v>
      </c>
      <c r="G28" s="18">
        <f>Reference!E98</f>
        <v>44.306899999999999</v>
      </c>
      <c r="H28" s="18">
        <f>Reference!F98</f>
        <v>66037.455000000002</v>
      </c>
      <c r="I28" s="18">
        <f>Reference!G98</f>
        <v>15.395</v>
      </c>
      <c r="J28" s="19">
        <f t="shared" ref="J28:J46" si="7">H28/3600</f>
        <v>18.3437375</v>
      </c>
      <c r="L28" s="17">
        <f>Test!B98</f>
        <v>3198.48</v>
      </c>
      <c r="M28" s="18">
        <f>Test!C98</f>
        <v>38.504199999999997</v>
      </c>
      <c r="N28" s="18">
        <f>Test!D98</f>
        <v>43.046300000000002</v>
      </c>
      <c r="O28" s="18">
        <f>Test!E98</f>
        <v>44.333300000000001</v>
      </c>
      <c r="P28" s="18">
        <f>Test!F98</f>
        <v>71197.596000000005</v>
      </c>
      <c r="Q28" s="18">
        <f>Test!G98</f>
        <v>14.928000000000001</v>
      </c>
      <c r="R28" s="19">
        <f t="shared" ref="R28:R46" si="8">P28/3600</f>
        <v>19.77711</v>
      </c>
      <c r="S28" s="17">
        <f t="shared" si="2"/>
        <v>1.0781396103165999</v>
      </c>
      <c r="T28" s="18">
        <f t="shared" si="2"/>
        <v>0.96966547580383244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1529.164</v>
      </c>
      <c r="E29" s="18">
        <f>Reference!C99</f>
        <v>36.781799999999997</v>
      </c>
      <c r="F29" s="18">
        <f>Reference!D99</f>
        <v>42.005299999999998</v>
      </c>
      <c r="G29" s="18">
        <f>Reference!E99</f>
        <v>43.366500000000002</v>
      </c>
      <c r="H29" s="18">
        <f>Reference!F99</f>
        <v>35724.523999999998</v>
      </c>
      <c r="I29" s="18">
        <f>Reference!G99</f>
        <v>14.026999999999999</v>
      </c>
      <c r="J29" s="19">
        <f t="shared" si="7"/>
        <v>9.923478888888889</v>
      </c>
      <c r="L29" s="17">
        <f>Test!B99</f>
        <v>1522.2080000000001</v>
      </c>
      <c r="M29" s="18">
        <f>Test!C99</f>
        <v>36.7941</v>
      </c>
      <c r="N29" s="18">
        <f>Test!D99</f>
        <v>42.108899999999998</v>
      </c>
      <c r="O29" s="18">
        <f>Test!E99</f>
        <v>43.379199999999997</v>
      </c>
      <c r="P29" s="18">
        <f>Test!F99</f>
        <v>38610.038</v>
      </c>
      <c r="Q29" s="18">
        <f>Test!G99</f>
        <v>12.558999999999999</v>
      </c>
      <c r="R29" s="19">
        <f t="shared" si="8"/>
        <v>10.725010555555556</v>
      </c>
      <c r="S29" s="17">
        <f t="shared" si="2"/>
        <v>1.0807712371479044</v>
      </c>
      <c r="T29" s="18">
        <f t="shared" si="2"/>
        <v>0.8953446923789834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688.24</v>
      </c>
      <c r="E30" s="23">
        <f>Reference!C100</f>
        <v>34.547600000000003</v>
      </c>
      <c r="F30" s="23">
        <f>Reference!D100</f>
        <v>40.743400000000001</v>
      </c>
      <c r="G30" s="23">
        <f>Reference!E100</f>
        <v>42.061999999999998</v>
      </c>
      <c r="H30" s="23">
        <f>Reference!F100</f>
        <v>17344.760999999999</v>
      </c>
      <c r="I30" s="23">
        <f>Reference!G100</f>
        <v>11.099</v>
      </c>
      <c r="J30" s="24">
        <f t="shared" si="7"/>
        <v>4.8179891666666661</v>
      </c>
      <c r="L30" s="22">
        <f>Test!B100</f>
        <v>687.94</v>
      </c>
      <c r="M30" s="23">
        <f>Test!C100</f>
        <v>34.559800000000003</v>
      </c>
      <c r="N30" s="23">
        <f>Test!D100</f>
        <v>40.8643</v>
      </c>
      <c r="O30" s="23">
        <f>Test!E100</f>
        <v>42.130099999999999</v>
      </c>
      <c r="P30" s="23">
        <f>Test!F100</f>
        <v>19278.475999999999</v>
      </c>
      <c r="Q30" s="23">
        <f>Test!G100</f>
        <v>10.648</v>
      </c>
      <c r="R30" s="24">
        <f t="shared" si="8"/>
        <v>5.3551322222222222</v>
      </c>
      <c r="S30" s="17">
        <f t="shared" si="2"/>
        <v>1.1114869786905683</v>
      </c>
      <c r="T30" s="18">
        <f t="shared" si="2"/>
        <v>0.95936570862239834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5729.6679999999997</v>
      </c>
      <c r="E31" s="13">
        <f>Reference!C101</f>
        <v>44.845799999999997</v>
      </c>
      <c r="F31" s="13">
        <f>Reference!D101</f>
        <v>47.294800000000002</v>
      </c>
      <c r="G31" s="13">
        <f>Reference!E101</f>
        <v>48.337299999999999</v>
      </c>
      <c r="H31" s="13">
        <f>Reference!F101</f>
        <v>83481.726999999999</v>
      </c>
      <c r="I31" s="13">
        <f>Reference!G101</f>
        <v>16.920000000000002</v>
      </c>
      <c r="J31" s="14">
        <f t="shared" si="7"/>
        <v>23.18936861111111</v>
      </c>
      <c r="L31" s="12">
        <f>Test!B101</f>
        <v>5711.1360000000004</v>
      </c>
      <c r="M31" s="13">
        <f>Test!C101</f>
        <v>44.877899999999997</v>
      </c>
      <c r="N31" s="13">
        <f>Test!D101</f>
        <v>47.399000000000001</v>
      </c>
      <c r="O31" s="13">
        <f>Test!E101</f>
        <v>48.422899999999998</v>
      </c>
      <c r="P31" s="13">
        <f>Test!F101</f>
        <v>90087.963000000003</v>
      </c>
      <c r="Q31" s="13">
        <f>Test!G101</f>
        <v>16.683</v>
      </c>
      <c r="R31" s="14">
        <f t="shared" si="8"/>
        <v>25.024434166666669</v>
      </c>
      <c r="S31" s="17">
        <f t="shared" si="2"/>
        <v>1.0791339163359666</v>
      </c>
      <c r="T31" s="18">
        <f t="shared" si="2"/>
        <v>0.98599290780141835</v>
      </c>
      <c r="U31" s="91"/>
      <c r="V31" s="37">
        <f>bdrate($D31:$D34,E31:E34,$L31:$L34,M31:M34)</f>
        <v>-6.3424469209355516E-3</v>
      </c>
      <c r="W31" s="42">
        <f>bdrate($D31:$D34,F31:F34,$L31:$L34,N31:N34)</f>
        <v>-4.0906175170341008E-2</v>
      </c>
      <c r="X31" s="42">
        <f>bdrate($D31:$D34,G31:G34,$L31:$L34,O31:O34)</f>
        <v>-1.9446072467811049E-2</v>
      </c>
      <c r="Y31" s="40">
        <f>bdrateOld($D31:$D34,E31:E34,$L31:$L34,M31:M34)</f>
        <v>-6.3046132885107298E-3</v>
      </c>
      <c r="Z31" s="44">
        <f>bdrateOld($D31:$D34,F31:F34,$L31:$L34,N31:N34)</f>
        <v>-4.0734702882318063E-2</v>
      </c>
      <c r="AA31" s="45">
        <f>bdrateOld($D31:$D34,G31:G34,$L31:$L34,O31:O34)</f>
        <v>-1.946861696434854E-2</v>
      </c>
    </row>
    <row r="32" spans="1:27" x14ac:dyDescent="0.2">
      <c r="A32" s="16"/>
      <c r="B32" s="85"/>
      <c r="C32" s="16">
        <v>48</v>
      </c>
      <c r="D32" s="17">
        <f>Reference!B102</f>
        <v>3514.0639999999999</v>
      </c>
      <c r="E32" s="18">
        <f>Reference!C102</f>
        <v>42.605499999999999</v>
      </c>
      <c r="F32" s="18">
        <f>Reference!D102</f>
        <v>45.787799999999997</v>
      </c>
      <c r="G32" s="18">
        <f>Reference!E102</f>
        <v>46.650799999999997</v>
      </c>
      <c r="H32" s="18">
        <f>Reference!F102</f>
        <v>60917.785000000003</v>
      </c>
      <c r="I32" s="18">
        <f>Reference!G102</f>
        <v>16.5</v>
      </c>
      <c r="J32" s="19">
        <f t="shared" si="7"/>
        <v>16.921606944444445</v>
      </c>
      <c r="L32" s="17">
        <f>Test!B102</f>
        <v>3501.64</v>
      </c>
      <c r="M32" s="18">
        <f>Test!C102</f>
        <v>42.630899999999997</v>
      </c>
      <c r="N32" s="18">
        <f>Test!D102</f>
        <v>45.914999999999999</v>
      </c>
      <c r="O32" s="18">
        <f>Test!E102</f>
        <v>46.709499999999998</v>
      </c>
      <c r="P32" s="18">
        <f>Test!F102</f>
        <v>62089.3</v>
      </c>
      <c r="Q32" s="18">
        <f>Test!G102</f>
        <v>15.252000000000001</v>
      </c>
      <c r="R32" s="19">
        <f t="shared" si="8"/>
        <v>17.247027777777777</v>
      </c>
      <c r="S32" s="17">
        <f t="shared" si="2"/>
        <v>1.0192310833363361</v>
      </c>
      <c r="T32" s="18">
        <f t="shared" si="2"/>
        <v>0.92436363636363639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1957.2760000000001</v>
      </c>
      <c r="E33" s="18">
        <f>Reference!C103</f>
        <v>39.801600000000001</v>
      </c>
      <c r="F33" s="18">
        <f>Reference!D103</f>
        <v>44.164999999999999</v>
      </c>
      <c r="G33" s="18">
        <f>Reference!E103</f>
        <v>44.7714</v>
      </c>
      <c r="H33" s="18">
        <f>Reference!F103</f>
        <v>36417.644</v>
      </c>
      <c r="I33" s="18">
        <f>Reference!G103</f>
        <v>13.96</v>
      </c>
      <c r="J33" s="19">
        <f t="shared" si="7"/>
        <v>10.116012222222222</v>
      </c>
      <c r="L33" s="17">
        <f>Test!B103</f>
        <v>1952.788</v>
      </c>
      <c r="M33" s="18">
        <f>Test!C103</f>
        <v>39.814900000000002</v>
      </c>
      <c r="N33" s="18">
        <f>Test!D103</f>
        <v>44.2592</v>
      </c>
      <c r="O33" s="18">
        <f>Test!E103</f>
        <v>44.818100000000001</v>
      </c>
      <c r="P33" s="18">
        <f>Test!F103</f>
        <v>39584.514999999999</v>
      </c>
      <c r="Q33" s="18">
        <f>Test!G103</f>
        <v>13.234999999999999</v>
      </c>
      <c r="R33" s="19">
        <f t="shared" si="8"/>
        <v>10.995698611111111</v>
      </c>
      <c r="S33" s="17">
        <f t="shared" si="2"/>
        <v>1.0869597989370208</v>
      </c>
      <c r="T33" s="18">
        <f t="shared" si="2"/>
        <v>0.94806590257879642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992.97199999999998</v>
      </c>
      <c r="E34" s="23">
        <f>Reference!C104</f>
        <v>36.622799999999998</v>
      </c>
      <c r="F34" s="23">
        <f>Reference!D104</f>
        <v>42.489899999999999</v>
      </c>
      <c r="G34" s="23">
        <f>Reference!E104</f>
        <v>42.858699999999999</v>
      </c>
      <c r="H34" s="23">
        <f>Reference!F104</f>
        <v>20542.932000000001</v>
      </c>
      <c r="I34" s="23">
        <f>Reference!G104</f>
        <v>11.705</v>
      </c>
      <c r="J34" s="24">
        <f t="shared" si="7"/>
        <v>5.7063700000000006</v>
      </c>
      <c r="L34" s="22">
        <f>Test!B104</f>
        <v>994.072</v>
      </c>
      <c r="M34" s="23">
        <f>Test!C104</f>
        <v>36.636200000000002</v>
      </c>
      <c r="N34" s="23">
        <f>Test!D104</f>
        <v>42.594499999999996</v>
      </c>
      <c r="O34" s="23">
        <f>Test!E104</f>
        <v>42.903300000000002</v>
      </c>
      <c r="P34" s="23">
        <f>Test!F104</f>
        <v>22767.442999999999</v>
      </c>
      <c r="Q34" s="23">
        <f>Test!G104</f>
        <v>10.952</v>
      </c>
      <c r="R34" s="24">
        <f t="shared" si="8"/>
        <v>6.3242897222222219</v>
      </c>
      <c r="S34" s="17">
        <f t="shared" si="2"/>
        <v>1.1082859545073702</v>
      </c>
      <c r="T34" s="18">
        <f t="shared" si="2"/>
        <v>0.93566851772746684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4187.8280000000004</v>
      </c>
      <c r="E35" s="13">
        <f>Reference!C105</f>
        <v>38.594999999999999</v>
      </c>
      <c r="F35" s="13">
        <f>Reference!D105</f>
        <v>45.962000000000003</v>
      </c>
      <c r="G35" s="13">
        <f>Reference!E105</f>
        <v>46.188200000000002</v>
      </c>
      <c r="H35" s="13">
        <f>Reference!F105</f>
        <v>55278.142</v>
      </c>
      <c r="I35" s="13">
        <f>Reference!G105</f>
        <v>7.1829999999999998</v>
      </c>
      <c r="J35" s="14">
        <f t="shared" si="7"/>
        <v>15.355039444444444</v>
      </c>
      <c r="L35" s="12">
        <f>Test!B105</f>
        <v>4178.2120000000004</v>
      </c>
      <c r="M35" s="13">
        <f>Test!C105</f>
        <v>38.607999999999997</v>
      </c>
      <c r="N35" s="13">
        <f>Test!D105</f>
        <v>46.0565</v>
      </c>
      <c r="O35" s="13">
        <f>Test!E105</f>
        <v>46.276400000000002</v>
      </c>
      <c r="P35" s="13">
        <f>Test!F105</f>
        <v>57262.519</v>
      </c>
      <c r="Q35" s="13">
        <f>Test!G105</f>
        <v>7.1539999999999999</v>
      </c>
      <c r="R35" s="14">
        <f t="shared" si="8"/>
        <v>15.906255277777777</v>
      </c>
      <c r="S35" s="12">
        <f t="shared" si="2"/>
        <v>1.0358980408567278</v>
      </c>
      <c r="T35" s="13">
        <f t="shared" si="2"/>
        <v>0.99596268968397605</v>
      </c>
      <c r="U35" s="90"/>
      <c r="V35" s="37">
        <f>bdrate($D35:$D38,E35:E38,$L35:$L38,M35:M38)</f>
        <v>-7.8554984125912553E-3</v>
      </c>
      <c r="W35" s="42">
        <f>bdrate($D35:$D38,F35:F38,$L35:$L38,N35:N38)</f>
        <v>-6.7542233440373134E-2</v>
      </c>
      <c r="X35" s="42">
        <f>bdrate($D35:$D38,G35:G38,$L35:$L38,O35:O38)</f>
        <v>-7.0796623990419527E-2</v>
      </c>
      <c r="Y35" s="40">
        <f>bdrateOld($D35:$D38,E35:E38,$L35:$L38,M35:M38)</f>
        <v>-7.6820165152540199E-3</v>
      </c>
      <c r="Z35" s="44">
        <f>bdrateOld($D35:$D38,F35:F38,$L35:$L38,N35:N38)</f>
        <v>-6.8923768368182481E-2</v>
      </c>
      <c r="AA35" s="45">
        <f>bdrateOld($D35:$D38,G35:G38,$L35:$L38,O35:O38)</f>
        <v>-7.0587044002084931E-2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1769.2360000000001</v>
      </c>
      <c r="E36" s="18">
        <f>Reference!C106</f>
        <v>36.999600000000001</v>
      </c>
      <c r="F36" s="18">
        <f>Reference!D106</f>
        <v>44.939500000000002</v>
      </c>
      <c r="G36" s="18">
        <f>Reference!E106</f>
        <v>45.103400000000001</v>
      </c>
      <c r="H36" s="18">
        <f>Reference!F106</f>
        <v>29185.89</v>
      </c>
      <c r="I36" s="18">
        <f>Reference!G106</f>
        <v>5.8259999999999996</v>
      </c>
      <c r="J36" s="19">
        <f t="shared" si="7"/>
        <v>8.107191666666667</v>
      </c>
      <c r="L36" s="17">
        <f>Test!B106</f>
        <v>1762.0239999999999</v>
      </c>
      <c r="M36" s="18">
        <f>Test!C106</f>
        <v>37.011400000000002</v>
      </c>
      <c r="N36" s="18">
        <f>Test!D106</f>
        <v>45.013500000000001</v>
      </c>
      <c r="O36" s="18">
        <f>Test!E106</f>
        <v>45.209499999999998</v>
      </c>
      <c r="P36" s="18">
        <f>Test!F106</f>
        <v>30539.178</v>
      </c>
      <c r="Q36" s="18">
        <f>Test!G106</f>
        <v>5.7409999999999997</v>
      </c>
      <c r="R36" s="19">
        <f t="shared" si="8"/>
        <v>8.4831050000000001</v>
      </c>
      <c r="S36" s="17">
        <f t="shared" si="2"/>
        <v>1.0463678853034806</v>
      </c>
      <c r="T36" s="18">
        <f t="shared" si="2"/>
        <v>0.98541023000343286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814.09199999999998</v>
      </c>
      <c r="E37" s="18">
        <f>Reference!C107</f>
        <v>35.008000000000003</v>
      </c>
      <c r="F37" s="18">
        <f>Reference!D107</f>
        <v>43.5625</v>
      </c>
      <c r="G37" s="18">
        <f>Reference!E107</f>
        <v>43.693800000000003</v>
      </c>
      <c r="H37" s="18">
        <f>Reference!F107</f>
        <v>15356.73</v>
      </c>
      <c r="I37" s="18">
        <f>Reference!G107</f>
        <v>4.8739999999999997</v>
      </c>
      <c r="J37" s="19">
        <f t="shared" si="7"/>
        <v>4.2657583333333333</v>
      </c>
      <c r="L37" s="17">
        <f>Test!B107</f>
        <v>813.66800000000001</v>
      </c>
      <c r="M37" s="18">
        <f>Test!C107</f>
        <v>35.026600000000002</v>
      </c>
      <c r="N37" s="18">
        <f>Test!D107</f>
        <v>43.6995</v>
      </c>
      <c r="O37" s="18">
        <f>Test!E107</f>
        <v>43.854999999999997</v>
      </c>
      <c r="P37" s="18">
        <f>Test!F107</f>
        <v>16230.044</v>
      </c>
      <c r="Q37" s="18">
        <f>Test!G107</f>
        <v>4.8339999999999996</v>
      </c>
      <c r="R37" s="19">
        <f t="shared" si="8"/>
        <v>4.5083455555555556</v>
      </c>
      <c r="S37" s="17">
        <f t="shared" si="2"/>
        <v>1.0568684869760685</v>
      </c>
      <c r="T37" s="18">
        <f t="shared" si="2"/>
        <v>0.99179318834632746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393.58800000000002</v>
      </c>
      <c r="E38" s="23">
        <f>Reference!C108</f>
        <v>32.387799999999999</v>
      </c>
      <c r="F38" s="23">
        <f>Reference!D108</f>
        <v>41.8367</v>
      </c>
      <c r="G38" s="23">
        <f>Reference!E108</f>
        <v>42.123899999999999</v>
      </c>
      <c r="H38" s="23">
        <f>Reference!F108</f>
        <v>7805.0029999999997</v>
      </c>
      <c r="I38" s="23">
        <f>Reference!G108</f>
        <v>4.0940000000000003</v>
      </c>
      <c r="J38" s="24">
        <f t="shared" si="7"/>
        <v>2.1680563888888886</v>
      </c>
      <c r="L38" s="22">
        <f>Test!B108</f>
        <v>391.43599999999998</v>
      </c>
      <c r="M38" s="23">
        <f>Test!C108</f>
        <v>32.392899999999997</v>
      </c>
      <c r="N38" s="23">
        <f>Test!D108</f>
        <v>42.061199999999999</v>
      </c>
      <c r="O38" s="23">
        <f>Test!E108</f>
        <v>42.203200000000002</v>
      </c>
      <c r="P38" s="23">
        <f>Test!F108</f>
        <v>8551.5409999999993</v>
      </c>
      <c r="Q38" s="23">
        <f>Test!G108</f>
        <v>4.0540000000000003</v>
      </c>
      <c r="R38" s="24">
        <f t="shared" si="8"/>
        <v>2.3754280555555551</v>
      </c>
      <c r="S38" s="17">
        <f t="shared" si="2"/>
        <v>1.0956486499748943</v>
      </c>
      <c r="T38" s="18">
        <f t="shared" si="2"/>
        <v>0.99022960429897411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2472.6880000000001</v>
      </c>
      <c r="E39" s="13">
        <f>Reference!C109</f>
        <v>40.6143</v>
      </c>
      <c r="F39" s="13">
        <f>Reference!D109</f>
        <v>46.106400000000001</v>
      </c>
      <c r="G39" s="13">
        <f>Reference!E109</f>
        <v>47.214399999999998</v>
      </c>
      <c r="H39" s="13">
        <f>Reference!F109</f>
        <v>42678.713000000003</v>
      </c>
      <c r="I39" s="13">
        <f>Reference!G109</f>
        <v>7.2080000000000002</v>
      </c>
      <c r="J39" s="14">
        <f t="shared" si="7"/>
        <v>11.855198055555556</v>
      </c>
      <c r="L39" s="12">
        <f>Test!B109</f>
        <v>2474.4879999999998</v>
      </c>
      <c r="M39" s="13">
        <f>Test!C109</f>
        <v>40.623399999999997</v>
      </c>
      <c r="N39" s="13">
        <f>Test!D109</f>
        <v>46.116199999999999</v>
      </c>
      <c r="O39" s="13">
        <f>Test!E109</f>
        <v>47.258499999999998</v>
      </c>
      <c r="P39" s="13">
        <f>Test!F109</f>
        <v>45121.449000000001</v>
      </c>
      <c r="Q39" s="13">
        <f>Test!G109</f>
        <v>7.093</v>
      </c>
      <c r="R39" s="14">
        <f t="shared" si="8"/>
        <v>12.533735833333333</v>
      </c>
      <c r="S39" s="17">
        <f t="shared" si="2"/>
        <v>1.0572354653712261</v>
      </c>
      <c r="T39" s="18">
        <f t="shared" si="2"/>
        <v>0.98404550499445054</v>
      </c>
      <c r="U39" s="91"/>
      <c r="V39" s="37">
        <f>bdrate($D39:$D42,E39:E42,$L39:$L42,M39:M42)</f>
        <v>-8.9313924653926513E-3</v>
      </c>
      <c r="W39" s="42">
        <f>bdrate($D39:$D42,F39:F42,$L39:$L42,N39:N42)</f>
        <v>-2.7345214703805465E-2</v>
      </c>
      <c r="X39" s="42">
        <f>bdrate($D39:$D42,G39:G42,$L39:$L42,O39:O42)</f>
        <v>-1.7055431270543431E-2</v>
      </c>
      <c r="Y39" s="40">
        <f>bdrateOld($D39:$D42,E39:E42,$L39:$L42,M39:M42)</f>
        <v>-8.8593334872315577E-3</v>
      </c>
      <c r="Z39" s="44">
        <f>bdrateOld($D39:$D42,F39:F42,$L39:$L42,N39:N42)</f>
        <v>-2.739702402854105E-2</v>
      </c>
      <c r="AA39" s="45">
        <f>bdrateOld($D39:$D42,G39:G42,$L39:$L42,O39:O42)</f>
        <v>-1.7390822931433236E-2</v>
      </c>
    </row>
    <row r="40" spans="1:27" x14ac:dyDescent="0.2">
      <c r="A40" s="16"/>
      <c r="B40" s="85"/>
      <c r="C40" s="16">
        <v>32</v>
      </c>
      <c r="D40" s="17">
        <f>Reference!B110</f>
        <v>1131.26</v>
      </c>
      <c r="E40" s="18">
        <f>Reference!C110</f>
        <v>39.497599999999998</v>
      </c>
      <c r="F40" s="18">
        <f>Reference!D110</f>
        <v>45.560299999999998</v>
      </c>
      <c r="G40" s="18">
        <f>Reference!E110</f>
        <v>46.035600000000002</v>
      </c>
      <c r="H40" s="18">
        <f>Reference!F110</f>
        <v>23400.652999999998</v>
      </c>
      <c r="I40" s="18">
        <f>Reference!G110</f>
        <v>6.2329999999999997</v>
      </c>
      <c r="J40" s="19">
        <f t="shared" si="7"/>
        <v>6.5001813888888886</v>
      </c>
      <c r="L40" s="17">
        <f>Test!B110</f>
        <v>1129.1079999999999</v>
      </c>
      <c r="M40" s="18">
        <f>Test!C110</f>
        <v>39.5092</v>
      </c>
      <c r="N40" s="18">
        <f>Test!D110</f>
        <v>45.578899999999997</v>
      </c>
      <c r="O40" s="18">
        <f>Test!E110</f>
        <v>46.065100000000001</v>
      </c>
      <c r="P40" s="18">
        <f>Test!F110</f>
        <v>25110.633999999998</v>
      </c>
      <c r="Q40" s="18">
        <f>Test!G110</f>
        <v>6.0640000000000001</v>
      </c>
      <c r="R40" s="19">
        <f t="shared" si="8"/>
        <v>6.9751761111111108</v>
      </c>
      <c r="S40" s="17">
        <f t="shared" si="2"/>
        <v>1.0730740719073095</v>
      </c>
      <c r="T40" s="18">
        <f t="shared" si="2"/>
        <v>0.97288625060163647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533.64</v>
      </c>
      <c r="E41" s="18">
        <f>Reference!C111</f>
        <v>37.935299999999998</v>
      </c>
      <c r="F41" s="18">
        <f>Reference!D111</f>
        <v>44.752299999999998</v>
      </c>
      <c r="G41" s="18">
        <f>Reference!E111</f>
        <v>44.426200000000001</v>
      </c>
      <c r="H41" s="18">
        <f>Reference!F111</f>
        <v>11817.421</v>
      </c>
      <c r="I41" s="18">
        <f>Reference!G111</f>
        <v>5.4429999999999996</v>
      </c>
      <c r="J41" s="19">
        <f t="shared" si="7"/>
        <v>3.2826169444444444</v>
      </c>
      <c r="L41" s="17">
        <f>Test!B111</f>
        <v>532.24</v>
      </c>
      <c r="M41" s="18">
        <f>Test!C111</f>
        <v>37.952100000000002</v>
      </c>
      <c r="N41" s="18">
        <f>Test!D111</f>
        <v>44.782299999999999</v>
      </c>
      <c r="O41" s="18">
        <f>Test!E111</f>
        <v>44.485900000000001</v>
      </c>
      <c r="P41" s="18">
        <f>Test!F111</f>
        <v>12915.337</v>
      </c>
      <c r="Q41" s="18">
        <f>Test!G111</f>
        <v>5.0620000000000003</v>
      </c>
      <c r="R41" s="19">
        <f t="shared" si="8"/>
        <v>3.5875936111111111</v>
      </c>
      <c r="S41" s="17">
        <f t="shared" si="2"/>
        <v>1.092906565654215</v>
      </c>
      <c r="T41" s="18">
        <f t="shared" si="2"/>
        <v>0.93000183722212026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242.00800000000001</v>
      </c>
      <c r="E42" s="23">
        <f>Reference!C112</f>
        <v>35.841900000000003</v>
      </c>
      <c r="F42" s="23">
        <f>Reference!D112</f>
        <v>43.587699999999998</v>
      </c>
      <c r="G42" s="23">
        <f>Reference!E112</f>
        <v>42.516199999999998</v>
      </c>
      <c r="H42" s="23">
        <f>Reference!F112</f>
        <v>5876.7659999999996</v>
      </c>
      <c r="I42" s="23">
        <f>Reference!G112</f>
        <v>4.6310000000000002</v>
      </c>
      <c r="J42" s="24">
        <f t="shared" si="7"/>
        <v>1.6324349999999999</v>
      </c>
      <c r="L42" s="22">
        <f>Test!B112</f>
        <v>241.172</v>
      </c>
      <c r="M42" s="23">
        <f>Test!C112</f>
        <v>35.855899999999998</v>
      </c>
      <c r="N42" s="23">
        <f>Test!D112</f>
        <v>43.6524</v>
      </c>
      <c r="O42" s="23">
        <f>Test!E112</f>
        <v>42.4315</v>
      </c>
      <c r="P42" s="23">
        <f>Test!F112</f>
        <v>6536.0550000000003</v>
      </c>
      <c r="Q42" s="23">
        <f>Test!G112</f>
        <v>4.6340000000000003</v>
      </c>
      <c r="R42" s="24">
        <f t="shared" si="8"/>
        <v>1.8155708333333334</v>
      </c>
      <c r="S42" s="17">
        <f t="shared" si="2"/>
        <v>1.112185681716781</v>
      </c>
      <c r="T42" s="18">
        <f t="shared" si="2"/>
        <v>1.0006478082487584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942.20399999999995</v>
      </c>
      <c r="E43" s="13">
        <f>Reference!C113</f>
        <v>43.501100000000001</v>
      </c>
      <c r="F43" s="13">
        <f>Reference!D113</f>
        <v>47.124699999999997</v>
      </c>
      <c r="G43" s="13">
        <f>Reference!E113</f>
        <v>48.166899999999998</v>
      </c>
      <c r="H43" s="13">
        <f>Reference!F113</f>
        <v>18429.93</v>
      </c>
      <c r="I43" s="13">
        <f>Reference!G113</f>
        <v>5.0090000000000003</v>
      </c>
      <c r="J43" s="14">
        <f t="shared" si="7"/>
        <v>5.1194249999999997</v>
      </c>
      <c r="L43" s="12">
        <f>Test!B113</f>
        <v>941.52800000000002</v>
      </c>
      <c r="M43" s="13">
        <f>Test!C113</f>
        <v>43.515999999999998</v>
      </c>
      <c r="N43" s="13">
        <f>Test!D113</f>
        <v>47.164700000000003</v>
      </c>
      <c r="O43" s="13">
        <f>Test!E113</f>
        <v>48.170299999999997</v>
      </c>
      <c r="P43" s="13">
        <f>Test!F113</f>
        <v>19720.375</v>
      </c>
      <c r="Q43" s="13">
        <f>Test!G113</f>
        <v>4.7549999999999999</v>
      </c>
      <c r="R43" s="14">
        <f t="shared" si="8"/>
        <v>5.4778819444444444</v>
      </c>
      <c r="S43" s="17">
        <f t="shared" si="2"/>
        <v>1.0700189854220825</v>
      </c>
      <c r="T43" s="18">
        <f t="shared" si="2"/>
        <v>0.94929127570373317</v>
      </c>
      <c r="U43" s="91"/>
      <c r="V43" s="37">
        <f>bdrate($D43:$D46,E43:E46,$L43:$L46,M43:M46)</f>
        <v>-8.227694045943923E-3</v>
      </c>
      <c r="W43" s="42">
        <f>bdrate($D43:$D46,F43:F46,$L43:$L46,N43:N46)</f>
        <v>-3.9829618351988283E-2</v>
      </c>
      <c r="X43" s="42">
        <f>bdrate($D43:$D46,G43:G46,$L43:$L46,O43:O46)</f>
        <v>-1.0569766051669371E-2</v>
      </c>
      <c r="Y43" s="40">
        <f>bdrateOld($D43:$D46,E43:E46,$L43:$L46,M43:M46)</f>
        <v>-8.6120797032935847E-3</v>
      </c>
      <c r="Z43" s="44">
        <f>bdrateOld($D43:$D46,F43:F46,$L43:$L46,N43:N46)</f>
        <v>-3.9883541837181569E-2</v>
      </c>
      <c r="AA43" s="45">
        <f>bdrateOld($D43:$D46,G43:G46,$L43:$L46,O43:O46)</f>
        <v>-1.0738110482721663E-2</v>
      </c>
    </row>
    <row r="44" spans="1:27" x14ac:dyDescent="0.2">
      <c r="A44" s="16"/>
      <c r="B44" s="85"/>
      <c r="C44" s="16">
        <v>32</v>
      </c>
      <c r="D44" s="17">
        <f>Reference!B114</f>
        <v>512.4</v>
      </c>
      <c r="E44" s="18">
        <f>Reference!C114</f>
        <v>42.223300000000002</v>
      </c>
      <c r="F44" s="18">
        <f>Reference!D114</f>
        <v>46.345500000000001</v>
      </c>
      <c r="G44" s="18">
        <f>Reference!E114</f>
        <v>47.1646</v>
      </c>
      <c r="H44" s="18">
        <f>Reference!F114</f>
        <v>10318.111000000001</v>
      </c>
      <c r="I44" s="18">
        <f>Reference!G114</f>
        <v>4.4939999999999998</v>
      </c>
      <c r="J44" s="19">
        <f t="shared" si="7"/>
        <v>2.8661419444444447</v>
      </c>
      <c r="L44" s="17">
        <f>Test!B114</f>
        <v>512.17600000000004</v>
      </c>
      <c r="M44" s="18">
        <f>Test!C114</f>
        <v>42.242100000000001</v>
      </c>
      <c r="N44" s="18">
        <f>Test!D114</f>
        <v>46.4071</v>
      </c>
      <c r="O44" s="18">
        <f>Test!E114</f>
        <v>47.182099999999998</v>
      </c>
      <c r="P44" s="18">
        <f>Test!F114</f>
        <v>11092.546</v>
      </c>
      <c r="Q44" s="18">
        <f>Test!G114</f>
        <v>4.41</v>
      </c>
      <c r="R44" s="19">
        <f t="shared" si="8"/>
        <v>3.0812627777777779</v>
      </c>
      <c r="S44" s="17">
        <f t="shared" si="2"/>
        <v>1.075055889590643</v>
      </c>
      <c r="T44" s="18">
        <f t="shared" si="2"/>
        <v>0.98130841121495338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293.02</v>
      </c>
      <c r="E45" s="18">
        <f>Reference!C115</f>
        <v>40.446300000000001</v>
      </c>
      <c r="F45" s="18">
        <f>Reference!D115</f>
        <v>45.316800000000001</v>
      </c>
      <c r="G45" s="18">
        <f>Reference!E115</f>
        <v>45.792999999999999</v>
      </c>
      <c r="H45" s="18">
        <f>Reference!F115</f>
        <v>5672.6319999999996</v>
      </c>
      <c r="I45" s="18">
        <f>Reference!G115</f>
        <v>4.3419999999999996</v>
      </c>
      <c r="J45" s="19">
        <f t="shared" si="7"/>
        <v>1.575731111111111</v>
      </c>
      <c r="L45" s="17">
        <f>Test!B115</f>
        <v>292.596</v>
      </c>
      <c r="M45" s="18">
        <f>Test!C115</f>
        <v>40.473700000000001</v>
      </c>
      <c r="N45" s="18">
        <f>Test!D115</f>
        <v>45.404699999999998</v>
      </c>
      <c r="O45" s="18">
        <f>Test!E115</f>
        <v>45.8476</v>
      </c>
      <c r="P45" s="18">
        <f>Test!F115</f>
        <v>6220.0110000000004</v>
      </c>
      <c r="Q45" s="18">
        <f>Test!G115</f>
        <v>4.3079999999999998</v>
      </c>
      <c r="R45" s="19">
        <f t="shared" si="8"/>
        <v>1.7277808333333335</v>
      </c>
      <c r="S45" s="17">
        <f t="shared" si="2"/>
        <v>1.0964947135650613</v>
      </c>
      <c r="T45" s="18">
        <f t="shared" si="2"/>
        <v>0.99216950713956709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163.72399999999999</v>
      </c>
      <c r="E46" s="23">
        <f>Reference!C116</f>
        <v>37.885599999999997</v>
      </c>
      <c r="F46" s="23">
        <f>Reference!D116</f>
        <v>43.615400000000001</v>
      </c>
      <c r="G46" s="23">
        <f>Reference!E116</f>
        <v>43.978499999999997</v>
      </c>
      <c r="H46" s="23">
        <f>Reference!F116</f>
        <v>3235.473</v>
      </c>
      <c r="I46" s="23">
        <f>Reference!G116</f>
        <v>4.327</v>
      </c>
      <c r="J46" s="24">
        <f t="shared" si="7"/>
        <v>0.8987425</v>
      </c>
      <c r="L46" s="22">
        <f>Test!B116</f>
        <v>164.40799999999999</v>
      </c>
      <c r="M46" s="23">
        <f>Test!C116</f>
        <v>37.944200000000002</v>
      </c>
      <c r="N46" s="23">
        <f>Test!D116</f>
        <v>43.776800000000001</v>
      </c>
      <c r="O46" s="23">
        <f>Test!E116</f>
        <v>43.944200000000002</v>
      </c>
      <c r="P46" s="23">
        <f>Test!F116</f>
        <v>3507.9090000000001</v>
      </c>
      <c r="Q46" s="23">
        <f>Test!G116</f>
        <v>4.1559999999999997</v>
      </c>
      <c r="R46" s="24">
        <f t="shared" si="8"/>
        <v>0.97441916666666673</v>
      </c>
      <c r="S46" s="17">
        <f t="shared" si="2"/>
        <v>1.0842028352577815</v>
      </c>
      <c r="T46" s="18">
        <f t="shared" si="2"/>
        <v>0.96048070256528761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1321.2719999999999</v>
      </c>
      <c r="E47" s="13">
        <f>Reference!C117</f>
        <v>42.871299999999998</v>
      </c>
      <c r="F47" s="13">
        <f>Reference!D117</f>
        <v>48.833199999999998</v>
      </c>
      <c r="G47" s="13">
        <f>Reference!E117</f>
        <v>48.4831</v>
      </c>
      <c r="H47" s="13">
        <f>Reference!F117</f>
        <v>21149.31</v>
      </c>
      <c r="I47" s="13">
        <f>Reference!G117</f>
        <v>4.9610000000000003</v>
      </c>
      <c r="J47" s="14">
        <f>H47/3600</f>
        <v>5.8748083333333341</v>
      </c>
      <c r="L47" s="12">
        <f>Test!B117</f>
        <v>1313.84</v>
      </c>
      <c r="M47" s="13">
        <f>Test!C117</f>
        <v>42.8887</v>
      </c>
      <c r="N47" s="13">
        <f>Test!D117</f>
        <v>48.919499999999999</v>
      </c>
      <c r="O47" s="13">
        <f>Test!E117</f>
        <v>48.636200000000002</v>
      </c>
      <c r="P47" s="13">
        <f>Test!F117</f>
        <v>22465.194</v>
      </c>
      <c r="Q47" s="13">
        <f>Test!G117</f>
        <v>4.7380000000000004</v>
      </c>
      <c r="R47" s="14">
        <f>P47/3600</f>
        <v>6.2403316666666662</v>
      </c>
      <c r="S47" s="17">
        <f t="shared" ref="S47:T62" si="9">P47/H47</f>
        <v>1.062218767420781</v>
      </c>
      <c r="T47" s="18">
        <f t="shared" si="9"/>
        <v>0.95504938520459592</v>
      </c>
      <c r="U47" s="91"/>
      <c r="V47" s="72">
        <f>bdrate($D47:$D50,E47:E50,$L47:$L50,M47:M50)</f>
        <v>-1.052888591486012E-2</v>
      </c>
      <c r="W47" s="73">
        <f>bdrate($D47:$D50,F47:F50,$L47:$L50,N47:N50)</f>
        <v>-6.5462806504021587E-2</v>
      </c>
      <c r="X47" s="74">
        <f>bdrate($D47:$D50,G47:G50,$L47:$L50,O47:O50)</f>
        <v>-8.9388313158580424E-2</v>
      </c>
      <c r="Y47" s="37">
        <f>bdrateOld($D47:$D50,E47:E50,$L47:$L50,M47:M50)</f>
        <v>-1.0777986638632164E-2</v>
      </c>
      <c r="Z47" s="42">
        <f>bdrateOld($D47:$D50,F47:F50,$L47:$L50,N47:N50)</f>
        <v>-6.0810761431732474E-2</v>
      </c>
      <c r="AA47" s="43">
        <f>bdrateOld($D47:$D50,G47:G50,$L47:$L50,O47:O50)</f>
        <v>-9.7317466294039146E-2</v>
      </c>
    </row>
    <row r="48" spans="1:27" x14ac:dyDescent="0.2">
      <c r="A48" s="16"/>
      <c r="B48" s="85"/>
      <c r="C48" s="16">
        <v>32</v>
      </c>
      <c r="D48" s="17">
        <f>Reference!B118</f>
        <v>708.45600000000002</v>
      </c>
      <c r="E48" s="18">
        <f>Reference!C118</f>
        <v>41.603000000000002</v>
      </c>
      <c r="F48" s="18">
        <f>Reference!D118</f>
        <v>48.036700000000003</v>
      </c>
      <c r="G48" s="18">
        <f>Reference!E118</f>
        <v>47.447899999999997</v>
      </c>
      <c r="H48" s="18">
        <f>Reference!F118</f>
        <v>11928.617</v>
      </c>
      <c r="I48" s="18">
        <f>Reference!G118</f>
        <v>4.492</v>
      </c>
      <c r="J48" s="19">
        <f t="shared" ref="J48:J70" si="10">H48/3600</f>
        <v>3.3135047222222225</v>
      </c>
      <c r="L48" s="17">
        <f>Test!B118</f>
        <v>708.09199999999998</v>
      </c>
      <c r="M48" s="18">
        <f>Test!C118</f>
        <v>41.622599999999998</v>
      </c>
      <c r="N48" s="18">
        <f>Test!D118</f>
        <v>48.1736</v>
      </c>
      <c r="O48" s="18">
        <f>Test!E118</f>
        <v>47.572699999999998</v>
      </c>
      <c r="P48" s="18">
        <f>Test!F118</f>
        <v>13025.986999999999</v>
      </c>
      <c r="Q48" s="18">
        <f>Test!G118</f>
        <v>4.5069999999999997</v>
      </c>
      <c r="R48" s="19">
        <f t="shared" ref="R48:R70" si="11">P48/3600</f>
        <v>3.6183297222222222</v>
      </c>
      <c r="S48" s="17">
        <f t="shared" si="9"/>
        <v>1.0919947383674067</v>
      </c>
      <c r="T48" s="18">
        <f t="shared" si="9"/>
        <v>1.0033392698130008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402.14400000000001</v>
      </c>
      <c r="E49" s="18">
        <f>Reference!C119</f>
        <v>39.738199999999999</v>
      </c>
      <c r="F49" s="18">
        <f>Reference!D119</f>
        <v>47.016800000000003</v>
      </c>
      <c r="G49" s="18">
        <f>Reference!E119</f>
        <v>45.979799999999997</v>
      </c>
      <c r="H49" s="18">
        <f>Reference!F119</f>
        <v>6853.585</v>
      </c>
      <c r="I49" s="18">
        <f>Reference!G119</f>
        <v>4.1820000000000004</v>
      </c>
      <c r="J49" s="19">
        <f t="shared" si="10"/>
        <v>1.9037736111111112</v>
      </c>
      <c r="L49" s="17">
        <f>Test!B119</f>
        <v>401.84800000000001</v>
      </c>
      <c r="M49" s="18">
        <f>Test!C119</f>
        <v>39.780099999999997</v>
      </c>
      <c r="N49" s="18">
        <f>Test!D119</f>
        <v>47.137300000000003</v>
      </c>
      <c r="O49" s="18">
        <f>Test!E119</f>
        <v>46.276800000000001</v>
      </c>
      <c r="P49" s="18">
        <f>Test!F119</f>
        <v>7516.509</v>
      </c>
      <c r="Q49" s="18">
        <f>Test!G119</f>
        <v>4.266</v>
      </c>
      <c r="R49" s="19">
        <f t="shared" si="11"/>
        <v>2.0879191666666665</v>
      </c>
      <c r="S49" s="17">
        <f t="shared" si="9"/>
        <v>1.0967266036680072</v>
      </c>
      <c r="T49" s="18">
        <f t="shared" si="9"/>
        <v>1.0200860832137733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222.96799999999999</v>
      </c>
      <c r="E50" s="23">
        <f>Reference!C120</f>
        <v>37.013199999999998</v>
      </c>
      <c r="F50" s="23">
        <f>Reference!D120</f>
        <v>45.243899999999996</v>
      </c>
      <c r="G50" s="23">
        <f>Reference!E120</f>
        <v>43.4071</v>
      </c>
      <c r="H50" s="23">
        <f>Reference!F120</f>
        <v>3942.87</v>
      </c>
      <c r="I50" s="23">
        <f>Reference!G120</f>
        <v>4.1079999999999997</v>
      </c>
      <c r="J50" s="24">
        <f t="shared" si="10"/>
        <v>1.0952416666666667</v>
      </c>
      <c r="L50" s="22">
        <f>Test!B120</f>
        <v>221.26</v>
      </c>
      <c r="M50" s="23">
        <f>Test!C120</f>
        <v>37.018000000000001</v>
      </c>
      <c r="N50" s="23">
        <f>Test!D120</f>
        <v>45.451000000000001</v>
      </c>
      <c r="O50" s="23">
        <f>Test!E120</f>
        <v>43.989199999999997</v>
      </c>
      <c r="P50" s="23">
        <f>Test!F120</f>
        <v>4414.4409999999998</v>
      </c>
      <c r="Q50" s="23">
        <f>Test!G120</f>
        <v>4.2309999999999999</v>
      </c>
      <c r="R50" s="24">
        <f t="shared" si="11"/>
        <v>1.226233611111111</v>
      </c>
      <c r="S50" s="22">
        <f t="shared" si="9"/>
        <v>1.1196009505766105</v>
      </c>
      <c r="T50" s="23">
        <f t="shared" si="9"/>
        <v>1.0299415774099319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53.813648730130893</v>
      </c>
      <c r="J75" s="15">
        <f>GEOMEAN(J3:J18)</f>
        <v>55.896060134619603</v>
      </c>
      <c r="Q75" s="15">
        <f>GEOMEAN(Q3:Q18)</f>
        <v>54.637928087536068</v>
      </c>
      <c r="R75" s="15">
        <f>GEOMEAN(R3:R18)</f>
        <v>60.164793627157309</v>
      </c>
      <c r="S75" s="15">
        <f>GEOMEAN(S3:S18)</f>
        <v>1.0763691301722684</v>
      </c>
      <c r="T75" s="15">
        <f>GEOMEAN(T3:T18)</f>
        <v>1.0153172917439373</v>
      </c>
      <c r="V75" s="37">
        <f>AVERAGE(V3:V18)</f>
        <v>-8.3070765745617003E-3</v>
      </c>
      <c r="W75" s="42">
        <f t="shared" ref="W75:AA75" si="16">AVERAGE(W3:W18)</f>
        <v>-4.2353720712633575E-2</v>
      </c>
      <c r="X75" s="42">
        <f t="shared" si="16"/>
        <v>-3.38781929721933E-2</v>
      </c>
      <c r="Y75" s="37">
        <f>AVERAGE(Y3:Y18)</f>
        <v>-8.3612772203589814E-3</v>
      </c>
      <c r="Z75" s="42">
        <f t="shared" si="16"/>
        <v>-4.0777607787219866E-2</v>
      </c>
      <c r="AA75" s="43">
        <f t="shared" si="16"/>
        <v>-3.3813330521118595E-2</v>
      </c>
    </row>
    <row r="76" spans="1:27" x14ac:dyDescent="0.2">
      <c r="B76" s="89" t="s">
        <v>47</v>
      </c>
      <c r="I76" s="15">
        <f>GEOMEAN(I19:I34)</f>
        <v>13.579655925820473</v>
      </c>
      <c r="J76" s="15">
        <f>GEOMEAN(J19:J34)</f>
        <v>13.62724061361396</v>
      </c>
      <c r="Q76" s="15">
        <f>GEOMEAN(Q19:Q34)</f>
        <v>13.019969181720885</v>
      </c>
      <c r="R76" s="15">
        <f>GEOMEAN(R19:R34)</f>
        <v>14.496914038701561</v>
      </c>
      <c r="S76" s="15">
        <f>GEOMEAN(S19:S34)</f>
        <v>1.0638187472978775</v>
      </c>
      <c r="T76" s="15">
        <f>GEOMEAN(T19:T34)</f>
        <v>0.95878490978292041</v>
      </c>
      <c r="V76" s="40">
        <f>AVERAGE(V19:V34)</f>
        <v>-9.5548136878940149E-3</v>
      </c>
      <c r="W76" s="44">
        <f t="shared" ref="W76:AA76" si="17">AVERAGE(W19:W34)</f>
        <v>-4.6762866944833031E-2</v>
      </c>
      <c r="X76" s="44">
        <f t="shared" si="17"/>
        <v>-3.3859193770824914E-2</v>
      </c>
      <c r="Y76" s="40">
        <f t="shared" si="17"/>
        <v>-9.5636431224072338E-3</v>
      </c>
      <c r="Z76" s="44">
        <f t="shared" si="17"/>
        <v>-4.6889541842964705E-2</v>
      </c>
      <c r="AA76" s="45">
        <f t="shared" si="17"/>
        <v>-3.4163402702585388E-2</v>
      </c>
    </row>
    <row r="77" spans="1:27" x14ac:dyDescent="0.2">
      <c r="B77" s="89" t="s">
        <v>51</v>
      </c>
      <c r="I77" s="15">
        <f>GEOMEAN(I35:I50)</f>
        <v>5.0010786708098305</v>
      </c>
      <c r="J77" s="15">
        <f>GEOMEAN(J35:J50)</f>
        <v>3.4490150432830329</v>
      </c>
      <c r="Q77" s="15">
        <f>GEOMEAN(Q35:Q50)</f>
        <v>4.9190367190070292</v>
      </c>
      <c r="R77" s="15">
        <f>GEOMEAN(R35:R50)</f>
        <v>3.7211916515730397</v>
      </c>
      <c r="S77" s="15">
        <f>GEOMEAN(S35:S50)</f>
        <v>1.0789143001333299</v>
      </c>
      <c r="T77" s="15">
        <f>GEOMEAN(T35:T50)</f>
        <v>0.98359514872628151</v>
      </c>
      <c r="V77" s="40">
        <f>AVERAGE(V35:V50)</f>
        <v>-8.8858677096969874E-3</v>
      </c>
      <c r="W77" s="44">
        <f t="shared" ref="W77:AA77" si="18">AVERAGE(W35:W50)</f>
        <v>-5.0044968250047117E-2</v>
      </c>
      <c r="X77" s="44">
        <f t="shared" si="18"/>
        <v>-4.6952533617803188E-2</v>
      </c>
      <c r="Y77" s="40">
        <f t="shared" si="18"/>
        <v>-8.9828540861028316E-3</v>
      </c>
      <c r="Z77" s="44">
        <f t="shared" si="18"/>
        <v>-4.9253773916409394E-2</v>
      </c>
      <c r="AA77" s="45">
        <f t="shared" si="18"/>
        <v>-4.9008360927569744E-2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15.40334220835452</v>
      </c>
      <c r="J80" s="54">
        <f xml:space="preserve"> GEOMEAN(J3:J50)</f>
        <v>13.798379017980082</v>
      </c>
      <c r="K80" s="4"/>
      <c r="L80" s="4"/>
      <c r="M80" s="4"/>
      <c r="N80" s="4"/>
      <c r="O80" s="4"/>
      <c r="P80" s="4"/>
      <c r="Q80" s="54">
        <f xml:space="preserve"> GEOMEAN(Q3:Q50)</f>
        <v>15.181968323916195</v>
      </c>
      <c r="R80" s="54">
        <f xml:space="preserve"> GEOMEAN(R3:R50)</f>
        <v>14.805849971555087</v>
      </c>
      <c r="S80" s="54">
        <f>GEOMEAN(S3:S50)</f>
        <v>1.073013717934709</v>
      </c>
      <c r="T80" s="54">
        <f>GEOMEAN(T3:T50)</f>
        <v>0.98562819150260428</v>
      </c>
      <c r="U80" s="4"/>
      <c r="V80" s="41">
        <f>AVERAGE(V3:V50)</f>
        <v>-8.9159193240509003E-3</v>
      </c>
      <c r="W80" s="46">
        <f t="shared" ref="W80:AA80" si="22">AVERAGE(W3:W50)</f>
        <v>-4.6387185302504574E-2</v>
      </c>
      <c r="X80" s="47">
        <f t="shared" si="22"/>
        <v>-3.8229973453607131E-2</v>
      </c>
      <c r="Y80" s="46">
        <f t="shared" si="22"/>
        <v>-8.9692581429563489E-3</v>
      </c>
      <c r="Z80" s="46">
        <f t="shared" si="22"/>
        <v>-4.5640307848864657E-2</v>
      </c>
      <c r="AA80" s="47">
        <f t="shared" si="22"/>
        <v>-3.8995031383757907E-2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16904.815999999999</v>
      </c>
      <c r="E3" s="13">
        <f>Reference!C145</f>
        <v>40.155299999999997</v>
      </c>
      <c r="F3" s="13">
        <f>Reference!D145</f>
        <v>48.611400000000003</v>
      </c>
      <c r="G3" s="13">
        <f>Reference!E145</f>
        <v>46.481400000000001</v>
      </c>
      <c r="H3" s="13">
        <f>Reference!F145</f>
        <v>207952.375</v>
      </c>
      <c r="I3" s="13">
        <f>Reference!G145</f>
        <v>34.122999999999998</v>
      </c>
      <c r="J3" s="14">
        <f>H3/3600</f>
        <v>57.76454861111111</v>
      </c>
      <c r="L3" s="12">
        <f>Test!B145</f>
        <v>16887.919999999998</v>
      </c>
      <c r="M3" s="13">
        <f>Test!C145</f>
        <v>40.1614</v>
      </c>
      <c r="N3" s="13">
        <f>Test!D145</f>
        <v>48.697800000000001</v>
      </c>
      <c r="O3" s="13">
        <f>Test!E145</f>
        <v>46.558</v>
      </c>
      <c r="P3" s="13">
        <f>Test!F145</f>
        <v>222970.71900000001</v>
      </c>
      <c r="Q3" s="13">
        <f>Test!G145</f>
        <v>35.598999999999997</v>
      </c>
      <c r="R3" s="14">
        <f>P3/3600</f>
        <v>61.936310833333337</v>
      </c>
      <c r="S3" s="12">
        <f t="shared" ref="S3:T3" si="0">P3/H3</f>
        <v>1.0722201128984461</v>
      </c>
      <c r="T3" s="13">
        <f t="shared" si="0"/>
        <v>1.043255282360871</v>
      </c>
      <c r="U3" s="90"/>
      <c r="V3" s="37">
        <f>bdrate($D3:$D6,E3:E6,$L3:$L6,M3:M6)</f>
        <v>-7.7508264659724713E-3</v>
      </c>
      <c r="W3" s="42">
        <f>bdrate($D3:$D6,F3:F6,$L3:$L6,N3:N6)</f>
        <v>-6.4403231398099114E-2</v>
      </c>
      <c r="X3" s="43">
        <f>bdrate($D3:$D6,G3:G6,$L3:$L6,O3:O6)</f>
        <v>-4.2407139240046243E-2</v>
      </c>
      <c r="Y3" s="37">
        <f>bdrateOld($D3:$D6,E3:E6,$L3:$L6,M3:M6)</f>
        <v>-7.4955299975647538E-3</v>
      </c>
      <c r="Z3" s="42">
        <f>bdrateOld($D3:$D6,F3:F6,$L3:$L6,N3:N6)</f>
        <v>-6.8382324584636334E-2</v>
      </c>
      <c r="AA3" s="43">
        <f>bdrateOld($D3:$D6,G3:G6,$L3:$L6,O3:O6)</f>
        <v>-4.2595787463829415E-2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8492.7999999999993</v>
      </c>
      <c r="E4" s="18">
        <f>Reference!C146</f>
        <v>39.540900000000001</v>
      </c>
      <c r="F4" s="18">
        <f>Reference!D146</f>
        <v>47.799700000000001</v>
      </c>
      <c r="G4" s="18">
        <f>Reference!E146</f>
        <v>45.3703</v>
      </c>
      <c r="H4" s="18">
        <f>Reference!F146</f>
        <v>119234.17200000001</v>
      </c>
      <c r="I4" s="18">
        <f>Reference!G146</f>
        <v>31.498000000000001</v>
      </c>
      <c r="J4" s="19">
        <f t="shared" ref="J4:J14" si="1">H4/3600</f>
        <v>33.120603333333335</v>
      </c>
      <c r="L4" s="17">
        <f>Test!B146</f>
        <v>8481.9519999999993</v>
      </c>
      <c r="M4" s="18">
        <f>Test!C146</f>
        <v>39.551400000000001</v>
      </c>
      <c r="N4" s="18">
        <f>Test!D146</f>
        <v>47.838900000000002</v>
      </c>
      <c r="O4" s="18">
        <f>Test!E146</f>
        <v>45.450299999999999</v>
      </c>
      <c r="P4" s="18">
        <f>Test!F146</f>
        <v>129810.156</v>
      </c>
      <c r="Q4" s="18">
        <f>Test!G146</f>
        <v>31.489000000000001</v>
      </c>
      <c r="R4" s="19">
        <f t="shared" ref="R4:R14" si="2">P4/3600</f>
        <v>36.058376666666668</v>
      </c>
      <c r="S4" s="17">
        <f t="shared" ref="S4:S26" si="3">P4/H4</f>
        <v>1.0886992698703857</v>
      </c>
      <c r="T4" s="18">
        <f t="shared" ref="T4:T26" si="4">Q4/I4</f>
        <v>0.99971426757254422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4640.12</v>
      </c>
      <c r="E5" s="18">
        <f>Reference!C147</f>
        <v>38.539499999999997</v>
      </c>
      <c r="F5" s="18">
        <f>Reference!D147</f>
        <v>46.646099999999997</v>
      </c>
      <c r="G5" s="18">
        <f>Reference!E147</f>
        <v>43.985199999999999</v>
      </c>
      <c r="H5" s="18">
        <f>Reference!F147</f>
        <v>61269.800999999999</v>
      </c>
      <c r="I5" s="18">
        <f>Reference!G147</f>
        <v>26.885000000000002</v>
      </c>
      <c r="J5" s="19">
        <f t="shared" si="1"/>
        <v>17.019389166666667</v>
      </c>
      <c r="L5" s="17">
        <f>Test!B147</f>
        <v>4625.3280000000004</v>
      </c>
      <c r="M5" s="18">
        <f>Test!C147</f>
        <v>38.548200000000001</v>
      </c>
      <c r="N5" s="18">
        <f>Test!D147</f>
        <v>46.832999999999998</v>
      </c>
      <c r="O5" s="18">
        <f>Test!E147</f>
        <v>44.0899</v>
      </c>
      <c r="P5" s="18">
        <f>Test!F147</f>
        <v>69991.702999999994</v>
      </c>
      <c r="Q5" s="18">
        <f>Test!G147</f>
        <v>27.562999999999999</v>
      </c>
      <c r="R5" s="19">
        <f t="shared" si="2"/>
        <v>19.442139722222219</v>
      </c>
      <c r="S5" s="17">
        <f t="shared" si="3"/>
        <v>1.1423523800901523</v>
      </c>
      <c r="T5" s="18">
        <f t="shared" si="4"/>
        <v>1.0252185233401523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2523.1759999999999</v>
      </c>
      <c r="E6" s="23">
        <f>Reference!C148</f>
        <v>36.985500000000002</v>
      </c>
      <c r="F6" s="23">
        <f>Reference!D148</f>
        <v>45.305999999999997</v>
      </c>
      <c r="G6" s="23">
        <f>Reference!E148</f>
        <v>42.353000000000002</v>
      </c>
      <c r="H6" s="23">
        <f>Reference!F148</f>
        <v>32470.958999999999</v>
      </c>
      <c r="I6" s="23">
        <f>Reference!G148</f>
        <v>24.599</v>
      </c>
      <c r="J6" s="24">
        <f t="shared" si="1"/>
        <v>9.0197108333333329</v>
      </c>
      <c r="L6" s="22">
        <f>Test!B148</f>
        <v>2520.3359999999998</v>
      </c>
      <c r="M6" s="23">
        <f>Test!C148</f>
        <v>36.998199999999997</v>
      </c>
      <c r="N6" s="23">
        <f>Test!D148</f>
        <v>45.413400000000003</v>
      </c>
      <c r="O6" s="23">
        <f>Test!E148</f>
        <v>42.4377</v>
      </c>
      <c r="P6" s="23">
        <f>Test!F148</f>
        <v>36360.531000000003</v>
      </c>
      <c r="Q6" s="23">
        <f>Test!G148</f>
        <v>24.186</v>
      </c>
      <c r="R6" s="24">
        <f t="shared" si="2"/>
        <v>10.1001475</v>
      </c>
      <c r="S6" s="17">
        <f t="shared" si="3"/>
        <v>1.1197861757024177</v>
      </c>
      <c r="T6" s="18">
        <f t="shared" si="4"/>
        <v>0.98321069962193586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93106.376000000004</v>
      </c>
      <c r="E7" s="13">
        <f>Reference!C149</f>
        <v>41.7027</v>
      </c>
      <c r="F7" s="13">
        <f>Reference!D149</f>
        <v>36.487900000000003</v>
      </c>
      <c r="G7" s="13">
        <f>Reference!E149</f>
        <v>37.486899999999999</v>
      </c>
      <c r="H7" s="13">
        <f>Reference!F149</f>
        <v>391366.06199999998</v>
      </c>
      <c r="I7" s="13">
        <f>Reference!G149</f>
        <v>35.554000000000002</v>
      </c>
      <c r="J7" s="14">
        <f t="shared" si="1"/>
        <v>108.712795</v>
      </c>
      <c r="L7" s="12">
        <f>Test!B149</f>
        <v>92812.032000000007</v>
      </c>
      <c r="M7" s="13">
        <f>Test!C149</f>
        <v>41.731999999999999</v>
      </c>
      <c r="N7" s="13">
        <f>Test!D149</f>
        <v>36.531399999999998</v>
      </c>
      <c r="O7" s="13">
        <f>Test!E149</f>
        <v>37.522500000000001</v>
      </c>
      <c r="P7" s="13">
        <f>Test!F149</f>
        <v>379342.53100000002</v>
      </c>
      <c r="Q7" s="13">
        <f>Test!G149</f>
        <v>36.466999999999999</v>
      </c>
      <c r="R7" s="14">
        <f t="shared" si="2"/>
        <v>105.37292527777778</v>
      </c>
      <c r="S7" s="17">
        <f t="shared" si="3"/>
        <v>0.96927804383814975</v>
      </c>
      <c r="T7" s="18">
        <f t="shared" si="4"/>
        <v>1.0256792484671204</v>
      </c>
      <c r="U7" s="91"/>
      <c r="V7" s="37">
        <f>bdrate($D7:$D10,E7:E10,$L7:$L10,M7:M10)</f>
        <v>-7.6514717687964362E-3</v>
      </c>
      <c r="W7" s="42">
        <f>bdrate($D7:$D10,F7:F10,$L7:$L10,N7:N10)</f>
        <v>-2.1896545954282587E-2</v>
      </c>
      <c r="X7" s="43">
        <f>bdrate($D7:$D10,G7:G10,$L7:$L10,O7:O10)</f>
        <v>-2.6920668619364374E-2</v>
      </c>
      <c r="Y7" s="37">
        <f>bdrateOld($D7:$D10,E7:E10,$L7:$L10,M7:M10)</f>
        <v>-7.6516396430468259E-3</v>
      </c>
      <c r="Z7" s="42">
        <f>bdrateOld($D7:$D10,F7:F10,$L7:$L10,N7:N10)</f>
        <v>-2.1695407545696432E-2</v>
      </c>
      <c r="AA7" s="43">
        <f>bdrateOld($D7:$D10,G7:G10,$L7:$L10,O7:O10)</f>
        <v>-2.6874738876018878E-2</v>
      </c>
    </row>
    <row r="8" spans="1:27" x14ac:dyDescent="0.2">
      <c r="A8" s="16"/>
      <c r="B8" s="85"/>
      <c r="C8" s="16">
        <v>48</v>
      </c>
      <c r="D8" s="17">
        <f>Reference!B150</f>
        <v>47681.552000000003</v>
      </c>
      <c r="E8" s="18">
        <f>Reference!C150</f>
        <v>38.9208</v>
      </c>
      <c r="F8" s="18">
        <f>Reference!D150</f>
        <v>34.177500000000002</v>
      </c>
      <c r="G8" s="18">
        <f>Reference!E150</f>
        <v>35.506700000000002</v>
      </c>
      <c r="H8" s="18">
        <f>Reference!F150</f>
        <v>252222.484</v>
      </c>
      <c r="I8" s="18">
        <f>Reference!G150</f>
        <v>30.202000000000002</v>
      </c>
      <c r="J8" s="19">
        <f t="shared" si="1"/>
        <v>70.061801111111109</v>
      </c>
      <c r="L8" s="17">
        <f>Test!B150</f>
        <v>47515.383999999998</v>
      </c>
      <c r="M8" s="18">
        <f>Test!C150</f>
        <v>38.941600000000001</v>
      </c>
      <c r="N8" s="18">
        <f>Test!D150</f>
        <v>34.2254</v>
      </c>
      <c r="O8" s="18">
        <f>Test!E150</f>
        <v>35.557000000000002</v>
      </c>
      <c r="P8" s="18">
        <f>Test!F150</f>
        <v>265330.53100000002</v>
      </c>
      <c r="Q8" s="18">
        <f>Test!G150</f>
        <v>31.634</v>
      </c>
      <c r="R8" s="19">
        <f t="shared" si="2"/>
        <v>73.70292527777778</v>
      </c>
      <c r="S8" s="17">
        <f t="shared" si="3"/>
        <v>1.0519701764573852</v>
      </c>
      <c r="T8" s="18">
        <f t="shared" si="4"/>
        <v>1.0474140785378452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22093.088</v>
      </c>
      <c r="E9" s="18">
        <f>Reference!C151</f>
        <v>35.815199999999997</v>
      </c>
      <c r="F9" s="18">
        <f>Reference!D151</f>
        <v>32.246699999999997</v>
      </c>
      <c r="G9" s="18">
        <f>Reference!E151</f>
        <v>33.798400000000001</v>
      </c>
      <c r="H9" s="18">
        <f>Reference!F151</f>
        <v>162075.17199999999</v>
      </c>
      <c r="I9" s="18">
        <f>Reference!G151</f>
        <v>27.492999999999999</v>
      </c>
      <c r="J9" s="19">
        <f t="shared" si="1"/>
        <v>45.020881111111109</v>
      </c>
      <c r="L9" s="17">
        <f>Test!B151</f>
        <v>22039.096000000001</v>
      </c>
      <c r="M9" s="18">
        <f>Test!C151</f>
        <v>35.8324</v>
      </c>
      <c r="N9" s="18">
        <f>Test!D151</f>
        <v>32.302300000000002</v>
      </c>
      <c r="O9" s="18">
        <f>Test!E151</f>
        <v>33.858699999999999</v>
      </c>
      <c r="P9" s="18">
        <f>Test!F151</f>
        <v>171939.56200000001</v>
      </c>
      <c r="Q9" s="18">
        <f>Test!G151</f>
        <v>27.873999999999999</v>
      </c>
      <c r="R9" s="19">
        <f t="shared" si="2"/>
        <v>47.760989444444448</v>
      </c>
      <c r="S9" s="17">
        <f t="shared" si="3"/>
        <v>1.0608630543362929</v>
      </c>
      <c r="T9" s="18">
        <f t="shared" si="4"/>
        <v>1.0138580729640272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9291.6640000000007</v>
      </c>
      <c r="E10" s="23">
        <f>Reference!C152</f>
        <v>32.783200000000001</v>
      </c>
      <c r="F10" s="23">
        <f>Reference!D152</f>
        <v>30.573899999999998</v>
      </c>
      <c r="G10" s="23">
        <f>Reference!E152</f>
        <v>32.3187</v>
      </c>
      <c r="H10" s="23">
        <f>Reference!F152</f>
        <v>89991.414000000004</v>
      </c>
      <c r="I10" s="23">
        <f>Reference!G152</f>
        <v>23.690999999999999</v>
      </c>
      <c r="J10" s="24">
        <f t="shared" si="1"/>
        <v>24.997615</v>
      </c>
      <c r="L10" s="22">
        <f>Test!B152</f>
        <v>9267.8960000000006</v>
      </c>
      <c r="M10" s="23">
        <f>Test!C152</f>
        <v>32.791899999999998</v>
      </c>
      <c r="N10" s="23">
        <f>Test!D152</f>
        <v>30.613</v>
      </c>
      <c r="O10" s="23">
        <f>Test!E152</f>
        <v>32.380000000000003</v>
      </c>
      <c r="P10" s="23">
        <f>Test!F152</f>
        <v>98477.945000000007</v>
      </c>
      <c r="Q10" s="23">
        <f>Test!G152</f>
        <v>23.696000000000002</v>
      </c>
      <c r="R10" s="24">
        <f t="shared" si="2"/>
        <v>27.354984722222223</v>
      </c>
      <c r="S10" s="17">
        <f t="shared" si="3"/>
        <v>1.0943037854700228</v>
      </c>
      <c r="T10" s="18">
        <f t="shared" si="4"/>
        <v>1.0002110506099364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46999.207999999999</v>
      </c>
      <c r="E11" s="13">
        <f>Reference!C153</f>
        <v>38.908999999999999</v>
      </c>
      <c r="F11" s="13">
        <f>Reference!D153</f>
        <v>41.106400000000001</v>
      </c>
      <c r="G11" s="13">
        <f>Reference!E153</f>
        <v>41.318300000000001</v>
      </c>
      <c r="H11" s="13">
        <f>Reference!F153</f>
        <v>210236.21900000001</v>
      </c>
      <c r="I11" s="13">
        <f>Reference!G153</f>
        <v>20.093</v>
      </c>
      <c r="J11" s="14">
        <f t="shared" si="1"/>
        <v>58.398949722222227</v>
      </c>
      <c r="L11" s="12">
        <f>Test!B153</f>
        <v>47073.303999999996</v>
      </c>
      <c r="M11" s="13">
        <f>Test!C153</f>
        <v>38.920499999999997</v>
      </c>
      <c r="N11" s="13">
        <f>Test!D153</f>
        <v>41.244199999999999</v>
      </c>
      <c r="O11" s="13">
        <f>Test!E153</f>
        <v>41.406700000000001</v>
      </c>
      <c r="P11" s="13">
        <f>Test!F153</f>
        <v>210986.78099999999</v>
      </c>
      <c r="Q11" s="13">
        <f>Test!G153</f>
        <v>20.306999999999999</v>
      </c>
      <c r="R11" s="14">
        <f t="shared" si="2"/>
        <v>58.607439166666666</v>
      </c>
      <c r="S11" s="17">
        <f t="shared" si="3"/>
        <v>1.0035700889388615</v>
      </c>
      <c r="T11" s="18">
        <f t="shared" si="4"/>
        <v>1.0106504752899019</v>
      </c>
      <c r="U11" s="91"/>
      <c r="V11" s="37">
        <f>bdrate($D11:$D14,E11:E14,$L11:$L14,M11:M14)</f>
        <v>-3.0052287149043844E-3</v>
      </c>
      <c r="W11" s="42">
        <f>bdrate($D11:$D14,F11:F14,$L11:$L14,N11:N14)</f>
        <v>-2.6050497207949275E-2</v>
      </c>
      <c r="X11" s="43">
        <f>bdrate($D11:$D14,G11:G14,$L11:$L14,O11:O14)</f>
        <v>-4.3140051665116697E-2</v>
      </c>
      <c r="Y11" s="37">
        <f>bdrateOld($D11:$D14,E11:E14,$L11:$L14,M11:M14)</f>
        <v>-2.9432490803682487E-3</v>
      </c>
      <c r="Z11" s="42">
        <f>bdrateOld($D11:$D14,F11:F14,$L11:$L14,N11:N14)</f>
        <v>-2.6015104399631506E-2</v>
      </c>
      <c r="AA11" s="43">
        <f>bdrateOld($D11:$D14,G11:G14,$L11:$L14,O11:O14)</f>
        <v>-4.3392587102112246E-2</v>
      </c>
    </row>
    <row r="12" spans="1:27" x14ac:dyDescent="0.2">
      <c r="A12" s="34"/>
      <c r="B12" s="83"/>
      <c r="C12" s="16">
        <v>48</v>
      </c>
      <c r="D12" s="17">
        <f>Reference!B154</f>
        <v>23158.720000000001</v>
      </c>
      <c r="E12" s="18">
        <f>Reference!C154</f>
        <v>37.528300000000002</v>
      </c>
      <c r="F12" s="18">
        <f>Reference!D154</f>
        <v>38.581800000000001</v>
      </c>
      <c r="G12" s="18">
        <f>Reference!E154</f>
        <v>39.865400000000001</v>
      </c>
      <c r="H12" s="18">
        <f>Reference!F154</f>
        <v>122282.156</v>
      </c>
      <c r="I12" s="18">
        <f>Reference!G154</f>
        <v>17.251999999999999</v>
      </c>
      <c r="J12" s="19">
        <f t="shared" si="1"/>
        <v>33.967265555555556</v>
      </c>
      <c r="L12" s="17">
        <f>Test!B154</f>
        <v>23222.704000000002</v>
      </c>
      <c r="M12" s="18">
        <f>Test!C154</f>
        <v>37.542700000000004</v>
      </c>
      <c r="N12" s="18">
        <f>Test!D154</f>
        <v>38.684399999999997</v>
      </c>
      <c r="O12" s="18">
        <f>Test!E154</f>
        <v>39.9739</v>
      </c>
      <c r="P12" s="18">
        <f>Test!F154</f>
        <v>130180.32799999999</v>
      </c>
      <c r="Q12" s="18">
        <f>Test!G154</f>
        <v>17.323</v>
      </c>
      <c r="R12" s="19">
        <f t="shared" si="2"/>
        <v>36.161202222222222</v>
      </c>
      <c r="S12" s="17">
        <f t="shared" si="3"/>
        <v>1.0645897345807347</v>
      </c>
      <c r="T12" s="18">
        <f t="shared" si="4"/>
        <v>1.0041154648736379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12056.976000000001</v>
      </c>
      <c r="E13" s="18">
        <f>Reference!C155</f>
        <v>35.9621</v>
      </c>
      <c r="F13" s="18">
        <f>Reference!D155</f>
        <v>36.381300000000003</v>
      </c>
      <c r="G13" s="18">
        <f>Reference!E155</f>
        <v>38.446100000000001</v>
      </c>
      <c r="H13" s="18">
        <f>Reference!F155</f>
        <v>77638.827999999994</v>
      </c>
      <c r="I13" s="18">
        <f>Reference!G155</f>
        <v>15.471</v>
      </c>
      <c r="J13" s="19">
        <f t="shared" si="1"/>
        <v>21.566341111111111</v>
      </c>
      <c r="L13" s="17">
        <f>Test!B155</f>
        <v>12081.68</v>
      </c>
      <c r="M13" s="18">
        <f>Test!C155</f>
        <v>35.971400000000003</v>
      </c>
      <c r="N13" s="18">
        <f>Test!D155</f>
        <v>36.477800000000002</v>
      </c>
      <c r="O13" s="18">
        <f>Test!E155</f>
        <v>38.561599999999999</v>
      </c>
      <c r="P13" s="18">
        <f>Test!F155</f>
        <v>85541.375</v>
      </c>
      <c r="Q13" s="18">
        <f>Test!G155</f>
        <v>15.525</v>
      </c>
      <c r="R13" s="19">
        <f t="shared" si="2"/>
        <v>23.761493055555555</v>
      </c>
      <c r="S13" s="17">
        <f t="shared" si="3"/>
        <v>1.1017860161413051</v>
      </c>
      <c r="T13" s="18">
        <f t="shared" si="4"/>
        <v>1.0034904013961605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5904.7120000000004</v>
      </c>
      <c r="E14" s="23">
        <f>Reference!C156</f>
        <v>34.030099999999997</v>
      </c>
      <c r="F14" s="23">
        <f>Reference!D156</f>
        <v>33.9771</v>
      </c>
      <c r="G14" s="23">
        <f>Reference!E156</f>
        <v>36.7517</v>
      </c>
      <c r="H14" s="23">
        <f>Reference!F156</f>
        <v>45484.125</v>
      </c>
      <c r="I14" s="23">
        <f>Reference!G156</f>
        <v>14.717000000000001</v>
      </c>
      <c r="J14" s="24">
        <f t="shared" si="1"/>
        <v>12.634479166666667</v>
      </c>
      <c r="L14" s="22">
        <f>Test!B156</f>
        <v>5916.3519999999999</v>
      </c>
      <c r="M14" s="23">
        <f>Test!C156</f>
        <v>34.046799999999998</v>
      </c>
      <c r="N14" s="23">
        <f>Test!D156</f>
        <v>34.036099999999998</v>
      </c>
      <c r="O14" s="23">
        <f>Test!E156</f>
        <v>36.8078</v>
      </c>
      <c r="P14" s="23">
        <f>Test!F156</f>
        <v>49882.811999999998</v>
      </c>
      <c r="Q14" s="23">
        <f>Test!G156</f>
        <v>14.254</v>
      </c>
      <c r="R14" s="24">
        <f t="shared" si="2"/>
        <v>13.856336666666666</v>
      </c>
      <c r="S14" s="17">
        <f t="shared" si="3"/>
        <v>1.0967081811511159</v>
      </c>
      <c r="T14" s="18">
        <f t="shared" si="4"/>
        <v>0.96853978392335383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24521.856</v>
      </c>
      <c r="E15" s="13">
        <f>Reference!C157</f>
        <v>37.524700000000003</v>
      </c>
      <c r="F15" s="13">
        <f>Reference!D157</f>
        <v>44.832700000000003</v>
      </c>
      <c r="G15" s="13">
        <f>Reference!E157</f>
        <v>42.493299999999998</v>
      </c>
      <c r="H15" s="13">
        <f>Reference!F157</f>
        <v>301329.84399999998</v>
      </c>
      <c r="I15" s="13">
        <f>Reference!G157</f>
        <v>33.204999999999998</v>
      </c>
      <c r="J15" s="14">
        <f>H15/3600</f>
        <v>83.702734444444445</v>
      </c>
      <c r="L15" s="12">
        <f>Test!B157</f>
        <v>24448.223999999998</v>
      </c>
      <c r="M15" s="13">
        <f>Test!C157</f>
        <v>37.5336</v>
      </c>
      <c r="N15" s="13">
        <f>Test!D157</f>
        <v>44.872500000000002</v>
      </c>
      <c r="O15" s="13">
        <f>Test!E157</f>
        <v>42.543399999999998</v>
      </c>
      <c r="P15" s="13">
        <f>Test!F157</f>
        <v>299333.78100000002</v>
      </c>
      <c r="Q15" s="13">
        <f>Test!G157</f>
        <v>33.694000000000003</v>
      </c>
      <c r="R15" s="14">
        <f>P15/3600</f>
        <v>83.148272500000004</v>
      </c>
      <c r="S15" s="17">
        <f t="shared" si="3"/>
        <v>0.99337582041823924</v>
      </c>
      <c r="T15" s="18">
        <f t="shared" si="4"/>
        <v>1.0147266977864782</v>
      </c>
      <c r="U15" s="91"/>
      <c r="V15" s="37">
        <f>bdrate($D15:$D18,E15:E18,$L15:$L18,M15:M18)</f>
        <v>-1.3334871715656282E-2</v>
      </c>
      <c r="W15" s="42">
        <f>bdrate($D15:$D18,F15:F18,$L15:$L18,N15:N18)</f>
        <v>-7.7294562023127567E-2</v>
      </c>
      <c r="X15" s="43">
        <f>bdrate($D15:$D18,G15:G18,$L15:$L18,O15:O18)</f>
        <v>-5.5157972368192643E-2</v>
      </c>
      <c r="Y15" s="37">
        <f>bdrateOld($D15:$D18,E15:E18,$L15:$L18,M15:M18)</f>
        <v>-1.2537277360349597E-2</v>
      </c>
      <c r="Z15" s="42">
        <f>bdrateOld($D15:$D18,F15:F18,$L15:$L18,N15:N18)</f>
        <v>-7.4440653349850505E-2</v>
      </c>
      <c r="AA15" s="43">
        <f>bdrateOld($D15:$D18,G15:G18,$L15:$L18,O15:O18)</f>
        <v>-5.4736745316310453E-2</v>
      </c>
    </row>
    <row r="16" spans="1:27" x14ac:dyDescent="0.2">
      <c r="A16" s="16"/>
      <c r="B16" s="85"/>
      <c r="C16" s="16">
        <v>48</v>
      </c>
      <c r="D16" s="17">
        <f>Reference!B158</f>
        <v>10381.912</v>
      </c>
      <c r="E16" s="18">
        <f>Reference!C158</f>
        <v>36.881999999999998</v>
      </c>
      <c r="F16" s="18">
        <f>Reference!D158</f>
        <v>44.121200000000002</v>
      </c>
      <c r="G16" s="18">
        <f>Reference!E158</f>
        <v>41.706299999999999</v>
      </c>
      <c r="H16" s="18">
        <f>Reference!F158</f>
        <v>153359.40599999999</v>
      </c>
      <c r="I16" s="18">
        <f>Reference!G158</f>
        <v>27.273</v>
      </c>
      <c r="J16" s="19">
        <f t="shared" ref="J16:J26" si="5">H16/3600</f>
        <v>42.599834999999999</v>
      </c>
      <c r="L16" s="17">
        <f>Test!B158</f>
        <v>10332.68</v>
      </c>
      <c r="M16" s="18">
        <f>Test!C158</f>
        <v>36.8949</v>
      </c>
      <c r="N16" s="18">
        <f>Test!D158</f>
        <v>44.203200000000002</v>
      </c>
      <c r="O16" s="18">
        <f>Test!E158</f>
        <v>41.756799999999998</v>
      </c>
      <c r="P16" s="18">
        <f>Test!F158</f>
        <v>158223.78099999999</v>
      </c>
      <c r="Q16" s="18">
        <f>Test!G158</f>
        <v>26.370999999999999</v>
      </c>
      <c r="R16" s="19">
        <f t="shared" ref="R16:R26" si="6">P16/3600</f>
        <v>43.951050277777775</v>
      </c>
      <c r="S16" s="17">
        <f t="shared" si="3"/>
        <v>1.0317187913469097</v>
      </c>
      <c r="T16" s="18">
        <f t="shared" si="4"/>
        <v>0.96692699739669263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5213.12</v>
      </c>
      <c r="E17" s="18">
        <f>Reference!C159</f>
        <v>35.859200000000001</v>
      </c>
      <c r="F17" s="18">
        <f>Reference!D159</f>
        <v>43.110900000000001</v>
      </c>
      <c r="G17" s="18">
        <f>Reference!E159</f>
        <v>40.633299999999998</v>
      </c>
      <c r="H17" s="18">
        <f>Reference!F159</f>
        <v>82811.233999999997</v>
      </c>
      <c r="I17" s="18">
        <f>Reference!G159</f>
        <v>23.245000000000001</v>
      </c>
      <c r="J17" s="19">
        <f t="shared" si="5"/>
        <v>23.003120555555554</v>
      </c>
      <c r="L17" s="17">
        <f>Test!B159</f>
        <v>5195.24</v>
      </c>
      <c r="M17" s="18">
        <f>Test!C159</f>
        <v>35.8748</v>
      </c>
      <c r="N17" s="18">
        <f>Test!D159</f>
        <v>43.252200000000002</v>
      </c>
      <c r="O17" s="18">
        <f>Test!E159</f>
        <v>40.7363</v>
      </c>
      <c r="P17" s="18">
        <f>Test!F159</f>
        <v>92230.218999999997</v>
      </c>
      <c r="Q17" s="18">
        <f>Test!G159</f>
        <v>23.654</v>
      </c>
      <c r="R17" s="19">
        <f t="shared" si="6"/>
        <v>25.619505277777776</v>
      </c>
      <c r="S17" s="17">
        <f t="shared" si="3"/>
        <v>1.1137404256045744</v>
      </c>
      <c r="T17" s="18">
        <f t="shared" si="4"/>
        <v>1.0175951817595181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2592.6080000000002</v>
      </c>
      <c r="E18" s="23">
        <f>Reference!C160</f>
        <v>34.271999999999998</v>
      </c>
      <c r="F18" s="23">
        <f>Reference!D160</f>
        <v>41.859699999999997</v>
      </c>
      <c r="G18" s="23">
        <f>Reference!E160</f>
        <v>39.459699999999998</v>
      </c>
      <c r="H18" s="23">
        <f>Reference!F160</f>
        <v>42642.218999999997</v>
      </c>
      <c r="I18" s="23">
        <f>Reference!G160</f>
        <v>18.89</v>
      </c>
      <c r="J18" s="24">
        <f t="shared" si="5"/>
        <v>11.845060833333333</v>
      </c>
      <c r="L18" s="22">
        <f>Test!B160</f>
        <v>2579.7600000000002</v>
      </c>
      <c r="M18" s="23">
        <f>Test!C160</f>
        <v>34.287999999999997</v>
      </c>
      <c r="N18" s="23">
        <f>Test!D160</f>
        <v>41.9602</v>
      </c>
      <c r="O18" s="23">
        <f>Test!E160</f>
        <v>39.522799999999997</v>
      </c>
      <c r="P18" s="23">
        <f>Test!F160</f>
        <v>47009.387000000002</v>
      </c>
      <c r="Q18" s="23">
        <f>Test!G160</f>
        <v>19.213000000000001</v>
      </c>
      <c r="R18" s="24">
        <f t="shared" si="6"/>
        <v>13.058163055555557</v>
      </c>
      <c r="S18" s="17">
        <f t="shared" si="3"/>
        <v>1.102414182526477</v>
      </c>
      <c r="T18" s="18">
        <f t="shared" si="4"/>
        <v>1.0170989941768132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8098.4351999999999</v>
      </c>
      <c r="E19" s="13">
        <f>Reference!C161</f>
        <v>37.986800000000002</v>
      </c>
      <c r="F19" s="13">
        <f>Reference!D161</f>
        <v>39.609499999999997</v>
      </c>
      <c r="G19" s="13">
        <f>Reference!E161</f>
        <v>42.655799999999999</v>
      </c>
      <c r="H19" s="13">
        <f>Reference!F161</f>
        <v>345088.81199999998</v>
      </c>
      <c r="I19" s="13">
        <f>Reference!G161</f>
        <v>28.481999999999999</v>
      </c>
      <c r="J19" s="14">
        <f t="shared" si="5"/>
        <v>95.858003333333329</v>
      </c>
      <c r="L19" s="12">
        <f>Test!B161</f>
        <v>8086.16</v>
      </c>
      <c r="M19" s="13">
        <f>Test!C161</f>
        <v>37.998899999999999</v>
      </c>
      <c r="N19" s="13">
        <f>Test!D161</f>
        <v>39.6753</v>
      </c>
      <c r="O19" s="13">
        <f>Test!E161</f>
        <v>42.795699999999997</v>
      </c>
      <c r="P19" s="13">
        <f>Test!F161</f>
        <v>336112.375</v>
      </c>
      <c r="Q19" s="13">
        <f>Test!G161</f>
        <v>30.381</v>
      </c>
      <c r="R19" s="14">
        <f t="shared" si="6"/>
        <v>93.364548611111104</v>
      </c>
      <c r="S19" s="12">
        <f t="shared" si="3"/>
        <v>0.97398803818652924</v>
      </c>
      <c r="T19" s="13">
        <f t="shared" si="4"/>
        <v>1.0666736886454604</v>
      </c>
      <c r="U19" s="90"/>
      <c r="V19" s="37">
        <f>bdrate($D19:$D22,E19:E22,$L19:$L22,M19:M22)</f>
        <v>-1.2586489073733054E-2</v>
      </c>
      <c r="W19" s="42">
        <f>bdrate($D19:$D22,F19:F22,$L19:$L22,N19:N22)</f>
        <v>-8.5885358233614539E-2</v>
      </c>
      <c r="X19" s="43">
        <f>bdrate($D19:$D22,G19:G22,$L19:$L22,O19:O22)</f>
        <v>-7.8158360696451989E-2</v>
      </c>
      <c r="Y19" s="37">
        <f>bdrateOld($D19:$D22,E19:E22,$L19:$L22,M19:M22)</f>
        <v>-1.2587545356068763E-2</v>
      </c>
      <c r="Z19" s="42">
        <f>bdrateOld($D19:$D22,F19:F22,$L19:$L22,N19:N22)</f>
        <v>-8.7156577452345396E-2</v>
      </c>
      <c r="AA19" s="43">
        <f>bdrateOld($D19:$D22,G19:G22,$L19:$L22,O19:O22)</f>
        <v>-7.7787686768259312E-2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3857.24</v>
      </c>
      <c r="E20" s="18">
        <f>Reference!C162</f>
        <v>36.638599999999997</v>
      </c>
      <c r="F20" s="18">
        <f>Reference!D162</f>
        <v>38.949399999999997</v>
      </c>
      <c r="G20" s="18">
        <f>Reference!E162</f>
        <v>41.442</v>
      </c>
      <c r="H20" s="18">
        <f>Reference!F162</f>
        <v>209651.891</v>
      </c>
      <c r="I20" s="18">
        <f>Reference!G162</f>
        <v>24.66</v>
      </c>
      <c r="J20" s="19">
        <f t="shared" si="5"/>
        <v>58.23663638888889</v>
      </c>
      <c r="L20" s="17">
        <f>Test!B162</f>
        <v>3842.8591999999999</v>
      </c>
      <c r="M20" s="18">
        <f>Test!C162</f>
        <v>36.655799999999999</v>
      </c>
      <c r="N20" s="18">
        <f>Test!D162</f>
        <v>39.021099999999997</v>
      </c>
      <c r="O20" s="18">
        <f>Test!E162</f>
        <v>41.598100000000002</v>
      </c>
      <c r="P20" s="18">
        <f>Test!F162</f>
        <v>212163.234</v>
      </c>
      <c r="Q20" s="18">
        <f>Test!G162</f>
        <v>24.43</v>
      </c>
      <c r="R20" s="19">
        <f t="shared" si="6"/>
        <v>58.934231666666669</v>
      </c>
      <c r="S20" s="17">
        <f t="shared" si="3"/>
        <v>1.0119786327135967</v>
      </c>
      <c r="T20" s="18">
        <f t="shared" si="4"/>
        <v>0.99067315490673158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1893.7472</v>
      </c>
      <c r="E21" s="18">
        <f>Reference!C163</f>
        <v>34.789200000000001</v>
      </c>
      <c r="F21" s="18">
        <f>Reference!D163</f>
        <v>38.059800000000003</v>
      </c>
      <c r="G21" s="18">
        <f>Reference!E163</f>
        <v>39.917700000000004</v>
      </c>
      <c r="H21" s="18">
        <f>Reference!F163</f>
        <v>118901.266</v>
      </c>
      <c r="I21" s="18">
        <f>Reference!G163</f>
        <v>20.327999999999999</v>
      </c>
      <c r="J21" s="19">
        <f t="shared" si="5"/>
        <v>33.028129444444446</v>
      </c>
      <c r="L21" s="17">
        <f>Test!B163</f>
        <v>1888.4623999999999</v>
      </c>
      <c r="M21" s="18">
        <f>Test!C163</f>
        <v>34.820399999999999</v>
      </c>
      <c r="N21" s="18">
        <f>Test!D163</f>
        <v>38.194699999999997</v>
      </c>
      <c r="O21" s="18">
        <f>Test!E163</f>
        <v>40.083599999999997</v>
      </c>
      <c r="P21" s="18">
        <f>Test!F163</f>
        <v>132302.84400000001</v>
      </c>
      <c r="Q21" s="18">
        <f>Test!G163</f>
        <v>20.983000000000001</v>
      </c>
      <c r="R21" s="19">
        <f t="shared" si="6"/>
        <v>36.750790000000002</v>
      </c>
      <c r="S21" s="17">
        <f t="shared" si="3"/>
        <v>1.1127118192332788</v>
      </c>
      <c r="T21" s="18">
        <f t="shared" si="4"/>
        <v>1.0322215663124754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905.65920000000006</v>
      </c>
      <c r="E22" s="23">
        <f>Reference!C164</f>
        <v>32.470199999999998</v>
      </c>
      <c r="F22" s="23">
        <f>Reference!D164</f>
        <v>36.9771</v>
      </c>
      <c r="G22" s="23">
        <f>Reference!E164</f>
        <v>38.200699999999998</v>
      </c>
      <c r="H22" s="23">
        <f>Reference!F164</f>
        <v>70028.077999999994</v>
      </c>
      <c r="I22" s="23">
        <f>Reference!G164</f>
        <v>16.495000000000001</v>
      </c>
      <c r="J22" s="24">
        <f t="shared" si="5"/>
        <v>19.452243888888887</v>
      </c>
      <c r="L22" s="22">
        <f>Test!B164</f>
        <v>903.63520000000005</v>
      </c>
      <c r="M22" s="23">
        <f>Test!C164</f>
        <v>32.508600000000001</v>
      </c>
      <c r="N22" s="23">
        <f>Test!D164</f>
        <v>37.104799999999997</v>
      </c>
      <c r="O22" s="23">
        <f>Test!E164</f>
        <v>38.369199999999999</v>
      </c>
      <c r="P22" s="23">
        <f>Test!F164</f>
        <v>75955.773000000001</v>
      </c>
      <c r="Q22" s="23">
        <f>Test!G164</f>
        <v>16.89</v>
      </c>
      <c r="R22" s="24">
        <f t="shared" si="6"/>
        <v>21.098825833333333</v>
      </c>
      <c r="S22" s="17">
        <f t="shared" si="3"/>
        <v>1.0846474038599203</v>
      </c>
      <c r="T22" s="18">
        <f t="shared" si="4"/>
        <v>1.0239466505001515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9438.44</v>
      </c>
      <c r="E23" s="13">
        <f>Reference!C165</f>
        <v>38.714599999999997</v>
      </c>
      <c r="F23" s="13">
        <f>Reference!D165</f>
        <v>43.552199999999999</v>
      </c>
      <c r="G23" s="13">
        <f>Reference!E165</f>
        <v>44.424399999999999</v>
      </c>
      <c r="H23" s="13">
        <f>Reference!F165</f>
        <v>371437.34399999998</v>
      </c>
      <c r="I23" s="13">
        <f>Reference!G165</f>
        <v>38.741999999999997</v>
      </c>
      <c r="J23" s="14">
        <f t="shared" si="5"/>
        <v>103.17703999999999</v>
      </c>
      <c r="L23" s="12">
        <f>Test!B165</f>
        <v>9416.9887999999992</v>
      </c>
      <c r="M23" s="13">
        <f>Test!C165</f>
        <v>38.732100000000003</v>
      </c>
      <c r="N23" s="13">
        <f>Test!D165</f>
        <v>43.615900000000003</v>
      </c>
      <c r="O23" s="13">
        <f>Test!E165</f>
        <v>44.523099999999999</v>
      </c>
      <c r="P23" s="13">
        <f>Test!F165</f>
        <v>374298.09399999998</v>
      </c>
      <c r="Q23" s="13">
        <f>Test!G165</f>
        <v>40.371000000000002</v>
      </c>
      <c r="R23" s="14">
        <f t="shared" si="6"/>
        <v>103.97169277777778</v>
      </c>
      <c r="S23" s="17">
        <f t="shared" si="3"/>
        <v>1.0077018373252207</v>
      </c>
      <c r="T23" s="18">
        <f t="shared" si="4"/>
        <v>1.042047390428992</v>
      </c>
      <c r="U23" s="91"/>
      <c r="V23" s="37">
        <f>bdrate($D23:$D26,E23:E26,$L23:$L26,M23:M26)</f>
        <v>-1.1554674854206803E-2</v>
      </c>
      <c r="W23" s="42">
        <f>bdrate($D23:$D26,F23:F26,$L23:$L26,N23:N26)</f>
        <v>-5.5043835984378786E-2</v>
      </c>
      <c r="X23" s="43">
        <f>bdrate($D23:$D26,G23:G26,$L23:$L26,O23:O26)</f>
        <v>-5.1632457627369677E-2</v>
      </c>
      <c r="Y23" s="37">
        <f>bdrateOld($D23:$D26,E23:E26,$L23:$L26,M23:M26)</f>
        <v>-1.1460353742206553E-2</v>
      </c>
      <c r="Z23" s="42">
        <f>bdrateOld($D23:$D26,F23:F26,$L23:$L26,N23:N26)</f>
        <v>-5.503066792078648E-2</v>
      </c>
      <c r="AA23" s="43">
        <f>bdrateOld($D23:$D26,G23:G26,$L23:$L26,O23:O26)</f>
        <v>-5.1671068122608688E-2</v>
      </c>
    </row>
    <row r="24" spans="1:27" x14ac:dyDescent="0.2">
      <c r="A24" s="34"/>
      <c r="B24" s="85"/>
      <c r="C24" s="16">
        <v>32</v>
      </c>
      <c r="D24" s="17">
        <f>Reference!B166</f>
        <v>4837.7536</v>
      </c>
      <c r="E24" s="18">
        <f>Reference!C166</f>
        <v>37.4818</v>
      </c>
      <c r="F24" s="18">
        <f>Reference!D166</f>
        <v>42.559699999999999</v>
      </c>
      <c r="G24" s="18">
        <f>Reference!E166</f>
        <v>42.904600000000002</v>
      </c>
      <c r="H24" s="18">
        <f>Reference!F166</f>
        <v>229367</v>
      </c>
      <c r="I24" s="18">
        <f>Reference!G166</f>
        <v>34.667999999999999</v>
      </c>
      <c r="J24" s="19">
        <f t="shared" si="5"/>
        <v>63.713055555555556</v>
      </c>
      <c r="L24" s="17">
        <f>Test!B166</f>
        <v>4823.6144000000004</v>
      </c>
      <c r="M24" s="18">
        <f>Test!C166</f>
        <v>37.5047</v>
      </c>
      <c r="N24" s="18">
        <f>Test!D166</f>
        <v>42.640799999999999</v>
      </c>
      <c r="O24" s="18">
        <f>Test!E166</f>
        <v>43.022799999999997</v>
      </c>
      <c r="P24" s="18">
        <f>Test!F166</f>
        <v>241144.93799999999</v>
      </c>
      <c r="Q24" s="18">
        <f>Test!G166</f>
        <v>35.200000000000003</v>
      </c>
      <c r="R24" s="19">
        <f t="shared" si="6"/>
        <v>66.984705000000005</v>
      </c>
      <c r="S24" s="17">
        <f t="shared" si="3"/>
        <v>1.0513497495280488</v>
      </c>
      <c r="T24" s="18">
        <f t="shared" si="4"/>
        <v>1.015345563632168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2465.7375999999999</v>
      </c>
      <c r="E25" s="18">
        <f>Reference!C167</f>
        <v>35.799700000000001</v>
      </c>
      <c r="F25" s="18">
        <f>Reference!D167</f>
        <v>41.296900000000001</v>
      </c>
      <c r="G25" s="18">
        <f>Reference!E167</f>
        <v>41.140700000000002</v>
      </c>
      <c r="H25" s="18">
        <f>Reference!F167</f>
        <v>132535.84400000001</v>
      </c>
      <c r="I25" s="18">
        <f>Reference!G167</f>
        <v>29.023</v>
      </c>
      <c r="J25" s="19">
        <f t="shared" si="5"/>
        <v>36.815512222222225</v>
      </c>
      <c r="L25" s="17">
        <f>Test!B167</f>
        <v>2457.2656000000002</v>
      </c>
      <c r="M25" s="18">
        <f>Test!C167</f>
        <v>35.821599999999997</v>
      </c>
      <c r="N25" s="18">
        <f>Test!D167</f>
        <v>41.404699999999998</v>
      </c>
      <c r="O25" s="18">
        <f>Test!E167</f>
        <v>41.284300000000002</v>
      </c>
      <c r="P25" s="18">
        <f>Test!F167</f>
        <v>141773.891</v>
      </c>
      <c r="Q25" s="18">
        <f>Test!G167</f>
        <v>28.1</v>
      </c>
      <c r="R25" s="19">
        <f t="shared" si="6"/>
        <v>39.381636388888893</v>
      </c>
      <c r="S25" s="17">
        <f t="shared" si="3"/>
        <v>1.0697022535277323</v>
      </c>
      <c r="T25" s="18">
        <f t="shared" si="4"/>
        <v>0.96819763635737177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1225.24</v>
      </c>
      <c r="E26" s="23">
        <f>Reference!C168</f>
        <v>33.713200000000001</v>
      </c>
      <c r="F26" s="23">
        <f>Reference!D168</f>
        <v>39.895099999999999</v>
      </c>
      <c r="G26" s="23">
        <f>Reference!E168</f>
        <v>39.244999999999997</v>
      </c>
      <c r="H26" s="23">
        <f>Reference!F168</f>
        <v>74038.093999999997</v>
      </c>
      <c r="I26" s="23">
        <f>Reference!G168</f>
        <v>24.382000000000001</v>
      </c>
      <c r="J26" s="24">
        <f t="shared" si="5"/>
        <v>20.566137222222221</v>
      </c>
      <c r="L26" s="22">
        <f>Test!B168</f>
        <v>1223.4064000000001</v>
      </c>
      <c r="M26" s="23">
        <f>Test!C168</f>
        <v>33.732999999999997</v>
      </c>
      <c r="N26" s="23">
        <f>Test!D168</f>
        <v>40.025300000000001</v>
      </c>
      <c r="O26" s="23">
        <f>Test!E168</f>
        <v>39.371000000000002</v>
      </c>
      <c r="P26" s="23">
        <f>Test!F168</f>
        <v>82618.241999999998</v>
      </c>
      <c r="Q26" s="23">
        <f>Test!G168</f>
        <v>24.475999999999999</v>
      </c>
      <c r="R26" s="24">
        <f t="shared" si="6"/>
        <v>22.949511666666666</v>
      </c>
      <c r="S26" s="17">
        <f t="shared" si="3"/>
        <v>1.115888288534278</v>
      </c>
      <c r="T26" s="18">
        <f t="shared" si="4"/>
        <v>1.0038553030924451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6457.6815999999999</v>
      </c>
      <c r="E27" s="13">
        <f>Reference!C169</f>
        <v>39.820099999999996</v>
      </c>
      <c r="F27" s="13">
        <f>Reference!D169</f>
        <v>43.562899999999999</v>
      </c>
      <c r="G27" s="13">
        <f>Reference!E169</f>
        <v>44.409500000000001</v>
      </c>
      <c r="H27" s="13">
        <f>Reference!F169</f>
        <v>322627.5</v>
      </c>
      <c r="I27" s="13">
        <f>Reference!G169</f>
        <v>40.841000000000001</v>
      </c>
      <c r="J27" s="14">
        <f>H27/3600</f>
        <v>89.618750000000006</v>
      </c>
      <c r="L27" s="12">
        <f>Test!B169</f>
        <v>6437.4607999999998</v>
      </c>
      <c r="M27" s="13">
        <f>Test!C169</f>
        <v>39.83</v>
      </c>
      <c r="N27" s="13">
        <f>Test!D169</f>
        <v>43.669899999999998</v>
      </c>
      <c r="O27" s="13">
        <f>Test!E169</f>
        <v>44.481999999999999</v>
      </c>
      <c r="P27" s="13">
        <f>Test!F169</f>
        <v>341738.53100000002</v>
      </c>
      <c r="Q27" s="13">
        <f>Test!G169</f>
        <v>42.128</v>
      </c>
      <c r="R27" s="14">
        <f>P27/3600</f>
        <v>94.927369722222224</v>
      </c>
      <c r="S27" s="17">
        <f t="shared" ref="S27:T46" si="7">P27/H27</f>
        <v>1.0592355921302432</v>
      </c>
      <c r="T27" s="18">
        <f t="shared" si="7"/>
        <v>1.0315124507235376</v>
      </c>
      <c r="U27" s="91"/>
      <c r="V27" s="37">
        <f>bdrate($D27:$D30,E27:E30,$L27:$L30,M27:M30)</f>
        <v>-7.5299032602246241E-3</v>
      </c>
      <c r="W27" s="42">
        <f>bdrate($D27:$D30,F27:F30,$L27:$L30,N27:N30)</f>
        <v>-9.4878507621571906E-2</v>
      </c>
      <c r="X27" s="43">
        <f>bdrate($D27:$D30,G27:G30,$L27:$L30,O27:O30)</f>
        <v>-5.789988073450647E-2</v>
      </c>
      <c r="Y27" s="37">
        <f>bdrateOld($D27:$D30,E27:E30,$L27:$L30,M27:M30)</f>
        <v>-7.3766262726833176E-3</v>
      </c>
      <c r="Z27" s="42">
        <f>bdrateOld($D27:$D30,F27:F30,$L27:$L30,N27:N30)</f>
        <v>-9.4615119613158716E-2</v>
      </c>
      <c r="AA27" s="43">
        <f>bdrateOld($D27:$D30,G27:G30,$L27:$L30,O27:O30)</f>
        <v>-5.7489393220890306E-2</v>
      </c>
    </row>
    <row r="28" spans="1:27" x14ac:dyDescent="0.2">
      <c r="A28" s="16"/>
      <c r="B28" s="85"/>
      <c r="C28" s="16">
        <v>48</v>
      </c>
      <c r="D28" s="17">
        <f>Reference!B170</f>
        <v>3097.3312000000001</v>
      </c>
      <c r="E28" s="18">
        <f>Reference!C170</f>
        <v>38.519599999999997</v>
      </c>
      <c r="F28" s="18">
        <f>Reference!D170</f>
        <v>42.686900000000001</v>
      </c>
      <c r="G28" s="18">
        <f>Reference!E170</f>
        <v>43.520200000000003</v>
      </c>
      <c r="H28" s="18">
        <f>Reference!F170</f>
        <v>189483.15599999999</v>
      </c>
      <c r="I28" s="18">
        <f>Reference!G170</f>
        <v>34.697000000000003</v>
      </c>
      <c r="J28" s="19">
        <f t="shared" ref="J28:J46" si="8">H28/3600</f>
        <v>52.634209999999996</v>
      </c>
      <c r="L28" s="17">
        <f>Test!B170</f>
        <v>3082.4672</v>
      </c>
      <c r="M28" s="18">
        <f>Test!C170</f>
        <v>38.530299999999997</v>
      </c>
      <c r="N28" s="18">
        <f>Test!D170</f>
        <v>42.802100000000003</v>
      </c>
      <c r="O28" s="18">
        <f>Test!E170</f>
        <v>43.6023</v>
      </c>
      <c r="P28" s="18">
        <f>Test!F170</f>
        <v>202054.56200000001</v>
      </c>
      <c r="Q28" s="18">
        <f>Test!G170</f>
        <v>34.99</v>
      </c>
      <c r="R28" s="19">
        <f t="shared" ref="R28:R46" si="9">P28/3600</f>
        <v>56.126267222222225</v>
      </c>
      <c r="S28" s="17">
        <f t="shared" si="7"/>
        <v>1.0663457705971502</v>
      </c>
      <c r="T28" s="18">
        <f t="shared" si="7"/>
        <v>1.0084445341095771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1496.5920000000001</v>
      </c>
      <c r="E29" s="18">
        <f>Reference!C171</f>
        <v>36.702500000000001</v>
      </c>
      <c r="F29" s="18">
        <f>Reference!D171</f>
        <v>41.512099999999997</v>
      </c>
      <c r="G29" s="18">
        <f>Reference!E171</f>
        <v>42.242600000000003</v>
      </c>
      <c r="H29" s="18">
        <f>Reference!F171</f>
        <v>102951.79700000001</v>
      </c>
      <c r="I29" s="18">
        <f>Reference!G171</f>
        <v>29.189</v>
      </c>
      <c r="J29" s="19">
        <f t="shared" si="8"/>
        <v>28.597721388888889</v>
      </c>
      <c r="L29" s="17">
        <f>Test!B171</f>
        <v>1491.5344</v>
      </c>
      <c r="M29" s="18">
        <f>Test!C171</f>
        <v>36.711599999999997</v>
      </c>
      <c r="N29" s="18">
        <f>Test!D171</f>
        <v>41.682499999999997</v>
      </c>
      <c r="O29" s="18">
        <f>Test!E171</f>
        <v>42.345199999999998</v>
      </c>
      <c r="P29" s="18">
        <f>Test!F171</f>
        <v>113508.5</v>
      </c>
      <c r="Q29" s="18">
        <f>Test!G171</f>
        <v>28.9</v>
      </c>
      <c r="R29" s="19">
        <f t="shared" si="9"/>
        <v>31.530138888888889</v>
      </c>
      <c r="S29" s="17">
        <f t="shared" si="7"/>
        <v>1.1025402499773753</v>
      </c>
      <c r="T29" s="18">
        <f t="shared" si="7"/>
        <v>0.99009900990099009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703.2672</v>
      </c>
      <c r="E30" s="23">
        <f>Reference!C172</f>
        <v>34.409999999999997</v>
      </c>
      <c r="F30" s="23">
        <f>Reference!D172</f>
        <v>40.356099999999998</v>
      </c>
      <c r="G30" s="23">
        <f>Reference!E172</f>
        <v>40.905099999999997</v>
      </c>
      <c r="H30" s="23">
        <f>Reference!F172</f>
        <v>54888.288999999997</v>
      </c>
      <c r="I30" s="23">
        <f>Reference!G172</f>
        <v>24.846</v>
      </c>
      <c r="J30" s="24">
        <f t="shared" si="8"/>
        <v>15.246746944444444</v>
      </c>
      <c r="L30" s="22">
        <f>Test!B172</f>
        <v>701.58879999999999</v>
      </c>
      <c r="M30" s="23">
        <f>Test!C172</f>
        <v>34.418100000000003</v>
      </c>
      <c r="N30" s="23">
        <f>Test!D172</f>
        <v>40.492899999999999</v>
      </c>
      <c r="O30" s="23">
        <f>Test!E172</f>
        <v>40.983899999999998</v>
      </c>
      <c r="P30" s="23">
        <f>Test!F172</f>
        <v>62573.027000000002</v>
      </c>
      <c r="Q30" s="23">
        <f>Test!G172</f>
        <v>24.268000000000001</v>
      </c>
      <c r="R30" s="24">
        <f t="shared" si="9"/>
        <v>17.381396388888888</v>
      </c>
      <c r="S30" s="17">
        <f t="shared" si="7"/>
        <v>1.1400068783342838</v>
      </c>
      <c r="T30" s="18">
        <f t="shared" si="7"/>
        <v>0.97673669806004992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6885.3616000000002</v>
      </c>
      <c r="E31" s="13">
        <f>Reference!C173</f>
        <v>43.332299999999996</v>
      </c>
      <c r="F31" s="13">
        <f>Reference!D173</f>
        <v>46.180399999999999</v>
      </c>
      <c r="G31" s="13">
        <f>Reference!E173</f>
        <v>47.020800000000001</v>
      </c>
      <c r="H31" s="13">
        <f>Reference!F173</f>
        <v>266727.96899999998</v>
      </c>
      <c r="I31" s="13">
        <f>Reference!G173</f>
        <v>41.281999999999996</v>
      </c>
      <c r="J31" s="14">
        <f t="shared" si="8"/>
        <v>74.091102499999991</v>
      </c>
      <c r="L31" s="12">
        <f>Test!B173</f>
        <v>6866.3824000000004</v>
      </c>
      <c r="M31" s="13">
        <f>Test!C173</f>
        <v>43.357999999999997</v>
      </c>
      <c r="N31" s="13">
        <f>Test!D173</f>
        <v>46.358199999999997</v>
      </c>
      <c r="O31" s="13">
        <f>Test!E173</f>
        <v>47.151000000000003</v>
      </c>
      <c r="P31" s="13">
        <f>Test!F173</f>
        <v>283992.125</v>
      </c>
      <c r="Q31" s="13">
        <f>Test!G173</f>
        <v>41.585000000000001</v>
      </c>
      <c r="R31" s="14">
        <f t="shared" si="9"/>
        <v>78.886701388888895</v>
      </c>
      <c r="S31" s="17">
        <f t="shared" si="7"/>
        <v>1.0647257056120725</v>
      </c>
      <c r="T31" s="18">
        <f t="shared" si="7"/>
        <v>1.0073397606705103</v>
      </c>
      <c r="U31" s="91"/>
      <c r="V31" s="37">
        <f>bdrate($D31:$D34,E31:E34,$L31:$L34,M31:M34)</f>
        <v>-6.3748222941836241E-3</v>
      </c>
      <c r="W31" s="42">
        <f>bdrate($D31:$D34,F31:F34,$L31:$L34,N31:N34)</f>
        <v>-6.6262357642120073E-2</v>
      </c>
      <c r="X31" s="42">
        <f>bdrate($D31:$D34,G31:G34,$L31:$L34,O31:O34)</f>
        <v>-3.8969721697798998E-2</v>
      </c>
      <c r="Y31" s="40">
        <f>bdrateOld($D31:$D34,E31:E34,$L31:$L34,M31:M34)</f>
        <v>-6.4076971752641265E-3</v>
      </c>
      <c r="Z31" s="44">
        <f>bdrateOld($D31:$D34,F31:F34,$L31:$L34,N31:N34)</f>
        <v>-6.6251703802759687E-2</v>
      </c>
      <c r="AA31" s="45">
        <f>bdrateOld($D31:$D34,G31:G34,$L31:$L34,O31:O34)</f>
        <v>-3.8996720634073001E-2</v>
      </c>
    </row>
    <row r="32" spans="1:27" x14ac:dyDescent="0.2">
      <c r="A32" s="16"/>
      <c r="B32" s="85"/>
      <c r="C32" s="16">
        <v>48</v>
      </c>
      <c r="D32" s="17">
        <f>Reference!B174</f>
        <v>4207.0672000000004</v>
      </c>
      <c r="E32" s="18">
        <f>Reference!C174</f>
        <v>41.024299999999997</v>
      </c>
      <c r="F32" s="18">
        <f>Reference!D174</f>
        <v>44.756700000000002</v>
      </c>
      <c r="G32" s="18">
        <f>Reference!E174</f>
        <v>45.395600000000002</v>
      </c>
      <c r="H32" s="18">
        <f>Reference!F174</f>
        <v>185585.65599999999</v>
      </c>
      <c r="I32" s="18">
        <f>Reference!G174</f>
        <v>36.685000000000002</v>
      </c>
      <c r="J32" s="19">
        <f t="shared" si="8"/>
        <v>51.551571111111109</v>
      </c>
      <c r="L32" s="17">
        <f>Test!B174</f>
        <v>4195.4816000000001</v>
      </c>
      <c r="M32" s="18">
        <f>Test!C174</f>
        <v>41.042099999999998</v>
      </c>
      <c r="N32" s="18">
        <f>Test!D174</f>
        <v>44.924399999999999</v>
      </c>
      <c r="O32" s="18">
        <f>Test!E174</f>
        <v>45.510899999999999</v>
      </c>
      <c r="P32" s="18">
        <f>Test!F174</f>
        <v>202295.46900000001</v>
      </c>
      <c r="Q32" s="18">
        <f>Test!G174</f>
        <v>36.844999999999999</v>
      </c>
      <c r="R32" s="19">
        <f t="shared" si="9"/>
        <v>56.193185833333338</v>
      </c>
      <c r="S32" s="17">
        <f t="shared" si="7"/>
        <v>1.0900382786048941</v>
      </c>
      <c r="T32" s="18">
        <f t="shared" si="7"/>
        <v>1.0043614556358185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2330.3631999999998</v>
      </c>
      <c r="E33" s="18">
        <f>Reference!C175</f>
        <v>38.237499999999997</v>
      </c>
      <c r="F33" s="18">
        <f>Reference!D175</f>
        <v>43.149700000000003</v>
      </c>
      <c r="G33" s="18">
        <f>Reference!E175</f>
        <v>43.576500000000003</v>
      </c>
      <c r="H33" s="18">
        <f>Reference!F175</f>
        <v>120990.789</v>
      </c>
      <c r="I33" s="18">
        <f>Reference!G175</f>
        <v>32.755000000000003</v>
      </c>
      <c r="J33" s="19">
        <f t="shared" si="8"/>
        <v>33.608552500000002</v>
      </c>
      <c r="L33" s="17">
        <f>Test!B175</f>
        <v>2325.2080000000001</v>
      </c>
      <c r="M33" s="18">
        <f>Test!C175</f>
        <v>38.257300000000001</v>
      </c>
      <c r="N33" s="18">
        <f>Test!D175</f>
        <v>43.340299999999999</v>
      </c>
      <c r="O33" s="18">
        <f>Test!E175</f>
        <v>43.691499999999998</v>
      </c>
      <c r="P33" s="18">
        <f>Test!F175</f>
        <v>129645.164</v>
      </c>
      <c r="Q33" s="18">
        <f>Test!G175</f>
        <v>31.649000000000001</v>
      </c>
      <c r="R33" s="19">
        <f t="shared" si="9"/>
        <v>36.012545555555555</v>
      </c>
      <c r="S33" s="17">
        <f t="shared" si="7"/>
        <v>1.071529205417447</v>
      </c>
      <c r="T33" s="18">
        <f t="shared" si="7"/>
        <v>0.96623416272324836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1215.1424</v>
      </c>
      <c r="E34" s="23">
        <f>Reference!C176</f>
        <v>35.303400000000003</v>
      </c>
      <c r="F34" s="23">
        <f>Reference!D176</f>
        <v>41.680500000000002</v>
      </c>
      <c r="G34" s="23">
        <f>Reference!E176</f>
        <v>41.814399999999999</v>
      </c>
      <c r="H34" s="23">
        <f>Reference!F176</f>
        <v>69653.266000000003</v>
      </c>
      <c r="I34" s="23">
        <f>Reference!G176</f>
        <v>27.251999999999999</v>
      </c>
      <c r="J34" s="24">
        <f t="shared" si="8"/>
        <v>19.348129444444446</v>
      </c>
      <c r="L34" s="22">
        <f>Test!B176</f>
        <v>1212.9408000000001</v>
      </c>
      <c r="M34" s="23">
        <f>Test!C176</f>
        <v>35.314799999999998</v>
      </c>
      <c r="N34" s="23">
        <f>Test!D176</f>
        <v>41.808500000000002</v>
      </c>
      <c r="O34" s="23">
        <f>Test!E176</f>
        <v>41.901299999999999</v>
      </c>
      <c r="P34" s="23">
        <f>Test!F176</f>
        <v>77523.281000000003</v>
      </c>
      <c r="Q34" s="23">
        <f>Test!G176</f>
        <v>26.064</v>
      </c>
      <c r="R34" s="24">
        <f t="shared" si="9"/>
        <v>21.534244722222223</v>
      </c>
      <c r="S34" s="17">
        <f t="shared" si="7"/>
        <v>1.1129884562771255</v>
      </c>
      <c r="T34" s="18">
        <f t="shared" si="7"/>
        <v>0.95640686922060769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4772.9664000000002</v>
      </c>
      <c r="E35" s="13">
        <f>Reference!C177</f>
        <v>38.448599999999999</v>
      </c>
      <c r="F35" s="13">
        <f>Reference!D177</f>
        <v>45.257300000000001</v>
      </c>
      <c r="G35" s="13">
        <f>Reference!E177</f>
        <v>45.526699999999998</v>
      </c>
      <c r="H35" s="13">
        <f>Reference!F177</f>
        <v>181448.266</v>
      </c>
      <c r="I35" s="13">
        <f>Reference!G177</f>
        <v>18.832000000000001</v>
      </c>
      <c r="J35" s="14">
        <f t="shared" si="8"/>
        <v>50.402296111111113</v>
      </c>
      <c r="L35" s="12">
        <f>Test!B177</f>
        <v>4743.8768</v>
      </c>
      <c r="M35" s="13">
        <f>Test!C177</f>
        <v>38.458399999999997</v>
      </c>
      <c r="N35" s="13">
        <f>Test!D177</f>
        <v>45.427500000000002</v>
      </c>
      <c r="O35" s="13">
        <f>Test!E177</f>
        <v>45.701500000000003</v>
      </c>
      <c r="P35" s="13">
        <f>Test!F177</f>
        <v>182616.266</v>
      </c>
      <c r="Q35" s="13">
        <f>Test!G177</f>
        <v>19.13</v>
      </c>
      <c r="R35" s="14">
        <f t="shared" si="9"/>
        <v>50.726740555555558</v>
      </c>
      <c r="S35" s="12">
        <f t="shared" si="7"/>
        <v>1.0064370965110243</v>
      </c>
      <c r="T35" s="13">
        <f t="shared" si="7"/>
        <v>1.0158241291418861</v>
      </c>
      <c r="U35" s="90"/>
      <c r="V35" s="37">
        <f>bdrate($D35:$D38,E35:E38,$L35:$L38,M35:M38)</f>
        <v>-9.8246126590313398E-3</v>
      </c>
      <c r="W35" s="42">
        <f>bdrate($D35:$D38,F35:F38,$L35:$L38,N35:N38)</f>
        <v>-0.1450638645013691</v>
      </c>
      <c r="X35" s="42">
        <f>bdrate($D35:$D38,G35:G38,$L35:$L38,O35:O38)</f>
        <v>-0.13383538981768994</v>
      </c>
      <c r="Y35" s="40">
        <f>bdrateOld($D35:$D38,E35:E38,$L35:$L38,M35:M38)</f>
        <v>-9.9644601967040503E-3</v>
      </c>
      <c r="Z35" s="44">
        <f>bdrateOld($D35:$D38,F35:F38,$L35:$L38,N35:N38)</f>
        <v>-0.14410161939625443</v>
      </c>
      <c r="AA35" s="45">
        <f>bdrateOld($D35:$D38,G35:G38,$L35:$L38,O35:O38)</f>
        <v>-0.13169858533517798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1671.9792</v>
      </c>
      <c r="E36" s="18">
        <f>Reference!C178</f>
        <v>36.455100000000002</v>
      </c>
      <c r="F36" s="18">
        <f>Reference!D178</f>
        <v>44.2102</v>
      </c>
      <c r="G36" s="18">
        <f>Reference!E178</f>
        <v>44.467599999999997</v>
      </c>
      <c r="H36" s="18">
        <f>Reference!F178</f>
        <v>90696.25</v>
      </c>
      <c r="I36" s="18">
        <f>Reference!G178</f>
        <v>13.500999999999999</v>
      </c>
      <c r="J36" s="19">
        <f t="shared" si="8"/>
        <v>25.193402777777777</v>
      </c>
      <c r="L36" s="17">
        <f>Test!B178</f>
        <v>1665.5328</v>
      </c>
      <c r="M36" s="18">
        <f>Test!C178</f>
        <v>36.4666</v>
      </c>
      <c r="N36" s="18">
        <f>Test!D178</f>
        <v>44.395200000000003</v>
      </c>
      <c r="O36" s="18">
        <f>Test!E178</f>
        <v>44.6631</v>
      </c>
      <c r="P36" s="18">
        <f>Test!F178</f>
        <v>97310.906000000003</v>
      </c>
      <c r="Q36" s="18">
        <f>Test!G178</f>
        <v>13.734</v>
      </c>
      <c r="R36" s="19">
        <f t="shared" si="9"/>
        <v>27.030807222222222</v>
      </c>
      <c r="S36" s="17">
        <f t="shared" si="7"/>
        <v>1.0729319679700098</v>
      </c>
      <c r="T36" s="18">
        <f t="shared" si="7"/>
        <v>1.0172579808903044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662.6</v>
      </c>
      <c r="E37" s="18">
        <f>Reference!C179</f>
        <v>33.992600000000003</v>
      </c>
      <c r="F37" s="18">
        <f>Reference!D179</f>
        <v>42.842700000000001</v>
      </c>
      <c r="G37" s="18">
        <f>Reference!E179</f>
        <v>43.009900000000002</v>
      </c>
      <c r="H37" s="18">
        <f>Reference!F179</f>
        <v>51685.292999999998</v>
      </c>
      <c r="I37" s="18">
        <f>Reference!G179</f>
        <v>10.603</v>
      </c>
      <c r="J37" s="19">
        <f t="shared" si="8"/>
        <v>14.357025833333333</v>
      </c>
      <c r="L37" s="17">
        <f>Test!B179</f>
        <v>659.76480000000004</v>
      </c>
      <c r="M37" s="18">
        <f>Test!C179</f>
        <v>34.015099999999997</v>
      </c>
      <c r="N37" s="18">
        <f>Test!D179</f>
        <v>43.056800000000003</v>
      </c>
      <c r="O37" s="18">
        <f>Test!E179</f>
        <v>43.237299999999998</v>
      </c>
      <c r="P37" s="18">
        <f>Test!F179</f>
        <v>54701.766000000003</v>
      </c>
      <c r="Q37" s="18">
        <f>Test!G179</f>
        <v>9.8659999999999997</v>
      </c>
      <c r="R37" s="19">
        <f t="shared" si="9"/>
        <v>15.194935000000001</v>
      </c>
      <c r="S37" s="17">
        <f t="shared" si="7"/>
        <v>1.0583623082101905</v>
      </c>
      <c r="T37" s="18">
        <f t="shared" si="7"/>
        <v>0.93049137036687724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277.18880000000001</v>
      </c>
      <c r="E38" s="23">
        <f>Reference!C180</f>
        <v>30.979800000000001</v>
      </c>
      <c r="F38" s="23">
        <f>Reference!D180</f>
        <v>41.573399999999999</v>
      </c>
      <c r="G38" s="23">
        <f>Reference!E180</f>
        <v>41.677999999999997</v>
      </c>
      <c r="H38" s="23">
        <f>Reference!F180</f>
        <v>29555.726999999999</v>
      </c>
      <c r="I38" s="23">
        <f>Reference!G180</f>
        <v>8.2260000000000009</v>
      </c>
      <c r="J38" s="24">
        <f t="shared" si="8"/>
        <v>8.2099241666666671</v>
      </c>
      <c r="L38" s="22">
        <f>Test!B180</f>
        <v>275.69279999999998</v>
      </c>
      <c r="M38" s="23">
        <f>Test!C180</f>
        <v>30.977900000000002</v>
      </c>
      <c r="N38" s="23">
        <f>Test!D180</f>
        <v>41.793799999999997</v>
      </c>
      <c r="O38" s="23">
        <f>Test!E180</f>
        <v>41.761899999999997</v>
      </c>
      <c r="P38" s="23">
        <f>Test!F180</f>
        <v>34611.663999999997</v>
      </c>
      <c r="Q38" s="23">
        <f>Test!G180</f>
        <v>8.1219999999999999</v>
      </c>
      <c r="R38" s="24">
        <f t="shared" si="9"/>
        <v>9.6143511111111106</v>
      </c>
      <c r="S38" s="17">
        <f t="shared" si="7"/>
        <v>1.1710645452910022</v>
      </c>
      <c r="T38" s="18">
        <f t="shared" si="7"/>
        <v>0.98735716022368092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3909.8768</v>
      </c>
      <c r="E39" s="13">
        <f>Reference!C181</f>
        <v>40.504199999999997</v>
      </c>
      <c r="F39" s="13">
        <f>Reference!D181</f>
        <v>45.222299999999997</v>
      </c>
      <c r="G39" s="13">
        <f>Reference!E181</f>
        <v>45.981900000000003</v>
      </c>
      <c r="H39" s="13">
        <f>Reference!F181</f>
        <v>158353.46900000001</v>
      </c>
      <c r="I39" s="13">
        <f>Reference!G181</f>
        <v>18.832999999999998</v>
      </c>
      <c r="J39" s="14">
        <f t="shared" si="8"/>
        <v>43.987074722222225</v>
      </c>
      <c r="L39" s="12">
        <f>Test!B181</f>
        <v>3902.4656</v>
      </c>
      <c r="M39" s="13">
        <f>Test!C181</f>
        <v>40.513500000000001</v>
      </c>
      <c r="N39" s="13">
        <f>Test!D181</f>
        <v>45.2502</v>
      </c>
      <c r="O39" s="13">
        <f>Test!E181</f>
        <v>46.057600000000001</v>
      </c>
      <c r="P39" s="13">
        <f>Test!F181</f>
        <v>161032.07800000001</v>
      </c>
      <c r="Q39" s="13">
        <f>Test!G181</f>
        <v>18.962</v>
      </c>
      <c r="R39" s="14">
        <f t="shared" si="9"/>
        <v>44.731132777777781</v>
      </c>
      <c r="S39" s="17">
        <f t="shared" si="7"/>
        <v>1.0169153793530092</v>
      </c>
      <c r="T39" s="18">
        <f t="shared" si="7"/>
        <v>1.0068496787553762</v>
      </c>
      <c r="U39" s="91"/>
      <c r="V39" s="37">
        <f>bdrate($D39:$D42,E39:E42,$L39:$L42,M39:M42)</f>
        <v>-7.6182161705181661E-3</v>
      </c>
      <c r="W39" s="42">
        <f>bdrate($D39:$D42,F39:F42,$L39:$L42,N39:N42)</f>
        <v>-2.8964943064087145E-2</v>
      </c>
      <c r="X39" s="42">
        <f>bdrate($D39:$D42,G39:G42,$L39:$L42,O39:O42)</f>
        <v>-3.6251921732290526E-2</v>
      </c>
      <c r="Y39" s="40">
        <f>bdrateOld($D39:$D42,E39:E42,$L39:$L42,M39:M42)</f>
        <v>-7.7036280272090307E-3</v>
      </c>
      <c r="Z39" s="44">
        <f>bdrateOld($D39:$D42,F39:F42,$L39:$L42,N39:N42)</f>
        <v>-2.8145070366306979E-2</v>
      </c>
      <c r="AA39" s="45">
        <f>bdrateOld($D39:$D42,G39:G42,$L39:$L42,O39:O42)</f>
        <v>-3.6403438258348464E-2</v>
      </c>
    </row>
    <row r="40" spans="1:27" x14ac:dyDescent="0.2">
      <c r="A40" s="16"/>
      <c r="B40" s="85"/>
      <c r="C40" s="16">
        <v>32</v>
      </c>
      <c r="D40" s="17">
        <f>Reference!B182</f>
        <v>1792.6048000000001</v>
      </c>
      <c r="E40" s="18">
        <f>Reference!C182</f>
        <v>38.877400000000002</v>
      </c>
      <c r="F40" s="18">
        <f>Reference!D182</f>
        <v>44.399799999999999</v>
      </c>
      <c r="G40" s="18">
        <f>Reference!E182</f>
        <v>44.444000000000003</v>
      </c>
      <c r="H40" s="18">
        <f>Reference!F182</f>
        <v>91813.656000000003</v>
      </c>
      <c r="I40" s="18">
        <f>Reference!G182</f>
        <v>16.789000000000001</v>
      </c>
      <c r="J40" s="19">
        <f t="shared" si="8"/>
        <v>25.503793333333334</v>
      </c>
      <c r="L40" s="17">
        <f>Test!B182</f>
        <v>1788.7103999999999</v>
      </c>
      <c r="M40" s="18">
        <f>Test!C182</f>
        <v>38.887999999999998</v>
      </c>
      <c r="N40" s="18">
        <f>Test!D182</f>
        <v>44.447099999999999</v>
      </c>
      <c r="O40" s="18">
        <f>Test!E182</f>
        <v>44.509099999999997</v>
      </c>
      <c r="P40" s="18">
        <f>Test!F182</f>
        <v>97121.741999999998</v>
      </c>
      <c r="Q40" s="18">
        <f>Test!G182</f>
        <v>15.608000000000001</v>
      </c>
      <c r="R40" s="19">
        <f t="shared" si="9"/>
        <v>26.978261666666665</v>
      </c>
      <c r="S40" s="17">
        <f t="shared" si="7"/>
        <v>1.0578136873233759</v>
      </c>
      <c r="T40" s="18">
        <f t="shared" si="7"/>
        <v>0.92965632259217335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859.2432</v>
      </c>
      <c r="E41" s="18">
        <f>Reference!C183</f>
        <v>36.936599999999999</v>
      </c>
      <c r="F41" s="18">
        <f>Reference!D183</f>
        <v>43.384300000000003</v>
      </c>
      <c r="G41" s="18">
        <f>Reference!E183</f>
        <v>42.605200000000004</v>
      </c>
      <c r="H41" s="18">
        <f>Reference!F183</f>
        <v>50054.862999999998</v>
      </c>
      <c r="I41" s="18">
        <f>Reference!G183</f>
        <v>12.629</v>
      </c>
      <c r="J41" s="19">
        <f t="shared" si="8"/>
        <v>13.90412861111111</v>
      </c>
      <c r="L41" s="17">
        <f>Test!B183</f>
        <v>856.61120000000005</v>
      </c>
      <c r="M41" s="18">
        <f>Test!C183</f>
        <v>36.955300000000001</v>
      </c>
      <c r="N41" s="18">
        <f>Test!D183</f>
        <v>43.421199999999999</v>
      </c>
      <c r="O41" s="18">
        <f>Test!E183</f>
        <v>42.717199999999998</v>
      </c>
      <c r="P41" s="18">
        <f>Test!F183</f>
        <v>55238.745999999999</v>
      </c>
      <c r="Q41" s="18">
        <f>Test!G183</f>
        <v>11.956</v>
      </c>
      <c r="R41" s="19">
        <f t="shared" si="9"/>
        <v>15.34409611111111</v>
      </c>
      <c r="S41" s="17">
        <f t="shared" si="7"/>
        <v>1.1035640233397503</v>
      </c>
      <c r="T41" s="18">
        <f t="shared" si="7"/>
        <v>0.94670995328212848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403.45760000000001</v>
      </c>
      <c r="E42" s="23">
        <f>Reference!C184</f>
        <v>34.717599999999997</v>
      </c>
      <c r="F42" s="23">
        <f>Reference!D184</f>
        <v>42.119599999999998</v>
      </c>
      <c r="G42" s="23">
        <f>Reference!E184</f>
        <v>40.7453</v>
      </c>
      <c r="H42" s="23">
        <f>Reference!F184</f>
        <v>26320.982</v>
      </c>
      <c r="I42" s="23">
        <f>Reference!G184</f>
        <v>9.6820000000000004</v>
      </c>
      <c r="J42" s="24">
        <f t="shared" si="8"/>
        <v>7.3113838888888889</v>
      </c>
      <c r="L42" s="22">
        <f>Test!B184</f>
        <v>402.66079999999999</v>
      </c>
      <c r="M42" s="23">
        <f>Test!C184</f>
        <v>34.724600000000002</v>
      </c>
      <c r="N42" s="23">
        <f>Test!D184</f>
        <v>42.134700000000002</v>
      </c>
      <c r="O42" s="23">
        <f>Test!E184</f>
        <v>40.774099999999997</v>
      </c>
      <c r="P42" s="23">
        <f>Test!F184</f>
        <v>29356.453000000001</v>
      </c>
      <c r="Q42" s="23">
        <f>Test!G184</f>
        <v>8.9809999999999999</v>
      </c>
      <c r="R42" s="24">
        <f t="shared" si="9"/>
        <v>8.1545702777777773</v>
      </c>
      <c r="S42" s="17">
        <f t="shared" si="7"/>
        <v>1.1153251425041817</v>
      </c>
      <c r="T42" s="18">
        <f t="shared" si="7"/>
        <v>0.92759760380086753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964.10559999999998</v>
      </c>
      <c r="E43" s="13">
        <f>Reference!C185</f>
        <v>42.948599999999999</v>
      </c>
      <c r="F43" s="13">
        <f>Reference!D185</f>
        <v>46.578699999999998</v>
      </c>
      <c r="G43" s="13">
        <f>Reference!E185</f>
        <v>47.352200000000003</v>
      </c>
      <c r="H43" s="13">
        <f>Reference!F185</f>
        <v>60261.440999999999</v>
      </c>
      <c r="I43" s="13">
        <f>Reference!G185</f>
        <v>9.3960000000000008</v>
      </c>
      <c r="J43" s="14">
        <f t="shared" si="8"/>
        <v>16.739289166666666</v>
      </c>
      <c r="L43" s="12">
        <f>Test!B185</f>
        <v>960.4</v>
      </c>
      <c r="M43" s="13">
        <f>Test!C185</f>
        <v>42.988700000000001</v>
      </c>
      <c r="N43" s="13">
        <f>Test!D185</f>
        <v>46.666899999999998</v>
      </c>
      <c r="O43" s="13">
        <f>Test!E185</f>
        <v>47.466900000000003</v>
      </c>
      <c r="P43" s="13">
        <f>Test!F185</f>
        <v>63561.148000000001</v>
      </c>
      <c r="Q43" s="13">
        <f>Test!G185</f>
        <v>9.33</v>
      </c>
      <c r="R43" s="14">
        <f t="shared" si="9"/>
        <v>17.655874444444446</v>
      </c>
      <c r="S43" s="17">
        <f t="shared" si="7"/>
        <v>1.0547565233297358</v>
      </c>
      <c r="T43" s="18">
        <f t="shared" si="7"/>
        <v>0.9929757343550446</v>
      </c>
      <c r="U43" s="91"/>
      <c r="V43" s="37">
        <f>bdrate($D43:$D46,E43:E46,$L43:$L46,M43:M46)</f>
        <v>-1.4891977532229261E-2</v>
      </c>
      <c r="W43" s="42">
        <f>bdrate($D43:$D46,F43:F46,$L43:$L46,N43:N46)</f>
        <v>-7.7345042499959771E-2</v>
      </c>
      <c r="X43" s="42">
        <f>bdrate($D43:$D46,G43:G46,$L43:$L46,O43:O46)</f>
        <v>-4.3558633600123353E-2</v>
      </c>
      <c r="Y43" s="40">
        <f>bdrateOld($D43:$D46,E43:E46,$L43:$L46,M43:M46)</f>
        <v>-1.5028538104715827E-2</v>
      </c>
      <c r="Z43" s="44">
        <f>bdrateOld($D43:$D46,F43:F46,$L43:$L46,N43:N46)</f>
        <v>-7.6029588639697443E-2</v>
      </c>
      <c r="AA43" s="45">
        <f>bdrateOld($D43:$D46,G43:G46,$L43:$L46,O43:O46)</f>
        <v>-4.3597261829391498E-2</v>
      </c>
    </row>
    <row r="44" spans="1:27" x14ac:dyDescent="0.2">
      <c r="A44" s="16"/>
      <c r="B44" s="85"/>
      <c r="C44" s="16">
        <v>32</v>
      </c>
      <c r="D44" s="17">
        <f>Reference!B186</f>
        <v>494.52960000000002</v>
      </c>
      <c r="E44" s="18">
        <f>Reference!C186</f>
        <v>41.324800000000003</v>
      </c>
      <c r="F44" s="18">
        <f>Reference!D186</f>
        <v>45.757899999999999</v>
      </c>
      <c r="G44" s="18">
        <f>Reference!E186</f>
        <v>46.302199999999999</v>
      </c>
      <c r="H44" s="18">
        <f>Reference!F186</f>
        <v>35692.879000000001</v>
      </c>
      <c r="I44" s="18">
        <f>Reference!G186</f>
        <v>8.1120000000000001</v>
      </c>
      <c r="J44" s="19">
        <f t="shared" si="8"/>
        <v>9.9146886111111119</v>
      </c>
      <c r="L44" s="17">
        <f>Test!B186</f>
        <v>491.9264</v>
      </c>
      <c r="M44" s="18">
        <f>Test!C186</f>
        <v>41.357399999999998</v>
      </c>
      <c r="N44" s="18">
        <f>Test!D186</f>
        <v>45.873399999999997</v>
      </c>
      <c r="O44" s="18">
        <f>Test!E186</f>
        <v>46.390500000000003</v>
      </c>
      <c r="P44" s="18">
        <f>Test!F186</f>
        <v>37708.366999999998</v>
      </c>
      <c r="Q44" s="18">
        <f>Test!G186</f>
        <v>7.3410000000000002</v>
      </c>
      <c r="R44" s="19">
        <f t="shared" si="9"/>
        <v>10.474546388888889</v>
      </c>
      <c r="S44" s="17">
        <f t="shared" si="7"/>
        <v>1.0564675099478527</v>
      </c>
      <c r="T44" s="18">
        <f t="shared" si="7"/>
        <v>0.9049556213017752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263.69600000000003</v>
      </c>
      <c r="E45" s="18">
        <f>Reference!C187</f>
        <v>39.152200000000001</v>
      </c>
      <c r="F45" s="18">
        <f>Reference!D187</f>
        <v>44.424399999999999</v>
      </c>
      <c r="G45" s="18">
        <f>Reference!E187</f>
        <v>44.779499999999999</v>
      </c>
      <c r="H45" s="18">
        <f>Reference!F187</f>
        <v>19936.072</v>
      </c>
      <c r="I45" s="18">
        <f>Reference!G187</f>
        <v>6.101</v>
      </c>
      <c r="J45" s="19">
        <f t="shared" si="8"/>
        <v>5.5377977777777776</v>
      </c>
      <c r="L45" s="17">
        <f>Test!B187</f>
        <v>262.47359999999998</v>
      </c>
      <c r="M45" s="18">
        <f>Test!C187</f>
        <v>39.188200000000002</v>
      </c>
      <c r="N45" s="18">
        <f>Test!D187</f>
        <v>44.614800000000002</v>
      </c>
      <c r="O45" s="18">
        <f>Test!E187</f>
        <v>44.9176</v>
      </c>
      <c r="P45" s="18">
        <f>Test!F187</f>
        <v>22045.775000000001</v>
      </c>
      <c r="Q45" s="18">
        <f>Test!G187</f>
        <v>6.2930000000000001</v>
      </c>
      <c r="R45" s="19">
        <f t="shared" si="9"/>
        <v>6.1238263888888893</v>
      </c>
      <c r="S45" s="17">
        <f t="shared" si="7"/>
        <v>1.1058234039283166</v>
      </c>
      <c r="T45" s="18">
        <f t="shared" si="7"/>
        <v>1.0314702507785609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143.37119999999999</v>
      </c>
      <c r="E46" s="23">
        <f>Reference!C188</f>
        <v>36.364400000000003</v>
      </c>
      <c r="F46" s="23">
        <f>Reference!D188</f>
        <v>42.905500000000004</v>
      </c>
      <c r="G46" s="23">
        <f>Reference!E188</f>
        <v>43.0837</v>
      </c>
      <c r="H46" s="23">
        <f>Reference!F188</f>
        <v>11935.268</v>
      </c>
      <c r="I46" s="23">
        <f>Reference!G188</f>
        <v>5.891</v>
      </c>
      <c r="J46" s="24">
        <f t="shared" si="8"/>
        <v>3.3153522222222223</v>
      </c>
      <c r="L46" s="22">
        <f>Test!B188</f>
        <v>143.04159999999999</v>
      </c>
      <c r="M46" s="23">
        <f>Test!C188</f>
        <v>36.4133</v>
      </c>
      <c r="N46" s="23">
        <f>Test!D188</f>
        <v>43.057600000000001</v>
      </c>
      <c r="O46" s="23">
        <f>Test!E188</f>
        <v>42.987099999999998</v>
      </c>
      <c r="P46" s="23">
        <f>Test!F188</f>
        <v>12752.553</v>
      </c>
      <c r="Q46" s="23">
        <f>Test!G188</f>
        <v>5.2229999999999999</v>
      </c>
      <c r="R46" s="24">
        <f t="shared" si="9"/>
        <v>3.5423758333333333</v>
      </c>
      <c r="S46" s="17">
        <f t="shared" si="7"/>
        <v>1.0684764682284469</v>
      </c>
      <c r="T46" s="18">
        <f t="shared" si="7"/>
        <v>0.88660668816839239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1326.9087999999999</v>
      </c>
      <c r="E47" s="13">
        <f>Reference!C189</f>
        <v>42.6586</v>
      </c>
      <c r="F47" s="13">
        <f>Reference!D189</f>
        <v>48.304200000000002</v>
      </c>
      <c r="G47" s="13">
        <f>Reference!E189</f>
        <v>47.590499999999999</v>
      </c>
      <c r="H47" s="13">
        <f>Reference!F189</f>
        <v>65648.241999999998</v>
      </c>
      <c r="I47" s="13">
        <f>Reference!G189</f>
        <v>9.875</v>
      </c>
      <c r="J47" s="14">
        <f>H47/3600</f>
        <v>18.235622777777778</v>
      </c>
      <c r="L47" s="12">
        <f>Test!B189</f>
        <v>1318.1952000000001</v>
      </c>
      <c r="M47" s="13">
        <f>Test!C189</f>
        <v>42.691699999999997</v>
      </c>
      <c r="N47" s="13">
        <f>Test!D189</f>
        <v>48.4846</v>
      </c>
      <c r="O47" s="13">
        <f>Test!E189</f>
        <v>48.007899999999999</v>
      </c>
      <c r="P47" s="13">
        <f>Test!F189</f>
        <v>68787.593999999997</v>
      </c>
      <c r="Q47" s="13">
        <f>Test!G189</f>
        <v>10.154</v>
      </c>
      <c r="R47" s="14">
        <f>P47/3600</f>
        <v>19.107665000000001</v>
      </c>
      <c r="S47" s="17">
        <f t="shared" ref="S47:T62" si="10">P47/H47</f>
        <v>1.0478208083622407</v>
      </c>
      <c r="T47" s="18">
        <f t="shared" si="10"/>
        <v>1.0282531645569619</v>
      </c>
      <c r="U47" s="91"/>
      <c r="V47" s="37">
        <f>bdrate($D47:$D50,E47:E50,$L47:$L50,M47:M50)</f>
        <v>-1.4511813481080105E-2</v>
      </c>
      <c r="W47" s="42">
        <f>bdrate($D47:$D50,F47:F50,$L47:$L50,N47:N50)</f>
        <v>-0.10147923191158392</v>
      </c>
      <c r="X47" s="43">
        <f>bdrate($D47:$D50,G47:G50,$L47:$L50,O47:O50)</f>
        <v>-0.17496207128521224</v>
      </c>
      <c r="Y47" s="37">
        <f>bdrateOld($D47:$D50,E47:E50,$L47:$L50,M47:M50)</f>
        <v>-1.4112388461794856E-2</v>
      </c>
      <c r="Z47" s="42">
        <f>bdrateOld($D47:$D50,F47:F50,$L47:$L50,N47:N50)</f>
        <v>-0.10590058198525709</v>
      </c>
      <c r="AA47" s="43">
        <f>bdrateOld($D47:$D50,G47:G50,$L47:$L50,O47:O50)</f>
        <v>-0.17935205909176355</v>
      </c>
    </row>
    <row r="48" spans="1:27" x14ac:dyDescent="0.2">
      <c r="A48" s="16"/>
      <c r="B48" s="85"/>
      <c r="C48" s="16">
        <v>32</v>
      </c>
      <c r="D48" s="17">
        <f>Reference!B190</f>
        <v>654.29759999999999</v>
      </c>
      <c r="E48" s="18">
        <f>Reference!C190</f>
        <v>40.968000000000004</v>
      </c>
      <c r="F48" s="18">
        <f>Reference!D190</f>
        <v>47.557000000000002</v>
      </c>
      <c r="G48" s="18">
        <f>Reference!E190</f>
        <v>46.446399999999997</v>
      </c>
      <c r="H48" s="18">
        <f>Reference!F190</f>
        <v>38349.519999999997</v>
      </c>
      <c r="I48" s="18">
        <f>Reference!G190</f>
        <v>8.6950000000000003</v>
      </c>
      <c r="J48" s="19">
        <f t="shared" ref="J48:J70" si="11">H48/3600</f>
        <v>10.652644444444444</v>
      </c>
      <c r="L48" s="17">
        <f>Test!B190</f>
        <v>651.83519999999999</v>
      </c>
      <c r="M48" s="18">
        <f>Test!C190</f>
        <v>41.016199999999998</v>
      </c>
      <c r="N48" s="18">
        <f>Test!D190</f>
        <v>47.680399999999999</v>
      </c>
      <c r="O48" s="18">
        <f>Test!E190</f>
        <v>46.840600000000002</v>
      </c>
      <c r="P48" s="18">
        <f>Test!F190</f>
        <v>41108.050999999999</v>
      </c>
      <c r="Q48" s="18">
        <f>Test!G190</f>
        <v>8.2390000000000008</v>
      </c>
      <c r="R48" s="19">
        <f t="shared" ref="R48:R70" si="12">P48/3600</f>
        <v>11.418903055555555</v>
      </c>
      <c r="S48" s="17">
        <f t="shared" si="10"/>
        <v>1.0719313044856886</v>
      </c>
      <c r="T48" s="18">
        <f t="shared" si="10"/>
        <v>0.94755606670500292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348.96640000000002</v>
      </c>
      <c r="E49" s="18">
        <f>Reference!C191</f>
        <v>38.689399999999999</v>
      </c>
      <c r="F49" s="18">
        <f>Reference!D191</f>
        <v>46.414299999999997</v>
      </c>
      <c r="G49" s="18">
        <f>Reference!E191</f>
        <v>44.871299999999998</v>
      </c>
      <c r="H49" s="18">
        <f>Reference!F191</f>
        <v>22319.613000000001</v>
      </c>
      <c r="I49" s="18">
        <f>Reference!G191</f>
        <v>7.1150000000000002</v>
      </c>
      <c r="J49" s="19">
        <f t="shared" si="11"/>
        <v>6.1998925000000007</v>
      </c>
      <c r="L49" s="17">
        <f>Test!B191</f>
        <v>348.6336</v>
      </c>
      <c r="M49" s="18">
        <f>Test!C191</f>
        <v>38.734999999999999</v>
      </c>
      <c r="N49" s="18">
        <f>Test!D191</f>
        <v>46.609200000000001</v>
      </c>
      <c r="O49" s="18">
        <f>Test!E191</f>
        <v>45.429200000000002</v>
      </c>
      <c r="P49" s="18">
        <f>Test!F191</f>
        <v>23531.857</v>
      </c>
      <c r="Q49" s="18">
        <f>Test!G191</f>
        <v>6.601</v>
      </c>
      <c r="R49" s="19">
        <f t="shared" si="12"/>
        <v>6.5366269444444445</v>
      </c>
      <c r="S49" s="17">
        <f t="shared" si="10"/>
        <v>1.0543129488849112</v>
      </c>
      <c r="T49" s="18">
        <f t="shared" si="10"/>
        <v>0.92775825720309202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190.6208</v>
      </c>
      <c r="E50" s="23">
        <f>Reference!C192</f>
        <v>35.633899999999997</v>
      </c>
      <c r="F50" s="23">
        <f>Reference!D192</f>
        <v>44.740499999999997</v>
      </c>
      <c r="G50" s="23">
        <f>Reference!E192</f>
        <v>42.4467</v>
      </c>
      <c r="H50" s="23">
        <f>Reference!F192</f>
        <v>13736.767</v>
      </c>
      <c r="I50" s="23">
        <f>Reference!G192</f>
        <v>6.3380000000000001</v>
      </c>
      <c r="J50" s="24">
        <f t="shared" si="11"/>
        <v>3.8157686111111109</v>
      </c>
      <c r="L50" s="22">
        <f>Test!B192</f>
        <v>190.38720000000001</v>
      </c>
      <c r="M50" s="23">
        <f>Test!C192</f>
        <v>35.680799999999998</v>
      </c>
      <c r="N50" s="23">
        <f>Test!D192</f>
        <v>45.1736</v>
      </c>
      <c r="O50" s="23">
        <f>Test!E192</f>
        <v>43.100999999999999</v>
      </c>
      <c r="P50" s="23">
        <f>Test!F192</f>
        <v>14461.598</v>
      </c>
      <c r="Q50" s="23">
        <f>Test!G192</f>
        <v>5.407</v>
      </c>
      <c r="R50" s="24">
        <f t="shared" si="12"/>
        <v>4.017110555555556</v>
      </c>
      <c r="S50" s="22">
        <f t="shared" si="10"/>
        <v>1.0527657635890599</v>
      </c>
      <c r="T50" s="23">
        <f t="shared" si="10"/>
        <v>0.85310823603660457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24.382343724434357</v>
      </c>
      <c r="J75" s="15">
        <f>GEOMEAN(J3:J18)</f>
        <v>32.179375488376337</v>
      </c>
      <c r="Q75" s="15">
        <f>GEOMEAN(Q3:Q18)</f>
        <v>24.59246102454626</v>
      </c>
      <c r="R75" s="15">
        <f>GEOMEAN(R3:R18)</f>
        <v>34.372311922182547</v>
      </c>
      <c r="S75" s="15">
        <f>GEOMEAN(S3:S18)</f>
        <v>1.0681472651511941</v>
      </c>
      <c r="T75" s="15">
        <f>GEOMEAN(T3:T18)</f>
        <v>1.0086176006083181</v>
      </c>
      <c r="V75" s="37">
        <f>AVERAGE(V3:V18)</f>
        <v>-7.9355996663323936E-3</v>
      </c>
      <c r="W75" s="42">
        <f t="shared" ref="W75:AA75" si="17">AVERAGE(W3:W18)</f>
        <v>-4.7411209145864636E-2</v>
      </c>
      <c r="X75" s="42">
        <f t="shared" si="17"/>
        <v>-4.1906457973179989E-2</v>
      </c>
      <c r="Y75" s="37">
        <f>AVERAGE(Y3:Y18)</f>
        <v>-7.6569240203323563E-3</v>
      </c>
      <c r="Z75" s="42">
        <f t="shared" si="17"/>
        <v>-4.7633372469953694E-2</v>
      </c>
      <c r="AA75" s="43">
        <f t="shared" si="17"/>
        <v>-4.1899964689567748E-2</v>
      </c>
    </row>
    <row r="76" spans="1:27" x14ac:dyDescent="0.2">
      <c r="B76" s="89" t="s">
        <v>47</v>
      </c>
      <c r="I76" s="15">
        <f>GEOMEAN(I19:I34)</f>
        <v>29.39646699272279</v>
      </c>
      <c r="J76" s="15">
        <f>GEOMEAN(J19:J34)</f>
        <v>41.927272570942705</v>
      </c>
      <c r="Q76" s="15">
        <f>GEOMEAN(Q19:Q34)</f>
        <v>29.538625978387063</v>
      </c>
      <c r="R76" s="15">
        <f>GEOMEAN(R19:R34)</f>
        <v>44.865961284684687</v>
      </c>
      <c r="S76" s="15">
        <f>GEOMEAN(S19:S34)</f>
        <v>1.0700901473800757</v>
      </c>
      <c r="T76" s="15">
        <f>GEOMEAN(T19:T34)</f>
        <v>1.004835920782571</v>
      </c>
      <c r="V76" s="38">
        <f>AVERAGE(V19:V34)</f>
        <v>-9.5114723705870263E-3</v>
      </c>
      <c r="W76" s="25">
        <f t="shared" ref="W76:AA76" si="18">AVERAGE(W19:W34)</f>
        <v>-7.5517514870421326E-2</v>
      </c>
      <c r="X76" s="25">
        <f t="shared" si="18"/>
        <v>-5.6665105189031784E-2</v>
      </c>
      <c r="Y76" s="38">
        <f t="shared" si="18"/>
        <v>-9.45805563655569E-3</v>
      </c>
      <c r="Z76" s="25">
        <f t="shared" si="18"/>
        <v>-7.576351719726257E-2</v>
      </c>
      <c r="AA76" s="50">
        <f t="shared" si="18"/>
        <v>-5.6486217186457827E-2</v>
      </c>
    </row>
    <row r="77" spans="1:27" x14ac:dyDescent="0.2">
      <c r="B77" s="89" t="s">
        <v>51</v>
      </c>
      <c r="I77" s="15">
        <f>GEOMEAN(I35:I50)</f>
        <v>9.9408167005675896</v>
      </c>
      <c r="J77" s="15">
        <f>GEOMEAN(J35:J50)</f>
        <v>12.194179054784861</v>
      </c>
      <c r="Q77" s="15">
        <f>GEOMEAN(Q35:Q50)</f>
        <v>9.5128227839833581</v>
      </c>
      <c r="R77" s="15">
        <f>GEOMEAN(R35:R50)</f>
        <v>13.035648941528612</v>
      </c>
      <c r="S77" s="15">
        <f>GEOMEAN(S35:S50)</f>
        <v>1.0690058660745652</v>
      </c>
      <c r="T77" s="15">
        <f>GEOMEAN(T35:T50)</f>
        <v>0.95694579937684654</v>
      </c>
      <c r="V77" s="38">
        <f>AVERAGE(V35:V50)</f>
        <v>-1.1711654960714718E-2</v>
      </c>
      <c r="W77" s="25">
        <f t="shared" ref="W77:AA77" si="19">AVERAGE(W35:W50)</f>
        <v>-8.8213270494249985E-2</v>
      </c>
      <c r="X77" s="25">
        <f t="shared" si="19"/>
        <v>-9.7152004108829015E-2</v>
      </c>
      <c r="Y77" s="38">
        <f t="shared" si="19"/>
        <v>-1.1702253697605941E-2</v>
      </c>
      <c r="Z77" s="25">
        <f t="shared" si="19"/>
        <v>-8.8544215096878987E-2</v>
      </c>
      <c r="AA77" s="50">
        <f t="shared" si="19"/>
        <v>-9.7762836128670372E-2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19.242620627554533</v>
      </c>
      <c r="J80" s="54">
        <f xml:space="preserve"> GEOMEAN(J3:J50)</f>
        <v>25.433664043193925</v>
      </c>
      <c r="K80" s="4"/>
      <c r="L80" s="4"/>
      <c r="M80" s="4"/>
      <c r="N80" s="4"/>
      <c r="O80" s="4"/>
      <c r="P80" s="4"/>
      <c r="Q80" s="54">
        <f xml:space="preserve"> GEOMEAN(Q3:Q50)</f>
        <v>19.047320781454633</v>
      </c>
      <c r="R80" s="54">
        <f xml:space="preserve"> GEOMEAN(R3:R50)</f>
        <v>27.190641834226952</v>
      </c>
      <c r="S80" s="54">
        <f>GEOMEAN(S3:S50)</f>
        <v>1.0690807973262979</v>
      </c>
      <c r="T80" s="54">
        <f>GEOMEAN(T3:T50)</f>
        <v>0.98985066276158662</v>
      </c>
      <c r="U80" s="4"/>
      <c r="V80" s="41">
        <f>AVERAGE(V3:V50)</f>
        <v>-9.7195756658780465E-3</v>
      </c>
      <c r="W80" s="46">
        <f t="shared" ref="W80:AA80" si="23">AVERAGE(W3:W50)</f>
        <v>-7.0380664836845311E-2</v>
      </c>
      <c r="X80" s="47">
        <f t="shared" si="23"/>
        <v>-6.5241189090346929E-2</v>
      </c>
      <c r="Y80" s="46">
        <f t="shared" si="23"/>
        <v>-9.6057444514979964E-3</v>
      </c>
      <c r="Z80" s="46">
        <f t="shared" si="23"/>
        <v>-7.0647034921365079E-2</v>
      </c>
      <c r="AA80" s="47">
        <f t="shared" si="23"/>
        <v>-6.5383006001565311E-2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76649.785900000003</v>
      </c>
      <c r="C1">
        <v>40.8003</v>
      </c>
      <c r="D1">
        <v>49.140099999999997</v>
      </c>
      <c r="E1">
        <v>47.6663</v>
      </c>
      <c r="F1">
        <v>106931.18</v>
      </c>
      <c r="G1">
        <v>29.477</v>
      </c>
    </row>
    <row r="2" spans="1:7" x14ac:dyDescent="0.15">
      <c r="A2" s="141" t="s">
        <v>191</v>
      </c>
      <c r="B2">
        <v>41628.596799999999</v>
      </c>
      <c r="C2">
        <v>40.1571</v>
      </c>
      <c r="D2">
        <v>48.378999999999998</v>
      </c>
      <c r="E2">
        <v>46.562100000000001</v>
      </c>
      <c r="F2">
        <v>58473.608999999997</v>
      </c>
      <c r="G2">
        <v>26.978999999999999</v>
      </c>
    </row>
    <row r="3" spans="1:7" x14ac:dyDescent="0.15">
      <c r="A3" s="141" t="s">
        <v>192</v>
      </c>
      <c r="B3">
        <v>24995.338400000001</v>
      </c>
      <c r="C3">
        <v>39.431199999999997</v>
      </c>
      <c r="D3">
        <v>47.451300000000003</v>
      </c>
      <c r="E3">
        <v>45.295099999999998</v>
      </c>
      <c r="F3">
        <v>34968.699000000001</v>
      </c>
      <c r="G3">
        <v>24.978000000000002</v>
      </c>
    </row>
    <row r="4" spans="1:7" x14ac:dyDescent="0.15">
      <c r="A4" s="141" t="s">
        <v>193</v>
      </c>
      <c r="B4">
        <v>14279.8184</v>
      </c>
      <c r="C4">
        <v>38.212000000000003</v>
      </c>
      <c r="D4">
        <v>46.055300000000003</v>
      </c>
      <c r="E4">
        <v>43.520400000000002</v>
      </c>
      <c r="F4">
        <v>19412.008000000002</v>
      </c>
      <c r="G4">
        <v>23.248999999999999</v>
      </c>
    </row>
    <row r="5" spans="1:7" x14ac:dyDescent="0.15">
      <c r="A5" s="141" t="s">
        <v>194</v>
      </c>
      <c r="B5">
        <v>325191</v>
      </c>
      <c r="C5">
        <v>44.685899999999997</v>
      </c>
      <c r="D5">
        <v>38.907800000000002</v>
      </c>
      <c r="E5">
        <v>39.401299999999999</v>
      </c>
      <c r="F5">
        <v>174948.391</v>
      </c>
      <c r="G5">
        <v>41.789000000000001</v>
      </c>
    </row>
    <row r="6" spans="1:7" x14ac:dyDescent="0.15">
      <c r="A6" s="141" t="s">
        <v>195</v>
      </c>
      <c r="B6">
        <v>207706.78950000001</v>
      </c>
      <c r="C6">
        <v>41.917299999999997</v>
      </c>
      <c r="D6">
        <v>36.338299999999997</v>
      </c>
      <c r="E6">
        <v>37.145000000000003</v>
      </c>
      <c r="F6">
        <v>139175.07800000001</v>
      </c>
      <c r="G6">
        <v>39.683999999999997</v>
      </c>
    </row>
    <row r="7" spans="1:7" x14ac:dyDescent="0.15">
      <c r="A7" s="141" t="s">
        <v>196</v>
      </c>
      <c r="B7">
        <v>118700.8737</v>
      </c>
      <c r="C7">
        <v>38.681100000000001</v>
      </c>
      <c r="D7">
        <v>34.052100000000003</v>
      </c>
      <c r="E7">
        <v>35.096699999999998</v>
      </c>
      <c r="F7">
        <v>100112.07</v>
      </c>
      <c r="G7">
        <v>32.762999999999998</v>
      </c>
    </row>
    <row r="8" spans="1:7" x14ac:dyDescent="0.15">
      <c r="A8" s="141" t="s">
        <v>197</v>
      </c>
      <c r="B8">
        <v>55985.368399999999</v>
      </c>
      <c r="C8">
        <v>35.217300000000002</v>
      </c>
      <c r="D8">
        <v>31.694900000000001</v>
      </c>
      <c r="E8">
        <v>33.150799999999997</v>
      </c>
      <c r="F8">
        <v>64531.328000000001</v>
      </c>
      <c r="G8">
        <v>27.908999999999999</v>
      </c>
    </row>
    <row r="9" spans="1:7" x14ac:dyDescent="0.15">
      <c r="A9" s="141" t="s">
        <v>198</v>
      </c>
      <c r="B9">
        <v>125343.15790000001</v>
      </c>
      <c r="C9">
        <v>41.550699999999999</v>
      </c>
      <c r="D9">
        <v>43.853999999999999</v>
      </c>
      <c r="E9">
        <v>42.776200000000003</v>
      </c>
      <c r="F9">
        <v>163862.891</v>
      </c>
      <c r="G9">
        <v>34.17</v>
      </c>
    </row>
    <row r="10" spans="1:7" x14ac:dyDescent="0.15">
      <c r="A10" s="141" t="s">
        <v>199</v>
      </c>
      <c r="B10">
        <v>56248.269500000002</v>
      </c>
      <c r="C10">
        <v>38.854999999999997</v>
      </c>
      <c r="D10">
        <v>41.252400000000002</v>
      </c>
      <c r="E10">
        <v>41.615400000000001</v>
      </c>
      <c r="F10">
        <v>102536.04700000001</v>
      </c>
      <c r="G10">
        <v>28.288</v>
      </c>
    </row>
    <row r="11" spans="1:7" x14ac:dyDescent="0.15">
      <c r="A11" s="141" t="s">
        <v>200</v>
      </c>
      <c r="B11">
        <v>25640.936799999999</v>
      </c>
      <c r="C11">
        <v>37.2943</v>
      </c>
      <c r="D11">
        <v>38.950499999999998</v>
      </c>
      <c r="E11">
        <v>40.486499999999999</v>
      </c>
      <c r="F11">
        <v>55392.008000000002</v>
      </c>
      <c r="G11">
        <v>24.074000000000002</v>
      </c>
    </row>
    <row r="12" spans="1:7" x14ac:dyDescent="0.15">
      <c r="A12" s="141" t="s">
        <v>201</v>
      </c>
      <c r="B12">
        <v>12412.503199999999</v>
      </c>
      <c r="C12">
        <v>35.906500000000001</v>
      </c>
      <c r="D12">
        <v>36.248899999999999</v>
      </c>
      <c r="E12">
        <v>39.0047</v>
      </c>
      <c r="F12">
        <v>30209.081999999999</v>
      </c>
      <c r="G12">
        <v>21.193000000000001</v>
      </c>
    </row>
    <row r="13" spans="1:7" x14ac:dyDescent="0.15">
      <c r="A13" s="141" t="s">
        <v>202</v>
      </c>
      <c r="B13">
        <v>178117.78109999999</v>
      </c>
      <c r="C13">
        <v>38.604399999999998</v>
      </c>
      <c r="D13">
        <v>45.508600000000001</v>
      </c>
      <c r="E13">
        <v>43.3018</v>
      </c>
      <c r="F13">
        <v>191939.75</v>
      </c>
      <c r="G13">
        <v>36.988</v>
      </c>
    </row>
    <row r="14" spans="1:7" x14ac:dyDescent="0.15">
      <c r="A14" s="141" t="s">
        <v>203</v>
      </c>
      <c r="B14">
        <v>87373.364199999996</v>
      </c>
      <c r="C14">
        <v>37.670999999999999</v>
      </c>
      <c r="D14">
        <v>44.5745</v>
      </c>
      <c r="E14">
        <v>42.164400000000001</v>
      </c>
      <c r="F14">
        <v>107080.227</v>
      </c>
      <c r="G14">
        <v>29.106999999999999</v>
      </c>
    </row>
    <row r="15" spans="1:7" x14ac:dyDescent="0.15">
      <c r="A15" s="141" t="s">
        <v>204</v>
      </c>
      <c r="B15">
        <v>50253.814700000003</v>
      </c>
      <c r="C15">
        <v>36.746899999999997</v>
      </c>
      <c r="D15">
        <v>43.557400000000001</v>
      </c>
      <c r="E15">
        <v>40.963900000000002</v>
      </c>
      <c r="F15">
        <v>66440.875</v>
      </c>
      <c r="G15">
        <v>26.120999999999999</v>
      </c>
    </row>
    <row r="16" spans="1:7" x14ac:dyDescent="0.15">
      <c r="A16" s="141" t="s">
        <v>205</v>
      </c>
      <c r="B16">
        <v>26481.6126</v>
      </c>
      <c r="C16">
        <v>35.2455</v>
      </c>
      <c r="D16">
        <v>42.153399999999998</v>
      </c>
      <c r="E16">
        <v>39.581800000000001</v>
      </c>
      <c r="F16">
        <v>38869.171999999999</v>
      </c>
      <c r="G16">
        <v>24.297000000000001</v>
      </c>
    </row>
    <row r="17" spans="1:7" x14ac:dyDescent="0.15">
      <c r="A17" s="141" t="s">
        <v>94</v>
      </c>
      <c r="B17">
        <v>68053.606299999999</v>
      </c>
      <c r="C17">
        <v>39.547499999999999</v>
      </c>
      <c r="D17">
        <v>40.388199999999998</v>
      </c>
      <c r="E17">
        <v>43.313899999999997</v>
      </c>
      <c r="F17">
        <v>96712.031000000003</v>
      </c>
      <c r="G17">
        <v>17.533000000000001</v>
      </c>
    </row>
    <row r="18" spans="1:7" x14ac:dyDescent="0.15">
      <c r="A18" s="141" t="s">
        <v>95</v>
      </c>
      <c r="B18">
        <v>40667.898399999998</v>
      </c>
      <c r="C18">
        <v>37.911799999999999</v>
      </c>
      <c r="D18">
        <v>39.354300000000002</v>
      </c>
      <c r="E18">
        <v>41.866</v>
      </c>
      <c r="F18">
        <v>67085.625</v>
      </c>
      <c r="G18">
        <v>15.324</v>
      </c>
    </row>
    <row r="19" spans="1:7" x14ac:dyDescent="0.15">
      <c r="A19" s="141" t="s">
        <v>96</v>
      </c>
      <c r="B19">
        <v>23442.323799999998</v>
      </c>
      <c r="C19">
        <v>35.995800000000003</v>
      </c>
      <c r="D19">
        <v>38.438600000000001</v>
      </c>
      <c r="E19">
        <v>40.432299999999998</v>
      </c>
      <c r="F19">
        <v>44470.074000000001</v>
      </c>
      <c r="G19">
        <v>13.132999999999999</v>
      </c>
    </row>
    <row r="20" spans="1:7" x14ac:dyDescent="0.15">
      <c r="A20" s="141" t="s">
        <v>97</v>
      </c>
      <c r="B20">
        <v>11971.784100000001</v>
      </c>
      <c r="C20">
        <v>33.523400000000002</v>
      </c>
      <c r="D20">
        <v>37.2363</v>
      </c>
      <c r="E20">
        <v>38.716299999999997</v>
      </c>
      <c r="F20">
        <v>27220.050999999999</v>
      </c>
      <c r="G20">
        <v>10.984999999999999</v>
      </c>
    </row>
    <row r="21" spans="1:7" x14ac:dyDescent="0.15">
      <c r="A21" s="141" t="s">
        <v>98</v>
      </c>
      <c r="B21">
        <v>42855.479399999997</v>
      </c>
      <c r="C21">
        <v>40.194000000000003</v>
      </c>
      <c r="D21">
        <v>44.0944</v>
      </c>
      <c r="E21">
        <v>45.518999999999998</v>
      </c>
      <c r="F21">
        <v>73820.25</v>
      </c>
      <c r="G21">
        <v>15.134</v>
      </c>
    </row>
    <row r="22" spans="1:7" x14ac:dyDescent="0.15">
      <c r="A22" s="141" t="s">
        <v>99</v>
      </c>
      <c r="B22">
        <v>23397.618999999999</v>
      </c>
      <c r="C22">
        <v>38.724600000000002</v>
      </c>
      <c r="D22">
        <v>43.077800000000003</v>
      </c>
      <c r="E22">
        <v>44.020299999999999</v>
      </c>
      <c r="F22">
        <v>49390.870999999999</v>
      </c>
      <c r="G22">
        <v>13.492000000000001</v>
      </c>
    </row>
    <row r="23" spans="1:7" x14ac:dyDescent="0.15">
      <c r="A23" s="141" t="s">
        <v>100</v>
      </c>
      <c r="B23">
        <v>13162.374599999999</v>
      </c>
      <c r="C23">
        <v>37.273699999999998</v>
      </c>
      <c r="D23">
        <v>41.967199999999998</v>
      </c>
      <c r="E23">
        <v>42.439</v>
      </c>
      <c r="F23">
        <v>30672.664000000001</v>
      </c>
      <c r="G23">
        <v>11.760999999999999</v>
      </c>
    </row>
    <row r="24" spans="1:7" x14ac:dyDescent="0.15">
      <c r="A24" s="141" t="s">
        <v>101</v>
      </c>
      <c r="B24">
        <v>7046.1016</v>
      </c>
      <c r="C24">
        <v>35.351500000000001</v>
      </c>
      <c r="D24">
        <v>40.4833</v>
      </c>
      <c r="E24">
        <v>40.491399999999999</v>
      </c>
      <c r="F24">
        <v>18230.025000000001</v>
      </c>
      <c r="G24">
        <v>10.513</v>
      </c>
    </row>
    <row r="25" spans="1:7" x14ac:dyDescent="0.15">
      <c r="A25" s="141" t="s">
        <v>206</v>
      </c>
      <c r="B25">
        <v>65102.380799999999</v>
      </c>
      <c r="C25">
        <v>41.709899999999998</v>
      </c>
      <c r="D25">
        <v>44.219200000000001</v>
      </c>
      <c r="E25">
        <v>45.032699999999998</v>
      </c>
      <c r="F25">
        <v>82715.75</v>
      </c>
      <c r="G25">
        <v>19.068000000000001</v>
      </c>
    </row>
    <row r="26" spans="1:7" x14ac:dyDescent="0.15">
      <c r="A26" s="141" t="s">
        <v>207</v>
      </c>
      <c r="B26">
        <v>41983.161599999999</v>
      </c>
      <c r="C26">
        <v>39.9178</v>
      </c>
      <c r="D26">
        <v>42.728999999999999</v>
      </c>
      <c r="E26">
        <v>43.779699999999998</v>
      </c>
      <c r="F26">
        <v>60941.23</v>
      </c>
      <c r="G26">
        <v>17.414999999999999</v>
      </c>
    </row>
    <row r="27" spans="1:7" x14ac:dyDescent="0.15">
      <c r="A27" s="141" t="s">
        <v>208</v>
      </c>
      <c r="B27">
        <v>24699.251199999999</v>
      </c>
      <c r="C27">
        <v>37.699399999999997</v>
      </c>
      <c r="D27">
        <v>41.391100000000002</v>
      </c>
      <c r="E27">
        <v>42.497900000000001</v>
      </c>
      <c r="F27">
        <v>42497</v>
      </c>
      <c r="G27">
        <v>15.631</v>
      </c>
    </row>
    <row r="28" spans="1:7" x14ac:dyDescent="0.15">
      <c r="A28" s="141" t="s">
        <v>209</v>
      </c>
      <c r="B28">
        <v>12489.92</v>
      </c>
      <c r="C28">
        <v>35.015599999999999</v>
      </c>
      <c r="D28">
        <v>39.8917</v>
      </c>
      <c r="E28">
        <v>40.892000000000003</v>
      </c>
      <c r="F28">
        <v>25933.42</v>
      </c>
      <c r="G28">
        <v>13.493</v>
      </c>
    </row>
    <row r="29" spans="1:7" x14ac:dyDescent="0.15">
      <c r="A29" s="141" t="s">
        <v>210</v>
      </c>
      <c r="B29">
        <v>39871.756800000003</v>
      </c>
      <c r="C29">
        <v>44.8919</v>
      </c>
      <c r="D29">
        <v>47.1158</v>
      </c>
      <c r="E29">
        <v>48.105600000000003</v>
      </c>
      <c r="F29">
        <v>60258.311999999998</v>
      </c>
      <c r="G29">
        <v>17.326000000000001</v>
      </c>
    </row>
    <row r="30" spans="1:7" x14ac:dyDescent="0.15">
      <c r="A30" s="141" t="s">
        <v>211</v>
      </c>
      <c r="B30">
        <v>26317.497599999999</v>
      </c>
      <c r="C30">
        <v>42.747300000000003</v>
      </c>
      <c r="D30">
        <v>45.390099999999997</v>
      </c>
      <c r="E30">
        <v>46.268700000000003</v>
      </c>
      <c r="F30">
        <v>44876.156000000003</v>
      </c>
      <c r="G30">
        <v>15.143000000000001</v>
      </c>
    </row>
    <row r="31" spans="1:7" x14ac:dyDescent="0.15">
      <c r="A31" s="141" t="s">
        <v>212</v>
      </c>
      <c r="B31">
        <v>15607.1232</v>
      </c>
      <c r="C31">
        <v>40.072099999999999</v>
      </c>
      <c r="D31">
        <v>43.784599999999998</v>
      </c>
      <c r="E31">
        <v>44.485999999999997</v>
      </c>
      <c r="F31">
        <v>30874.067999999999</v>
      </c>
      <c r="G31">
        <v>13.422000000000001</v>
      </c>
    </row>
    <row r="32" spans="1:7" x14ac:dyDescent="0.15">
      <c r="A32" s="141" t="s">
        <v>213</v>
      </c>
      <c r="B32">
        <v>8154.8864000000003</v>
      </c>
      <c r="C32">
        <v>37.004800000000003</v>
      </c>
      <c r="D32">
        <v>41.983699999999999</v>
      </c>
      <c r="E32">
        <v>42.400500000000001</v>
      </c>
      <c r="F32">
        <v>19387.455000000002</v>
      </c>
      <c r="G32">
        <v>12.192</v>
      </c>
    </row>
    <row r="33" spans="1:7" x14ac:dyDescent="0.15">
      <c r="A33" s="141" t="s">
        <v>102</v>
      </c>
      <c r="B33">
        <v>54214.182399999998</v>
      </c>
      <c r="C33">
        <v>41.725099999999998</v>
      </c>
      <c r="D33">
        <v>45.887700000000002</v>
      </c>
      <c r="E33">
        <v>46.165599999999998</v>
      </c>
      <c r="F33">
        <v>56115.175999999999</v>
      </c>
      <c r="G33">
        <v>10.597</v>
      </c>
    </row>
    <row r="34" spans="1:7" x14ac:dyDescent="0.15">
      <c r="A34" s="141" t="s">
        <v>103</v>
      </c>
      <c r="B34">
        <v>37072.134400000003</v>
      </c>
      <c r="C34">
        <v>38.802</v>
      </c>
      <c r="D34">
        <v>44.061799999999998</v>
      </c>
      <c r="E34">
        <v>44.345300000000002</v>
      </c>
      <c r="F34">
        <v>45583.991999999998</v>
      </c>
      <c r="G34">
        <v>9.3800000000000008</v>
      </c>
    </row>
    <row r="35" spans="1:7" x14ac:dyDescent="0.15">
      <c r="A35" s="141" t="s">
        <v>104</v>
      </c>
      <c r="B35">
        <v>22057.216</v>
      </c>
      <c r="C35">
        <v>35.427199999999999</v>
      </c>
      <c r="D35">
        <v>42.538800000000002</v>
      </c>
      <c r="E35">
        <v>42.848100000000002</v>
      </c>
      <c r="F35">
        <v>33975.004000000001</v>
      </c>
      <c r="G35">
        <v>8.24</v>
      </c>
    </row>
    <row r="36" spans="1:7" x14ac:dyDescent="0.15">
      <c r="A36" s="141" t="s">
        <v>105</v>
      </c>
      <c r="B36">
        <v>10893.4144</v>
      </c>
      <c r="C36">
        <v>31.806799999999999</v>
      </c>
      <c r="D36">
        <v>41.0974</v>
      </c>
      <c r="E36">
        <v>41.4831</v>
      </c>
      <c r="F36">
        <v>21971.445</v>
      </c>
      <c r="G36">
        <v>6.8479999999999999</v>
      </c>
    </row>
    <row r="37" spans="1:7" x14ac:dyDescent="0.15">
      <c r="A37" s="141" t="s">
        <v>106</v>
      </c>
      <c r="B37">
        <v>20318.848000000002</v>
      </c>
      <c r="C37">
        <v>42.681699999999999</v>
      </c>
      <c r="D37">
        <v>45.4392</v>
      </c>
      <c r="E37">
        <v>46.920099999999998</v>
      </c>
      <c r="F37">
        <v>32437.641</v>
      </c>
      <c r="G37">
        <v>7.6550000000000002</v>
      </c>
    </row>
    <row r="38" spans="1:7" x14ac:dyDescent="0.15">
      <c r="A38" s="141" t="s">
        <v>107</v>
      </c>
      <c r="B38">
        <v>11578.105600000001</v>
      </c>
      <c r="C38">
        <v>40.668700000000001</v>
      </c>
      <c r="D38">
        <v>44.493400000000001</v>
      </c>
      <c r="E38">
        <v>45.2515</v>
      </c>
      <c r="F38">
        <v>22657.116999999998</v>
      </c>
      <c r="G38">
        <v>6.8810000000000002</v>
      </c>
    </row>
    <row r="39" spans="1:7" x14ac:dyDescent="0.15">
      <c r="A39" s="141" t="s">
        <v>108</v>
      </c>
      <c r="B39">
        <v>6429.5551999999998</v>
      </c>
      <c r="C39">
        <v>38.6614</v>
      </c>
      <c r="D39">
        <v>43.5411</v>
      </c>
      <c r="E39">
        <v>43.520899999999997</v>
      </c>
      <c r="F39">
        <v>14506.779</v>
      </c>
      <c r="G39">
        <v>5.89</v>
      </c>
    </row>
    <row r="40" spans="1:7" x14ac:dyDescent="0.15">
      <c r="A40" s="141" t="s">
        <v>109</v>
      </c>
      <c r="B40">
        <v>3286.9184</v>
      </c>
      <c r="C40">
        <v>36.287700000000001</v>
      </c>
      <c r="D40">
        <v>42.219900000000003</v>
      </c>
      <c r="E40">
        <v>41.399299999999997</v>
      </c>
      <c r="F40">
        <v>8463.7450000000008</v>
      </c>
      <c r="G40">
        <v>5.1890000000000001</v>
      </c>
    </row>
    <row r="41" spans="1:7" x14ac:dyDescent="0.15">
      <c r="A41" s="141" t="s">
        <v>110</v>
      </c>
      <c r="B41">
        <v>15327.68</v>
      </c>
      <c r="C41">
        <v>44.203000000000003</v>
      </c>
      <c r="D41">
        <v>46.948399999999999</v>
      </c>
      <c r="E41">
        <v>47.7941</v>
      </c>
      <c r="F41">
        <v>25641.223000000002</v>
      </c>
      <c r="G41">
        <v>7.1689999999999996</v>
      </c>
    </row>
    <row r="42" spans="1:7" x14ac:dyDescent="0.15">
      <c r="A42" s="141" t="s">
        <v>111</v>
      </c>
      <c r="B42">
        <v>10395.251200000001</v>
      </c>
      <c r="C42">
        <v>42.479399999999998</v>
      </c>
      <c r="D42">
        <v>45.753700000000002</v>
      </c>
      <c r="E42">
        <v>46.3782</v>
      </c>
      <c r="F42">
        <v>19503.208999999999</v>
      </c>
      <c r="G42">
        <v>6.6550000000000002</v>
      </c>
    </row>
    <row r="43" spans="1:7" x14ac:dyDescent="0.15">
      <c r="A43" s="141" t="s">
        <v>112</v>
      </c>
      <c r="B43">
        <v>6571.8208000000004</v>
      </c>
      <c r="C43">
        <v>40.133000000000003</v>
      </c>
      <c r="D43">
        <v>44.436999999999998</v>
      </c>
      <c r="E43">
        <v>44.869100000000003</v>
      </c>
      <c r="F43">
        <v>13893.214</v>
      </c>
      <c r="G43">
        <v>6.0679999999999996</v>
      </c>
    </row>
    <row r="44" spans="1:7" x14ac:dyDescent="0.15">
      <c r="A44" s="141" t="s">
        <v>113</v>
      </c>
      <c r="B44">
        <v>3809.0239999999999</v>
      </c>
      <c r="C44">
        <v>37.149799999999999</v>
      </c>
      <c r="D44">
        <v>42.751100000000001</v>
      </c>
      <c r="E44">
        <v>42.981400000000001</v>
      </c>
      <c r="F44">
        <v>9048.2579999999998</v>
      </c>
      <c r="G44">
        <v>5.5739999999999998</v>
      </c>
    </row>
    <row r="45" spans="1:7" x14ac:dyDescent="0.15">
      <c r="A45" s="141" t="s">
        <v>114</v>
      </c>
      <c r="B45">
        <v>16561.529600000002</v>
      </c>
      <c r="C45">
        <v>44.141500000000001</v>
      </c>
      <c r="D45">
        <v>48.619100000000003</v>
      </c>
      <c r="E45">
        <v>48.207599999999999</v>
      </c>
      <c r="F45">
        <v>25197.912</v>
      </c>
      <c r="G45">
        <v>6.8630000000000004</v>
      </c>
    </row>
    <row r="46" spans="1:7" x14ac:dyDescent="0.15">
      <c r="A46" s="141" t="s">
        <v>115</v>
      </c>
      <c r="B46">
        <v>11503.263999999999</v>
      </c>
      <c r="C46">
        <v>42.404200000000003</v>
      </c>
      <c r="D46">
        <v>47.503100000000003</v>
      </c>
      <c r="E46">
        <v>46.644500000000001</v>
      </c>
      <c r="F46">
        <v>19292.474999999999</v>
      </c>
      <c r="G46">
        <v>6.2350000000000003</v>
      </c>
    </row>
    <row r="47" spans="1:7" x14ac:dyDescent="0.15">
      <c r="A47" s="141" t="s">
        <v>116</v>
      </c>
      <c r="B47">
        <v>7477.9520000000002</v>
      </c>
      <c r="C47">
        <v>40.014499999999998</v>
      </c>
      <c r="D47">
        <v>46.2074</v>
      </c>
      <c r="E47">
        <v>44.831600000000002</v>
      </c>
      <c r="F47">
        <v>14076.474</v>
      </c>
      <c r="G47">
        <v>5.7469999999999999</v>
      </c>
    </row>
    <row r="48" spans="1:7" x14ac:dyDescent="0.15">
      <c r="A48" s="141" t="s">
        <v>117</v>
      </c>
      <c r="B48">
        <v>4355.2064</v>
      </c>
      <c r="C48">
        <v>36.799399999999999</v>
      </c>
      <c r="D48">
        <v>44.3733</v>
      </c>
      <c r="E48">
        <v>42.559699999999999</v>
      </c>
      <c r="F48">
        <v>9546.2009999999991</v>
      </c>
      <c r="G48">
        <v>5.1829999999999998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14648.451999999999</v>
      </c>
      <c r="C73">
        <v>40.081299999999999</v>
      </c>
      <c r="D73">
        <v>48.959200000000003</v>
      </c>
      <c r="E73">
        <v>46.956299999999999</v>
      </c>
      <c r="F73">
        <v>356762.59600000002</v>
      </c>
      <c r="G73">
        <v>68.363</v>
      </c>
    </row>
    <row r="74" spans="1:7" x14ac:dyDescent="0.15">
      <c r="A74" s="141" t="s">
        <v>223</v>
      </c>
      <c r="B74">
        <v>6774.02</v>
      </c>
      <c r="C74">
        <v>39.581099999999999</v>
      </c>
      <c r="D74">
        <v>48.368400000000001</v>
      </c>
      <c r="E74">
        <v>46.093499999999999</v>
      </c>
      <c r="F74">
        <v>196225.78</v>
      </c>
      <c r="G74">
        <v>63.82</v>
      </c>
    </row>
    <row r="75" spans="1:7" x14ac:dyDescent="0.15">
      <c r="A75" s="141" t="s">
        <v>224</v>
      </c>
      <c r="B75">
        <v>3668.7559999999999</v>
      </c>
      <c r="C75">
        <v>38.727699999999999</v>
      </c>
      <c r="D75">
        <v>47.4148</v>
      </c>
      <c r="E75">
        <v>44.790399999999998</v>
      </c>
      <c r="F75">
        <v>98305.538</v>
      </c>
      <c r="G75">
        <v>59.079000000000001</v>
      </c>
    </row>
    <row r="76" spans="1:7" x14ac:dyDescent="0.15">
      <c r="A76" s="141" t="s">
        <v>225</v>
      </c>
      <c r="B76">
        <v>1940.48</v>
      </c>
      <c r="C76">
        <v>37.220300000000002</v>
      </c>
      <c r="D76">
        <v>46.148200000000003</v>
      </c>
      <c r="E76">
        <v>43.143700000000003</v>
      </c>
      <c r="F76">
        <v>48407.292000000001</v>
      </c>
      <c r="G76">
        <v>52.418999999999997</v>
      </c>
    </row>
    <row r="77" spans="1:7" x14ac:dyDescent="0.15">
      <c r="A77" s="141" t="s">
        <v>226</v>
      </c>
      <c r="B77">
        <v>77034.58</v>
      </c>
      <c r="C77">
        <v>41.629399999999997</v>
      </c>
      <c r="D77">
        <v>36.307600000000001</v>
      </c>
      <c r="E77">
        <v>37.3842</v>
      </c>
      <c r="F77">
        <v>736122.39</v>
      </c>
      <c r="G77">
        <v>79.975999999999999</v>
      </c>
    </row>
    <row r="78" spans="1:7" x14ac:dyDescent="0.15">
      <c r="A78" s="141" t="s">
        <v>227</v>
      </c>
      <c r="B78">
        <v>40002.552000000003</v>
      </c>
      <c r="C78">
        <v>39.0259</v>
      </c>
      <c r="D78">
        <v>34.376899999999999</v>
      </c>
      <c r="E78">
        <v>35.6753</v>
      </c>
      <c r="F78">
        <v>458299.413</v>
      </c>
      <c r="G78">
        <v>69.453000000000003</v>
      </c>
    </row>
    <row r="79" spans="1:7" x14ac:dyDescent="0.15">
      <c r="A79" s="141" t="s">
        <v>228</v>
      </c>
      <c r="B79">
        <v>18902.835999999999</v>
      </c>
      <c r="C79">
        <v>36.116399999999999</v>
      </c>
      <c r="D79">
        <v>32.645200000000003</v>
      </c>
      <c r="E79">
        <v>34.134500000000003</v>
      </c>
      <c r="F79">
        <v>272111.23499999999</v>
      </c>
      <c r="G79">
        <v>63.418999999999997</v>
      </c>
    </row>
    <row r="80" spans="1:7" x14ac:dyDescent="0.15">
      <c r="A80" s="141" t="s">
        <v>229</v>
      </c>
      <c r="B80">
        <v>7817.6760000000004</v>
      </c>
      <c r="C80">
        <v>33.0428</v>
      </c>
      <c r="D80">
        <v>31.040400000000002</v>
      </c>
      <c r="E80">
        <v>32.747700000000002</v>
      </c>
      <c r="F80">
        <v>160663.5</v>
      </c>
      <c r="G80">
        <v>62.247</v>
      </c>
    </row>
    <row r="81" spans="1:7" x14ac:dyDescent="0.15">
      <c r="A81" s="141" t="s">
        <v>230</v>
      </c>
      <c r="B81">
        <v>39036.26</v>
      </c>
      <c r="C81">
        <v>38.319699999999997</v>
      </c>
      <c r="D81">
        <v>40.369500000000002</v>
      </c>
      <c r="E81">
        <v>41.366900000000001</v>
      </c>
      <c r="F81">
        <v>411884.10800000001</v>
      </c>
      <c r="G81">
        <v>42.488</v>
      </c>
    </row>
    <row r="82" spans="1:7" x14ac:dyDescent="0.15">
      <c r="A82" s="141" t="s">
        <v>231</v>
      </c>
      <c r="B82">
        <v>18968.712</v>
      </c>
      <c r="C82">
        <v>37.190800000000003</v>
      </c>
      <c r="D82">
        <v>37.874200000000002</v>
      </c>
      <c r="E82">
        <v>40.105499999999999</v>
      </c>
      <c r="F82">
        <v>243259.89199999999</v>
      </c>
      <c r="G82">
        <v>37.767000000000003</v>
      </c>
    </row>
    <row r="83" spans="1:7" x14ac:dyDescent="0.15">
      <c r="A83" s="141" t="s">
        <v>232</v>
      </c>
      <c r="B83">
        <v>9387.7119999999995</v>
      </c>
      <c r="C83">
        <v>35.8095</v>
      </c>
      <c r="D83">
        <v>35.6751</v>
      </c>
      <c r="E83">
        <v>38.809800000000003</v>
      </c>
      <c r="F83">
        <v>138305.81899999999</v>
      </c>
      <c r="G83">
        <v>33.911000000000001</v>
      </c>
    </row>
    <row r="84" spans="1:7" x14ac:dyDescent="0.15">
      <c r="A84" s="141" t="s">
        <v>233</v>
      </c>
      <c r="B84">
        <v>4761.0320000000002</v>
      </c>
      <c r="C84">
        <v>33.973599999999998</v>
      </c>
      <c r="D84">
        <v>33.798999999999999</v>
      </c>
      <c r="E84">
        <v>37.342300000000002</v>
      </c>
      <c r="F84">
        <v>81880.039999999994</v>
      </c>
      <c r="G84">
        <v>31.777000000000001</v>
      </c>
    </row>
    <row r="85" spans="1:7" x14ac:dyDescent="0.15">
      <c r="A85" s="141" t="s">
        <v>234</v>
      </c>
      <c r="B85">
        <v>25489.187999999998</v>
      </c>
      <c r="C85">
        <v>37.620800000000003</v>
      </c>
      <c r="D85">
        <v>45.173099999999998</v>
      </c>
      <c r="E85">
        <v>42.7911</v>
      </c>
      <c r="F85">
        <v>529003.41099999996</v>
      </c>
      <c r="G85">
        <v>70.576999999999998</v>
      </c>
    </row>
    <row r="86" spans="1:7" x14ac:dyDescent="0.15">
      <c r="A86" s="141" t="s">
        <v>235</v>
      </c>
      <c r="B86">
        <v>9126.8799999999992</v>
      </c>
      <c r="C86">
        <v>37.054099999999998</v>
      </c>
      <c r="D86">
        <v>44.578400000000002</v>
      </c>
      <c r="E86">
        <v>42.118499999999997</v>
      </c>
      <c r="F86">
        <v>272557.19400000002</v>
      </c>
      <c r="G86">
        <v>62.271999999999998</v>
      </c>
    </row>
    <row r="87" spans="1:7" x14ac:dyDescent="0.15">
      <c r="A87" s="141" t="s">
        <v>236</v>
      </c>
      <c r="B87">
        <v>4517.1559999999999</v>
      </c>
      <c r="C87">
        <v>36.196800000000003</v>
      </c>
      <c r="D87">
        <v>43.665900000000001</v>
      </c>
      <c r="E87">
        <v>41.165700000000001</v>
      </c>
      <c r="F87">
        <v>135979.07699999999</v>
      </c>
      <c r="G87">
        <v>50.695999999999998</v>
      </c>
    </row>
    <row r="88" spans="1:7" x14ac:dyDescent="0.15">
      <c r="A88" s="141" t="s">
        <v>237</v>
      </c>
      <c r="B88">
        <v>2188.8200000000002</v>
      </c>
      <c r="C88">
        <v>34.725000000000001</v>
      </c>
      <c r="D88">
        <v>42.462200000000003</v>
      </c>
      <c r="E88">
        <v>39.923699999999997</v>
      </c>
      <c r="F88">
        <v>66114.960000000006</v>
      </c>
      <c r="G88">
        <v>43.334000000000003</v>
      </c>
    </row>
    <row r="89" spans="1:7" x14ac:dyDescent="0.15">
      <c r="A89" s="141" t="s">
        <v>118</v>
      </c>
      <c r="B89">
        <v>9926.8919999999998</v>
      </c>
      <c r="C89">
        <v>37.994700000000002</v>
      </c>
      <c r="D89">
        <v>39.739600000000003</v>
      </c>
      <c r="E89">
        <v>43.135599999999997</v>
      </c>
      <c r="F89">
        <v>120803.552</v>
      </c>
      <c r="G89">
        <v>14.596</v>
      </c>
    </row>
    <row r="90" spans="1:7" x14ac:dyDescent="0.15">
      <c r="A90" s="141" t="s">
        <v>119</v>
      </c>
      <c r="B90">
        <v>4579.72</v>
      </c>
      <c r="C90">
        <v>36.884399999999999</v>
      </c>
      <c r="D90">
        <v>39.217300000000002</v>
      </c>
      <c r="E90">
        <v>42.014400000000002</v>
      </c>
      <c r="F90">
        <v>72065.808999999994</v>
      </c>
      <c r="G90">
        <v>12.944000000000001</v>
      </c>
    </row>
    <row r="91" spans="1:7" x14ac:dyDescent="0.15">
      <c r="A91" s="141" t="s">
        <v>120</v>
      </c>
      <c r="B91">
        <v>2327.9639999999999</v>
      </c>
      <c r="C91">
        <v>35.334499999999998</v>
      </c>
      <c r="D91">
        <v>38.509</v>
      </c>
      <c r="E91">
        <v>40.659399999999998</v>
      </c>
      <c r="F91">
        <v>39117.675000000003</v>
      </c>
      <c r="G91">
        <v>10.847</v>
      </c>
    </row>
    <row r="92" spans="1:7" x14ac:dyDescent="0.15">
      <c r="A92" s="141" t="s">
        <v>121</v>
      </c>
      <c r="B92">
        <v>1111.0160000000001</v>
      </c>
      <c r="C92">
        <v>33.130899999999997</v>
      </c>
      <c r="D92">
        <v>37.452500000000001</v>
      </c>
      <c r="E92">
        <v>38.9602</v>
      </c>
      <c r="F92">
        <v>20994.385999999999</v>
      </c>
      <c r="G92">
        <v>9.6159999999999997</v>
      </c>
    </row>
    <row r="93" spans="1:7" x14ac:dyDescent="0.15">
      <c r="A93" s="141" t="s">
        <v>122</v>
      </c>
      <c r="B93">
        <v>8734.3040000000001</v>
      </c>
      <c r="C93">
        <v>38.923699999999997</v>
      </c>
      <c r="D93">
        <v>43.968699999999998</v>
      </c>
      <c r="E93">
        <v>45.089100000000002</v>
      </c>
      <c r="F93">
        <v>128012.63499999999</v>
      </c>
      <c r="G93">
        <v>16.875</v>
      </c>
    </row>
    <row r="94" spans="1:7" x14ac:dyDescent="0.15">
      <c r="A94" s="141" t="s">
        <v>123</v>
      </c>
      <c r="B94">
        <v>4353.0879999999997</v>
      </c>
      <c r="C94">
        <v>37.878799999999998</v>
      </c>
      <c r="D94">
        <v>43.138399999999997</v>
      </c>
      <c r="E94">
        <v>43.670299999999997</v>
      </c>
      <c r="F94">
        <v>75876.255999999994</v>
      </c>
      <c r="G94">
        <v>15.452</v>
      </c>
    </row>
    <row r="95" spans="1:7" x14ac:dyDescent="0.15">
      <c r="A95" s="141" t="s">
        <v>124</v>
      </c>
      <c r="B95">
        <v>2219.9920000000002</v>
      </c>
      <c r="C95">
        <v>36.3827</v>
      </c>
      <c r="D95">
        <v>42.052700000000002</v>
      </c>
      <c r="E95">
        <v>42.040500000000002</v>
      </c>
      <c r="F95">
        <v>40932.618999999999</v>
      </c>
      <c r="G95">
        <v>12.715</v>
      </c>
    </row>
    <row r="96" spans="1:7" x14ac:dyDescent="0.15">
      <c r="A96" s="141" t="s">
        <v>125</v>
      </c>
      <c r="B96">
        <v>1094.644</v>
      </c>
      <c r="C96">
        <v>34.320799999999998</v>
      </c>
      <c r="D96">
        <v>40.712800000000001</v>
      </c>
      <c r="E96">
        <v>40.188400000000001</v>
      </c>
      <c r="F96">
        <v>21697.035</v>
      </c>
      <c r="G96">
        <v>10.708</v>
      </c>
    </row>
    <row r="97" spans="1:7" x14ac:dyDescent="0.15">
      <c r="A97" s="141" t="s">
        <v>238</v>
      </c>
      <c r="B97">
        <v>6822.7560000000003</v>
      </c>
      <c r="C97">
        <v>39.688000000000002</v>
      </c>
      <c r="D97">
        <v>43.720100000000002</v>
      </c>
      <c r="E97">
        <v>44.931699999999999</v>
      </c>
      <c r="F97">
        <v>117224.412</v>
      </c>
      <c r="G97">
        <v>17.481999999999999</v>
      </c>
    </row>
    <row r="98" spans="1:7" x14ac:dyDescent="0.15">
      <c r="A98" s="141" t="s">
        <v>239</v>
      </c>
      <c r="B98">
        <v>3205.944</v>
      </c>
      <c r="C98">
        <v>38.490900000000003</v>
      </c>
      <c r="D98">
        <v>42.976300000000002</v>
      </c>
      <c r="E98">
        <v>44.306899999999999</v>
      </c>
      <c r="F98">
        <v>66037.455000000002</v>
      </c>
      <c r="G98">
        <v>15.395</v>
      </c>
    </row>
    <row r="99" spans="1:7" x14ac:dyDescent="0.15">
      <c r="A99" s="141" t="s">
        <v>240</v>
      </c>
      <c r="B99">
        <v>1529.164</v>
      </c>
      <c r="C99">
        <v>36.781799999999997</v>
      </c>
      <c r="D99">
        <v>42.005299999999998</v>
      </c>
      <c r="E99">
        <v>43.366500000000002</v>
      </c>
      <c r="F99">
        <v>35724.523999999998</v>
      </c>
      <c r="G99">
        <v>14.026999999999999</v>
      </c>
    </row>
    <row r="100" spans="1:7" x14ac:dyDescent="0.15">
      <c r="A100" s="141" t="s">
        <v>241</v>
      </c>
      <c r="B100">
        <v>688.24</v>
      </c>
      <c r="C100">
        <v>34.547600000000003</v>
      </c>
      <c r="D100">
        <v>40.743400000000001</v>
      </c>
      <c r="E100">
        <v>42.061999999999998</v>
      </c>
      <c r="F100">
        <v>17344.760999999999</v>
      </c>
      <c r="G100">
        <v>11.099</v>
      </c>
    </row>
    <row r="101" spans="1:7" x14ac:dyDescent="0.15">
      <c r="A101" s="141" t="s">
        <v>242</v>
      </c>
      <c r="B101">
        <v>5729.6679999999997</v>
      </c>
      <c r="C101">
        <v>44.845799999999997</v>
      </c>
      <c r="D101">
        <v>47.294800000000002</v>
      </c>
      <c r="E101">
        <v>48.337299999999999</v>
      </c>
      <c r="F101">
        <v>83481.726999999999</v>
      </c>
      <c r="G101">
        <v>16.920000000000002</v>
      </c>
    </row>
    <row r="102" spans="1:7" x14ac:dyDescent="0.15">
      <c r="A102" s="141" t="s">
        <v>243</v>
      </c>
      <c r="B102">
        <v>3514.0639999999999</v>
      </c>
      <c r="C102">
        <v>42.605499999999999</v>
      </c>
      <c r="D102">
        <v>45.787799999999997</v>
      </c>
      <c r="E102">
        <v>46.650799999999997</v>
      </c>
      <c r="F102">
        <v>60917.785000000003</v>
      </c>
      <c r="G102">
        <v>16.5</v>
      </c>
    </row>
    <row r="103" spans="1:7" x14ac:dyDescent="0.15">
      <c r="A103" s="141" t="s">
        <v>244</v>
      </c>
      <c r="B103">
        <v>1957.2760000000001</v>
      </c>
      <c r="C103">
        <v>39.801600000000001</v>
      </c>
      <c r="D103">
        <v>44.164999999999999</v>
      </c>
      <c r="E103">
        <v>44.7714</v>
      </c>
      <c r="F103">
        <v>36417.644</v>
      </c>
      <c r="G103">
        <v>13.96</v>
      </c>
    </row>
    <row r="104" spans="1:7" x14ac:dyDescent="0.15">
      <c r="A104" s="141" t="s">
        <v>245</v>
      </c>
      <c r="B104">
        <v>992.97199999999998</v>
      </c>
      <c r="C104">
        <v>36.622799999999998</v>
      </c>
      <c r="D104">
        <v>42.489899999999999</v>
      </c>
      <c r="E104">
        <v>42.858699999999999</v>
      </c>
      <c r="F104">
        <v>20542.932000000001</v>
      </c>
      <c r="G104">
        <v>11.705</v>
      </c>
    </row>
    <row r="105" spans="1:7" x14ac:dyDescent="0.15">
      <c r="A105" s="141" t="s">
        <v>126</v>
      </c>
      <c r="B105">
        <v>4187.8280000000004</v>
      </c>
      <c r="C105">
        <v>38.594999999999999</v>
      </c>
      <c r="D105">
        <v>45.962000000000003</v>
      </c>
      <c r="E105">
        <v>46.188200000000002</v>
      </c>
      <c r="F105">
        <v>55278.142</v>
      </c>
      <c r="G105">
        <v>7.1829999999999998</v>
      </c>
    </row>
    <row r="106" spans="1:7" x14ac:dyDescent="0.15">
      <c r="A106" s="141" t="s">
        <v>127</v>
      </c>
      <c r="B106">
        <v>1769.2360000000001</v>
      </c>
      <c r="C106">
        <v>36.999600000000001</v>
      </c>
      <c r="D106">
        <v>44.939500000000002</v>
      </c>
      <c r="E106">
        <v>45.103400000000001</v>
      </c>
      <c r="F106">
        <v>29185.89</v>
      </c>
      <c r="G106">
        <v>5.8259999999999996</v>
      </c>
    </row>
    <row r="107" spans="1:7" x14ac:dyDescent="0.15">
      <c r="A107" s="141" t="s">
        <v>128</v>
      </c>
      <c r="B107">
        <v>814.09199999999998</v>
      </c>
      <c r="C107">
        <v>35.008000000000003</v>
      </c>
      <c r="D107">
        <v>43.5625</v>
      </c>
      <c r="E107">
        <v>43.693800000000003</v>
      </c>
      <c r="F107">
        <v>15356.73</v>
      </c>
      <c r="G107">
        <v>4.8739999999999997</v>
      </c>
    </row>
    <row r="108" spans="1:7" x14ac:dyDescent="0.15">
      <c r="A108" s="141" t="s">
        <v>129</v>
      </c>
      <c r="B108">
        <v>393.58800000000002</v>
      </c>
      <c r="C108">
        <v>32.387799999999999</v>
      </c>
      <c r="D108">
        <v>41.8367</v>
      </c>
      <c r="E108">
        <v>42.123899999999999</v>
      </c>
      <c r="F108">
        <v>7805.0029999999997</v>
      </c>
      <c r="G108">
        <v>4.0940000000000003</v>
      </c>
    </row>
    <row r="109" spans="1:7" x14ac:dyDescent="0.15">
      <c r="A109" s="141" t="s">
        <v>130</v>
      </c>
      <c r="B109">
        <v>2472.6880000000001</v>
      </c>
      <c r="C109">
        <v>40.6143</v>
      </c>
      <c r="D109">
        <v>46.106400000000001</v>
      </c>
      <c r="E109">
        <v>47.214399999999998</v>
      </c>
      <c r="F109">
        <v>42678.713000000003</v>
      </c>
      <c r="G109">
        <v>7.2080000000000002</v>
      </c>
    </row>
    <row r="110" spans="1:7" x14ac:dyDescent="0.15">
      <c r="A110" s="141" t="s">
        <v>131</v>
      </c>
      <c r="B110">
        <v>1131.26</v>
      </c>
      <c r="C110">
        <v>39.497599999999998</v>
      </c>
      <c r="D110">
        <v>45.560299999999998</v>
      </c>
      <c r="E110">
        <v>46.035600000000002</v>
      </c>
      <c r="F110">
        <v>23400.652999999998</v>
      </c>
      <c r="G110">
        <v>6.2329999999999997</v>
      </c>
    </row>
    <row r="111" spans="1:7" x14ac:dyDescent="0.15">
      <c r="A111" s="141" t="s">
        <v>132</v>
      </c>
      <c r="B111">
        <v>533.64</v>
      </c>
      <c r="C111">
        <v>37.935299999999998</v>
      </c>
      <c r="D111">
        <v>44.752299999999998</v>
      </c>
      <c r="E111">
        <v>44.426200000000001</v>
      </c>
      <c r="F111">
        <v>11817.421</v>
      </c>
      <c r="G111">
        <v>5.4429999999999996</v>
      </c>
    </row>
    <row r="112" spans="1:7" x14ac:dyDescent="0.15">
      <c r="A112" s="141" t="s">
        <v>133</v>
      </c>
      <c r="B112">
        <v>242.00800000000001</v>
      </c>
      <c r="C112">
        <v>35.841900000000003</v>
      </c>
      <c r="D112">
        <v>43.587699999999998</v>
      </c>
      <c r="E112">
        <v>42.516199999999998</v>
      </c>
      <c r="F112">
        <v>5876.7659999999996</v>
      </c>
      <c r="G112">
        <v>4.6310000000000002</v>
      </c>
    </row>
    <row r="113" spans="1:7" x14ac:dyDescent="0.15">
      <c r="A113" s="141" t="s">
        <v>134</v>
      </c>
      <c r="B113">
        <v>942.20399999999995</v>
      </c>
      <c r="C113">
        <v>43.501100000000001</v>
      </c>
      <c r="D113">
        <v>47.124699999999997</v>
      </c>
      <c r="E113">
        <v>48.166899999999998</v>
      </c>
      <c r="F113">
        <v>18429.93</v>
      </c>
      <c r="G113">
        <v>5.0090000000000003</v>
      </c>
    </row>
    <row r="114" spans="1:7" x14ac:dyDescent="0.15">
      <c r="A114" s="141" t="s">
        <v>135</v>
      </c>
      <c r="B114">
        <v>512.4</v>
      </c>
      <c r="C114">
        <v>42.223300000000002</v>
      </c>
      <c r="D114">
        <v>46.345500000000001</v>
      </c>
      <c r="E114">
        <v>47.1646</v>
      </c>
      <c r="F114">
        <v>10318.111000000001</v>
      </c>
      <c r="G114">
        <v>4.4939999999999998</v>
      </c>
    </row>
    <row r="115" spans="1:7" x14ac:dyDescent="0.15">
      <c r="A115" s="141" t="s">
        <v>136</v>
      </c>
      <c r="B115">
        <v>293.02</v>
      </c>
      <c r="C115">
        <v>40.446300000000001</v>
      </c>
      <c r="D115">
        <v>45.316800000000001</v>
      </c>
      <c r="E115">
        <v>45.792999999999999</v>
      </c>
      <c r="F115">
        <v>5672.6319999999996</v>
      </c>
      <c r="G115">
        <v>4.3419999999999996</v>
      </c>
    </row>
    <row r="116" spans="1:7" x14ac:dyDescent="0.15">
      <c r="A116" s="141" t="s">
        <v>137</v>
      </c>
      <c r="B116">
        <v>163.72399999999999</v>
      </c>
      <c r="C116">
        <v>37.885599999999997</v>
      </c>
      <c r="D116">
        <v>43.615400000000001</v>
      </c>
      <c r="E116">
        <v>43.978499999999997</v>
      </c>
      <c r="F116">
        <v>3235.473</v>
      </c>
      <c r="G116">
        <v>4.327</v>
      </c>
    </row>
    <row r="117" spans="1:7" x14ac:dyDescent="0.15">
      <c r="A117" s="141" t="s">
        <v>138</v>
      </c>
      <c r="B117">
        <v>1321.2719999999999</v>
      </c>
      <c r="C117">
        <v>42.871299999999998</v>
      </c>
      <c r="D117">
        <v>48.833199999999998</v>
      </c>
      <c r="E117">
        <v>48.4831</v>
      </c>
      <c r="F117">
        <v>21149.31</v>
      </c>
      <c r="G117">
        <v>4.9610000000000003</v>
      </c>
    </row>
    <row r="118" spans="1:7" x14ac:dyDescent="0.15">
      <c r="A118" s="141" t="s">
        <v>139</v>
      </c>
      <c r="B118">
        <v>708.45600000000002</v>
      </c>
      <c r="C118">
        <v>41.603000000000002</v>
      </c>
      <c r="D118">
        <v>48.036700000000003</v>
      </c>
      <c r="E118">
        <v>47.447899999999997</v>
      </c>
      <c r="F118">
        <v>11928.617</v>
      </c>
      <c r="G118">
        <v>4.492</v>
      </c>
    </row>
    <row r="119" spans="1:7" x14ac:dyDescent="0.15">
      <c r="A119" s="141" t="s">
        <v>140</v>
      </c>
      <c r="B119">
        <v>402.14400000000001</v>
      </c>
      <c r="C119">
        <v>39.738199999999999</v>
      </c>
      <c r="D119">
        <v>47.016800000000003</v>
      </c>
      <c r="E119">
        <v>45.979799999999997</v>
      </c>
      <c r="F119">
        <v>6853.585</v>
      </c>
      <c r="G119">
        <v>4.1820000000000004</v>
      </c>
    </row>
    <row r="120" spans="1:7" x14ac:dyDescent="0.15">
      <c r="A120" s="141" t="s">
        <v>141</v>
      </c>
      <c r="B120">
        <v>222.96799999999999</v>
      </c>
      <c r="C120">
        <v>37.013199999999998</v>
      </c>
      <c r="D120">
        <v>45.243899999999996</v>
      </c>
      <c r="E120">
        <v>43.4071</v>
      </c>
      <c r="F120">
        <v>3942.87</v>
      </c>
      <c r="G120">
        <v>4.1079999999999997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16904.815999999999</v>
      </c>
      <c r="C145">
        <v>40.155299999999997</v>
      </c>
      <c r="D145">
        <v>48.611400000000003</v>
      </c>
      <c r="E145">
        <v>46.481400000000001</v>
      </c>
      <c r="F145">
        <v>207952.375</v>
      </c>
      <c r="G145">
        <v>34.122999999999998</v>
      </c>
    </row>
    <row r="146" spans="1:7" x14ac:dyDescent="0.15">
      <c r="A146" s="141" t="s">
        <v>255</v>
      </c>
      <c r="B146">
        <v>8492.7999999999993</v>
      </c>
      <c r="C146">
        <v>39.540900000000001</v>
      </c>
      <c r="D146">
        <v>47.799700000000001</v>
      </c>
      <c r="E146">
        <v>45.3703</v>
      </c>
      <c r="F146">
        <v>119234.17200000001</v>
      </c>
      <c r="G146">
        <v>31.498000000000001</v>
      </c>
    </row>
    <row r="147" spans="1:7" x14ac:dyDescent="0.15">
      <c r="A147" s="141" t="s">
        <v>256</v>
      </c>
      <c r="B147">
        <v>4640.12</v>
      </c>
      <c r="C147">
        <v>38.539499999999997</v>
      </c>
      <c r="D147">
        <v>46.646099999999997</v>
      </c>
      <c r="E147">
        <v>43.985199999999999</v>
      </c>
      <c r="F147">
        <v>61269.800999999999</v>
      </c>
      <c r="G147">
        <v>26.885000000000002</v>
      </c>
    </row>
    <row r="148" spans="1:7" x14ac:dyDescent="0.15">
      <c r="A148" s="141" t="s">
        <v>257</v>
      </c>
      <c r="B148">
        <v>2523.1759999999999</v>
      </c>
      <c r="C148">
        <v>36.985500000000002</v>
      </c>
      <c r="D148">
        <v>45.305999999999997</v>
      </c>
      <c r="E148">
        <v>42.353000000000002</v>
      </c>
      <c r="F148">
        <v>32470.958999999999</v>
      </c>
      <c r="G148">
        <v>24.599</v>
      </c>
    </row>
    <row r="149" spans="1:7" x14ac:dyDescent="0.15">
      <c r="A149" s="141" t="s">
        <v>258</v>
      </c>
      <c r="B149">
        <v>93106.376000000004</v>
      </c>
      <c r="C149">
        <v>41.7027</v>
      </c>
      <c r="D149">
        <v>36.487900000000003</v>
      </c>
      <c r="E149">
        <v>37.486899999999999</v>
      </c>
      <c r="F149">
        <v>391366.06199999998</v>
      </c>
      <c r="G149">
        <v>35.554000000000002</v>
      </c>
    </row>
    <row r="150" spans="1:7" x14ac:dyDescent="0.15">
      <c r="A150" s="141" t="s">
        <v>259</v>
      </c>
      <c r="B150">
        <v>47681.552000000003</v>
      </c>
      <c r="C150">
        <v>38.9208</v>
      </c>
      <c r="D150">
        <v>34.177500000000002</v>
      </c>
      <c r="E150">
        <v>35.506700000000002</v>
      </c>
      <c r="F150">
        <v>252222.484</v>
      </c>
      <c r="G150">
        <v>30.202000000000002</v>
      </c>
    </row>
    <row r="151" spans="1:7" x14ac:dyDescent="0.15">
      <c r="A151" s="141" t="s">
        <v>260</v>
      </c>
      <c r="B151">
        <v>22093.088</v>
      </c>
      <c r="C151">
        <v>35.815199999999997</v>
      </c>
      <c r="D151">
        <v>32.246699999999997</v>
      </c>
      <c r="E151">
        <v>33.798400000000001</v>
      </c>
      <c r="F151">
        <v>162075.17199999999</v>
      </c>
      <c r="G151">
        <v>27.492999999999999</v>
      </c>
    </row>
    <row r="152" spans="1:7" x14ac:dyDescent="0.15">
      <c r="A152" s="141" t="s">
        <v>261</v>
      </c>
      <c r="B152">
        <v>9291.6640000000007</v>
      </c>
      <c r="C152">
        <v>32.783200000000001</v>
      </c>
      <c r="D152">
        <v>30.573899999999998</v>
      </c>
      <c r="E152">
        <v>32.3187</v>
      </c>
      <c r="F152">
        <v>89991.414000000004</v>
      </c>
      <c r="G152">
        <v>23.690999999999999</v>
      </c>
    </row>
    <row r="153" spans="1:7" x14ac:dyDescent="0.15">
      <c r="A153" s="141" t="s">
        <v>262</v>
      </c>
      <c r="B153">
        <v>46999.207999999999</v>
      </c>
      <c r="C153">
        <v>38.908999999999999</v>
      </c>
      <c r="D153">
        <v>41.106400000000001</v>
      </c>
      <c r="E153">
        <v>41.318300000000001</v>
      </c>
      <c r="F153">
        <v>210236.21900000001</v>
      </c>
      <c r="G153">
        <v>20.093</v>
      </c>
    </row>
    <row r="154" spans="1:7" x14ac:dyDescent="0.15">
      <c r="A154" s="141" t="s">
        <v>263</v>
      </c>
      <c r="B154">
        <v>23158.720000000001</v>
      </c>
      <c r="C154">
        <v>37.528300000000002</v>
      </c>
      <c r="D154">
        <v>38.581800000000001</v>
      </c>
      <c r="E154">
        <v>39.865400000000001</v>
      </c>
      <c r="F154">
        <v>122282.156</v>
      </c>
      <c r="G154">
        <v>17.251999999999999</v>
      </c>
    </row>
    <row r="155" spans="1:7" x14ac:dyDescent="0.15">
      <c r="A155" s="141" t="s">
        <v>264</v>
      </c>
      <c r="B155">
        <v>12056.976000000001</v>
      </c>
      <c r="C155">
        <v>35.9621</v>
      </c>
      <c r="D155">
        <v>36.381300000000003</v>
      </c>
      <c r="E155">
        <v>38.446100000000001</v>
      </c>
      <c r="F155">
        <v>77638.827999999994</v>
      </c>
      <c r="G155">
        <v>15.471</v>
      </c>
    </row>
    <row r="156" spans="1:7" x14ac:dyDescent="0.15">
      <c r="A156" s="141" t="s">
        <v>265</v>
      </c>
      <c r="B156">
        <v>5904.7120000000004</v>
      </c>
      <c r="C156">
        <v>34.030099999999997</v>
      </c>
      <c r="D156">
        <v>33.9771</v>
      </c>
      <c r="E156">
        <v>36.7517</v>
      </c>
      <c r="F156">
        <v>45484.125</v>
      </c>
      <c r="G156">
        <v>14.717000000000001</v>
      </c>
    </row>
    <row r="157" spans="1:7" x14ac:dyDescent="0.15">
      <c r="A157" s="141" t="s">
        <v>266</v>
      </c>
      <c r="B157">
        <v>24521.856</v>
      </c>
      <c r="C157">
        <v>37.524700000000003</v>
      </c>
      <c r="D157">
        <v>44.832700000000003</v>
      </c>
      <c r="E157">
        <v>42.493299999999998</v>
      </c>
      <c r="F157">
        <v>301329.84399999998</v>
      </c>
      <c r="G157">
        <v>33.204999999999998</v>
      </c>
    </row>
    <row r="158" spans="1:7" x14ac:dyDescent="0.15">
      <c r="A158" s="141" t="s">
        <v>267</v>
      </c>
      <c r="B158">
        <v>10381.912</v>
      </c>
      <c r="C158">
        <v>36.881999999999998</v>
      </c>
      <c r="D158">
        <v>44.121200000000002</v>
      </c>
      <c r="E158">
        <v>41.706299999999999</v>
      </c>
      <c r="F158">
        <v>153359.40599999999</v>
      </c>
      <c r="G158">
        <v>27.273</v>
      </c>
    </row>
    <row r="159" spans="1:7" x14ac:dyDescent="0.15">
      <c r="A159" s="141" t="s">
        <v>268</v>
      </c>
      <c r="B159">
        <v>5213.12</v>
      </c>
      <c r="C159">
        <v>35.859200000000001</v>
      </c>
      <c r="D159">
        <v>43.110900000000001</v>
      </c>
      <c r="E159">
        <v>40.633299999999998</v>
      </c>
      <c r="F159">
        <v>82811.233999999997</v>
      </c>
      <c r="G159">
        <v>23.245000000000001</v>
      </c>
    </row>
    <row r="160" spans="1:7" x14ac:dyDescent="0.15">
      <c r="A160" s="141" t="s">
        <v>269</v>
      </c>
      <c r="B160">
        <v>2592.6080000000002</v>
      </c>
      <c r="C160">
        <v>34.271999999999998</v>
      </c>
      <c r="D160">
        <v>41.859699999999997</v>
      </c>
      <c r="E160">
        <v>39.459699999999998</v>
      </c>
      <c r="F160">
        <v>42642.218999999997</v>
      </c>
      <c r="G160">
        <v>18.89</v>
      </c>
    </row>
    <row r="161" spans="1:7" x14ac:dyDescent="0.15">
      <c r="A161" s="141" t="s">
        <v>142</v>
      </c>
      <c r="B161">
        <v>8098.4351999999999</v>
      </c>
      <c r="C161">
        <v>37.986800000000002</v>
      </c>
      <c r="D161">
        <v>39.609499999999997</v>
      </c>
      <c r="E161">
        <v>42.655799999999999</v>
      </c>
      <c r="F161">
        <v>345088.81199999998</v>
      </c>
      <c r="G161">
        <v>28.481999999999999</v>
      </c>
    </row>
    <row r="162" spans="1:7" x14ac:dyDescent="0.15">
      <c r="A162" s="141" t="s">
        <v>143</v>
      </c>
      <c r="B162">
        <v>3857.24</v>
      </c>
      <c r="C162">
        <v>36.638599999999997</v>
      </c>
      <c r="D162">
        <v>38.949399999999997</v>
      </c>
      <c r="E162">
        <v>41.442</v>
      </c>
      <c r="F162">
        <v>209651.891</v>
      </c>
      <c r="G162">
        <v>24.66</v>
      </c>
    </row>
    <row r="163" spans="1:7" x14ac:dyDescent="0.15">
      <c r="A163" s="141" t="s">
        <v>144</v>
      </c>
      <c r="B163">
        <v>1893.7472</v>
      </c>
      <c r="C163">
        <v>34.789200000000001</v>
      </c>
      <c r="D163">
        <v>38.059800000000003</v>
      </c>
      <c r="E163">
        <v>39.917700000000004</v>
      </c>
      <c r="F163">
        <v>118901.266</v>
      </c>
      <c r="G163">
        <v>20.327999999999999</v>
      </c>
    </row>
    <row r="164" spans="1:7" x14ac:dyDescent="0.15">
      <c r="A164" s="141" t="s">
        <v>145</v>
      </c>
      <c r="B164">
        <v>905.65920000000006</v>
      </c>
      <c r="C164">
        <v>32.470199999999998</v>
      </c>
      <c r="D164">
        <v>36.9771</v>
      </c>
      <c r="E164">
        <v>38.200699999999998</v>
      </c>
      <c r="F164">
        <v>70028.077999999994</v>
      </c>
      <c r="G164">
        <v>16.495000000000001</v>
      </c>
    </row>
    <row r="165" spans="1:7" x14ac:dyDescent="0.15">
      <c r="A165" s="141" t="s">
        <v>146</v>
      </c>
      <c r="B165">
        <v>9438.44</v>
      </c>
      <c r="C165">
        <v>38.714599999999997</v>
      </c>
      <c r="D165">
        <v>43.552199999999999</v>
      </c>
      <c r="E165">
        <v>44.424399999999999</v>
      </c>
      <c r="F165">
        <v>371437.34399999998</v>
      </c>
      <c r="G165">
        <v>38.741999999999997</v>
      </c>
    </row>
    <row r="166" spans="1:7" x14ac:dyDescent="0.15">
      <c r="A166" s="141" t="s">
        <v>147</v>
      </c>
      <c r="B166">
        <v>4837.7536</v>
      </c>
      <c r="C166">
        <v>37.4818</v>
      </c>
      <c r="D166">
        <v>42.559699999999999</v>
      </c>
      <c r="E166">
        <v>42.904600000000002</v>
      </c>
      <c r="F166">
        <v>229367</v>
      </c>
      <c r="G166">
        <v>34.667999999999999</v>
      </c>
    </row>
    <row r="167" spans="1:7" x14ac:dyDescent="0.15">
      <c r="A167" s="141" t="s">
        <v>148</v>
      </c>
      <c r="B167">
        <v>2465.7375999999999</v>
      </c>
      <c r="C167">
        <v>35.799700000000001</v>
      </c>
      <c r="D167">
        <v>41.296900000000001</v>
      </c>
      <c r="E167">
        <v>41.140700000000002</v>
      </c>
      <c r="F167">
        <v>132535.84400000001</v>
      </c>
      <c r="G167">
        <v>29.023</v>
      </c>
    </row>
    <row r="168" spans="1:7" x14ac:dyDescent="0.15">
      <c r="A168" s="141" t="s">
        <v>149</v>
      </c>
      <c r="B168">
        <v>1225.24</v>
      </c>
      <c r="C168">
        <v>33.713200000000001</v>
      </c>
      <c r="D168">
        <v>39.895099999999999</v>
      </c>
      <c r="E168">
        <v>39.244999999999997</v>
      </c>
      <c r="F168">
        <v>74038.093999999997</v>
      </c>
      <c r="G168">
        <v>24.382000000000001</v>
      </c>
    </row>
    <row r="169" spans="1:7" x14ac:dyDescent="0.15">
      <c r="A169" s="141" t="s">
        <v>270</v>
      </c>
      <c r="B169">
        <v>6457.6815999999999</v>
      </c>
      <c r="C169">
        <v>39.820099999999996</v>
      </c>
      <c r="D169">
        <v>43.562899999999999</v>
      </c>
      <c r="E169">
        <v>44.409500000000001</v>
      </c>
      <c r="F169">
        <v>322627.5</v>
      </c>
      <c r="G169">
        <v>40.841000000000001</v>
      </c>
    </row>
    <row r="170" spans="1:7" x14ac:dyDescent="0.15">
      <c r="A170" s="141" t="s">
        <v>271</v>
      </c>
      <c r="B170">
        <v>3097.3312000000001</v>
      </c>
      <c r="C170">
        <v>38.519599999999997</v>
      </c>
      <c r="D170">
        <v>42.686900000000001</v>
      </c>
      <c r="E170">
        <v>43.520200000000003</v>
      </c>
      <c r="F170">
        <v>189483.15599999999</v>
      </c>
      <c r="G170">
        <v>34.697000000000003</v>
      </c>
    </row>
    <row r="171" spans="1:7" x14ac:dyDescent="0.15">
      <c r="A171" s="141" t="s">
        <v>272</v>
      </c>
      <c r="B171">
        <v>1496.5920000000001</v>
      </c>
      <c r="C171">
        <v>36.702500000000001</v>
      </c>
      <c r="D171">
        <v>41.512099999999997</v>
      </c>
      <c r="E171">
        <v>42.242600000000003</v>
      </c>
      <c r="F171">
        <v>102951.79700000001</v>
      </c>
      <c r="G171">
        <v>29.189</v>
      </c>
    </row>
    <row r="172" spans="1:7" x14ac:dyDescent="0.15">
      <c r="A172" s="141" t="s">
        <v>273</v>
      </c>
      <c r="B172">
        <v>703.2672</v>
      </c>
      <c r="C172">
        <v>34.409999999999997</v>
      </c>
      <c r="D172">
        <v>40.356099999999998</v>
      </c>
      <c r="E172">
        <v>40.905099999999997</v>
      </c>
      <c r="F172">
        <v>54888.288999999997</v>
      </c>
      <c r="G172">
        <v>24.846</v>
      </c>
    </row>
    <row r="173" spans="1:7" x14ac:dyDescent="0.15">
      <c r="A173" s="141" t="s">
        <v>274</v>
      </c>
      <c r="B173">
        <v>6885.3616000000002</v>
      </c>
      <c r="C173">
        <v>43.332299999999996</v>
      </c>
      <c r="D173">
        <v>46.180399999999999</v>
      </c>
      <c r="E173">
        <v>47.020800000000001</v>
      </c>
      <c r="F173">
        <v>266727.96899999998</v>
      </c>
      <c r="G173">
        <v>41.281999999999996</v>
      </c>
    </row>
    <row r="174" spans="1:7" x14ac:dyDescent="0.15">
      <c r="A174" s="141" t="s">
        <v>275</v>
      </c>
      <c r="B174">
        <v>4207.0672000000004</v>
      </c>
      <c r="C174">
        <v>41.024299999999997</v>
      </c>
      <c r="D174">
        <v>44.756700000000002</v>
      </c>
      <c r="E174">
        <v>45.395600000000002</v>
      </c>
      <c r="F174">
        <v>185585.65599999999</v>
      </c>
      <c r="G174">
        <v>36.685000000000002</v>
      </c>
    </row>
    <row r="175" spans="1:7" x14ac:dyDescent="0.15">
      <c r="A175" s="141" t="s">
        <v>276</v>
      </c>
      <c r="B175">
        <v>2330.3631999999998</v>
      </c>
      <c r="C175">
        <v>38.237499999999997</v>
      </c>
      <c r="D175">
        <v>43.149700000000003</v>
      </c>
      <c r="E175">
        <v>43.576500000000003</v>
      </c>
      <c r="F175">
        <v>120990.789</v>
      </c>
      <c r="G175">
        <v>32.755000000000003</v>
      </c>
    </row>
    <row r="176" spans="1:7" x14ac:dyDescent="0.15">
      <c r="A176" s="141" t="s">
        <v>277</v>
      </c>
      <c r="B176">
        <v>1215.1424</v>
      </c>
      <c r="C176">
        <v>35.303400000000003</v>
      </c>
      <c r="D176">
        <v>41.680500000000002</v>
      </c>
      <c r="E176">
        <v>41.814399999999999</v>
      </c>
      <c r="F176">
        <v>69653.266000000003</v>
      </c>
      <c r="G176">
        <v>27.251999999999999</v>
      </c>
    </row>
    <row r="177" spans="1:7" x14ac:dyDescent="0.15">
      <c r="A177" s="141" t="s">
        <v>150</v>
      </c>
      <c r="B177" s="71">
        <v>4772.9664000000002</v>
      </c>
      <c r="C177" s="71">
        <v>38.448599999999999</v>
      </c>
      <c r="D177" s="71">
        <v>45.257300000000001</v>
      </c>
      <c r="E177" s="71">
        <v>45.526699999999998</v>
      </c>
      <c r="F177" s="71">
        <v>181448.266</v>
      </c>
      <c r="G177" s="71">
        <v>18.832000000000001</v>
      </c>
    </row>
    <row r="178" spans="1:7" x14ac:dyDescent="0.15">
      <c r="A178" s="141" t="s">
        <v>151</v>
      </c>
      <c r="B178" s="71">
        <v>1671.9792</v>
      </c>
      <c r="C178" s="71">
        <v>36.455100000000002</v>
      </c>
      <c r="D178" s="71">
        <v>44.2102</v>
      </c>
      <c r="E178" s="71">
        <v>44.467599999999997</v>
      </c>
      <c r="F178" s="71">
        <v>90696.25</v>
      </c>
      <c r="G178" s="71">
        <v>13.500999999999999</v>
      </c>
    </row>
    <row r="179" spans="1:7" x14ac:dyDescent="0.15">
      <c r="A179" s="141" t="s">
        <v>152</v>
      </c>
      <c r="B179" s="71">
        <v>662.6</v>
      </c>
      <c r="C179" s="71">
        <v>33.992600000000003</v>
      </c>
      <c r="D179" s="71">
        <v>42.842700000000001</v>
      </c>
      <c r="E179" s="71">
        <v>43.009900000000002</v>
      </c>
      <c r="F179" s="71">
        <v>51685.292999999998</v>
      </c>
      <c r="G179" s="71">
        <v>10.603</v>
      </c>
    </row>
    <row r="180" spans="1:7" x14ac:dyDescent="0.15">
      <c r="A180" s="141" t="s">
        <v>153</v>
      </c>
      <c r="B180" s="71">
        <v>277.18880000000001</v>
      </c>
      <c r="C180" s="71">
        <v>30.979800000000001</v>
      </c>
      <c r="D180" s="71">
        <v>41.573399999999999</v>
      </c>
      <c r="E180" s="71">
        <v>41.677999999999997</v>
      </c>
      <c r="F180" s="71">
        <v>29555.726999999999</v>
      </c>
      <c r="G180" s="71">
        <v>8.2260000000000009</v>
      </c>
    </row>
    <row r="181" spans="1:7" x14ac:dyDescent="0.15">
      <c r="A181" s="141" t="s">
        <v>154</v>
      </c>
      <c r="B181" s="71">
        <v>3909.8768</v>
      </c>
      <c r="C181" s="71">
        <v>40.504199999999997</v>
      </c>
      <c r="D181" s="71">
        <v>45.222299999999997</v>
      </c>
      <c r="E181" s="71">
        <v>45.981900000000003</v>
      </c>
      <c r="F181" s="71">
        <v>158353.46900000001</v>
      </c>
      <c r="G181" s="71">
        <v>18.832999999999998</v>
      </c>
    </row>
    <row r="182" spans="1:7" x14ac:dyDescent="0.15">
      <c r="A182" s="141" t="s">
        <v>155</v>
      </c>
      <c r="B182" s="71">
        <v>1792.6048000000001</v>
      </c>
      <c r="C182" s="71">
        <v>38.877400000000002</v>
      </c>
      <c r="D182" s="71">
        <v>44.399799999999999</v>
      </c>
      <c r="E182" s="71">
        <v>44.444000000000003</v>
      </c>
      <c r="F182" s="71">
        <v>91813.656000000003</v>
      </c>
      <c r="G182" s="71">
        <v>16.789000000000001</v>
      </c>
    </row>
    <row r="183" spans="1:7" x14ac:dyDescent="0.15">
      <c r="A183" s="141" t="s">
        <v>156</v>
      </c>
      <c r="B183" s="71">
        <v>859.2432</v>
      </c>
      <c r="C183" s="71">
        <v>36.936599999999999</v>
      </c>
      <c r="D183" s="71">
        <v>43.384300000000003</v>
      </c>
      <c r="E183" s="71">
        <v>42.605200000000004</v>
      </c>
      <c r="F183" s="71">
        <v>50054.862999999998</v>
      </c>
      <c r="G183" s="71">
        <v>12.629</v>
      </c>
    </row>
    <row r="184" spans="1:7" x14ac:dyDescent="0.15">
      <c r="A184" s="141" t="s">
        <v>157</v>
      </c>
      <c r="B184" s="71">
        <v>403.45760000000001</v>
      </c>
      <c r="C184" s="71">
        <v>34.717599999999997</v>
      </c>
      <c r="D184" s="71">
        <v>42.119599999999998</v>
      </c>
      <c r="E184" s="71">
        <v>40.7453</v>
      </c>
      <c r="F184" s="71">
        <v>26320.982</v>
      </c>
      <c r="G184" s="71">
        <v>9.6820000000000004</v>
      </c>
    </row>
    <row r="185" spans="1:7" x14ac:dyDescent="0.15">
      <c r="A185" s="141" t="s">
        <v>158</v>
      </c>
      <c r="B185" s="71">
        <v>964.10559999999998</v>
      </c>
      <c r="C185" s="71">
        <v>42.948599999999999</v>
      </c>
      <c r="D185" s="71">
        <v>46.578699999999998</v>
      </c>
      <c r="E185" s="71">
        <v>47.352200000000003</v>
      </c>
      <c r="F185" s="71">
        <v>60261.440999999999</v>
      </c>
      <c r="G185" s="71">
        <v>9.3960000000000008</v>
      </c>
    </row>
    <row r="186" spans="1:7" x14ac:dyDescent="0.15">
      <c r="A186" s="141" t="s">
        <v>159</v>
      </c>
      <c r="B186" s="71">
        <v>494.52960000000002</v>
      </c>
      <c r="C186" s="71">
        <v>41.324800000000003</v>
      </c>
      <c r="D186" s="71">
        <v>45.757899999999999</v>
      </c>
      <c r="E186" s="71">
        <v>46.302199999999999</v>
      </c>
      <c r="F186" s="71">
        <v>35692.879000000001</v>
      </c>
      <c r="G186" s="71">
        <v>8.1120000000000001</v>
      </c>
    </row>
    <row r="187" spans="1:7" x14ac:dyDescent="0.15">
      <c r="A187" s="141" t="s">
        <v>160</v>
      </c>
      <c r="B187" s="71">
        <v>263.69600000000003</v>
      </c>
      <c r="C187" s="71">
        <v>39.152200000000001</v>
      </c>
      <c r="D187" s="71">
        <v>44.424399999999999</v>
      </c>
      <c r="E187" s="71">
        <v>44.779499999999999</v>
      </c>
      <c r="F187" s="71">
        <v>19936.072</v>
      </c>
      <c r="G187" s="71">
        <v>6.101</v>
      </c>
    </row>
    <row r="188" spans="1:7" x14ac:dyDescent="0.15">
      <c r="A188" s="141" t="s">
        <v>161</v>
      </c>
      <c r="B188" s="71">
        <v>143.37119999999999</v>
      </c>
      <c r="C188" s="71">
        <v>36.364400000000003</v>
      </c>
      <c r="D188" s="71">
        <v>42.905500000000004</v>
      </c>
      <c r="E188" s="71">
        <v>43.0837</v>
      </c>
      <c r="F188" s="71">
        <v>11935.268</v>
      </c>
      <c r="G188" s="71">
        <v>5.891</v>
      </c>
    </row>
    <row r="189" spans="1:7" x14ac:dyDescent="0.15">
      <c r="A189" s="141" t="s">
        <v>162</v>
      </c>
      <c r="B189" s="71">
        <v>1326.9087999999999</v>
      </c>
      <c r="C189" s="71">
        <v>42.6586</v>
      </c>
      <c r="D189" s="71">
        <v>48.304200000000002</v>
      </c>
      <c r="E189" s="71">
        <v>47.590499999999999</v>
      </c>
      <c r="F189" s="71">
        <v>65648.241999999998</v>
      </c>
      <c r="G189" s="71">
        <v>9.875</v>
      </c>
    </row>
    <row r="190" spans="1:7" x14ac:dyDescent="0.15">
      <c r="A190" s="141" t="s">
        <v>163</v>
      </c>
      <c r="B190" s="71">
        <v>654.29759999999999</v>
      </c>
      <c r="C190" s="71">
        <v>40.968000000000004</v>
      </c>
      <c r="D190" s="71">
        <v>47.557000000000002</v>
      </c>
      <c r="E190" s="71">
        <v>46.446399999999997</v>
      </c>
      <c r="F190" s="71">
        <v>38349.519999999997</v>
      </c>
      <c r="G190" s="71">
        <v>8.6950000000000003</v>
      </c>
    </row>
    <row r="191" spans="1:7" x14ac:dyDescent="0.15">
      <c r="A191" s="141" t="s">
        <v>164</v>
      </c>
      <c r="B191" s="71">
        <v>348.96640000000002</v>
      </c>
      <c r="C191" s="71">
        <v>38.689399999999999</v>
      </c>
      <c r="D191" s="71">
        <v>46.414299999999997</v>
      </c>
      <c r="E191" s="71">
        <v>44.871299999999998</v>
      </c>
      <c r="F191" s="71">
        <v>22319.613000000001</v>
      </c>
      <c r="G191" s="71">
        <v>7.1150000000000002</v>
      </c>
    </row>
    <row r="192" spans="1:7" x14ac:dyDescent="0.15">
      <c r="A192" s="141" t="s">
        <v>165</v>
      </c>
      <c r="B192" s="71">
        <v>190.6208</v>
      </c>
      <c r="C192" s="71">
        <v>35.633899999999997</v>
      </c>
      <c r="D192" s="71">
        <v>44.740499999999997</v>
      </c>
      <c r="E192" s="71">
        <v>42.4467</v>
      </c>
      <c r="F192" s="71">
        <v>13736.767</v>
      </c>
      <c r="G192" s="71">
        <v>6.3380000000000001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B145" sqref="B145:G192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77021.915699999998</v>
      </c>
      <c r="C1">
        <v>40.809899999999999</v>
      </c>
      <c r="D1">
        <v>49.187199999999997</v>
      </c>
      <c r="E1">
        <v>47.707500000000003</v>
      </c>
      <c r="F1">
        <v>116099.383</v>
      </c>
      <c r="G1">
        <v>29.303000000000001</v>
      </c>
    </row>
    <row r="2" spans="1:7" x14ac:dyDescent="0.15">
      <c r="A2" s="141" t="s">
        <v>191</v>
      </c>
      <c r="B2">
        <v>41648.419500000004</v>
      </c>
      <c r="C2">
        <v>40.162399999999998</v>
      </c>
      <c r="D2">
        <v>48.4407</v>
      </c>
      <c r="E2">
        <v>46.614899999999999</v>
      </c>
      <c r="F2">
        <v>64593.004000000001</v>
      </c>
      <c r="G2">
        <v>26.18</v>
      </c>
    </row>
    <row r="3" spans="1:7" x14ac:dyDescent="0.15">
      <c r="A3" s="141" t="s">
        <v>192</v>
      </c>
      <c r="B3">
        <v>24974.724300000002</v>
      </c>
      <c r="C3">
        <v>39.437199999999997</v>
      </c>
      <c r="D3">
        <v>47.550800000000002</v>
      </c>
      <c r="E3">
        <v>45.335900000000002</v>
      </c>
      <c r="F3">
        <v>39183.733999999997</v>
      </c>
      <c r="G3">
        <v>25.306000000000001</v>
      </c>
    </row>
    <row r="4" spans="1:7" x14ac:dyDescent="0.15">
      <c r="A4" s="141" t="s">
        <v>193</v>
      </c>
      <c r="B4">
        <v>14235.710300000001</v>
      </c>
      <c r="C4">
        <v>38.220300000000002</v>
      </c>
      <c r="D4">
        <v>46.0732</v>
      </c>
      <c r="E4">
        <v>43.532499999999999</v>
      </c>
      <c r="F4">
        <v>21951.947</v>
      </c>
      <c r="G4">
        <v>23.937000000000001</v>
      </c>
    </row>
    <row r="5" spans="1:7" x14ac:dyDescent="0.15">
      <c r="A5" s="141" t="s">
        <v>194</v>
      </c>
      <c r="B5">
        <v>325668.84210000001</v>
      </c>
      <c r="C5">
        <v>44.723300000000002</v>
      </c>
      <c r="D5">
        <v>38.966000000000001</v>
      </c>
      <c r="E5">
        <v>39.462299999999999</v>
      </c>
      <c r="F5">
        <v>181246.17199999999</v>
      </c>
      <c r="G5">
        <v>43.972000000000001</v>
      </c>
    </row>
    <row r="6" spans="1:7" x14ac:dyDescent="0.15">
      <c r="A6" s="141" t="s">
        <v>195</v>
      </c>
      <c r="B6">
        <v>208104.7789</v>
      </c>
      <c r="C6">
        <v>41.950499999999998</v>
      </c>
      <c r="D6">
        <v>36.403599999999997</v>
      </c>
      <c r="E6">
        <v>37.210700000000003</v>
      </c>
      <c r="F6">
        <v>144649.56200000001</v>
      </c>
      <c r="G6">
        <v>38.107999999999997</v>
      </c>
    </row>
    <row r="7" spans="1:7" x14ac:dyDescent="0.15">
      <c r="A7" s="141" t="s">
        <v>196</v>
      </c>
      <c r="B7">
        <v>119094.7895</v>
      </c>
      <c r="C7">
        <v>38.707999999999998</v>
      </c>
      <c r="D7">
        <v>34.122500000000002</v>
      </c>
      <c r="E7">
        <v>35.174599999999998</v>
      </c>
      <c r="F7">
        <v>108629.07799999999</v>
      </c>
      <c r="G7">
        <v>33.520000000000003</v>
      </c>
    </row>
    <row r="8" spans="1:7" x14ac:dyDescent="0.15">
      <c r="A8" s="141" t="s">
        <v>197</v>
      </c>
      <c r="B8">
        <v>56287.8842</v>
      </c>
      <c r="C8">
        <v>35.231000000000002</v>
      </c>
      <c r="D8">
        <v>31.7742</v>
      </c>
      <c r="E8">
        <v>33.236800000000002</v>
      </c>
      <c r="F8">
        <v>71228.641000000003</v>
      </c>
      <c r="G8">
        <v>28.597000000000001</v>
      </c>
    </row>
    <row r="9" spans="1:7" x14ac:dyDescent="0.15">
      <c r="A9" s="141" t="s">
        <v>198</v>
      </c>
      <c r="B9">
        <v>125661.85890000001</v>
      </c>
      <c r="C9">
        <v>41.569499999999998</v>
      </c>
      <c r="D9">
        <v>43.9527</v>
      </c>
      <c r="E9">
        <v>42.842100000000002</v>
      </c>
      <c r="F9">
        <v>151437.40599999999</v>
      </c>
      <c r="G9">
        <v>35.847999999999999</v>
      </c>
    </row>
    <row r="10" spans="1:7" x14ac:dyDescent="0.15">
      <c r="A10" s="141" t="s">
        <v>199</v>
      </c>
      <c r="B10">
        <v>56584.945299999999</v>
      </c>
      <c r="C10">
        <v>38.874000000000002</v>
      </c>
      <c r="D10">
        <v>41.349299999999999</v>
      </c>
      <c r="E10">
        <v>41.681800000000003</v>
      </c>
      <c r="F10">
        <v>104476.969</v>
      </c>
      <c r="G10">
        <v>28.556000000000001</v>
      </c>
    </row>
    <row r="11" spans="1:7" x14ac:dyDescent="0.15">
      <c r="A11" s="141" t="s">
        <v>200</v>
      </c>
      <c r="B11">
        <v>25718.987400000002</v>
      </c>
      <c r="C11">
        <v>37.304099999999998</v>
      </c>
      <c r="D11">
        <v>39.045299999999997</v>
      </c>
      <c r="E11">
        <v>40.561799999999998</v>
      </c>
      <c r="F11">
        <v>61651.559000000001</v>
      </c>
      <c r="G11">
        <v>24.568999999999999</v>
      </c>
    </row>
    <row r="12" spans="1:7" x14ac:dyDescent="0.15">
      <c r="A12" s="141" t="s">
        <v>201</v>
      </c>
      <c r="B12">
        <v>12475.484200000001</v>
      </c>
      <c r="C12">
        <v>35.918799999999997</v>
      </c>
      <c r="D12">
        <v>36.352600000000002</v>
      </c>
      <c r="E12">
        <v>39.089500000000001</v>
      </c>
      <c r="F12">
        <v>34967.190999999999</v>
      </c>
      <c r="G12">
        <v>21.952999999999999</v>
      </c>
    </row>
    <row r="13" spans="1:7" x14ac:dyDescent="0.15">
      <c r="A13" s="141" t="s">
        <v>202</v>
      </c>
      <c r="B13">
        <v>179126.4253</v>
      </c>
      <c r="C13">
        <v>38.617400000000004</v>
      </c>
      <c r="D13">
        <v>45.573500000000003</v>
      </c>
      <c r="E13">
        <v>43.353200000000001</v>
      </c>
      <c r="F13">
        <v>179450.859</v>
      </c>
      <c r="G13">
        <v>37.904000000000003</v>
      </c>
    </row>
    <row r="14" spans="1:7" x14ac:dyDescent="0.15">
      <c r="A14" s="141" t="s">
        <v>203</v>
      </c>
      <c r="B14">
        <v>87553.288400000005</v>
      </c>
      <c r="C14">
        <v>37.679400000000001</v>
      </c>
      <c r="D14">
        <v>44.670099999999998</v>
      </c>
      <c r="E14">
        <v>42.222299999999997</v>
      </c>
      <c r="F14">
        <v>114663.79700000001</v>
      </c>
      <c r="G14">
        <v>30.193000000000001</v>
      </c>
    </row>
    <row r="15" spans="1:7" x14ac:dyDescent="0.15">
      <c r="A15" s="141" t="s">
        <v>204</v>
      </c>
      <c r="B15">
        <v>50423.040000000001</v>
      </c>
      <c r="C15">
        <v>36.759099999999997</v>
      </c>
      <c r="D15">
        <v>43.692700000000002</v>
      </c>
      <c r="E15">
        <v>41.050600000000003</v>
      </c>
      <c r="F15">
        <v>72873.702999999994</v>
      </c>
      <c r="G15">
        <v>26.931999999999999</v>
      </c>
    </row>
    <row r="16" spans="1:7" x14ac:dyDescent="0.15">
      <c r="A16" s="141" t="s">
        <v>205</v>
      </c>
      <c r="B16">
        <v>26597.494699999999</v>
      </c>
      <c r="C16">
        <v>35.2562</v>
      </c>
      <c r="D16">
        <v>42.3354</v>
      </c>
      <c r="E16">
        <v>39.679000000000002</v>
      </c>
      <c r="F16">
        <v>43960.059000000001</v>
      </c>
      <c r="G16">
        <v>24.24</v>
      </c>
    </row>
    <row r="17" spans="1:7" x14ac:dyDescent="0.15">
      <c r="A17" s="141" t="s">
        <v>94</v>
      </c>
      <c r="B17">
        <v>68179.834900000002</v>
      </c>
      <c r="C17">
        <v>39.560899999999997</v>
      </c>
      <c r="D17">
        <v>40.447800000000001</v>
      </c>
      <c r="E17">
        <v>43.422699999999999</v>
      </c>
      <c r="F17">
        <v>79137.108999999997</v>
      </c>
      <c r="G17">
        <v>17.774000000000001</v>
      </c>
    </row>
    <row r="18" spans="1:7" x14ac:dyDescent="0.15">
      <c r="A18" s="141" t="s">
        <v>95</v>
      </c>
      <c r="B18">
        <v>40705.104800000001</v>
      </c>
      <c r="C18">
        <v>37.9268</v>
      </c>
      <c r="D18">
        <v>39.423000000000002</v>
      </c>
      <c r="E18">
        <v>41.9925</v>
      </c>
      <c r="F18">
        <v>59761.66</v>
      </c>
      <c r="G18">
        <v>14.984999999999999</v>
      </c>
    </row>
    <row r="19" spans="1:7" x14ac:dyDescent="0.15">
      <c r="A19" s="141" t="s">
        <v>96</v>
      </c>
      <c r="B19">
        <v>23480.685700000002</v>
      </c>
      <c r="C19">
        <v>36.016500000000001</v>
      </c>
      <c r="D19">
        <v>38.529000000000003</v>
      </c>
      <c r="E19">
        <v>40.570599999999999</v>
      </c>
      <c r="F19">
        <v>44204.464999999997</v>
      </c>
      <c r="G19">
        <v>13.132999999999999</v>
      </c>
    </row>
    <row r="20" spans="1:7" x14ac:dyDescent="0.15">
      <c r="A20" s="141" t="s">
        <v>97</v>
      </c>
      <c r="B20">
        <v>11982.596799999999</v>
      </c>
      <c r="C20">
        <v>33.543399999999998</v>
      </c>
      <c r="D20">
        <v>37.332599999999999</v>
      </c>
      <c r="E20">
        <v>38.805700000000002</v>
      </c>
      <c r="F20">
        <v>29324.138999999999</v>
      </c>
      <c r="G20">
        <v>11.2</v>
      </c>
    </row>
    <row r="21" spans="1:7" x14ac:dyDescent="0.15">
      <c r="A21" s="141" t="s">
        <v>98</v>
      </c>
      <c r="B21">
        <v>42890.069799999997</v>
      </c>
      <c r="C21">
        <v>40.205100000000002</v>
      </c>
      <c r="D21">
        <v>44.1554</v>
      </c>
      <c r="E21">
        <v>45.609699999999997</v>
      </c>
      <c r="F21">
        <v>68327.562000000005</v>
      </c>
      <c r="G21">
        <v>15.43</v>
      </c>
    </row>
    <row r="22" spans="1:7" x14ac:dyDescent="0.15">
      <c r="A22" s="141" t="s">
        <v>99</v>
      </c>
      <c r="B22">
        <v>23408.101600000002</v>
      </c>
      <c r="C22">
        <v>38.739100000000001</v>
      </c>
      <c r="D22">
        <v>43.165100000000002</v>
      </c>
      <c r="E22">
        <v>44.130099999999999</v>
      </c>
      <c r="F22">
        <v>48418.641000000003</v>
      </c>
      <c r="G22">
        <v>13.566000000000001</v>
      </c>
    </row>
    <row r="23" spans="1:7" x14ac:dyDescent="0.15">
      <c r="A23" s="141" t="s">
        <v>100</v>
      </c>
      <c r="B23">
        <v>13177.2127</v>
      </c>
      <c r="C23">
        <v>37.291699999999999</v>
      </c>
      <c r="D23">
        <v>42.078299999999999</v>
      </c>
      <c r="E23">
        <v>42.573799999999999</v>
      </c>
      <c r="F23">
        <v>31840.324000000001</v>
      </c>
      <c r="G23">
        <v>11.614000000000001</v>
      </c>
    </row>
    <row r="24" spans="1:7" x14ac:dyDescent="0.15">
      <c r="A24" s="141" t="s">
        <v>101</v>
      </c>
      <c r="B24">
        <v>7044.8316999999997</v>
      </c>
      <c r="C24">
        <v>35.367699999999999</v>
      </c>
      <c r="D24">
        <v>40.5946</v>
      </c>
      <c r="E24">
        <v>40.587400000000002</v>
      </c>
      <c r="F24">
        <v>19572.748</v>
      </c>
      <c r="G24">
        <v>10.534000000000001</v>
      </c>
    </row>
    <row r="25" spans="1:7" x14ac:dyDescent="0.15">
      <c r="A25" s="141" t="s">
        <v>206</v>
      </c>
      <c r="B25">
        <v>65210.7264</v>
      </c>
      <c r="C25">
        <v>41.730200000000004</v>
      </c>
      <c r="D25">
        <v>44.2956</v>
      </c>
      <c r="E25">
        <v>45.124299999999998</v>
      </c>
      <c r="F25">
        <v>82721.633000000002</v>
      </c>
      <c r="G25">
        <v>19.289000000000001</v>
      </c>
    </row>
    <row r="26" spans="1:7" x14ac:dyDescent="0.15">
      <c r="A26" s="141" t="s">
        <v>207</v>
      </c>
      <c r="B26">
        <v>42021.1584</v>
      </c>
      <c r="C26">
        <v>39.9313</v>
      </c>
      <c r="D26">
        <v>42.842100000000002</v>
      </c>
      <c r="E26">
        <v>43.899700000000003</v>
      </c>
      <c r="F26">
        <v>63022.394999999997</v>
      </c>
      <c r="G26">
        <v>17.120999999999999</v>
      </c>
    </row>
    <row r="27" spans="1:7" x14ac:dyDescent="0.15">
      <c r="A27" s="141" t="s">
        <v>208</v>
      </c>
      <c r="B27">
        <v>24716.902399999999</v>
      </c>
      <c r="C27">
        <v>37.710999999999999</v>
      </c>
      <c r="D27">
        <v>41.521500000000003</v>
      </c>
      <c r="E27">
        <v>42.603900000000003</v>
      </c>
      <c r="F27">
        <v>45234.913999999997</v>
      </c>
      <c r="G27">
        <v>15.18</v>
      </c>
    </row>
    <row r="28" spans="1:7" x14ac:dyDescent="0.15">
      <c r="A28" s="141" t="s">
        <v>209</v>
      </c>
      <c r="B28">
        <v>12492.5952</v>
      </c>
      <c r="C28">
        <v>35.024999999999999</v>
      </c>
      <c r="D28">
        <v>39.986499999999999</v>
      </c>
      <c r="E28">
        <v>40.976100000000002</v>
      </c>
      <c r="F28">
        <v>28310.553</v>
      </c>
      <c r="G28">
        <v>12.99</v>
      </c>
    </row>
    <row r="29" spans="1:7" x14ac:dyDescent="0.15">
      <c r="A29" s="141" t="s">
        <v>210</v>
      </c>
      <c r="B29">
        <v>39911.296000000002</v>
      </c>
      <c r="C29">
        <v>44.921799999999998</v>
      </c>
      <c r="D29">
        <v>47.2104</v>
      </c>
      <c r="E29">
        <v>48.206099999999999</v>
      </c>
      <c r="F29">
        <v>55917.550999999999</v>
      </c>
      <c r="G29">
        <v>16.77</v>
      </c>
    </row>
    <row r="30" spans="1:7" x14ac:dyDescent="0.15">
      <c r="A30" s="141" t="s">
        <v>211</v>
      </c>
      <c r="B30">
        <v>26329.7536</v>
      </c>
      <c r="C30">
        <v>42.767099999999999</v>
      </c>
      <c r="D30">
        <v>45.508000000000003</v>
      </c>
      <c r="E30">
        <v>46.402200000000001</v>
      </c>
      <c r="F30">
        <v>45213.883000000002</v>
      </c>
      <c r="G30">
        <v>15.279</v>
      </c>
    </row>
    <row r="31" spans="1:7" x14ac:dyDescent="0.15">
      <c r="A31" s="141" t="s">
        <v>212</v>
      </c>
      <c r="B31">
        <v>15614.2016</v>
      </c>
      <c r="C31">
        <v>40.085299999999997</v>
      </c>
      <c r="D31">
        <v>43.9238</v>
      </c>
      <c r="E31">
        <v>44.636000000000003</v>
      </c>
      <c r="F31">
        <v>33409.519999999997</v>
      </c>
      <c r="G31">
        <v>13.718</v>
      </c>
    </row>
    <row r="32" spans="1:7" x14ac:dyDescent="0.15">
      <c r="A32" s="141" t="s">
        <v>213</v>
      </c>
      <c r="B32">
        <v>8151.4431999999997</v>
      </c>
      <c r="C32">
        <v>37.0139</v>
      </c>
      <c r="D32">
        <v>42.063699999999997</v>
      </c>
      <c r="E32">
        <v>42.4345</v>
      </c>
      <c r="F32">
        <v>21375.525000000001</v>
      </c>
      <c r="G32">
        <v>11.785</v>
      </c>
    </row>
    <row r="33" spans="1:7" x14ac:dyDescent="0.15">
      <c r="A33" s="141" t="s">
        <v>102</v>
      </c>
      <c r="B33">
        <v>54226.937599999997</v>
      </c>
      <c r="C33">
        <v>41.741</v>
      </c>
      <c r="D33">
        <v>46.038200000000003</v>
      </c>
      <c r="E33">
        <v>46.290300000000002</v>
      </c>
      <c r="F33">
        <v>48347.777000000002</v>
      </c>
      <c r="G33">
        <v>10.77</v>
      </c>
    </row>
    <row r="34" spans="1:7" x14ac:dyDescent="0.15">
      <c r="A34" s="141" t="s">
        <v>103</v>
      </c>
      <c r="B34">
        <v>37057.561600000001</v>
      </c>
      <c r="C34">
        <v>38.816699999999997</v>
      </c>
      <c r="D34">
        <v>44.281399999999998</v>
      </c>
      <c r="E34">
        <v>44.496600000000001</v>
      </c>
      <c r="F34">
        <v>41159.608999999997</v>
      </c>
      <c r="G34">
        <v>9.6880000000000006</v>
      </c>
    </row>
    <row r="35" spans="1:7" x14ac:dyDescent="0.15">
      <c r="A35" s="141" t="s">
        <v>104</v>
      </c>
      <c r="B35">
        <v>22045.075199999999</v>
      </c>
      <c r="C35">
        <v>35.4452</v>
      </c>
      <c r="D35">
        <v>42.823399999999999</v>
      </c>
      <c r="E35">
        <v>43.026899999999998</v>
      </c>
      <c r="F35">
        <v>33270.550999999999</v>
      </c>
      <c r="G35">
        <v>8.3819999999999997</v>
      </c>
    </row>
    <row r="36" spans="1:7" x14ac:dyDescent="0.15">
      <c r="A36" s="141" t="s">
        <v>105</v>
      </c>
      <c r="B36">
        <v>10893.1456</v>
      </c>
      <c r="C36">
        <v>31.821999999999999</v>
      </c>
      <c r="D36">
        <v>41.499400000000001</v>
      </c>
      <c r="E36">
        <v>41.667400000000001</v>
      </c>
      <c r="F36">
        <v>23393.895</v>
      </c>
      <c r="G36">
        <v>6.944</v>
      </c>
    </row>
    <row r="37" spans="1:7" x14ac:dyDescent="0.15">
      <c r="A37" s="141" t="s">
        <v>106</v>
      </c>
      <c r="B37">
        <v>20309.324799999999</v>
      </c>
      <c r="C37">
        <v>42.694400000000002</v>
      </c>
      <c r="D37">
        <v>45.4724</v>
      </c>
      <c r="E37">
        <v>46.966200000000001</v>
      </c>
      <c r="F37">
        <v>31377.298999999999</v>
      </c>
      <c r="G37">
        <v>7.875</v>
      </c>
    </row>
    <row r="38" spans="1:7" x14ac:dyDescent="0.15">
      <c r="A38" s="141" t="s">
        <v>107</v>
      </c>
      <c r="B38">
        <v>11570.822399999999</v>
      </c>
      <c r="C38">
        <v>40.680999999999997</v>
      </c>
      <c r="D38">
        <v>44.548900000000003</v>
      </c>
      <c r="E38">
        <v>45.315399999999997</v>
      </c>
      <c r="F38">
        <v>23137.796999999999</v>
      </c>
      <c r="G38">
        <v>6.7990000000000004</v>
      </c>
    </row>
    <row r="39" spans="1:7" x14ac:dyDescent="0.15">
      <c r="A39" s="141" t="s">
        <v>108</v>
      </c>
      <c r="B39">
        <v>6419.5519999999997</v>
      </c>
      <c r="C39">
        <v>38.675699999999999</v>
      </c>
      <c r="D39">
        <v>43.581400000000002</v>
      </c>
      <c r="E39">
        <v>43.5351</v>
      </c>
      <c r="F39">
        <v>15464.049000000001</v>
      </c>
      <c r="G39">
        <v>5.8789999999999996</v>
      </c>
    </row>
    <row r="40" spans="1:7" x14ac:dyDescent="0.15">
      <c r="A40" s="141" t="s">
        <v>109</v>
      </c>
      <c r="B40">
        <v>3275.2447999999999</v>
      </c>
      <c r="C40">
        <v>36.298999999999999</v>
      </c>
      <c r="D40">
        <v>42.2545</v>
      </c>
      <c r="E40">
        <v>41.402299999999997</v>
      </c>
      <c r="F40">
        <v>9507.1929999999993</v>
      </c>
      <c r="G40">
        <v>5.2850000000000001</v>
      </c>
    </row>
    <row r="41" spans="1:7" x14ac:dyDescent="0.15">
      <c r="A41" s="141" t="s">
        <v>110</v>
      </c>
      <c r="B41">
        <v>15316.076800000001</v>
      </c>
      <c r="C41">
        <v>44.216799999999999</v>
      </c>
      <c r="D41">
        <v>47.027299999999997</v>
      </c>
      <c r="E41">
        <v>47.834200000000003</v>
      </c>
      <c r="F41">
        <v>24302.870999999999</v>
      </c>
      <c r="G41">
        <v>7.1859999999999999</v>
      </c>
    </row>
    <row r="42" spans="1:7" x14ac:dyDescent="0.15">
      <c r="A42" s="141" t="s">
        <v>111</v>
      </c>
      <c r="B42">
        <v>10386.771199999999</v>
      </c>
      <c r="C42">
        <v>42.494799999999998</v>
      </c>
      <c r="D42">
        <v>45.884300000000003</v>
      </c>
      <c r="E42">
        <v>46.427199999999999</v>
      </c>
      <c r="F42">
        <v>19200.991999999998</v>
      </c>
      <c r="G42">
        <v>6.6520000000000001</v>
      </c>
    </row>
    <row r="43" spans="1:7" x14ac:dyDescent="0.15">
      <c r="A43" s="141" t="s">
        <v>112</v>
      </c>
      <c r="B43">
        <v>6566.5087999999996</v>
      </c>
      <c r="C43">
        <v>40.151400000000002</v>
      </c>
      <c r="D43">
        <v>44.586599999999997</v>
      </c>
      <c r="E43">
        <v>44.896900000000002</v>
      </c>
      <c r="F43">
        <v>14145.019</v>
      </c>
      <c r="G43">
        <v>5.9459999999999997</v>
      </c>
    </row>
    <row r="44" spans="1:7" x14ac:dyDescent="0.15">
      <c r="A44" s="141" t="s">
        <v>113</v>
      </c>
      <c r="B44">
        <v>3805.2864</v>
      </c>
      <c r="C44">
        <v>37.1693</v>
      </c>
      <c r="D44">
        <v>42.838000000000001</v>
      </c>
      <c r="E44">
        <v>42.988999999999997</v>
      </c>
      <c r="F44">
        <v>9793.7240000000002</v>
      </c>
      <c r="G44">
        <v>5.484</v>
      </c>
    </row>
    <row r="45" spans="1:7" x14ac:dyDescent="0.15">
      <c r="A45" s="141" t="s">
        <v>114</v>
      </c>
      <c r="B45">
        <v>16583.142400000001</v>
      </c>
      <c r="C45">
        <v>44.158000000000001</v>
      </c>
      <c r="D45">
        <v>48.7624</v>
      </c>
      <c r="E45">
        <v>48.401800000000001</v>
      </c>
      <c r="F45">
        <v>25200.213</v>
      </c>
      <c r="G45">
        <v>6.952</v>
      </c>
    </row>
    <row r="46" spans="1:7" x14ac:dyDescent="0.15">
      <c r="A46" s="141" t="s">
        <v>115</v>
      </c>
      <c r="B46">
        <v>11518.316800000001</v>
      </c>
      <c r="C46">
        <v>42.420099999999998</v>
      </c>
      <c r="D46">
        <v>47.731400000000001</v>
      </c>
      <c r="E46">
        <v>46.951599999999999</v>
      </c>
      <c r="F46">
        <v>19920.344000000001</v>
      </c>
      <c r="G46">
        <v>6.3259999999999996</v>
      </c>
    </row>
    <row r="47" spans="1:7" x14ac:dyDescent="0.15">
      <c r="A47" s="141" t="s">
        <v>116</v>
      </c>
      <c r="B47">
        <v>7499.2064</v>
      </c>
      <c r="C47">
        <v>40.040100000000002</v>
      </c>
      <c r="D47">
        <v>46.484299999999998</v>
      </c>
      <c r="E47">
        <v>45.282499999999999</v>
      </c>
      <c r="F47">
        <v>14962.897999999999</v>
      </c>
      <c r="G47">
        <v>5.7210000000000001</v>
      </c>
    </row>
    <row r="48" spans="1:7" x14ac:dyDescent="0.15">
      <c r="A48" s="141" t="s">
        <v>117</v>
      </c>
      <c r="B48">
        <v>4363.6095999999998</v>
      </c>
      <c r="C48">
        <v>36.811399999999999</v>
      </c>
      <c r="D48">
        <v>44.476500000000001</v>
      </c>
      <c r="E48">
        <v>43.052900000000001</v>
      </c>
      <c r="F48">
        <v>10206.111000000001</v>
      </c>
      <c r="G48">
        <v>5.0190000000000001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14645.343999999999</v>
      </c>
      <c r="C73">
        <v>40.086500000000001</v>
      </c>
      <c r="D73">
        <v>48.993699999999997</v>
      </c>
      <c r="E73">
        <v>46.991100000000003</v>
      </c>
      <c r="F73">
        <v>384553.77299999999</v>
      </c>
      <c r="G73">
        <v>71.62</v>
      </c>
    </row>
    <row r="74" spans="1:7" x14ac:dyDescent="0.15">
      <c r="A74" s="141" t="s">
        <v>223</v>
      </c>
      <c r="B74">
        <v>6760.3239999999996</v>
      </c>
      <c r="C74">
        <v>39.586199999999998</v>
      </c>
      <c r="D74">
        <v>48.442100000000003</v>
      </c>
      <c r="E74">
        <v>46.127699999999997</v>
      </c>
      <c r="F74">
        <v>213320.86300000001</v>
      </c>
      <c r="G74">
        <v>64.662999999999997</v>
      </c>
    </row>
    <row r="75" spans="1:7" x14ac:dyDescent="0.15">
      <c r="A75" s="141" t="s">
        <v>224</v>
      </c>
      <c r="B75">
        <v>3653.4560000000001</v>
      </c>
      <c r="C75">
        <v>38.732999999999997</v>
      </c>
      <c r="D75">
        <v>47.477699999999999</v>
      </c>
      <c r="E75">
        <v>44.82</v>
      </c>
      <c r="F75">
        <v>108198.00599999999</v>
      </c>
      <c r="G75">
        <v>59.585999999999999</v>
      </c>
    </row>
    <row r="76" spans="1:7" x14ac:dyDescent="0.15">
      <c r="A76" s="141" t="s">
        <v>225</v>
      </c>
      <c r="B76">
        <v>1934.24</v>
      </c>
      <c r="C76">
        <v>37.229100000000003</v>
      </c>
      <c r="D76">
        <v>46.270899999999997</v>
      </c>
      <c r="E76">
        <v>43.169499999999999</v>
      </c>
      <c r="F76">
        <v>54864.531999999999</v>
      </c>
      <c r="G76">
        <v>54.249000000000002</v>
      </c>
    </row>
    <row r="77" spans="1:7" x14ac:dyDescent="0.15">
      <c r="A77" s="141" t="s">
        <v>226</v>
      </c>
      <c r="B77">
        <v>76945.892000000007</v>
      </c>
      <c r="C77">
        <v>41.662500000000001</v>
      </c>
      <c r="D77">
        <v>36.344099999999997</v>
      </c>
      <c r="E77">
        <v>37.424399999999999</v>
      </c>
      <c r="F77">
        <v>717424.98600000003</v>
      </c>
      <c r="G77">
        <v>78.513999999999996</v>
      </c>
    </row>
    <row r="78" spans="1:7" x14ac:dyDescent="0.15">
      <c r="A78" s="141" t="s">
        <v>227</v>
      </c>
      <c r="B78">
        <v>39972.743999999999</v>
      </c>
      <c r="C78">
        <v>39.052100000000003</v>
      </c>
      <c r="D78">
        <v>34.421300000000002</v>
      </c>
      <c r="E78">
        <v>35.7196</v>
      </c>
      <c r="F78">
        <v>479018.54399999999</v>
      </c>
      <c r="G78">
        <v>71.444000000000003</v>
      </c>
    </row>
    <row r="79" spans="1:7" x14ac:dyDescent="0.15">
      <c r="A79" s="141" t="s">
        <v>228</v>
      </c>
      <c r="B79">
        <v>18881.848000000002</v>
      </c>
      <c r="C79">
        <v>36.131300000000003</v>
      </c>
      <c r="D79">
        <v>32.689300000000003</v>
      </c>
      <c r="E79">
        <v>34.180100000000003</v>
      </c>
      <c r="F79">
        <v>299586.82500000001</v>
      </c>
      <c r="G79">
        <v>63.439</v>
      </c>
    </row>
    <row r="80" spans="1:7" x14ac:dyDescent="0.15">
      <c r="A80" s="141" t="s">
        <v>229</v>
      </c>
      <c r="B80">
        <v>7817.96</v>
      </c>
      <c r="C80">
        <v>33.053400000000003</v>
      </c>
      <c r="D80">
        <v>31.087199999999999</v>
      </c>
      <c r="E80">
        <v>32.799300000000002</v>
      </c>
      <c r="F80">
        <v>171624.948</v>
      </c>
      <c r="G80">
        <v>59.472000000000001</v>
      </c>
    </row>
    <row r="81" spans="1:7" x14ac:dyDescent="0.15">
      <c r="A81" s="141" t="s">
        <v>230</v>
      </c>
      <c r="B81">
        <v>39120.720000000001</v>
      </c>
      <c r="C81">
        <v>38.330300000000001</v>
      </c>
      <c r="D81">
        <v>40.482500000000002</v>
      </c>
      <c r="E81">
        <v>41.447099999999999</v>
      </c>
      <c r="F81">
        <v>419497.33899999998</v>
      </c>
      <c r="G81">
        <v>44.161999999999999</v>
      </c>
    </row>
    <row r="82" spans="1:7" x14ac:dyDescent="0.15">
      <c r="A82" s="141" t="s">
        <v>231</v>
      </c>
      <c r="B82">
        <v>19016.995999999999</v>
      </c>
      <c r="C82">
        <v>37.202199999999998</v>
      </c>
      <c r="D82">
        <v>37.963299999999997</v>
      </c>
      <c r="E82">
        <v>40.2104</v>
      </c>
      <c r="F82">
        <v>252164.932</v>
      </c>
      <c r="G82">
        <v>36.927999999999997</v>
      </c>
    </row>
    <row r="83" spans="1:7" x14ac:dyDescent="0.15">
      <c r="A83" s="141" t="s">
        <v>232</v>
      </c>
      <c r="B83">
        <v>9405.5519999999997</v>
      </c>
      <c r="C83">
        <v>35.822200000000002</v>
      </c>
      <c r="D83">
        <v>35.745699999999999</v>
      </c>
      <c r="E83">
        <v>38.892899999999997</v>
      </c>
      <c r="F83">
        <v>155990.02299999999</v>
      </c>
      <c r="G83">
        <v>34.119999999999997</v>
      </c>
    </row>
    <row r="84" spans="1:7" x14ac:dyDescent="0.15">
      <c r="A84" s="141" t="s">
        <v>233</v>
      </c>
      <c r="B84">
        <v>4771.1880000000001</v>
      </c>
      <c r="C84">
        <v>33.9876</v>
      </c>
      <c r="D84">
        <v>33.861400000000003</v>
      </c>
      <c r="E84">
        <v>37.4054</v>
      </c>
      <c r="F84">
        <v>89919.191000000006</v>
      </c>
      <c r="G84">
        <v>30.62</v>
      </c>
    </row>
    <row r="85" spans="1:7" x14ac:dyDescent="0.15">
      <c r="A85" s="141" t="s">
        <v>234</v>
      </c>
      <c r="B85">
        <v>25441.756000000001</v>
      </c>
      <c r="C85">
        <v>37.631300000000003</v>
      </c>
      <c r="D85">
        <v>45.2136</v>
      </c>
      <c r="E85">
        <v>42.8217</v>
      </c>
      <c r="F85">
        <v>558515.14899999998</v>
      </c>
      <c r="G85">
        <v>77.436000000000007</v>
      </c>
    </row>
    <row r="86" spans="1:7" x14ac:dyDescent="0.15">
      <c r="A86" s="141" t="s">
        <v>235</v>
      </c>
      <c r="B86">
        <v>9101.2520000000004</v>
      </c>
      <c r="C86">
        <v>37.067599999999999</v>
      </c>
      <c r="D86">
        <v>44.642200000000003</v>
      </c>
      <c r="E86">
        <v>42.163400000000003</v>
      </c>
      <c r="F86">
        <v>295095.34399999998</v>
      </c>
      <c r="G86">
        <v>64.497</v>
      </c>
    </row>
    <row r="87" spans="1:7" x14ac:dyDescent="0.15">
      <c r="A87" s="141" t="s">
        <v>236</v>
      </c>
      <c r="B87">
        <v>4490.7839999999997</v>
      </c>
      <c r="C87">
        <v>36.212200000000003</v>
      </c>
      <c r="D87">
        <v>43.781999999999996</v>
      </c>
      <c r="E87">
        <v>41.230499999999999</v>
      </c>
      <c r="F87">
        <v>152478.39600000001</v>
      </c>
      <c r="G87">
        <v>53.375</v>
      </c>
    </row>
    <row r="88" spans="1:7" x14ac:dyDescent="0.15">
      <c r="A88" s="141" t="s">
        <v>237</v>
      </c>
      <c r="B88">
        <v>2180.16</v>
      </c>
      <c r="C88">
        <v>34.7408</v>
      </c>
      <c r="D88">
        <v>42.538200000000003</v>
      </c>
      <c r="E88">
        <v>40.014800000000001</v>
      </c>
      <c r="F88">
        <v>73116.748999999996</v>
      </c>
      <c r="G88">
        <v>43.838999999999999</v>
      </c>
    </row>
    <row r="89" spans="1:7" x14ac:dyDescent="0.15">
      <c r="A89" s="141" t="s">
        <v>118</v>
      </c>
      <c r="B89">
        <v>9908.152</v>
      </c>
      <c r="C89">
        <v>38.006100000000004</v>
      </c>
      <c r="D89">
        <v>39.775799999999997</v>
      </c>
      <c r="E89">
        <v>43.214799999999997</v>
      </c>
      <c r="F89">
        <v>119146.42200000001</v>
      </c>
      <c r="G89">
        <v>14.337</v>
      </c>
    </row>
    <row r="90" spans="1:7" x14ac:dyDescent="0.15">
      <c r="A90" s="141" t="s">
        <v>119</v>
      </c>
      <c r="B90">
        <v>4570.3119999999999</v>
      </c>
      <c r="C90">
        <v>36.898699999999998</v>
      </c>
      <c r="D90">
        <v>39.2637</v>
      </c>
      <c r="E90">
        <v>42.116100000000003</v>
      </c>
      <c r="F90">
        <v>73452.239000000001</v>
      </c>
      <c r="G90">
        <v>12.337999999999999</v>
      </c>
    </row>
    <row r="91" spans="1:7" x14ac:dyDescent="0.15">
      <c r="A91" s="141" t="s">
        <v>120</v>
      </c>
      <c r="B91">
        <v>2324.9079999999999</v>
      </c>
      <c r="C91">
        <v>35.3598</v>
      </c>
      <c r="D91">
        <v>38.572200000000002</v>
      </c>
      <c r="E91">
        <v>40.793300000000002</v>
      </c>
      <c r="F91">
        <v>42347.1</v>
      </c>
      <c r="G91">
        <v>10.535</v>
      </c>
    </row>
    <row r="92" spans="1:7" x14ac:dyDescent="0.15">
      <c r="A92" s="141" t="s">
        <v>121</v>
      </c>
      <c r="B92">
        <v>1110.2639999999999</v>
      </c>
      <c r="C92">
        <v>33.159199999999998</v>
      </c>
      <c r="D92">
        <v>37.520000000000003</v>
      </c>
      <c r="E92">
        <v>39.057400000000001</v>
      </c>
      <c r="F92">
        <v>22529.323</v>
      </c>
      <c r="G92">
        <v>9.2929999999999993</v>
      </c>
    </row>
    <row r="93" spans="1:7" x14ac:dyDescent="0.15">
      <c r="A93" s="141" t="s">
        <v>122</v>
      </c>
      <c r="B93">
        <v>8721.2279999999992</v>
      </c>
      <c r="C93">
        <v>38.941600000000001</v>
      </c>
      <c r="D93">
        <v>44.001199999999997</v>
      </c>
      <c r="E93">
        <v>45.1357</v>
      </c>
      <c r="F93">
        <v>128823.71799999999</v>
      </c>
      <c r="G93">
        <v>16.553000000000001</v>
      </c>
    </row>
    <row r="94" spans="1:7" x14ac:dyDescent="0.15">
      <c r="A94" s="141" t="s">
        <v>123</v>
      </c>
      <c r="B94">
        <v>4341.4120000000003</v>
      </c>
      <c r="C94">
        <v>37.900599999999997</v>
      </c>
      <c r="D94">
        <v>43.1661</v>
      </c>
      <c r="E94">
        <v>43.7423</v>
      </c>
      <c r="F94">
        <v>79758.191999999995</v>
      </c>
      <c r="G94">
        <v>14.388999999999999</v>
      </c>
    </row>
    <row r="95" spans="1:7" x14ac:dyDescent="0.15">
      <c r="A95" s="141" t="s">
        <v>124</v>
      </c>
      <c r="B95">
        <v>2215.4639999999999</v>
      </c>
      <c r="C95">
        <v>36.409599999999998</v>
      </c>
      <c r="D95">
        <v>42.089700000000001</v>
      </c>
      <c r="E95">
        <v>42.131700000000002</v>
      </c>
      <c r="F95">
        <v>45251.025999999998</v>
      </c>
      <c r="G95">
        <v>12.712999999999999</v>
      </c>
    </row>
    <row r="96" spans="1:7" x14ac:dyDescent="0.15">
      <c r="A96" s="141" t="s">
        <v>125</v>
      </c>
      <c r="B96">
        <v>1091.3920000000001</v>
      </c>
      <c r="C96">
        <v>34.3431</v>
      </c>
      <c r="D96">
        <v>40.765000000000001</v>
      </c>
      <c r="E96">
        <v>40.247700000000002</v>
      </c>
      <c r="F96">
        <v>24308.828000000001</v>
      </c>
      <c r="G96">
        <v>10.304</v>
      </c>
    </row>
    <row r="97" spans="1:7" x14ac:dyDescent="0.15">
      <c r="A97" s="141" t="s">
        <v>238</v>
      </c>
      <c r="B97">
        <v>6818.6639999999998</v>
      </c>
      <c r="C97">
        <v>39.702399999999997</v>
      </c>
      <c r="D97">
        <v>43.778100000000002</v>
      </c>
      <c r="E97">
        <v>44.973799999999997</v>
      </c>
      <c r="F97">
        <v>120134.077</v>
      </c>
      <c r="G97">
        <v>17.141999999999999</v>
      </c>
    </row>
    <row r="98" spans="1:7" x14ac:dyDescent="0.15">
      <c r="A98" s="141" t="s">
        <v>239</v>
      </c>
      <c r="B98">
        <v>3198.48</v>
      </c>
      <c r="C98">
        <v>38.504199999999997</v>
      </c>
      <c r="D98">
        <v>43.046300000000002</v>
      </c>
      <c r="E98">
        <v>44.333300000000001</v>
      </c>
      <c r="F98">
        <v>71197.596000000005</v>
      </c>
      <c r="G98">
        <v>14.928000000000001</v>
      </c>
    </row>
    <row r="99" spans="1:7" x14ac:dyDescent="0.15">
      <c r="A99" s="141" t="s">
        <v>240</v>
      </c>
      <c r="B99">
        <v>1522.2080000000001</v>
      </c>
      <c r="C99">
        <v>36.7941</v>
      </c>
      <c r="D99">
        <v>42.108899999999998</v>
      </c>
      <c r="E99">
        <v>43.379199999999997</v>
      </c>
      <c r="F99">
        <v>38610.038</v>
      </c>
      <c r="G99">
        <v>12.558999999999999</v>
      </c>
    </row>
    <row r="100" spans="1:7" x14ac:dyDescent="0.15">
      <c r="A100" s="141" t="s">
        <v>241</v>
      </c>
      <c r="B100">
        <v>687.94</v>
      </c>
      <c r="C100">
        <v>34.559800000000003</v>
      </c>
      <c r="D100">
        <v>40.8643</v>
      </c>
      <c r="E100">
        <v>42.130099999999999</v>
      </c>
      <c r="F100">
        <v>19278.475999999999</v>
      </c>
      <c r="G100">
        <v>10.648</v>
      </c>
    </row>
    <row r="101" spans="1:7" x14ac:dyDescent="0.15">
      <c r="A101" s="141" t="s">
        <v>242</v>
      </c>
      <c r="B101">
        <v>5711.1360000000004</v>
      </c>
      <c r="C101">
        <v>44.877899999999997</v>
      </c>
      <c r="D101">
        <v>47.399000000000001</v>
      </c>
      <c r="E101">
        <v>48.422899999999998</v>
      </c>
      <c r="F101">
        <v>90087.963000000003</v>
      </c>
      <c r="G101">
        <v>16.683</v>
      </c>
    </row>
    <row r="102" spans="1:7" x14ac:dyDescent="0.15">
      <c r="A102" s="141" t="s">
        <v>243</v>
      </c>
      <c r="B102">
        <v>3501.64</v>
      </c>
      <c r="C102">
        <v>42.630899999999997</v>
      </c>
      <c r="D102">
        <v>45.914999999999999</v>
      </c>
      <c r="E102">
        <v>46.709499999999998</v>
      </c>
      <c r="F102">
        <v>62089.3</v>
      </c>
      <c r="G102">
        <v>15.252000000000001</v>
      </c>
    </row>
    <row r="103" spans="1:7" x14ac:dyDescent="0.15">
      <c r="A103" s="141" t="s">
        <v>244</v>
      </c>
      <c r="B103">
        <v>1952.788</v>
      </c>
      <c r="C103">
        <v>39.814900000000002</v>
      </c>
      <c r="D103">
        <v>44.2592</v>
      </c>
      <c r="E103">
        <v>44.818100000000001</v>
      </c>
      <c r="F103">
        <v>39584.514999999999</v>
      </c>
      <c r="G103">
        <v>13.234999999999999</v>
      </c>
    </row>
    <row r="104" spans="1:7" x14ac:dyDescent="0.15">
      <c r="A104" s="141" t="s">
        <v>245</v>
      </c>
      <c r="B104">
        <v>994.072</v>
      </c>
      <c r="C104">
        <v>36.636200000000002</v>
      </c>
      <c r="D104">
        <v>42.594499999999996</v>
      </c>
      <c r="E104">
        <v>42.903300000000002</v>
      </c>
      <c r="F104">
        <v>22767.442999999999</v>
      </c>
      <c r="G104">
        <v>10.952</v>
      </c>
    </row>
    <row r="105" spans="1:7" x14ac:dyDescent="0.15">
      <c r="A105" s="141" t="s">
        <v>126</v>
      </c>
      <c r="B105">
        <v>4178.2120000000004</v>
      </c>
      <c r="C105">
        <v>38.607999999999997</v>
      </c>
      <c r="D105">
        <v>46.0565</v>
      </c>
      <c r="E105">
        <v>46.276400000000002</v>
      </c>
      <c r="F105">
        <v>57262.519</v>
      </c>
      <c r="G105">
        <v>7.1539999999999999</v>
      </c>
    </row>
    <row r="106" spans="1:7" x14ac:dyDescent="0.15">
      <c r="A106" s="141" t="s">
        <v>127</v>
      </c>
      <c r="B106">
        <v>1762.0239999999999</v>
      </c>
      <c r="C106">
        <v>37.011400000000002</v>
      </c>
      <c r="D106">
        <v>45.013500000000001</v>
      </c>
      <c r="E106">
        <v>45.209499999999998</v>
      </c>
      <c r="F106">
        <v>30539.178</v>
      </c>
      <c r="G106">
        <v>5.7409999999999997</v>
      </c>
    </row>
    <row r="107" spans="1:7" x14ac:dyDescent="0.15">
      <c r="A107" s="141" t="s">
        <v>128</v>
      </c>
      <c r="B107">
        <v>813.66800000000001</v>
      </c>
      <c r="C107">
        <v>35.026600000000002</v>
      </c>
      <c r="D107">
        <v>43.6995</v>
      </c>
      <c r="E107">
        <v>43.854999999999997</v>
      </c>
      <c r="F107">
        <v>16230.044</v>
      </c>
      <c r="G107">
        <v>4.8339999999999996</v>
      </c>
    </row>
    <row r="108" spans="1:7" x14ac:dyDescent="0.15">
      <c r="A108" s="141" t="s">
        <v>129</v>
      </c>
      <c r="B108">
        <v>391.43599999999998</v>
      </c>
      <c r="C108">
        <v>32.392899999999997</v>
      </c>
      <c r="D108">
        <v>42.061199999999999</v>
      </c>
      <c r="E108">
        <v>42.203200000000002</v>
      </c>
      <c r="F108">
        <v>8551.5409999999993</v>
      </c>
      <c r="G108">
        <v>4.0540000000000003</v>
      </c>
    </row>
    <row r="109" spans="1:7" x14ac:dyDescent="0.15">
      <c r="A109" s="141" t="s">
        <v>130</v>
      </c>
      <c r="B109">
        <v>2474.4879999999998</v>
      </c>
      <c r="C109">
        <v>40.623399999999997</v>
      </c>
      <c r="D109">
        <v>46.116199999999999</v>
      </c>
      <c r="E109">
        <v>47.258499999999998</v>
      </c>
      <c r="F109">
        <v>45121.449000000001</v>
      </c>
      <c r="G109">
        <v>7.093</v>
      </c>
    </row>
    <row r="110" spans="1:7" x14ac:dyDescent="0.15">
      <c r="A110" s="141" t="s">
        <v>131</v>
      </c>
      <c r="B110">
        <v>1129.1079999999999</v>
      </c>
      <c r="C110">
        <v>39.5092</v>
      </c>
      <c r="D110">
        <v>45.578899999999997</v>
      </c>
      <c r="E110">
        <v>46.065100000000001</v>
      </c>
      <c r="F110">
        <v>25110.633999999998</v>
      </c>
      <c r="G110">
        <v>6.0640000000000001</v>
      </c>
    </row>
    <row r="111" spans="1:7" x14ac:dyDescent="0.15">
      <c r="A111" s="141" t="s">
        <v>132</v>
      </c>
      <c r="B111">
        <v>532.24</v>
      </c>
      <c r="C111">
        <v>37.952100000000002</v>
      </c>
      <c r="D111">
        <v>44.782299999999999</v>
      </c>
      <c r="E111">
        <v>44.485900000000001</v>
      </c>
      <c r="F111">
        <v>12915.337</v>
      </c>
      <c r="G111">
        <v>5.0620000000000003</v>
      </c>
    </row>
    <row r="112" spans="1:7" x14ac:dyDescent="0.15">
      <c r="A112" s="141" t="s">
        <v>133</v>
      </c>
      <c r="B112">
        <v>241.172</v>
      </c>
      <c r="C112">
        <v>35.855899999999998</v>
      </c>
      <c r="D112">
        <v>43.6524</v>
      </c>
      <c r="E112">
        <v>42.4315</v>
      </c>
      <c r="F112">
        <v>6536.0550000000003</v>
      </c>
      <c r="G112">
        <v>4.6340000000000003</v>
      </c>
    </row>
    <row r="113" spans="1:7" x14ac:dyDescent="0.15">
      <c r="A113" s="141" t="s">
        <v>134</v>
      </c>
      <c r="B113">
        <v>941.52800000000002</v>
      </c>
      <c r="C113">
        <v>43.515999999999998</v>
      </c>
      <c r="D113">
        <v>47.164700000000003</v>
      </c>
      <c r="E113">
        <v>48.170299999999997</v>
      </c>
      <c r="F113">
        <v>19720.375</v>
      </c>
      <c r="G113">
        <v>4.7549999999999999</v>
      </c>
    </row>
    <row r="114" spans="1:7" x14ac:dyDescent="0.15">
      <c r="A114" s="141" t="s">
        <v>135</v>
      </c>
      <c r="B114">
        <v>512.17600000000004</v>
      </c>
      <c r="C114">
        <v>42.242100000000001</v>
      </c>
      <c r="D114">
        <v>46.4071</v>
      </c>
      <c r="E114">
        <v>47.182099999999998</v>
      </c>
      <c r="F114">
        <v>11092.546</v>
      </c>
      <c r="G114">
        <v>4.41</v>
      </c>
    </row>
    <row r="115" spans="1:7" x14ac:dyDescent="0.15">
      <c r="A115" s="141" t="s">
        <v>136</v>
      </c>
      <c r="B115">
        <v>292.596</v>
      </c>
      <c r="C115">
        <v>40.473700000000001</v>
      </c>
      <c r="D115">
        <v>45.404699999999998</v>
      </c>
      <c r="E115">
        <v>45.8476</v>
      </c>
      <c r="F115">
        <v>6220.0110000000004</v>
      </c>
      <c r="G115">
        <v>4.3079999999999998</v>
      </c>
    </row>
    <row r="116" spans="1:7" x14ac:dyDescent="0.15">
      <c r="A116" s="141" t="s">
        <v>137</v>
      </c>
      <c r="B116">
        <v>164.40799999999999</v>
      </c>
      <c r="C116">
        <v>37.944200000000002</v>
      </c>
      <c r="D116">
        <v>43.776800000000001</v>
      </c>
      <c r="E116">
        <v>43.944200000000002</v>
      </c>
      <c r="F116">
        <v>3507.9090000000001</v>
      </c>
      <c r="G116">
        <v>4.1559999999999997</v>
      </c>
    </row>
    <row r="117" spans="1:7" x14ac:dyDescent="0.15">
      <c r="A117" s="141" t="s">
        <v>138</v>
      </c>
      <c r="B117">
        <v>1313.84</v>
      </c>
      <c r="C117">
        <v>42.8887</v>
      </c>
      <c r="D117">
        <v>48.919499999999999</v>
      </c>
      <c r="E117">
        <v>48.636200000000002</v>
      </c>
      <c r="F117">
        <v>22465.194</v>
      </c>
      <c r="G117">
        <v>4.7380000000000004</v>
      </c>
    </row>
    <row r="118" spans="1:7" x14ac:dyDescent="0.15">
      <c r="A118" s="141" t="s">
        <v>139</v>
      </c>
      <c r="B118">
        <v>708.09199999999998</v>
      </c>
      <c r="C118">
        <v>41.622599999999998</v>
      </c>
      <c r="D118">
        <v>48.1736</v>
      </c>
      <c r="E118">
        <v>47.572699999999998</v>
      </c>
      <c r="F118">
        <v>13025.986999999999</v>
      </c>
      <c r="G118">
        <v>4.5069999999999997</v>
      </c>
    </row>
    <row r="119" spans="1:7" x14ac:dyDescent="0.15">
      <c r="A119" s="141" t="s">
        <v>140</v>
      </c>
      <c r="B119">
        <v>401.84800000000001</v>
      </c>
      <c r="C119">
        <v>39.780099999999997</v>
      </c>
      <c r="D119">
        <v>47.137300000000003</v>
      </c>
      <c r="E119">
        <v>46.276800000000001</v>
      </c>
      <c r="F119">
        <v>7516.509</v>
      </c>
      <c r="G119">
        <v>4.266</v>
      </c>
    </row>
    <row r="120" spans="1:7" x14ac:dyDescent="0.15">
      <c r="A120" s="141" t="s">
        <v>141</v>
      </c>
      <c r="B120">
        <v>221.26</v>
      </c>
      <c r="C120">
        <v>37.018000000000001</v>
      </c>
      <c r="D120">
        <v>45.451000000000001</v>
      </c>
      <c r="E120">
        <v>43.989199999999997</v>
      </c>
      <c r="F120">
        <v>4414.4409999999998</v>
      </c>
      <c r="G120">
        <v>4.2309999999999999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16887.919999999998</v>
      </c>
      <c r="C145">
        <v>40.1614</v>
      </c>
      <c r="D145">
        <v>48.697800000000001</v>
      </c>
      <c r="E145">
        <v>46.558</v>
      </c>
      <c r="F145">
        <v>222970.71900000001</v>
      </c>
      <c r="G145">
        <v>35.598999999999997</v>
      </c>
    </row>
    <row r="146" spans="1:7" x14ac:dyDescent="0.15">
      <c r="A146" s="141" t="s">
        <v>255</v>
      </c>
      <c r="B146">
        <v>8481.9519999999993</v>
      </c>
      <c r="C146">
        <v>39.551400000000001</v>
      </c>
      <c r="D146">
        <v>47.838900000000002</v>
      </c>
      <c r="E146">
        <v>45.450299999999999</v>
      </c>
      <c r="F146">
        <v>129810.156</v>
      </c>
      <c r="G146">
        <v>31.489000000000001</v>
      </c>
    </row>
    <row r="147" spans="1:7" x14ac:dyDescent="0.15">
      <c r="A147" s="141" t="s">
        <v>256</v>
      </c>
      <c r="B147">
        <v>4625.3280000000004</v>
      </c>
      <c r="C147">
        <v>38.548200000000001</v>
      </c>
      <c r="D147">
        <v>46.832999999999998</v>
      </c>
      <c r="E147">
        <v>44.0899</v>
      </c>
      <c r="F147">
        <v>69991.702999999994</v>
      </c>
      <c r="G147">
        <v>27.562999999999999</v>
      </c>
    </row>
    <row r="148" spans="1:7" x14ac:dyDescent="0.15">
      <c r="A148" s="141" t="s">
        <v>257</v>
      </c>
      <c r="B148">
        <v>2520.3359999999998</v>
      </c>
      <c r="C148">
        <v>36.998199999999997</v>
      </c>
      <c r="D148">
        <v>45.413400000000003</v>
      </c>
      <c r="E148">
        <v>42.4377</v>
      </c>
      <c r="F148">
        <v>36360.531000000003</v>
      </c>
      <c r="G148">
        <v>24.186</v>
      </c>
    </row>
    <row r="149" spans="1:7" x14ac:dyDescent="0.15">
      <c r="A149" s="141" t="s">
        <v>258</v>
      </c>
      <c r="B149">
        <v>92812.032000000007</v>
      </c>
      <c r="C149">
        <v>41.731999999999999</v>
      </c>
      <c r="D149">
        <v>36.531399999999998</v>
      </c>
      <c r="E149">
        <v>37.522500000000001</v>
      </c>
      <c r="F149">
        <v>379342.53100000002</v>
      </c>
      <c r="G149">
        <v>36.466999999999999</v>
      </c>
    </row>
    <row r="150" spans="1:7" x14ac:dyDescent="0.15">
      <c r="A150" s="141" t="s">
        <v>259</v>
      </c>
      <c r="B150">
        <v>47515.383999999998</v>
      </c>
      <c r="C150">
        <v>38.941600000000001</v>
      </c>
      <c r="D150">
        <v>34.2254</v>
      </c>
      <c r="E150">
        <v>35.557000000000002</v>
      </c>
      <c r="F150">
        <v>265330.53100000002</v>
      </c>
      <c r="G150">
        <v>31.634</v>
      </c>
    </row>
    <row r="151" spans="1:7" x14ac:dyDescent="0.15">
      <c r="A151" s="141" t="s">
        <v>260</v>
      </c>
      <c r="B151">
        <v>22039.096000000001</v>
      </c>
      <c r="C151">
        <v>35.8324</v>
      </c>
      <c r="D151">
        <v>32.302300000000002</v>
      </c>
      <c r="E151">
        <v>33.858699999999999</v>
      </c>
      <c r="F151">
        <v>171939.56200000001</v>
      </c>
      <c r="G151">
        <v>27.873999999999999</v>
      </c>
    </row>
    <row r="152" spans="1:7" x14ac:dyDescent="0.15">
      <c r="A152" s="141" t="s">
        <v>261</v>
      </c>
      <c r="B152">
        <v>9267.8960000000006</v>
      </c>
      <c r="C152">
        <v>32.791899999999998</v>
      </c>
      <c r="D152">
        <v>30.613</v>
      </c>
      <c r="E152">
        <v>32.380000000000003</v>
      </c>
      <c r="F152">
        <v>98477.945000000007</v>
      </c>
      <c r="G152">
        <v>23.696000000000002</v>
      </c>
    </row>
    <row r="153" spans="1:7" x14ac:dyDescent="0.15">
      <c r="A153" s="141" t="s">
        <v>262</v>
      </c>
      <c r="B153">
        <v>47073.303999999996</v>
      </c>
      <c r="C153">
        <v>38.920499999999997</v>
      </c>
      <c r="D153">
        <v>41.244199999999999</v>
      </c>
      <c r="E153">
        <v>41.406700000000001</v>
      </c>
      <c r="F153">
        <v>210986.78099999999</v>
      </c>
      <c r="G153">
        <v>20.306999999999999</v>
      </c>
    </row>
    <row r="154" spans="1:7" x14ac:dyDescent="0.15">
      <c r="A154" s="141" t="s">
        <v>263</v>
      </c>
      <c r="B154">
        <v>23222.704000000002</v>
      </c>
      <c r="C154">
        <v>37.542700000000004</v>
      </c>
      <c r="D154">
        <v>38.684399999999997</v>
      </c>
      <c r="E154">
        <v>39.9739</v>
      </c>
      <c r="F154">
        <v>130180.32799999999</v>
      </c>
      <c r="G154">
        <v>17.323</v>
      </c>
    </row>
    <row r="155" spans="1:7" x14ac:dyDescent="0.15">
      <c r="A155" s="141" t="s">
        <v>264</v>
      </c>
      <c r="B155">
        <v>12081.68</v>
      </c>
      <c r="C155">
        <v>35.971400000000003</v>
      </c>
      <c r="D155">
        <v>36.477800000000002</v>
      </c>
      <c r="E155">
        <v>38.561599999999999</v>
      </c>
      <c r="F155">
        <v>85541.375</v>
      </c>
      <c r="G155">
        <v>15.525</v>
      </c>
    </row>
    <row r="156" spans="1:7" x14ac:dyDescent="0.15">
      <c r="A156" s="141" t="s">
        <v>265</v>
      </c>
      <c r="B156">
        <v>5916.3519999999999</v>
      </c>
      <c r="C156">
        <v>34.046799999999998</v>
      </c>
      <c r="D156">
        <v>34.036099999999998</v>
      </c>
      <c r="E156">
        <v>36.8078</v>
      </c>
      <c r="F156">
        <v>49882.811999999998</v>
      </c>
      <c r="G156">
        <v>14.254</v>
      </c>
    </row>
    <row r="157" spans="1:7" x14ac:dyDescent="0.15">
      <c r="A157" s="141" t="s">
        <v>266</v>
      </c>
      <c r="B157">
        <v>24448.223999999998</v>
      </c>
      <c r="C157">
        <v>37.5336</v>
      </c>
      <c r="D157">
        <v>44.872500000000002</v>
      </c>
      <c r="E157">
        <v>42.543399999999998</v>
      </c>
      <c r="F157">
        <v>299333.78100000002</v>
      </c>
      <c r="G157">
        <v>33.694000000000003</v>
      </c>
    </row>
    <row r="158" spans="1:7" x14ac:dyDescent="0.15">
      <c r="A158" s="141" t="s">
        <v>267</v>
      </c>
      <c r="B158">
        <v>10332.68</v>
      </c>
      <c r="C158">
        <v>36.8949</v>
      </c>
      <c r="D158">
        <v>44.203200000000002</v>
      </c>
      <c r="E158">
        <v>41.756799999999998</v>
      </c>
      <c r="F158">
        <v>158223.78099999999</v>
      </c>
      <c r="G158">
        <v>26.370999999999999</v>
      </c>
    </row>
    <row r="159" spans="1:7" x14ac:dyDescent="0.15">
      <c r="A159" s="141" t="s">
        <v>268</v>
      </c>
      <c r="B159">
        <v>5195.24</v>
      </c>
      <c r="C159">
        <v>35.8748</v>
      </c>
      <c r="D159">
        <v>43.252200000000002</v>
      </c>
      <c r="E159">
        <v>40.7363</v>
      </c>
      <c r="F159">
        <v>92230.218999999997</v>
      </c>
      <c r="G159">
        <v>23.654</v>
      </c>
    </row>
    <row r="160" spans="1:7" x14ac:dyDescent="0.15">
      <c r="A160" s="141" t="s">
        <v>269</v>
      </c>
      <c r="B160">
        <v>2579.7600000000002</v>
      </c>
      <c r="C160">
        <v>34.287999999999997</v>
      </c>
      <c r="D160">
        <v>41.9602</v>
      </c>
      <c r="E160">
        <v>39.522799999999997</v>
      </c>
      <c r="F160">
        <v>47009.387000000002</v>
      </c>
      <c r="G160">
        <v>19.213000000000001</v>
      </c>
    </row>
    <row r="161" spans="1:7" x14ac:dyDescent="0.15">
      <c r="A161" s="141" t="s">
        <v>142</v>
      </c>
      <c r="B161">
        <v>8086.16</v>
      </c>
      <c r="C161">
        <v>37.998899999999999</v>
      </c>
      <c r="D161">
        <v>39.6753</v>
      </c>
      <c r="E161">
        <v>42.795699999999997</v>
      </c>
      <c r="F161">
        <v>336112.375</v>
      </c>
      <c r="G161">
        <v>30.381</v>
      </c>
    </row>
    <row r="162" spans="1:7" x14ac:dyDescent="0.15">
      <c r="A162" s="141" t="s">
        <v>143</v>
      </c>
      <c r="B162">
        <v>3842.8591999999999</v>
      </c>
      <c r="C162">
        <v>36.655799999999999</v>
      </c>
      <c r="D162">
        <v>39.021099999999997</v>
      </c>
      <c r="E162">
        <v>41.598100000000002</v>
      </c>
      <c r="F162">
        <v>212163.234</v>
      </c>
      <c r="G162">
        <v>24.43</v>
      </c>
    </row>
    <row r="163" spans="1:7" x14ac:dyDescent="0.15">
      <c r="A163" s="141" t="s">
        <v>144</v>
      </c>
      <c r="B163">
        <v>1888.4623999999999</v>
      </c>
      <c r="C163">
        <v>34.820399999999999</v>
      </c>
      <c r="D163">
        <v>38.194699999999997</v>
      </c>
      <c r="E163">
        <v>40.083599999999997</v>
      </c>
      <c r="F163">
        <v>132302.84400000001</v>
      </c>
      <c r="G163">
        <v>20.983000000000001</v>
      </c>
    </row>
    <row r="164" spans="1:7" x14ac:dyDescent="0.15">
      <c r="A164" s="141" t="s">
        <v>145</v>
      </c>
      <c r="B164">
        <v>903.63520000000005</v>
      </c>
      <c r="C164">
        <v>32.508600000000001</v>
      </c>
      <c r="D164">
        <v>37.104799999999997</v>
      </c>
      <c r="E164">
        <v>38.369199999999999</v>
      </c>
      <c r="F164">
        <v>75955.773000000001</v>
      </c>
      <c r="G164">
        <v>16.89</v>
      </c>
    </row>
    <row r="165" spans="1:7" x14ac:dyDescent="0.15">
      <c r="A165" s="141" t="s">
        <v>146</v>
      </c>
      <c r="B165">
        <v>9416.9887999999992</v>
      </c>
      <c r="C165">
        <v>38.732100000000003</v>
      </c>
      <c r="D165">
        <v>43.615900000000003</v>
      </c>
      <c r="E165">
        <v>44.523099999999999</v>
      </c>
      <c r="F165">
        <v>374298.09399999998</v>
      </c>
      <c r="G165">
        <v>40.371000000000002</v>
      </c>
    </row>
    <row r="166" spans="1:7" x14ac:dyDescent="0.15">
      <c r="A166" s="141" t="s">
        <v>147</v>
      </c>
      <c r="B166">
        <v>4823.6144000000004</v>
      </c>
      <c r="C166">
        <v>37.5047</v>
      </c>
      <c r="D166">
        <v>42.640799999999999</v>
      </c>
      <c r="E166">
        <v>43.022799999999997</v>
      </c>
      <c r="F166">
        <v>241144.93799999999</v>
      </c>
      <c r="G166">
        <v>35.200000000000003</v>
      </c>
    </row>
    <row r="167" spans="1:7" x14ac:dyDescent="0.15">
      <c r="A167" s="141" t="s">
        <v>148</v>
      </c>
      <c r="B167">
        <v>2457.2656000000002</v>
      </c>
      <c r="C167">
        <v>35.821599999999997</v>
      </c>
      <c r="D167">
        <v>41.404699999999998</v>
      </c>
      <c r="E167">
        <v>41.284300000000002</v>
      </c>
      <c r="F167">
        <v>141773.891</v>
      </c>
      <c r="G167">
        <v>28.1</v>
      </c>
    </row>
    <row r="168" spans="1:7" x14ac:dyDescent="0.15">
      <c r="A168" s="141" t="s">
        <v>149</v>
      </c>
      <c r="B168">
        <v>1223.4064000000001</v>
      </c>
      <c r="C168">
        <v>33.732999999999997</v>
      </c>
      <c r="D168">
        <v>40.025300000000001</v>
      </c>
      <c r="E168">
        <v>39.371000000000002</v>
      </c>
      <c r="F168">
        <v>82618.241999999998</v>
      </c>
      <c r="G168">
        <v>24.475999999999999</v>
      </c>
    </row>
    <row r="169" spans="1:7" x14ac:dyDescent="0.15">
      <c r="A169" s="141" t="s">
        <v>270</v>
      </c>
      <c r="B169">
        <v>6437.4607999999998</v>
      </c>
      <c r="C169">
        <v>39.83</v>
      </c>
      <c r="D169">
        <v>43.669899999999998</v>
      </c>
      <c r="E169">
        <v>44.481999999999999</v>
      </c>
      <c r="F169">
        <v>341738.53100000002</v>
      </c>
      <c r="G169">
        <v>42.128</v>
      </c>
    </row>
    <row r="170" spans="1:7" x14ac:dyDescent="0.15">
      <c r="A170" s="141" t="s">
        <v>271</v>
      </c>
      <c r="B170">
        <v>3082.4672</v>
      </c>
      <c r="C170">
        <v>38.530299999999997</v>
      </c>
      <c r="D170">
        <v>42.802100000000003</v>
      </c>
      <c r="E170">
        <v>43.6023</v>
      </c>
      <c r="F170">
        <v>202054.56200000001</v>
      </c>
      <c r="G170">
        <v>34.99</v>
      </c>
    </row>
    <row r="171" spans="1:7" x14ac:dyDescent="0.15">
      <c r="A171" s="141" t="s">
        <v>272</v>
      </c>
      <c r="B171">
        <v>1491.5344</v>
      </c>
      <c r="C171">
        <v>36.711599999999997</v>
      </c>
      <c r="D171">
        <v>41.682499999999997</v>
      </c>
      <c r="E171">
        <v>42.345199999999998</v>
      </c>
      <c r="F171">
        <v>113508.5</v>
      </c>
      <c r="G171">
        <v>28.9</v>
      </c>
    </row>
    <row r="172" spans="1:7" x14ac:dyDescent="0.15">
      <c r="A172" s="141" t="s">
        <v>273</v>
      </c>
      <c r="B172">
        <v>701.58879999999999</v>
      </c>
      <c r="C172">
        <v>34.418100000000003</v>
      </c>
      <c r="D172">
        <v>40.492899999999999</v>
      </c>
      <c r="E172">
        <v>40.983899999999998</v>
      </c>
      <c r="F172">
        <v>62573.027000000002</v>
      </c>
      <c r="G172">
        <v>24.268000000000001</v>
      </c>
    </row>
    <row r="173" spans="1:7" x14ac:dyDescent="0.15">
      <c r="A173" s="141" t="s">
        <v>274</v>
      </c>
      <c r="B173">
        <v>6866.3824000000004</v>
      </c>
      <c r="C173">
        <v>43.357999999999997</v>
      </c>
      <c r="D173">
        <v>46.358199999999997</v>
      </c>
      <c r="E173">
        <v>47.151000000000003</v>
      </c>
      <c r="F173">
        <v>283992.125</v>
      </c>
      <c r="G173">
        <v>41.585000000000001</v>
      </c>
    </row>
    <row r="174" spans="1:7" x14ac:dyDescent="0.15">
      <c r="A174" s="141" t="s">
        <v>275</v>
      </c>
      <c r="B174">
        <v>4195.4816000000001</v>
      </c>
      <c r="C174">
        <v>41.042099999999998</v>
      </c>
      <c r="D174">
        <v>44.924399999999999</v>
      </c>
      <c r="E174">
        <v>45.510899999999999</v>
      </c>
      <c r="F174">
        <v>202295.46900000001</v>
      </c>
      <c r="G174">
        <v>36.844999999999999</v>
      </c>
    </row>
    <row r="175" spans="1:7" x14ac:dyDescent="0.15">
      <c r="A175" s="141" t="s">
        <v>276</v>
      </c>
      <c r="B175">
        <v>2325.2080000000001</v>
      </c>
      <c r="C175">
        <v>38.257300000000001</v>
      </c>
      <c r="D175">
        <v>43.340299999999999</v>
      </c>
      <c r="E175">
        <v>43.691499999999998</v>
      </c>
      <c r="F175">
        <v>129645.164</v>
      </c>
      <c r="G175">
        <v>31.649000000000001</v>
      </c>
    </row>
    <row r="176" spans="1:7" x14ac:dyDescent="0.15">
      <c r="A176" s="141" t="s">
        <v>277</v>
      </c>
      <c r="B176">
        <v>1212.9408000000001</v>
      </c>
      <c r="C176">
        <v>35.314799999999998</v>
      </c>
      <c r="D176">
        <v>41.808500000000002</v>
      </c>
      <c r="E176">
        <v>41.901299999999999</v>
      </c>
      <c r="F176">
        <v>77523.281000000003</v>
      </c>
      <c r="G176">
        <v>26.064</v>
      </c>
    </row>
    <row r="177" spans="1:7" x14ac:dyDescent="0.15">
      <c r="A177" s="141" t="s">
        <v>150</v>
      </c>
      <c r="B177" s="71">
        <v>4743.8768</v>
      </c>
      <c r="C177" s="71">
        <v>38.458399999999997</v>
      </c>
      <c r="D177" s="71">
        <v>45.427500000000002</v>
      </c>
      <c r="E177" s="71">
        <v>45.701500000000003</v>
      </c>
      <c r="F177" s="71">
        <v>182616.266</v>
      </c>
      <c r="G177" s="71">
        <v>19.13</v>
      </c>
    </row>
    <row r="178" spans="1:7" x14ac:dyDescent="0.15">
      <c r="A178" s="141" t="s">
        <v>151</v>
      </c>
      <c r="B178" s="71">
        <v>1665.5328</v>
      </c>
      <c r="C178" s="71">
        <v>36.4666</v>
      </c>
      <c r="D178" s="71">
        <v>44.395200000000003</v>
      </c>
      <c r="E178" s="71">
        <v>44.6631</v>
      </c>
      <c r="F178" s="71">
        <v>97310.906000000003</v>
      </c>
      <c r="G178" s="71">
        <v>13.734</v>
      </c>
    </row>
    <row r="179" spans="1:7" x14ac:dyDescent="0.15">
      <c r="A179" s="141" t="s">
        <v>152</v>
      </c>
      <c r="B179" s="71">
        <v>659.76480000000004</v>
      </c>
      <c r="C179" s="71">
        <v>34.015099999999997</v>
      </c>
      <c r="D179" s="71">
        <v>43.056800000000003</v>
      </c>
      <c r="E179" s="71">
        <v>43.237299999999998</v>
      </c>
      <c r="F179" s="71">
        <v>54701.766000000003</v>
      </c>
      <c r="G179" s="71">
        <v>9.8659999999999997</v>
      </c>
    </row>
    <row r="180" spans="1:7" x14ac:dyDescent="0.15">
      <c r="A180" s="141" t="s">
        <v>153</v>
      </c>
      <c r="B180" s="71">
        <v>275.69279999999998</v>
      </c>
      <c r="C180" s="71">
        <v>30.977900000000002</v>
      </c>
      <c r="D180" s="71">
        <v>41.793799999999997</v>
      </c>
      <c r="E180" s="71">
        <v>41.761899999999997</v>
      </c>
      <c r="F180" s="71">
        <v>34611.663999999997</v>
      </c>
      <c r="G180" s="71">
        <v>8.1219999999999999</v>
      </c>
    </row>
    <row r="181" spans="1:7" x14ac:dyDescent="0.15">
      <c r="A181" s="141" t="s">
        <v>154</v>
      </c>
      <c r="B181" s="71">
        <v>3902.4656</v>
      </c>
      <c r="C181" s="71">
        <v>40.513500000000001</v>
      </c>
      <c r="D181" s="71">
        <v>45.2502</v>
      </c>
      <c r="E181" s="71">
        <v>46.057600000000001</v>
      </c>
      <c r="F181" s="71">
        <v>161032.07800000001</v>
      </c>
      <c r="G181" s="71">
        <v>18.962</v>
      </c>
    </row>
    <row r="182" spans="1:7" x14ac:dyDescent="0.15">
      <c r="A182" s="141" t="s">
        <v>155</v>
      </c>
      <c r="B182" s="71">
        <v>1788.7103999999999</v>
      </c>
      <c r="C182" s="71">
        <v>38.887999999999998</v>
      </c>
      <c r="D182" s="71">
        <v>44.447099999999999</v>
      </c>
      <c r="E182" s="71">
        <v>44.509099999999997</v>
      </c>
      <c r="F182" s="71">
        <v>97121.741999999998</v>
      </c>
      <c r="G182" s="71">
        <v>15.608000000000001</v>
      </c>
    </row>
    <row r="183" spans="1:7" x14ac:dyDescent="0.15">
      <c r="A183" s="141" t="s">
        <v>156</v>
      </c>
      <c r="B183" s="71">
        <v>856.61120000000005</v>
      </c>
      <c r="C183" s="71">
        <v>36.955300000000001</v>
      </c>
      <c r="D183" s="71">
        <v>43.421199999999999</v>
      </c>
      <c r="E183" s="71">
        <v>42.717199999999998</v>
      </c>
      <c r="F183" s="71">
        <v>55238.745999999999</v>
      </c>
      <c r="G183" s="71">
        <v>11.956</v>
      </c>
    </row>
    <row r="184" spans="1:7" x14ac:dyDescent="0.15">
      <c r="A184" s="141" t="s">
        <v>157</v>
      </c>
      <c r="B184" s="71">
        <v>402.66079999999999</v>
      </c>
      <c r="C184" s="71">
        <v>34.724600000000002</v>
      </c>
      <c r="D184" s="71">
        <v>42.134700000000002</v>
      </c>
      <c r="E184" s="71">
        <v>40.774099999999997</v>
      </c>
      <c r="F184" s="71">
        <v>29356.453000000001</v>
      </c>
      <c r="G184" s="71">
        <v>8.9809999999999999</v>
      </c>
    </row>
    <row r="185" spans="1:7" x14ac:dyDescent="0.15">
      <c r="A185" s="141" t="s">
        <v>158</v>
      </c>
      <c r="B185" s="71">
        <v>960.4</v>
      </c>
      <c r="C185" s="71">
        <v>42.988700000000001</v>
      </c>
      <c r="D185" s="71">
        <v>46.666899999999998</v>
      </c>
      <c r="E185" s="71">
        <v>47.466900000000003</v>
      </c>
      <c r="F185" s="71">
        <v>63561.148000000001</v>
      </c>
      <c r="G185" s="71">
        <v>9.33</v>
      </c>
    </row>
    <row r="186" spans="1:7" x14ac:dyDescent="0.15">
      <c r="A186" s="141" t="s">
        <v>159</v>
      </c>
      <c r="B186" s="71">
        <v>491.9264</v>
      </c>
      <c r="C186" s="71">
        <v>41.357399999999998</v>
      </c>
      <c r="D186" s="71">
        <v>45.873399999999997</v>
      </c>
      <c r="E186" s="71">
        <v>46.390500000000003</v>
      </c>
      <c r="F186" s="71">
        <v>37708.366999999998</v>
      </c>
      <c r="G186" s="71">
        <v>7.3410000000000002</v>
      </c>
    </row>
    <row r="187" spans="1:7" x14ac:dyDescent="0.15">
      <c r="A187" s="141" t="s">
        <v>160</v>
      </c>
      <c r="B187" s="71">
        <v>262.47359999999998</v>
      </c>
      <c r="C187" s="71">
        <v>39.188200000000002</v>
      </c>
      <c r="D187" s="71">
        <v>44.614800000000002</v>
      </c>
      <c r="E187" s="71">
        <v>44.9176</v>
      </c>
      <c r="F187" s="71">
        <v>22045.775000000001</v>
      </c>
      <c r="G187" s="71">
        <v>6.2930000000000001</v>
      </c>
    </row>
    <row r="188" spans="1:7" x14ac:dyDescent="0.15">
      <c r="A188" s="141" t="s">
        <v>161</v>
      </c>
      <c r="B188" s="71">
        <v>143.04159999999999</v>
      </c>
      <c r="C188" s="71">
        <v>36.4133</v>
      </c>
      <c r="D188" s="71">
        <v>43.057600000000001</v>
      </c>
      <c r="E188" s="71">
        <v>42.987099999999998</v>
      </c>
      <c r="F188" s="71">
        <v>12752.553</v>
      </c>
      <c r="G188" s="71">
        <v>5.2229999999999999</v>
      </c>
    </row>
    <row r="189" spans="1:7" x14ac:dyDescent="0.15">
      <c r="A189" s="141" t="s">
        <v>162</v>
      </c>
      <c r="B189" s="71">
        <v>1318.1952000000001</v>
      </c>
      <c r="C189" s="71">
        <v>42.691699999999997</v>
      </c>
      <c r="D189" s="71">
        <v>48.4846</v>
      </c>
      <c r="E189" s="71">
        <v>48.007899999999999</v>
      </c>
      <c r="F189" s="71">
        <v>68787.593999999997</v>
      </c>
      <c r="G189" s="71">
        <v>10.154</v>
      </c>
    </row>
    <row r="190" spans="1:7" x14ac:dyDescent="0.15">
      <c r="A190" s="141" t="s">
        <v>163</v>
      </c>
      <c r="B190" s="71">
        <v>651.83519999999999</v>
      </c>
      <c r="C190" s="71">
        <v>41.016199999999998</v>
      </c>
      <c r="D190" s="71">
        <v>47.680399999999999</v>
      </c>
      <c r="E190" s="71">
        <v>46.840600000000002</v>
      </c>
      <c r="F190" s="71">
        <v>41108.050999999999</v>
      </c>
      <c r="G190" s="71">
        <v>8.2390000000000008</v>
      </c>
    </row>
    <row r="191" spans="1:7" x14ac:dyDescent="0.15">
      <c r="A191" s="141" t="s">
        <v>164</v>
      </c>
      <c r="B191" s="71">
        <v>348.6336</v>
      </c>
      <c r="C191" s="71">
        <v>38.734999999999999</v>
      </c>
      <c r="D191" s="71">
        <v>46.609200000000001</v>
      </c>
      <c r="E191" s="71">
        <v>45.429200000000002</v>
      </c>
      <c r="F191" s="71">
        <v>23531.857</v>
      </c>
      <c r="G191" s="71">
        <v>6.601</v>
      </c>
    </row>
    <row r="192" spans="1:7" x14ac:dyDescent="0.15">
      <c r="A192" s="141" t="s">
        <v>165</v>
      </c>
      <c r="B192" s="71">
        <v>190.38720000000001</v>
      </c>
      <c r="C192" s="71">
        <v>35.680799999999998</v>
      </c>
      <c r="D192" s="71">
        <v>45.1736</v>
      </c>
      <c r="E192" s="71">
        <v>43.100999999999999</v>
      </c>
      <c r="F192" s="71">
        <v>14461.598</v>
      </c>
      <c r="G192" s="71">
        <v>5.407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2021-01-11T11:58:06Z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