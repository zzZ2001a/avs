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4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ijunru\OneDrive - pku.edu.cn\AVS3标准\2021-04-14-加会\Proposal0-参考软件维护\"/>
    </mc:Choice>
  </mc:AlternateContent>
  <xr:revisionPtr revIDLastSave="0" documentId="13_ncr:1_{7AD7F6B9-DF2C-4716-8BEB-15B29E24475A}" xr6:coauthVersionLast="36" xr6:coauthVersionMax="36" xr10:uidLastSave="{00000000-0000-0000-0000-000000000000}"/>
  <bookViews>
    <workbookView xWindow="0" yWindow="18600" windowWidth="28215" windowHeight="7305" tabRatio="884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</workbook>
</file>

<file path=xl/calcChain.xml><?xml version="1.0" encoding="utf-8"?>
<calcChain xmlns="http://schemas.openxmlformats.org/spreadsheetml/2006/main"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G61" i="29"/>
  <c r="F61" i="29"/>
  <c r="E61" i="29"/>
  <c r="D61" i="29"/>
  <c r="Q60" i="29"/>
  <c r="I60" i="29"/>
  <c r="P60" i="29"/>
  <c r="O60" i="29"/>
  <c r="N60" i="29"/>
  <c r="M60" i="29"/>
  <c r="L60" i="29"/>
  <c r="H60" i="29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T3" i="29" s="1"/>
  <c r="P3" i="29"/>
  <c r="R3" i="29" s="1"/>
  <c r="O3" i="29"/>
  <c r="N3" i="29"/>
  <c r="M3" i="29"/>
  <c r="L3" i="29"/>
  <c r="H3" i="29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J60" i="29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J47" i="25"/>
  <c r="J52" i="25"/>
  <c r="J57" i="20"/>
  <c r="AB4" i="10"/>
  <c r="AB5" i="10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12" i="25"/>
  <c r="J24" i="25"/>
  <c r="J50" i="20"/>
  <c r="J45" i="20"/>
  <c r="J48" i="25"/>
  <c r="J3" i="29"/>
  <c r="J37" i="25"/>
  <c r="J13" i="20"/>
  <c r="J59" i="25"/>
  <c r="S62" i="29"/>
  <c r="S47" i="25"/>
  <c r="J42" i="20"/>
  <c r="J47" i="20"/>
  <c r="S53" i="25"/>
  <c r="T57" i="29"/>
  <c r="J48" i="29"/>
  <c r="R56" i="25"/>
  <c r="S31" i="29"/>
  <c r="M12" i="30" s="1"/>
  <c r="S50" i="29"/>
  <c r="J31" i="29"/>
  <c r="J22" i="25"/>
  <c r="T59" i="29"/>
  <c r="T79" i="29" s="1"/>
  <c r="N28" i="30" s="1"/>
  <c r="J10" i="25"/>
  <c r="J61" i="29"/>
  <c r="J4" i="25"/>
  <c r="R25" i="29"/>
  <c r="Z63" i="25"/>
  <c r="Z7" i="25"/>
  <c r="W55" i="29"/>
  <c r="Y27" i="25"/>
  <c r="Y7" i="29"/>
  <c r="V51" i="20"/>
  <c r="AA15" i="20"/>
  <c r="Z11" i="25"/>
  <c r="Z59" i="29"/>
  <c r="X39" i="20"/>
  <c r="AA23" i="25"/>
  <c r="X15" i="29"/>
  <c r="Y15" i="25"/>
  <c r="X63" i="20"/>
  <c r="Z59" i="27"/>
  <c r="Y31" i="20"/>
  <c r="AA15" i="25"/>
  <c r="V47" i="20"/>
  <c r="V31" i="20"/>
  <c r="W55" i="20"/>
  <c r="V71" i="25"/>
  <c r="Y47" i="27"/>
  <c r="X31" i="27"/>
  <c r="AA39" i="29"/>
  <c r="X11" i="25"/>
  <c r="V11" i="27"/>
  <c r="Z55" i="20"/>
  <c r="Z67" i="25"/>
  <c r="AA43" i="29"/>
  <c r="AA43" i="27"/>
  <c r="W71" i="29"/>
  <c r="Z7" i="20"/>
  <c r="Z51" i="20"/>
  <c r="Z35" i="27"/>
  <c r="V11" i="29"/>
  <c r="Z47" i="29"/>
  <c r="W27" i="20"/>
  <c r="W43" i="27"/>
  <c r="W19" i="25"/>
  <c r="Z11" i="27"/>
  <c r="AA51" i="25"/>
  <c r="V63" i="20"/>
  <c r="AA59" i="25"/>
  <c r="V27" i="29"/>
  <c r="Y43" i="25"/>
  <c r="Y35" i="25"/>
  <c r="X63" i="29"/>
  <c r="W59" i="20"/>
  <c r="Y55" i="27"/>
  <c r="X35" i="25"/>
  <c r="AA71" i="27"/>
  <c r="X27" i="29"/>
  <c r="X27" i="20"/>
  <c r="Y47" i="29"/>
  <c r="Y63" i="20"/>
  <c r="AA55" i="29"/>
  <c r="Z3" i="27"/>
  <c r="Y3" i="27"/>
  <c r="V47" i="29"/>
  <c r="V47" i="27"/>
  <c r="Z39" i="27"/>
  <c r="Z43" i="29"/>
  <c r="W55" i="27"/>
  <c r="AA15" i="29"/>
  <c r="W23" i="20"/>
  <c r="V3" i="29"/>
  <c r="V19" i="29"/>
  <c r="AA63" i="25"/>
  <c r="AA47" i="27"/>
  <c r="AA51" i="20"/>
  <c r="X67" i="27"/>
  <c r="Y31" i="29"/>
  <c r="Y23" i="29"/>
  <c r="Y55" i="29"/>
  <c r="Z55" i="25"/>
  <c r="X11" i="29"/>
  <c r="V19" i="25"/>
  <c r="V31" i="29"/>
  <c r="Y31" i="25"/>
  <c r="Z3" i="20"/>
  <c r="AA7" i="25"/>
  <c r="Z23" i="27"/>
  <c r="Z59" i="25"/>
  <c r="W67" i="25"/>
  <c r="X19" i="25"/>
  <c r="Y7" i="27"/>
  <c r="AA39" i="20"/>
  <c r="AA71" i="20"/>
  <c r="W51" i="20"/>
  <c r="Y7" i="25"/>
  <c r="W3" i="20"/>
  <c r="Y23" i="27"/>
  <c r="Z55" i="29"/>
  <c r="X51" i="20"/>
  <c r="X23" i="20"/>
  <c r="Y51" i="27"/>
  <c r="X19" i="20"/>
  <c r="X67" i="29"/>
  <c r="V67" i="29"/>
  <c r="W11" i="25"/>
  <c r="W51" i="27"/>
  <c r="W47" i="25"/>
  <c r="X31" i="20"/>
  <c r="X15" i="20"/>
  <c r="Y31" i="27"/>
  <c r="Y51" i="25"/>
  <c r="Y67" i="29"/>
  <c r="V59" i="29"/>
  <c r="X31" i="25"/>
  <c r="AA63" i="20"/>
  <c r="Y71" i="25"/>
  <c r="W27" i="29"/>
  <c r="Z19" i="29"/>
  <c r="W47" i="27"/>
  <c r="V23" i="25"/>
  <c r="AA67" i="29"/>
  <c r="Z51" i="29"/>
  <c r="X43" i="25"/>
  <c r="W47" i="20"/>
  <c r="Y15" i="27"/>
  <c r="AA11" i="25"/>
  <c r="V39" i="20"/>
  <c r="X47" i="25"/>
  <c r="V71" i="27"/>
  <c r="V47" i="25"/>
  <c r="V31" i="27"/>
  <c r="V7" i="20"/>
  <c r="V59" i="20"/>
  <c r="W15" i="20"/>
  <c r="AA63" i="27"/>
  <c r="Z15" i="27"/>
  <c r="X7" i="29"/>
  <c r="Z15" i="20"/>
  <c r="Z71" i="29"/>
  <c r="Z67" i="27"/>
  <c r="AA11" i="27"/>
  <c r="X3" i="29"/>
  <c r="X59" i="20"/>
  <c r="X51" i="29"/>
  <c r="AA67" i="27"/>
  <c r="W67" i="29"/>
  <c r="X3" i="27"/>
  <c r="X71" i="25"/>
  <c r="V3" i="25"/>
  <c r="Z43" i="20"/>
  <c r="W15" i="25"/>
  <c r="X47" i="29"/>
  <c r="Y47" i="20"/>
  <c r="V31" i="25"/>
  <c r="V15" i="20"/>
  <c r="W39" i="29"/>
  <c r="Z3" i="29"/>
  <c r="AA71" i="25"/>
  <c r="Z43" i="25"/>
  <c r="V59" i="25"/>
  <c r="X55" i="20"/>
  <c r="W15" i="27"/>
  <c r="Z47" i="20"/>
  <c r="AA27" i="25"/>
  <c r="AA23" i="20"/>
  <c r="X63" i="25"/>
  <c r="AA27" i="29"/>
  <c r="W63" i="29"/>
  <c r="Y35" i="29"/>
  <c r="Y3" i="20"/>
  <c r="X3" i="20"/>
  <c r="AA47" i="29"/>
  <c r="Y11" i="27"/>
  <c r="V71" i="20"/>
  <c r="W59" i="29"/>
  <c r="V15" i="25"/>
  <c r="V51" i="29"/>
  <c r="Y71" i="20"/>
  <c r="Z71" i="20"/>
  <c r="Y55" i="20"/>
  <c r="W63" i="25"/>
  <c r="Y7" i="20"/>
  <c r="X47" i="20"/>
  <c r="W43" i="29"/>
  <c r="W55" i="25"/>
  <c r="V23" i="20"/>
  <c r="W39" i="25"/>
  <c r="V3" i="20"/>
  <c r="Z63" i="20"/>
  <c r="Y27" i="27"/>
  <c r="AA59" i="29"/>
  <c r="X23" i="27"/>
  <c r="V27" i="27"/>
  <c r="Y15" i="20"/>
  <c r="Y19" i="29"/>
  <c r="X39" i="25"/>
  <c r="X63" i="27"/>
  <c r="W15" i="29"/>
  <c r="V3" i="27"/>
  <c r="AA23" i="27"/>
  <c r="V7" i="29"/>
  <c r="AA19" i="20"/>
  <c r="AA19" i="29"/>
  <c r="AA51" i="29"/>
  <c r="X35" i="29"/>
  <c r="AA7" i="27"/>
  <c r="Y43" i="27"/>
  <c r="Y43" i="29"/>
  <c r="Y27" i="20"/>
  <c r="W11" i="29"/>
  <c r="Y71" i="29"/>
  <c r="W51" i="29"/>
  <c r="W39" i="27"/>
  <c r="X39" i="29"/>
  <c r="Z19" i="27"/>
  <c r="AA19" i="27"/>
  <c r="X59" i="29"/>
  <c r="AA3" i="29"/>
  <c r="AA63" i="29"/>
  <c r="AA35" i="20"/>
  <c r="W63" i="27"/>
  <c r="Y15" i="29"/>
  <c r="V55" i="20"/>
  <c r="X7" i="20"/>
  <c r="W27" i="27"/>
  <c r="Z59" i="20"/>
  <c r="X67" i="20"/>
  <c r="Z67" i="20"/>
  <c r="Y51" i="20"/>
  <c r="V67" i="25"/>
  <c r="Y67" i="20"/>
  <c r="Z71" i="27"/>
  <c r="W19" i="27"/>
  <c r="W7" i="29"/>
  <c r="AA47" i="20"/>
  <c r="V27" i="20"/>
  <c r="Y59" i="29"/>
  <c r="X71" i="29"/>
  <c r="W71" i="25"/>
  <c r="Z63" i="27"/>
  <c r="W71" i="27"/>
  <c r="Z63" i="29"/>
  <c r="W3" i="29"/>
  <c r="V39" i="27"/>
  <c r="Y59" i="25"/>
  <c r="AA59" i="27"/>
  <c r="V35" i="25"/>
  <c r="W7" i="25"/>
  <c r="X27" i="25"/>
  <c r="W47" i="29"/>
  <c r="X47" i="27"/>
  <c r="Y23" i="25"/>
  <c r="Z51" i="27"/>
  <c r="Y39" i="25"/>
  <c r="Y39" i="27"/>
  <c r="AA71" i="29"/>
  <c r="Z35" i="29"/>
  <c r="AA3" i="27"/>
  <c r="Y55" i="25"/>
  <c r="X3" i="25"/>
  <c r="Z27" i="25"/>
  <c r="X19" i="27"/>
  <c r="V59" i="27"/>
  <c r="Y59" i="27"/>
  <c r="W23" i="29"/>
  <c r="V67" i="27"/>
  <c r="Z15" i="25"/>
  <c r="V11" i="20"/>
  <c r="Z31" i="29"/>
  <c r="V43" i="27"/>
  <c r="Z39" i="20"/>
  <c r="Z19" i="20"/>
  <c r="Z55" i="27"/>
  <c r="W31" i="27"/>
  <c r="V43" i="29"/>
  <c r="W23" i="25"/>
  <c r="AA55" i="25"/>
  <c r="Y3" i="25"/>
  <c r="W19" i="29"/>
  <c r="Z23" i="25"/>
  <c r="Z7" i="29"/>
  <c r="W31" i="25"/>
  <c r="Y39" i="29"/>
  <c r="V55" i="27"/>
  <c r="AA35" i="25"/>
  <c r="Z35" i="20"/>
  <c r="AA3" i="20"/>
  <c r="V71" i="29"/>
  <c r="V11" i="25"/>
  <c r="W59" i="25"/>
  <c r="AA11" i="29"/>
  <c r="Z15" i="29"/>
  <c r="AA67" i="25"/>
  <c r="Y59" i="20"/>
  <c r="Y11" i="25"/>
  <c r="AA31" i="29"/>
  <c r="W11" i="27"/>
  <c r="Z47" i="27"/>
  <c r="AA35" i="29"/>
  <c r="AA31" i="27"/>
  <c r="Y67" i="25"/>
  <c r="V39" i="29"/>
  <c r="X71" i="20"/>
  <c r="W3" i="25"/>
  <c r="V43" i="20"/>
  <c r="Y27" i="29"/>
  <c r="V35" i="29"/>
  <c r="AA19" i="25"/>
  <c r="AA35" i="27"/>
  <c r="W19" i="20"/>
  <c r="X59" i="25"/>
  <c r="X71" i="27"/>
  <c r="Y11" i="20"/>
  <c r="V67" i="20"/>
  <c r="Y11" i="29"/>
  <c r="X43" i="20"/>
  <c r="AA39" i="25"/>
  <c r="Z71" i="25"/>
  <c r="Y63" i="25"/>
  <c r="AA43" i="25"/>
  <c r="W7" i="27"/>
  <c r="V23" i="27"/>
  <c r="X51" i="27"/>
  <c r="W23" i="27"/>
  <c r="X11" i="20"/>
  <c r="X27" i="27"/>
  <c r="W31" i="20"/>
  <c r="W39" i="20"/>
  <c r="Y51" i="29"/>
  <c r="V63" i="25"/>
  <c r="Z11" i="20"/>
  <c r="Y35" i="27"/>
  <c r="AA43" i="20"/>
  <c r="Z43" i="27"/>
  <c r="X55" i="29"/>
  <c r="Y23" i="20"/>
  <c r="W3" i="27"/>
  <c r="W43" i="25"/>
  <c r="V63" i="29"/>
  <c r="X55" i="25"/>
  <c r="V19" i="27"/>
  <c r="X59" i="27"/>
  <c r="AA15" i="27"/>
  <c r="AA7" i="29"/>
  <c r="Z23" i="29"/>
  <c r="AA59" i="20"/>
  <c r="W67" i="20"/>
  <c r="AA3" i="25"/>
  <c r="W7" i="20"/>
  <c r="Y63" i="29"/>
  <c r="AA55" i="27"/>
  <c r="X67" i="25"/>
  <c r="W35" i="25"/>
  <c r="V51" i="27"/>
  <c r="Z47" i="25"/>
  <c r="X51" i="25"/>
  <c r="Z23" i="20"/>
  <c r="W27" i="25"/>
  <c r="Z27" i="20"/>
  <c r="Y19" i="25"/>
  <c r="AA39" i="27"/>
  <c r="AA11" i="20"/>
  <c r="X7" i="25"/>
  <c r="X15" i="27"/>
  <c r="X31" i="29"/>
  <c r="V51" i="25"/>
  <c r="Z31" i="25"/>
  <c r="V15" i="29"/>
  <c r="AA31" i="25"/>
  <c r="X43" i="29"/>
  <c r="X23" i="29"/>
  <c r="W35" i="27"/>
  <c r="W35" i="29"/>
  <c r="Y35" i="20"/>
  <c r="Y3" i="29"/>
  <c r="Y19" i="27"/>
  <c r="Z31" i="27"/>
  <c r="X11" i="27"/>
  <c r="Z3" i="25"/>
  <c r="Z7" i="27"/>
  <c r="AA47" i="25"/>
  <c r="V63" i="27"/>
  <c r="W67" i="27"/>
  <c r="Y19" i="20"/>
  <c r="AA7" i="20"/>
  <c r="V23" i="29"/>
  <c r="Z19" i="25"/>
  <c r="AA27" i="27"/>
  <c r="AA55" i="20"/>
  <c r="Y43" i="20"/>
  <c r="Z51" i="25"/>
  <c r="V35" i="20"/>
  <c r="Z39" i="29"/>
  <c r="V55" i="25"/>
  <c r="X7" i="27"/>
  <c r="Z35" i="25"/>
  <c r="V27" i="25"/>
  <c r="X23" i="25"/>
  <c r="V55" i="29"/>
  <c r="Y39" i="20"/>
  <c r="Z11" i="29"/>
  <c r="W43" i="20"/>
  <c r="W63" i="20"/>
  <c r="W31" i="29"/>
  <c r="Y71" i="27"/>
  <c r="Z67" i="29"/>
  <c r="Z27" i="29"/>
  <c r="V19" i="20"/>
  <c r="Z39" i="25"/>
  <c r="Y63" i="27"/>
  <c r="X55" i="27"/>
  <c r="AA31" i="20"/>
  <c r="X39" i="27"/>
  <c r="V7" i="25"/>
  <c r="X43" i="27"/>
  <c r="Y47" i="25"/>
  <c r="W35" i="20"/>
  <c r="Y67" i="27"/>
  <c r="AA67" i="20"/>
  <c r="W51" i="25"/>
  <c r="X15" i="25"/>
  <c r="V39" i="25"/>
  <c r="W11" i="20"/>
  <c r="Z27" i="27"/>
  <c r="V43" i="25"/>
  <c r="AA27" i="20"/>
  <c r="Z31" i="20"/>
  <c r="V15" i="27"/>
  <c r="X35" i="20"/>
  <c r="AA23" i="29"/>
  <c r="X35" i="27"/>
  <c r="AA51" i="27"/>
  <c r="W71" i="20"/>
  <c r="W59" i="27"/>
  <c r="V7" i="27"/>
  <c r="X19" i="29"/>
  <c r="V35" i="27"/>
  <c r="T50" i="29" l="1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G19" i="9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S78" i="25" l="1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N3" i="10"/>
  <c r="AJ3" i="10"/>
  <c r="AD3" i="10"/>
  <c r="AF3" i="10"/>
  <c r="AG3" i="10"/>
  <c r="AI3" i="10"/>
  <c r="AP3" i="10"/>
  <c r="AO3" i="10"/>
  <c r="AK3" i="10"/>
  <c r="AL3" i="10"/>
  <c r="AE3" i="10"/>
  <c r="AQ3" i="10"/>
  <c r="F29" i="9" l="1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K4" i="10"/>
  <c r="AG4" i="10"/>
  <c r="AO4" i="10"/>
  <c r="AN4" i="10"/>
  <c r="AF4" i="10"/>
  <c r="AQ4" i="10"/>
  <c r="AJ4" i="10"/>
  <c r="AD4" i="10"/>
  <c r="AP4" i="10"/>
  <c r="AE4" i="10"/>
  <c r="AI4" i="10"/>
  <c r="AL4" i="10"/>
  <c r="AC6" i="10" l="1"/>
  <c r="AQ5" i="10"/>
  <c r="AG6" i="10"/>
  <c r="AL5" i="10"/>
  <c r="AK5" i="10"/>
  <c r="AL6" i="10"/>
  <c r="AN6" i="10"/>
  <c r="AD6" i="10"/>
  <c r="AJ6" i="10"/>
  <c r="AI5" i="10"/>
  <c r="AO5" i="10"/>
  <c r="AQ6" i="10"/>
  <c r="AF5" i="10"/>
  <c r="AN5" i="10"/>
  <c r="AI6" i="10"/>
  <c r="AO6" i="10"/>
  <c r="AE5" i="10"/>
  <c r="AE6" i="10"/>
  <c r="AD5" i="10"/>
  <c r="AP6" i="10"/>
  <c r="AK6" i="10"/>
  <c r="AP5" i="10"/>
  <c r="AJ5" i="10"/>
  <c r="AF6" i="10"/>
  <c r="AG5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<sst xmlns="http://schemas.openxmlformats.org/spreadsheetml/2006/main" count="974" uniqueCount="408">
  <si>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</si>
  <si>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</si>
  <si>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</si>
  <si>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</si>
  <si>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</si>
  <si>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</si>
  <si>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</si>
  <si>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</si>
  <si>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</si>
  <si>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</si>
  <si>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</si>
  <si>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</si>
  <si>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</si>
  <si>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</si>
  <si>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</si>
  <si>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</si>
  <si>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</si>
  <si>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</si>
  <si>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</si>
  <si>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</si>
  <si>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</si>
  <si>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</si>
  <si>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</si>
  <si>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</si>
  <si>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</si>
  <si>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</si>
  <si>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</si>
  <si>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</si>
  <si>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</si>
  <si>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</si>
  <si>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</si>
  <si>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</si>
  <si>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</si>
  <si>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</si>
  <si>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</si>
  <si>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</si>
  <si>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</si>
  <si>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</si>
  <si>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</si>
  <si>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</si>
  <si>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</si>
  <si>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</si>
  <si>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</si>
  <si>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</si>
  <si>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</si>
  <si>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</si>
  <si>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</si>
  <si>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</si>
  <si>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</si>
  <si>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</si>
  <si>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</si>
  <si>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</si>
  <si>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</si>
  <si>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</si>
  <si>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</si>
  <si>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</si>
  <si>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</si>
  <si>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</si>
  <si>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</si>
  <si>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</si>
  <si>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</si>
  <si>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</si>
  <si>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</si>
  <si>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</si>
  <si>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</si>
  <si>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</si>
  <si>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</si>
  <si>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</si>
  <si>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</si>
  <si>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</si>
  <si>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</si>
  <si>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</si>
  <si>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</si>
  <si>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</si>
  <si>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</si>
  <si>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</si>
  <si>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</si>
  <si>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</si>
  <si>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</si>
  <si>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</si>
  <si>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</si>
  <si>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</si>
  <si>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</si>
  <si>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</si>
  <si>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</si>
  <si>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</si>
  <si>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</si>
  <si>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</si>
  <si>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</si>
  <si>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</si>
  <si>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</si>
  <si>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</si>
  <si>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</si>
  <si>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</si>
  <si>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</si>
  <si>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</si>
  <si>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</si>
  <si>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</si>
  <si>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</si>
  <si>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</si>
  <si>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</si>
  <si>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</si>
  <si>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</si>
  <si>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</si>
  <si>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</si>
  <si>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</si>
  <si>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</si>
  <si>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</si>
  <si>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</si>
  <si>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</si>
  <si>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</si>
  <si>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</si>
  <si>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</si>
  <si>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</si>
  <si>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</si>
  <si>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</si>
  <si>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</si>
  <si>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</si>
  <si>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</si>
  <si>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</si>
  <si>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</si>
  <si>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</si>
  <si>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</si>
  <si>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</si>
  <si>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</si>
  <si>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</si>
  <si>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</si>
  <si>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</si>
  <si>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</si>
  <si>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</si>
  <si>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</si>
  <si>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</si>
  <si>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</si>
  <si>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</si>
  <si>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</si>
  <si>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</si>
  <si>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</si>
  <si>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</si>
  <si>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</si>
  <si>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</si>
  <si>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</si>
  <si>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</si>
  <si>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</si>
  <si>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</si>
  <si>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</si>
  <si>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</si>
  <si>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</si>
  <si>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</si>
  <si>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</si>
  <si>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</si>
  <si>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</si>
  <si>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</si>
  <si>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</si>
  <si>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</si>
  <si>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</si>
  <si>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</si>
  <si>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</si>
  <si>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</si>
  <si>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</si>
  <si>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</si>
  <si>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</si>
  <si>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</si>
  <si>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</si>
  <si>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</si>
  <si>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</si>
  <si>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</si>
  <si>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</si>
  <si>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</si>
  <si>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</si>
  <si>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</si>
  <si>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</si>
  <si>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</si>
  <si>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</si>
  <si>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</si>
  <si>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</si>
  <si>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</si>
  <si>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</si>
  <si>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</si>
  <si>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</si>
  <si>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</si>
  <si>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</si>
  <si>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</si>
  <si>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</si>
  <si>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</si>
  <si>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</si>
  <si>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</si>
  <si>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</si>
  <si>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</si>
  <si>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</si>
  <si>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</si>
  <si>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</si>
  <si>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</si>
  <si>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</si>
  <si>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</si>
  <si>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</si>
  <si>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</si>
  <si>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</si>
  <si>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</si>
  <si>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</si>
  <si>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</si>
  <si>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</si>
  <si>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</si>
  <si>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</si>
  <si>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</si>
  <si>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</si>
  <si>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</si>
  <si>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</si>
  <si>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</si>
  <si>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</si>
  <si>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</si>
  <si>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</si>
  <si>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</si>
  <si>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</si>
  <si>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</si>
  <si>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</si>
  <si>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</si>
  <si>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</si>
  <si>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</si>
  <si>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</si>
  <si>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</si>
  <si>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</si>
  <si>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</si>
  <si>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</si>
  <si>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</si>
  <si>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</si>
  <si>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</si>
  <si>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</si>
  <si>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</si>
  <si>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</si>
  <si>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</si>
  <si>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</si>
  <si>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</si>
  <si>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</si>
  <si>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</si>
  <si>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</si>
  <si>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</si>
  <si>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</si>
  <si>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</si>
  <si>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</si>
  <si>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</si>
  <si>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</si>
  <si>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</si>
  <si>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</si>
  <si>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</si>
  <si>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</si>
  <si>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</si>
  <si>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</si>
  <si>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</si>
  <si>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</si>
  <si>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</si>
  <si>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</si>
  <si>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</si>
  <si>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</si>
  <si>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</si>
  <si>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</si>
  <si>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</si>
  <si>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</si>
  <si>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</si>
  <si>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</si>
  <si>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</si>
  <si>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</si>
  <si>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</si>
  <si>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</si>
  <si>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</si>
  <si>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</si>
  <si>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</si>
  <si>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</si>
  <si>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</si>
  <si>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</si>
  <si>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</si>
  <si>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</si>
  <si>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</si>
  <si>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</si>
  <si>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</si>
  <si>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</si>
  <si>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</si>
  <si>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</si>
  <si>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</si>
  <si>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</si>
  <si>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</si>
  <si>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</si>
  <si>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</si>
  <si>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</si>
  <si>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</si>
  <si>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</si>
  <si>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</si>
  <si>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</si>
  <si>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</si>
  <si>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</si>
  <si>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</si>
  <si>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</si>
  <si>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</si>
  <si>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</si>
  <si>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</si>
  <si>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</si>
  <si>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</si>
  <si>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</si>
  <si>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</si>
  <si>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</si>
  <si>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</si>
  <si>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</si>
  <si>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</si>
  <si>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</si>
  <si>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</si>
  <si>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</si>
  <si>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</si>
  <si>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</si>
  <si>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</si>
  <si>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</si>
  <si>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</si>
  <si>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</si>
  <si>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</si>
  <si>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</si>
  <si>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</si>
  <si>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</si>
  <si>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</si>
  <si>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</si>
  <si>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</si>
  <si>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</si>
  <si>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</si>
  <si>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</si>
  <si>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</si>
  <si>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</si>
  <si>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</si>
  <si>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</si>
  <si>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</si>
  <si>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</si>
  <si>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</si>
  <si>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</si>
  <si>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</si>
  <si>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</si>
  <si>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</si>
  <si>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</si>
  <si>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</si>
  <si>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</si>
  <si>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</si>
  <si>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</si>
  <si>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</si>
  <si>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</si>
  <si>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</si>
  <si>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</si>
  <si>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</si>
  <si>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</si>
  <si>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</si>
  <si>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</si>
  <si>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</si>
  <si>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</si>
  <si>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</si>
  <si>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</si>
  <si>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</si>
  <si>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</si>
  <si>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</si>
  <si>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</si>
  <si>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</si>
  <si>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</si>
  <si>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</si>
  <si>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</si>
  <si>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</si>
  <si>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</si>
  <si>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</si>
  <si>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</si>
  <si>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</si>
  <si>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</si>
  <si>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</si>
  <si>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</si>
  <si>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</si>
  <si>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</si>
  <si>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</si>
  <si>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</si>
  <si>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</si>
  <si>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</si>
  <si>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</si>
  <si>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</si>
  <si>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</si>
  <si>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</si>
  <si>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</si>
  <si>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</si>
  <si>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</si>
  <si>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</si>
  <si>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</si>
  <si>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</si>
  <si>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</si>
  <si>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</si>
  <si>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</si>
  <si>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</si>
  <si>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</si>
  <si>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</si>
  <si>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</si>
  <si>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</si>
  <si>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</si>
  <si>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</si>
  <si>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</si>
  <si>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</si>
  <si>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</si>
  <si>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</si>
  <si>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</si>
  <si>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</si>
  <si>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</si>
  <si>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</si>
  <si>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</si>
  <si>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</si>
  <si>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</si>
  <si>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</si>
  <si>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</si>
  <si>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</si>
  <si>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</si>
  <si>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HPM11.0</t>
    <phoneticPr fontId="1" type="noConversion"/>
  </si>
  <si>
    <t>HPM11.1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</si>
</sst>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HPM11.1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HPM11.1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HPM11.1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HPM11.1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tabSelected="1" zoomScale="85" zoomScaleNormal="85" workbookViewId="0">
      <selection activeCell="P16" sqref="P16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HPM11.0</v>
      </c>
      <c r="D3" s="151"/>
      <c r="E3" s="151"/>
      <c r="F3" s="151"/>
      <c r="G3" s="152"/>
      <c r="I3" s="102"/>
      <c r="J3" s="150" t="str">
        <f>CONCATENATE("Over ", Summary!$J$3)</f>
        <v>Over HPM11.0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>
        <f>'AI-10'!$V$3</f>
        <v>-7.9726480716302284E-5</v>
      </c>
      <c r="D5" s="112">
        <f>'AI-10'!$W$3</f>
        <v>-7.1774781128555176E-3</v>
      </c>
      <c r="E5" s="113">
        <f>'AI-10'!$X$3</f>
        <v>-1.4856654522917845E-3</v>
      </c>
      <c r="F5" s="114">
        <f>GEOMEAN('AI-10'!$S$3:'AI-10'!$S$6)</f>
        <v>0.96930230024370034</v>
      </c>
      <c r="G5" s="115">
        <f>GEOMEAN('AI-10'!$T$3:'AI-10'!$T$6)</f>
        <v>0.97683910326739665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>
        <f>'AI-10'!$V$7</f>
        <v>1.2062603160556407E-5</v>
      </c>
      <c r="D6" s="118">
        <f>'AI-10'!$W$7</f>
        <v>-3.5595065476183851E-3</v>
      </c>
      <c r="E6" s="119">
        <f>'AI-10'!$X$7</f>
        <v>-9.1689989214386314E-3</v>
      </c>
      <c r="F6" s="120">
        <f>GEOMEAN('AI-10'!$S$7:'AI-10'!$S$10)</f>
        <v>1.0052983607441335</v>
      </c>
      <c r="G6" s="121">
        <f>GEOMEAN('AI-10'!$T$7:'AI-10'!$T$10)</f>
        <v>0.98229111598051444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>
        <f>'AI-10'!$V$11</f>
        <v>8.9729748806721688E-6</v>
      </c>
      <c r="D7" s="118">
        <f>'AI-10'!$W$11</f>
        <v>-4.2499639241155851E-4</v>
      </c>
      <c r="E7" s="119">
        <f>'AI-10'!$X$11</f>
        <v>-9.4244605811022453E-4</v>
      </c>
      <c r="F7" s="130">
        <f>GEOMEAN('AI-10'!$S$11:'AI-10'!$S$14)</f>
        <v>0.96256562184860928</v>
      </c>
      <c r="G7" s="121">
        <f>GEOMEAN('AI-10'!$T$11:'AI-10'!$T$14)</f>
        <v>0.96277480912682001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>
        <f>'AI-10'!$V$15</f>
        <v>1.2616672015308694E-4</v>
      </c>
      <c r="D8" s="124">
        <f>'AI-10'!$W$15</f>
        <v>-2.8943835030517118E-3</v>
      </c>
      <c r="E8" s="125">
        <f>'AI-10'!$X$15</f>
        <v>-4.4576316143517536E-3</v>
      </c>
      <c r="F8" s="126">
        <f>GEOMEAN('AI-10'!$S$15:'AI-10'!$S$18)</f>
        <v>0.93878907225084585</v>
      </c>
      <c r="G8" s="127">
        <f>GEOMEAN('AI-10'!$T$15:'AI-10'!$T$18)</f>
        <v>0.94756810457799379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>
        <f>'AI-10'!$V$19</f>
        <v>1.6050426714775412E-4</v>
      </c>
      <c r="D9" s="112">
        <f>'AI-10'!$W$19</f>
        <v>1.3902620882277894E-4</v>
      </c>
      <c r="E9" s="113">
        <f>'AI-10'!$X$19</f>
        <v>-1.9398522342469748E-3</v>
      </c>
      <c r="F9" s="114">
        <f>GEOMEAN('AI-10'!$S$19:'AI-10'!$S$22)</f>
        <v>0.97600109059950635</v>
      </c>
      <c r="G9" s="115">
        <f>GEOMEAN('AI-10'!$T$19:'AI-10'!$T$22)</f>
        <v>0.95508581112080271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>
        <f>'AI-10'!$V$23</f>
        <v>-1.0791740807825079E-4</v>
      </c>
      <c r="D10" s="118">
        <f>'AI-10'!$W$23</f>
        <v>1.352497581002865E-3</v>
      </c>
      <c r="E10" s="119">
        <f>'AI-10'!$X$23</f>
        <v>1.3247954722288569E-3</v>
      </c>
      <c r="F10" s="120">
        <f>GEOMEAN('AI-10'!$S$23:'AI-10'!$S$26)</f>
        <v>0.97800955060212291</v>
      </c>
      <c r="G10" s="121">
        <f>GEOMEAN('AI-10'!$T$23:'AI-10'!$T$26)</f>
        <v>0.96542661610830804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>
        <f>'AI-10'!$V$27</f>
        <v>4.0379658066180824E-4</v>
      </c>
      <c r="D11" s="118">
        <f>'AI-10'!$W$27</f>
        <v>-1.9475944745244167E-3</v>
      </c>
      <c r="E11" s="119">
        <f>'AI-10'!$X$27</f>
        <v>-1.6394721630850206E-3</v>
      </c>
      <c r="F11" s="120">
        <f>GEOMEAN('AI-10'!$S$27:'AI-10'!$S$30)</f>
        <v>0.97008347317495303</v>
      </c>
      <c r="G11" s="121">
        <f>GEOMEAN('AI-10'!$T$27:'AI-10'!$T$30)</f>
        <v>0.95400943974532937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>
        <f>'AI-10'!$V$31</f>
        <v>3.7073180912394754E-4</v>
      </c>
      <c r="D12" s="124">
        <f>'AI-10'!$W$31</f>
        <v>-1.5783237628768099E-3</v>
      </c>
      <c r="E12" s="125">
        <f>'AI-10'!$X$31</f>
        <v>-1.0022385539186773E-3</v>
      </c>
      <c r="F12" s="126">
        <f>GEOMEAN('AI-10'!$S$31:'AI-10'!$S$34)</f>
        <v>0.98124199174558291</v>
      </c>
      <c r="G12" s="127">
        <f>GEOMEAN('AI-10'!$T$31:'AI-10'!$T$34)</f>
        <v>0.94593258050031703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>
        <f>'AI-10'!$V$35</f>
        <v>-1.0466015207921675E-4</v>
      </c>
      <c r="D13" s="112">
        <f>'AI-10'!$W$35</f>
        <v>-8.4517654833460298E-4</v>
      </c>
      <c r="E13" s="113">
        <f>'AI-10'!$X$35</f>
        <v>-4.9740464138636753E-5</v>
      </c>
      <c r="F13" s="114">
        <f>GEOMEAN('AI-10'!$S$35:'AI-10'!$S$38)</f>
        <v>0.97455537869352271</v>
      </c>
      <c r="G13" s="115">
        <f>GEOMEAN('AI-10'!$T$35:'AI-10'!$T$38)</f>
        <v>0.96447253960097235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>
        <f>'AI-10'!$V$39</f>
        <v>2.2490317692636097E-5</v>
      </c>
      <c r="D14" s="118">
        <f>'AI-10'!$W$39</f>
        <v>1.649847061789611E-3</v>
      </c>
      <c r="E14" s="119">
        <f>'AI-10'!$X$39</f>
        <v>8.1707581272016938E-5</v>
      </c>
      <c r="F14" s="120">
        <f>GEOMEAN('AI-10'!$S$39:'AI-10'!$S$42)</f>
        <v>0.96974461089450892</v>
      </c>
      <c r="G14" s="121">
        <f>GEOMEAN('AI-10'!$T$39:'AI-10'!$T$42)</f>
        <v>0.95312142124627508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>
        <f>'AI-10'!$V$43</f>
        <v>-4.984734620239184E-5</v>
      </c>
      <c r="D15" s="118">
        <f>'AI-10'!$W$43</f>
        <v>-7.0003757861125671E-4</v>
      </c>
      <c r="E15" s="119">
        <f>'AI-10'!$X$43</f>
        <v>9.1161380725401919E-4</v>
      </c>
      <c r="F15" s="120">
        <f>GEOMEAN('AI-10'!$S$43:'AI-10'!$S$46)</f>
        <v>0.97865642718951185</v>
      </c>
      <c r="G15" s="121">
        <f>GEOMEAN('AI-10'!$T$43:'AI-10'!$T$46)</f>
        <v>0.96820338904149306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>
        <f>'AI-10'!$V$47</f>
        <v>1.3750821687086301E-5</v>
      </c>
      <c r="D16" s="124">
        <f>'AI-10'!$W$47</f>
        <v>-1.18308902482267E-3</v>
      </c>
      <c r="E16" s="125">
        <f>'AI-10'!$X$47</f>
        <v>-1.9355585834699873E-2</v>
      </c>
      <c r="F16" s="126">
        <f>GEOMEAN('AI-10'!$S$47:'AI-10'!$S$50)</f>
        <v>0.97846878704973683</v>
      </c>
      <c r="G16" s="127">
        <f>GEOMEAN('AI-10'!$T$47:'AI-10'!$T$50)</f>
        <v>0.96849893105960472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>
        <f>'AI-10'!$V75</f>
        <v>1.6868954369503308E-5</v>
      </c>
      <c r="D23" s="112">
        <f>'AI-10'!$W75</f>
        <v>-3.5140911389842933E-3</v>
      </c>
      <c r="E23" s="113">
        <f>'AI-10'!$X75</f>
        <v>-4.0136855115480985E-3</v>
      </c>
      <c r="F23" s="128">
        <f>'AI-10'!$S75</f>
        <v>0.96869743000037678</v>
      </c>
      <c r="G23" s="115">
        <f>'AI-10'!$T75</f>
        <v>0.96727419368300338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>
        <f>'AI-10'!$V76</f>
        <v>2.0677881221381478E-4</v>
      </c>
      <c r="D24" s="118">
        <f>'AI-10'!$W76</f>
        <v>-5.0859861189389566E-4</v>
      </c>
      <c r="E24" s="119">
        <f>'AI-10'!$X76</f>
        <v>-8.1419186975545399E-4</v>
      </c>
      <c r="F24" s="130">
        <f>'AI-10'!$S76</f>
        <v>0.97632555614190919</v>
      </c>
      <c r="G24" s="121">
        <f>'AI-10'!$T76</f>
        <v>0.95508852945839595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-2.9566589725471548E-5</v>
      </c>
      <c r="D25" s="118">
        <f>'AI-10'!$W77</f>
        <v>-2.6961402249472965E-4</v>
      </c>
      <c r="E25" s="119">
        <f>'AI-10'!$X77</f>
        <v>-4.6030012275781185E-3</v>
      </c>
      <c r="F25" s="130">
        <f>'AI-10'!$S77</f>
        <v>0.97534953581865902</v>
      </c>
      <c r="G25" s="121">
        <f>'AI-10'!$T77</f>
        <v>0.96355378200452479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6.4693725619282175E-5</v>
      </c>
      <c r="D26" s="137">
        <f>'AI-10'!$W80</f>
        <v>-1.4307679244576395E-3</v>
      </c>
      <c r="E26" s="136">
        <f>'AI-10'!$X80</f>
        <v>-3.1436262029605568E-3</v>
      </c>
      <c r="F26" s="135">
        <f>'AI-10'!$S80</f>
        <v>0.97345159761353972</v>
      </c>
      <c r="G26" s="134">
        <f>'AI-10'!$T80</f>
        <v>0.9619586339345001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HPM11.0</v>
      </c>
      <c r="D31" s="151"/>
      <c r="E31" s="151"/>
      <c r="F31" s="151"/>
      <c r="G31" s="152"/>
      <c r="I31" s="102"/>
      <c r="J31" s="150" t="str">
        <f>CONCATENATE("Over ", Summary!$J$3)</f>
        <v>Over HPM11.0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6.2450632558030961E-4</v>
      </c>
      <c r="D33" s="112">
        <f>'RA-10'!$W$3</f>
        <v>-1.1314629197385351E-3</v>
      </c>
      <c r="E33" s="113">
        <f>'RA-10'!$X$3</f>
        <v>-4.2002287813694972E-3</v>
      </c>
      <c r="F33" s="114">
        <f>GEOMEAN('RA-10'!$S$3:'RA-10'!$S$6)</f>
        <v>0.95012401537107172</v>
      </c>
      <c r="G33" s="115">
        <f>GEOMEAN('RA-10'!$T$3:'RA-10'!$T$6)</f>
        <v>0.93966546745848811</v>
      </c>
      <c r="I33" s="110" t="str">
        <f>'AI-10'!$B$3</f>
        <v>Tango2</v>
      </c>
      <c r="J33" s="111">
        <f>'LDB-10'!$V$3</f>
        <v>-4.4709616692673038E-5</v>
      </c>
      <c r="K33" s="112">
        <f>'LDB-10'!$W$3</f>
        <v>-5.0210335240512549E-3</v>
      </c>
      <c r="L33" s="113">
        <f>'LDB-10'!$X$3</f>
        <v>-7.0959448135125003E-3</v>
      </c>
      <c r="M33" s="114">
        <f>GEOMEAN('LDB-10'!$S$3:'LDB-10'!$S$6)</f>
        <v>0.93927992357107437</v>
      </c>
      <c r="N33" s="115">
        <f>GEOMEAN('LDB-10'!$T$3:'LDB-10'!$T$6)</f>
        <v>0.93462869107879287</v>
      </c>
    </row>
    <row r="34" spans="2:14" ht="12.75" customHeight="1" x14ac:dyDescent="0.2">
      <c r="B34" s="116" t="str">
        <f>'AI-10'!$B$7</f>
        <v>ParkRunning3</v>
      </c>
      <c r="C34" s="117">
        <f>'RA-10'!$V$7</f>
        <v>-3.3124014340191188E-5</v>
      </c>
      <c r="D34" s="118">
        <f>'RA-10'!$W$7</f>
        <v>-8.3615006384191171E-3</v>
      </c>
      <c r="E34" s="119">
        <f>'RA-10'!$X$7</f>
        <v>-2.7137314152768877E-2</v>
      </c>
      <c r="F34" s="120">
        <f>GEOMEAN('RA-10'!$S$7:'RA-10'!$S$10)</f>
        <v>0.92584308167075791</v>
      </c>
      <c r="G34" s="121">
        <f>GEOMEAN('RA-10'!$T$7:'RA-10'!$T$10)</f>
        <v>0.93711124023100434</v>
      </c>
      <c r="I34" s="116" t="str">
        <f>'AI-10'!$B$7</f>
        <v>ParkRunning3</v>
      </c>
      <c r="J34" s="117">
        <f>'LDB-10'!$V$7</f>
        <v>-2.41050676042176E-3</v>
      </c>
      <c r="K34" s="118">
        <f>'LDB-10'!$W$7</f>
        <v>-1.128374977976776E-2</v>
      </c>
      <c r="L34" s="119">
        <f>'LDB-10'!$X$7</f>
        <v>-3.4238576476807836E-2</v>
      </c>
      <c r="M34" s="120">
        <f>GEOMEAN('LDB-10'!$S$7:'LDB-10'!$S$10)</f>
        <v>0.92440799137917351</v>
      </c>
      <c r="N34" s="121">
        <f>GEOMEAN('LDB-10'!$T$7:'LDB-10'!$T$10)</f>
        <v>0.87168333755826521</v>
      </c>
    </row>
    <row r="35" spans="2:14" ht="12.75" customHeight="1" x14ac:dyDescent="0.2">
      <c r="B35" s="116" t="str">
        <f>'AI-10'!$B$11</f>
        <v>Campfire</v>
      </c>
      <c r="C35" s="117">
        <f>'RA-10'!$V$11</f>
        <v>-3.0602477282659635E-4</v>
      </c>
      <c r="D35" s="118">
        <f>'RA-10'!$W$11</f>
        <v>-4.9056215935905367E-4</v>
      </c>
      <c r="E35" s="119">
        <f>'RA-10'!$X$11</f>
        <v>1.3077289626082234E-3</v>
      </c>
      <c r="F35" s="130">
        <f>GEOMEAN('RA-10'!$S$11:'RA-10'!$S$14)</f>
        <v>0.94726038722683548</v>
      </c>
      <c r="G35" s="121">
        <f>GEOMEAN('RA-10'!$T$11:'RA-10'!$T$14)</f>
        <v>0.89631436322802405</v>
      </c>
      <c r="I35" s="116" t="str">
        <f>'AI-10'!$B$11</f>
        <v>Campfire</v>
      </c>
      <c r="J35" s="117">
        <f>'LDB-10'!$V$11</f>
        <v>-1.6413038907980848E-5</v>
      </c>
      <c r="K35" s="118">
        <f>'LDB-10'!$W$11</f>
        <v>-2.7811246118669697E-4</v>
      </c>
      <c r="L35" s="119">
        <f>'LDB-10'!$X$11</f>
        <v>5.0670795011087399E-4</v>
      </c>
      <c r="M35" s="130">
        <f>GEOMEAN('LDB-10'!$S$11:'LDB-10'!$S$14)</f>
        <v>0.93040050618248415</v>
      </c>
      <c r="N35" s="121">
        <f>GEOMEAN('LDB-10'!$T$11:'LDB-10'!$T$14)</f>
        <v>0.9027755212286146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9.9350340760917533E-4</v>
      </c>
      <c r="D36" s="124">
        <f>'RA-10'!$W$15</f>
        <v>-1.2004103542311961E-2</v>
      </c>
      <c r="E36" s="125">
        <f>'RA-10'!$X$15</f>
        <v>-8.3121108454606851E-3</v>
      </c>
      <c r="F36" s="126">
        <f>GEOMEAN('RA-10'!$S$15:'RA-10'!$S$18)</f>
        <v>0.94062822906530486</v>
      </c>
      <c r="G36" s="127">
        <f>GEOMEAN('RA-10'!$T$15:'RA-10'!$T$18)</f>
        <v>0.91461712360034819</v>
      </c>
      <c r="I36" s="122" t="str">
        <f>'AI-10'!$B$15</f>
        <v>DaylightRoad2</v>
      </c>
      <c r="J36" s="123">
        <f>'LDB-10'!$V$15</f>
        <v>7.2247256368118684E-5</v>
      </c>
      <c r="K36" s="124">
        <f>'LDB-10'!$W$15</f>
        <v>-1.7705672422028029E-2</v>
      </c>
      <c r="L36" s="125">
        <f>'LDB-10'!$X$15</f>
        <v>-3.3839051730980563E-3</v>
      </c>
      <c r="M36" s="126">
        <f>GEOMEAN('LDB-10'!$S$15:'LDB-10'!$S$18)</f>
        <v>0.93197168425943955</v>
      </c>
      <c r="N36" s="127">
        <f>GEOMEAN('LDB-10'!$T$15:'LDB-10'!$T$18)</f>
        <v>0.91376787735840226</v>
      </c>
    </row>
    <row r="37" spans="2:14" ht="12.75" customHeight="1" x14ac:dyDescent="0.2">
      <c r="B37" s="110" t="str">
        <f>'AI-10'!$B$19</f>
        <v>Cactus</v>
      </c>
      <c r="C37" s="111">
        <f>'RA-10'!$V$19</f>
        <v>3.1976394787691653E-4</v>
      </c>
      <c r="D37" s="112">
        <f>'RA-10'!$W$19</f>
        <v>-9.6004546672801006E-4</v>
      </c>
      <c r="E37" s="113">
        <f>'RA-10'!$X$19</f>
        <v>-1.4071726269291318E-3</v>
      </c>
      <c r="F37" s="114">
        <f>GEOMEAN('RA-10'!$S$19:'RA-10'!$S$22)</f>
        <v>0.9773013045768012</v>
      </c>
      <c r="G37" s="115">
        <f>GEOMEAN('RA-10'!$T$19:'RA-10'!$T$22)</f>
        <v>0.94771500175477674</v>
      </c>
      <c r="I37" s="110" t="str">
        <f>'AI-10'!$B$19</f>
        <v>Cactus</v>
      </c>
      <c r="J37" s="111">
        <f>'LDB-10'!$V$19</f>
        <v>4.0229821696091683E-4</v>
      </c>
      <c r="K37" s="112">
        <f>'LDB-10'!$W$19</f>
        <v>-2.537447394548531E-3</v>
      </c>
      <c r="L37" s="113">
        <f>'LDB-10'!$X$19</f>
        <v>-6.0054170501051551E-3</v>
      </c>
      <c r="M37" s="114">
        <f>GEOMEAN('LDB-10'!$S$19:'LDB-10'!$S$22)</f>
        <v>0.89369582718915341</v>
      </c>
      <c r="N37" s="115">
        <f>GEOMEAN('LDB-10'!$T$19:'LDB-10'!$T$22)</f>
        <v>0.84647817265771719</v>
      </c>
    </row>
    <row r="38" spans="2:14" ht="12.75" customHeight="1" x14ac:dyDescent="0.2">
      <c r="B38" s="116" t="str">
        <f>'AI-10'!$B$23</f>
        <v>BasketballDrive</v>
      </c>
      <c r="C38" s="117">
        <f>'RA-10'!$V$23</f>
        <v>-2.0225631889903006E-4</v>
      </c>
      <c r="D38" s="118">
        <f>'RA-10'!$W$23</f>
        <v>-9.5004322687419762E-4</v>
      </c>
      <c r="E38" s="119">
        <f>'RA-10'!$X$23</f>
        <v>6.8645876512984927E-4</v>
      </c>
      <c r="F38" s="120">
        <f>GEOMEAN('RA-10'!$S$23:'RA-10'!$S$26)</f>
        <v>0.96866119675019813</v>
      </c>
      <c r="G38" s="121">
        <f>GEOMEAN('RA-10'!$T$23:'RA-10'!$T$26)</f>
        <v>0.95128805349179912</v>
      </c>
      <c r="I38" s="116" t="str">
        <f>'AI-10'!$B$23</f>
        <v>BasketballDrive</v>
      </c>
      <c r="J38" s="117">
        <f>'LDB-10'!$V$23</f>
        <v>3.0735947332050095E-4</v>
      </c>
      <c r="K38" s="118">
        <f>'LDB-10'!$W$23</f>
        <v>4.5651111704443359E-3</v>
      </c>
      <c r="L38" s="119">
        <f>'LDB-10'!$X$23</f>
        <v>2.0135005018426799E-3</v>
      </c>
      <c r="M38" s="120">
        <f>GEOMEAN('LDB-10'!$S$23:'LDB-10'!$S$26)</f>
        <v>0.93300108630073875</v>
      </c>
      <c r="N38" s="121">
        <f>GEOMEAN('LDB-10'!$T$23:'LDB-10'!$T$26)</f>
        <v>0.86182648358858316</v>
      </c>
    </row>
    <row r="39" spans="2:14" ht="12.75" customHeight="1" x14ac:dyDescent="0.2">
      <c r="B39" s="116" t="str">
        <f>'AI-10'!$B$27</f>
        <v>MarketPlace</v>
      </c>
      <c r="C39" s="117">
        <f>'RA-10'!$V$27</f>
        <v>4.8616650270116857E-4</v>
      </c>
      <c r="D39" s="118">
        <f>'RA-10'!$W$27</f>
        <v>4.0418066933356478E-4</v>
      </c>
      <c r="E39" s="119">
        <f>'RA-10'!$X$27</f>
        <v>-9.2819789157616572E-4</v>
      </c>
      <c r="F39" s="120">
        <f>GEOMEAN('RA-10'!$S$27:'RA-10'!$S$30)</f>
        <v>0.97017299194888706</v>
      </c>
      <c r="G39" s="121">
        <f>GEOMEAN('RA-10'!$T$27:'RA-10'!$T$30)</f>
        <v>0.94292914364638836</v>
      </c>
      <c r="I39" s="116" t="str">
        <f>'AI-10'!$B$27</f>
        <v>MarketPlace</v>
      </c>
      <c r="J39" s="117">
        <f>'LDB-10'!$V$27</f>
        <v>3.6814491365944058E-4</v>
      </c>
      <c r="K39" s="118">
        <f>'LDB-10'!$W$27</f>
        <v>4.3107425884070238E-3</v>
      </c>
      <c r="L39" s="119">
        <f>'LDB-10'!$X$27</f>
        <v>2.4901358545297292E-3</v>
      </c>
      <c r="M39" s="120">
        <f>GEOMEAN('LDB-10'!$S$27:'LDB-10'!$S$30)</f>
        <v>0.93230358478783482</v>
      </c>
      <c r="N39" s="121">
        <f>GEOMEAN('LDB-10'!$T$27:'LDB-10'!$T$30)</f>
        <v>0.88307291654907993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-1.4526483882837393E-4</v>
      </c>
      <c r="D40" s="124">
        <f>'RA-10'!$W$31</f>
        <v>3.2125014272008645E-3</v>
      </c>
      <c r="E40" s="125">
        <f>'RA-10'!$X$31</f>
        <v>-1.1636732474533673E-3</v>
      </c>
      <c r="F40" s="126">
        <f>GEOMEAN('RA-10'!$S$31:'RA-10'!$S$34)</f>
        <v>0.96644683693960753</v>
      </c>
      <c r="G40" s="127">
        <f>GEOMEAN('RA-10'!$T$31:'RA-10'!$T$34)</f>
        <v>0.93467016991464413</v>
      </c>
      <c r="I40" s="122" t="str">
        <f>'AI-10'!$B$31</f>
        <v>RitualDance</v>
      </c>
      <c r="J40" s="123">
        <f>'LDB-10'!$V$31</f>
        <v>8.5002073511186715E-4</v>
      </c>
      <c r="K40" s="124">
        <f>'LDB-10'!$W$31</f>
        <v>4.1919604072866434E-3</v>
      </c>
      <c r="L40" s="125">
        <f>'LDB-10'!$X$31</f>
        <v>-4.0364888208516136E-3</v>
      </c>
      <c r="M40" s="126">
        <f>GEOMEAN('LDB-10'!$S$31:'LDB-10'!$S$34)</f>
        <v>0.9372161556933275</v>
      </c>
      <c r="N40" s="127">
        <f>GEOMEAN('LDB-10'!$T$31:'LDB-10'!$T$34)</f>
        <v>0.90534316811890325</v>
      </c>
    </row>
    <row r="41" spans="2:14" ht="12.75" customHeight="1" x14ac:dyDescent="0.2">
      <c r="B41" s="110" t="str">
        <f>'AI-10'!$B$35</f>
        <v>City</v>
      </c>
      <c r="C41" s="111">
        <f>'RA-10'!$V$35</f>
        <v>2.8194846097795434E-4</v>
      </c>
      <c r="D41" s="112">
        <f>'RA-10'!$W$35</f>
        <v>-4.5112610298821965E-3</v>
      </c>
      <c r="E41" s="113">
        <f>'RA-10'!$X$35</f>
        <v>1.5681598586552603E-2</v>
      </c>
      <c r="F41" s="114">
        <f>GEOMEAN('RA-10'!$S$35:'RA-10'!$S$38)</f>
        <v>0.98034737139243067</v>
      </c>
      <c r="G41" s="115">
        <f>GEOMEAN('RA-10'!$T$35:'RA-10'!$T$38)</f>
        <v>0.9499303922692528</v>
      </c>
      <c r="I41" s="110" t="str">
        <f>'AI-10'!$B$35</f>
        <v>City</v>
      </c>
      <c r="J41" s="111">
        <f>'LDB-10'!$V$35</f>
        <v>2.2902229280807873E-5</v>
      </c>
      <c r="K41" s="112">
        <f>'LDB-10'!$W$35</f>
        <v>-8.382965653759511E-3</v>
      </c>
      <c r="L41" s="113">
        <f>'LDB-10'!$X$35</f>
        <v>-4.6688785320427861E-3</v>
      </c>
      <c r="M41" s="114">
        <f>GEOMEAN('LDB-10'!$S$35:'LDB-10'!$S$38)</f>
        <v>0.93808169150722032</v>
      </c>
      <c r="N41" s="115">
        <f>GEOMEAN('LDB-10'!$T$35:'LDB-10'!$T$38)</f>
        <v>0.90101734523438315</v>
      </c>
    </row>
    <row r="42" spans="2:14" ht="12.75" customHeight="1" x14ac:dyDescent="0.2">
      <c r="B42" s="116" t="str">
        <f>'AI-10'!$B$39</f>
        <v>Crew</v>
      </c>
      <c r="C42" s="117">
        <f>'RA-10'!$V$39</f>
        <v>1.2130610594971447E-3</v>
      </c>
      <c r="D42" s="118">
        <f>'RA-10'!$W$39</f>
        <v>-1.4889314912211127E-2</v>
      </c>
      <c r="E42" s="119">
        <f>'RA-10'!$X$39</f>
        <v>6.6959250365525858E-3</v>
      </c>
      <c r="F42" s="120">
        <f>GEOMEAN('RA-10'!$S$39:'RA-10'!$S$42)</f>
        <v>0.97459687164374775</v>
      </c>
      <c r="G42" s="121">
        <f>GEOMEAN('RA-10'!$T$39:'RA-10'!$T$42)</f>
        <v>0.94146405183210347</v>
      </c>
      <c r="I42" s="116" t="str">
        <f>'AI-10'!$B$39</f>
        <v>Crew</v>
      </c>
      <c r="J42" s="117">
        <f>'LDB-10'!$V$39</f>
        <v>-9.2809358507306428E-5</v>
      </c>
      <c r="K42" s="118">
        <f>'LDB-10'!$W$39</f>
        <v>-6.7051292129864937E-3</v>
      </c>
      <c r="L42" s="119">
        <f>'LDB-10'!$X$39</f>
        <v>-2.1632740570670661E-3</v>
      </c>
      <c r="M42" s="120">
        <f>GEOMEAN('LDB-10'!$S$39:'LDB-10'!$S$42)</f>
        <v>0.94364865947868648</v>
      </c>
      <c r="N42" s="121">
        <f>GEOMEAN('LDB-10'!$T$39:'LDB-10'!$T$42)</f>
        <v>0.78713084801462552</v>
      </c>
    </row>
    <row r="43" spans="2:14" ht="12.75" customHeight="1" x14ac:dyDescent="0.2">
      <c r="B43" s="116" t="str">
        <f>'AI-10'!$B$43</f>
        <v>vidyo1</v>
      </c>
      <c r="C43" s="117">
        <f>'RA-10'!$V$43</f>
        <v>-7.4275878388552208E-4</v>
      </c>
      <c r="D43" s="118">
        <f>'RA-10'!$W$43</f>
        <v>1.0064992678002316E-2</v>
      </c>
      <c r="E43" s="119">
        <f>'RA-10'!$X$43</f>
        <v>1.8703531449444366E-3</v>
      </c>
      <c r="F43" s="120">
        <f>GEOMEAN('RA-10'!$S$43:'RA-10'!$S$46)</f>
        <v>0.98029582308990038</v>
      </c>
      <c r="G43" s="121">
        <f>GEOMEAN('RA-10'!$T$43:'RA-10'!$T$46)</f>
        <v>0.96279759485699756</v>
      </c>
      <c r="I43" s="116" t="str">
        <f>'AI-10'!$B$43</f>
        <v>vidyo1</v>
      </c>
      <c r="J43" s="117">
        <f>'LDB-10'!$V$43</f>
        <v>2.0390826156850839E-3</v>
      </c>
      <c r="K43" s="118">
        <f>'LDB-10'!$W$43</f>
        <v>1.8313076154555574E-2</v>
      </c>
      <c r="L43" s="119">
        <f>'LDB-10'!$X$43</f>
        <v>-1.4640672677505018E-3</v>
      </c>
      <c r="M43" s="120">
        <f>GEOMEAN('LDB-10'!$S$43:'LDB-10'!$S$46)</f>
        <v>0.94252873802051051</v>
      </c>
      <c r="N43" s="121">
        <f>GEOMEAN('LDB-10'!$T$43:'LDB-10'!$T$46)</f>
        <v>0.89962674141020582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9.3479575563382156E-4</v>
      </c>
      <c r="D44" s="124">
        <f>'RA-10'!$W$47</f>
        <v>-8.0774913787959868E-3</v>
      </c>
      <c r="E44" s="125">
        <f>'RA-10'!$X$47</f>
        <v>-3.1314020958386313E-2</v>
      </c>
      <c r="F44" s="126">
        <f>GEOMEAN('RA-10'!$S$47:'RA-10'!$S$50)</f>
        <v>0.97431431470995633</v>
      </c>
      <c r="G44" s="127">
        <f>GEOMEAN('RA-10'!$T$47:'RA-10'!$T$50)</f>
        <v>0.96117490912115822</v>
      </c>
      <c r="I44" s="122" t="str">
        <f>'AI-10'!$B$47</f>
        <v>vidyo3</v>
      </c>
      <c r="J44" s="123">
        <f>'LDB-10'!$V$47</f>
        <v>2.3276532165668051E-3</v>
      </c>
      <c r="K44" s="124">
        <f>'LDB-10'!$W$47</f>
        <v>2.092232894840107E-2</v>
      </c>
      <c r="L44" s="125">
        <f>'LDB-10'!$X$47</f>
        <v>-3.5353128123708277E-2</v>
      </c>
      <c r="M44" s="126">
        <f>GEOMEAN('LDB-10'!$S$47:'LDB-10'!$S$50)</f>
        <v>0.96052914837558212</v>
      </c>
      <c r="N44" s="127">
        <f>GEOMEAN('LDB-10'!$T$47:'LDB-10'!$T$50)</f>
        <v>0.92129580563865765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3.1971523650567435E-4</v>
      </c>
      <c r="D51" s="112">
        <f>'RA-10'!$W75</f>
        <v>-5.4969073149571668E-3</v>
      </c>
      <c r="E51" s="113">
        <f>'RA-10'!$X75</f>
        <v>-9.5854812042477089E-3</v>
      </c>
      <c r="F51" s="128">
        <f>'RA-10'!$S75</f>
        <v>0.9409168942219811</v>
      </c>
      <c r="G51" s="115">
        <f>'RA-10'!$T75</f>
        <v>0.92175610876767999</v>
      </c>
      <c r="I51" s="132" t="s">
        <v>78</v>
      </c>
      <c r="J51" s="111">
        <f>'LDB-10'!$V75</f>
        <v>-5.9984553991357381E-4</v>
      </c>
      <c r="K51" s="112">
        <f>'LDB-10'!$W75</f>
        <v>-8.5721420467584353E-3</v>
      </c>
      <c r="L51" s="113">
        <f>'LDB-10'!$X75</f>
        <v>-1.105292962832688E-2</v>
      </c>
      <c r="M51" s="128">
        <f>'LDB-10'!$S75</f>
        <v>0.93149997295520992</v>
      </c>
      <c r="N51" s="115">
        <f>'LDB-10'!$T75</f>
        <v>0.90542686984451393</v>
      </c>
    </row>
    <row r="52" spans="2:14" ht="12.75" customHeight="1" x14ac:dyDescent="0.2">
      <c r="B52" s="133" t="s">
        <v>79</v>
      </c>
      <c r="C52" s="117">
        <f>'RA-10'!$V76</f>
        <v>1.1460232321267028E-4</v>
      </c>
      <c r="D52" s="118">
        <f>'RA-10'!$W76</f>
        <v>4.266483507330554E-4</v>
      </c>
      <c r="E52" s="119">
        <f>'RA-10'!$X76</f>
        <v>-7.0314625020720389E-4</v>
      </c>
      <c r="F52" s="130">
        <f>'RA-10'!$S76</f>
        <v>0.97063709027730294</v>
      </c>
      <c r="G52" s="121">
        <f>'RA-10'!$T76</f>
        <v>0.94413002644755784</v>
      </c>
      <c r="I52" s="133" t="s">
        <v>79</v>
      </c>
      <c r="J52" s="117">
        <f>'LDB-10'!$V76</f>
        <v>4.8195583476318138E-4</v>
      </c>
      <c r="K52" s="118">
        <f>'LDB-10'!$W76</f>
        <v>2.6325916928973681E-3</v>
      </c>
      <c r="L52" s="119">
        <f>'LDB-10'!$X76</f>
        <v>-1.3845673786460899E-3</v>
      </c>
      <c r="M52" s="130">
        <f>'LDB-10'!$S76</f>
        <v>0.92388358309480967</v>
      </c>
      <c r="N52" s="121">
        <f>'LDB-10'!$T76</f>
        <v>0.87389921328829345</v>
      </c>
    </row>
    <row r="53" spans="2:14" ht="12.75" customHeight="1" thickBot="1" x14ac:dyDescent="0.25">
      <c r="B53" s="133" t="s">
        <v>51</v>
      </c>
      <c r="C53" s="117">
        <f>'RA-10'!$V77</f>
        <v>4.2176162305584963E-4</v>
      </c>
      <c r="D53" s="118">
        <f>'RA-10'!$W77</f>
        <v>-4.3532686607217486E-3</v>
      </c>
      <c r="E53" s="119">
        <f>'RA-10'!$X77</f>
        <v>-1.7665360475841718E-3</v>
      </c>
      <c r="F53" s="130">
        <f>'RA-10'!$S77</f>
        <v>0.97738418913632641</v>
      </c>
      <c r="G53" s="121">
        <f>'RA-10'!$T77</f>
        <v>0.95380201737893711</v>
      </c>
      <c r="I53" s="133" t="s">
        <v>80</v>
      </c>
      <c r="J53" s="117">
        <f>'LDB-10'!$V77</f>
        <v>1.0742071757563476E-3</v>
      </c>
      <c r="K53" s="118">
        <f>'LDB-10'!$W77</f>
        <v>6.0368275590526599E-3</v>
      </c>
      <c r="L53" s="119">
        <f>'LDB-10'!$X77</f>
        <v>-1.0912336995142158E-2</v>
      </c>
      <c r="M53" s="130">
        <f>'LDB-10'!$S77</f>
        <v>0.94615880255809381</v>
      </c>
      <c r="N53" s="121">
        <f>'LDB-10'!$T77</f>
        <v>0.87560933641329397</v>
      </c>
    </row>
    <row r="54" spans="2:14" ht="12.75" customHeight="1" thickBot="1" x14ac:dyDescent="0.25">
      <c r="B54" s="139" t="s">
        <v>37</v>
      </c>
      <c r="C54" s="138">
        <f>'RA-10'!$V80</f>
        <v>2.853597275913981E-4</v>
      </c>
      <c r="D54" s="137">
        <f>'RA-10'!$W80</f>
        <v>-3.1411758749819532E-3</v>
      </c>
      <c r="E54" s="136">
        <f>'RA-10'!$X80</f>
        <v>-4.0183878340130279E-3</v>
      </c>
      <c r="F54" s="135">
        <f>'RA-10'!$S80</f>
        <v>0.96284819248052922</v>
      </c>
      <c r="G54" s="134">
        <f>'RA-10'!$T80</f>
        <v>0.93979981891434983</v>
      </c>
      <c r="I54" s="139" t="s">
        <v>37</v>
      </c>
      <c r="J54" s="138">
        <f>'LDB-10'!$V80</f>
        <v>3.1877249020198506E-4</v>
      </c>
      <c r="K54" s="137">
        <f>'LDB-10'!$W80</f>
        <v>3.2425735063864224E-5</v>
      </c>
      <c r="L54" s="136">
        <f>'LDB-10'!$X80</f>
        <v>-7.7832780007050422E-3</v>
      </c>
      <c r="M54" s="135">
        <f>'LDB-10'!$S80</f>
        <v>0.93380180757122666</v>
      </c>
      <c r="N54" s="134">
        <f>'LDB-10'!$T80</f>
        <v>0.88486096495153954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zoomScaleNormal="100" workbookViewId="0">
      <selection activeCell="L5" sqref="L5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 t="str">
        <f>CONCATENATE("Over ", $J$3)</f>
        <v>Over HPM11.0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">
      <c r="B5" s="93" t="s">
        <v>92</v>
      </c>
      <c r="C5" s="60">
        <f>'AI-10'!V75</f>
        <v>1.6868954369503308E-5</v>
      </c>
      <c r="D5" s="61">
        <f>'AI-10'!W75</f>
        <v>-3.5140911389842933E-3</v>
      </c>
      <c r="E5" s="62">
        <f>'AI-10'!X75</f>
        <v>-4.0136855115480985E-3</v>
      </c>
      <c r="F5" s="63">
        <f>'AI-10'!S75</f>
        <v>0.96869743000037678</v>
      </c>
      <c r="G5" s="64">
        <f>'AI-10'!T75</f>
        <v>0.96727419368300338</v>
      </c>
      <c r="H5" s="25"/>
      <c r="J5" s="28"/>
    </row>
    <row r="6" spans="2:10" ht="12.75" customHeight="1" x14ac:dyDescent="0.2">
      <c r="B6" s="94" t="s">
        <v>91</v>
      </c>
      <c r="C6" s="65">
        <f>'AI-10'!V76</f>
        <v>2.0677881221381478E-4</v>
      </c>
      <c r="D6" s="66">
        <f>'AI-10'!W76</f>
        <v>-5.0859861189389566E-4</v>
      </c>
      <c r="E6" s="67">
        <f>'AI-10'!X76</f>
        <v>-8.1419186975545399E-4</v>
      </c>
      <c r="F6" s="68">
        <f>'AI-10'!S76</f>
        <v>0.97632555614190919</v>
      </c>
      <c r="G6" s="69">
        <f>'AI-10'!T76</f>
        <v>0.95508852945839595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-2.9566589725471548E-5</v>
      </c>
      <c r="D7" s="66">
        <f>'AI-10'!W77</f>
        <v>-2.6961402249472965E-4</v>
      </c>
      <c r="E7" s="67">
        <f>'AI-10'!X77</f>
        <v>-4.6030012275781185E-3</v>
      </c>
      <c r="F7" s="68">
        <f>'AI-10'!S77</f>
        <v>0.97534953581865902</v>
      </c>
      <c r="G7" s="69">
        <f>'AI-10'!T77</f>
        <v>0.96355378200452479</v>
      </c>
      <c r="H7" s="25"/>
    </row>
    <row r="8" spans="2:10" s="20" customFormat="1" ht="12.75" customHeight="1" thickBot="1" x14ac:dyDescent="0.25">
      <c r="B8" s="81" t="s">
        <v>37</v>
      </c>
      <c r="C8" s="60">
        <f>'AI-10'!V80</f>
        <v>6.4693725619282175E-5</v>
      </c>
      <c r="D8" s="61">
        <f>'AI-10'!W80</f>
        <v>-1.4307679244576395E-3</v>
      </c>
      <c r="E8" s="61">
        <f>'AI-10'!X80</f>
        <v>-3.1436262029605568E-3</v>
      </c>
      <c r="F8" s="100">
        <f>'AI-10'!S80</f>
        <v>0.97345159761353972</v>
      </c>
      <c r="G8" s="101">
        <f>'AI-10'!T80</f>
        <v>0.9619586339345001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 t="str">
        <f>CONCATENATE("Over ", $J$3)</f>
        <v>Over HPM11.0</v>
      </c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>
        <f>'RA-10'!V75</f>
        <v>3.1971523650567435E-4</v>
      </c>
      <c r="D15" s="61">
        <f>'RA-10'!W75</f>
        <v>-5.4969073149571668E-3</v>
      </c>
      <c r="E15" s="62">
        <f>'RA-10'!X75</f>
        <v>-9.5854812042477089E-3</v>
      </c>
      <c r="F15" s="63">
        <f>'RA-10'!S75</f>
        <v>0.9409168942219811</v>
      </c>
      <c r="G15" s="64">
        <f>'RA-10'!T75</f>
        <v>0.92175610876767999</v>
      </c>
      <c r="H15" s="25"/>
      <c r="I15" s="28"/>
    </row>
    <row r="16" spans="2:10" ht="12.75" customHeight="1" x14ac:dyDescent="0.2">
      <c r="B16" s="94" t="s">
        <v>91</v>
      </c>
      <c r="C16" s="65">
        <f>'RA-10'!V76</f>
        <v>1.1460232321267028E-4</v>
      </c>
      <c r="D16" s="66">
        <f>'RA-10'!W76</f>
        <v>4.266483507330554E-4</v>
      </c>
      <c r="E16" s="67">
        <f>'RA-10'!X76</f>
        <v>-7.0314625020720389E-4</v>
      </c>
      <c r="F16" s="68">
        <f>'RA-10'!S76</f>
        <v>0.97063709027730294</v>
      </c>
      <c r="G16" s="69">
        <f>'RA-10'!T76</f>
        <v>0.94413002644755784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4.2176162305584963E-4</v>
      </c>
      <c r="D17" s="66">
        <f>'RA-10'!W77</f>
        <v>-4.3532686607217486E-3</v>
      </c>
      <c r="E17" s="67">
        <f>'RA-10'!X77</f>
        <v>-1.7665360475841718E-3</v>
      </c>
      <c r="F17" s="68">
        <f>'RA-10'!S77</f>
        <v>0.97738418913632641</v>
      </c>
      <c r="G17" s="69">
        <f>'RA-10'!T77</f>
        <v>0.95380201737893711</v>
      </c>
      <c r="H17" s="25"/>
    </row>
    <row r="18" spans="2:9" ht="12.75" customHeight="1" thickBot="1" x14ac:dyDescent="0.25">
      <c r="B18" s="81" t="s">
        <v>37</v>
      </c>
      <c r="C18" s="60">
        <f>'RA-10'!V80</f>
        <v>2.853597275913981E-4</v>
      </c>
      <c r="D18" s="61">
        <f>'RA-10'!W80</f>
        <v>-3.1411758749819532E-3</v>
      </c>
      <c r="E18" s="61">
        <f>'RA-10'!X80</f>
        <v>-4.0183878340130279E-3</v>
      </c>
      <c r="F18" s="100">
        <f>'RA-10'!S80</f>
        <v>0.96284819248052922</v>
      </c>
      <c r="G18" s="101">
        <f>'RA-10'!T80</f>
        <v>0.93979981891434983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HPM11.0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>
        <f>'LDB-10'!V75</f>
        <v>-5.9984553991357381E-4</v>
      </c>
      <c r="D25" s="61">
        <f>'LDB-10'!W75</f>
        <v>-8.5721420467584353E-3</v>
      </c>
      <c r="E25" s="62">
        <f>'LDB-10'!X75</f>
        <v>-1.105292962832688E-2</v>
      </c>
      <c r="F25" s="63">
        <f>'LDB-10'!S75</f>
        <v>0.93149997295520992</v>
      </c>
      <c r="G25" s="64">
        <f>'LDB-10'!T75</f>
        <v>0.90542686984451393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4.8195583476318138E-4</v>
      </c>
      <c r="D26" s="66">
        <f>'LDB-10'!W76</f>
        <v>2.6325916928973681E-3</v>
      </c>
      <c r="E26" s="67">
        <f>'LDB-10'!X76</f>
        <v>-1.3845673786460899E-3</v>
      </c>
      <c r="F26" s="68">
        <f>'LDB-10'!S76</f>
        <v>0.92388358309480967</v>
      </c>
      <c r="G26" s="69">
        <f>'LDB-10'!T76</f>
        <v>0.87389921328829345</v>
      </c>
      <c r="H26" s="25"/>
    </row>
    <row r="27" spans="2:9" ht="12.75" customHeight="1" thickBot="1" x14ac:dyDescent="0.25">
      <c r="B27" s="95" t="s">
        <v>93</v>
      </c>
      <c r="C27" s="65">
        <f>'LDB-10'!V77</f>
        <v>1.0742071757563476E-3</v>
      </c>
      <c r="D27" s="66">
        <f>'LDB-10'!W77</f>
        <v>6.0368275590526599E-3</v>
      </c>
      <c r="E27" s="67">
        <f>'LDB-10'!X77</f>
        <v>-1.0912336995142158E-2</v>
      </c>
      <c r="F27" s="68">
        <f>'LDB-10'!S77</f>
        <v>0.94615880255809381</v>
      </c>
      <c r="G27" s="69">
        <f>'LDB-10'!T77</f>
        <v>0.87560933641329397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3.1877249020198506E-4</v>
      </c>
      <c r="D28" s="61">
        <f>'LDB-10'!W80</f>
        <v>3.2425735063864224E-5</v>
      </c>
      <c r="E28" s="61">
        <f>'LDB-10'!X80</f>
        <v>-7.7832780007050422E-3</v>
      </c>
      <c r="F28" s="100">
        <f>'LDB-10'!S80</f>
        <v>0.93380180757122666</v>
      </c>
      <c r="G28" s="101">
        <f>'LDB-10'!T80</f>
        <v>0.88486096495153954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HPM11.0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M30" sqref="M30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77035.161099999998</v>
      </c>
      <c r="E3" s="13">
        <f>Reference!C1</f>
        <v>40.813899999999997</v>
      </c>
      <c r="F3" s="13">
        <f>Reference!D1</f>
        <v>49.238100000000003</v>
      </c>
      <c r="G3" s="13">
        <f>Reference!E1</f>
        <v>47.745100000000001</v>
      </c>
      <c r="H3" s="13">
        <f>Reference!F1</f>
        <v>149371.71900000001</v>
      </c>
      <c r="I3" s="13">
        <f>Reference!G1</f>
        <v>27.913</v>
      </c>
      <c r="J3" s="14">
        <f>H3/3600</f>
        <v>41.492144166666669</v>
      </c>
      <c r="L3" s="12">
        <f>Test!B1</f>
        <v>76977.924299999999</v>
      </c>
      <c r="M3" s="13">
        <f>Test!C1</f>
        <v>40.813200000000002</v>
      </c>
      <c r="N3" s="13">
        <f>Test!D1</f>
        <v>49.239899999999999</v>
      </c>
      <c r="O3" s="13">
        <f>Test!E1</f>
        <v>47.741799999999998</v>
      </c>
      <c r="P3" s="13">
        <f>Test!F1</f>
        <v>144444.125</v>
      </c>
      <c r="Q3" s="13">
        <f>Test!G1</f>
        <v>27.373999999999999</v>
      </c>
      <c r="R3" s="13">
        <f>P3/3600</f>
        <v>40.123368055555552</v>
      </c>
      <c r="S3" s="12">
        <f>P3/H3</f>
        <v>0.96701119841835648</v>
      </c>
      <c r="T3" s="13">
        <f>Q3/I3</f>
        <v>0.980690001074768</v>
      </c>
      <c r="U3" s="90"/>
      <c r="V3" s="42">
        <f>bdrate($D3:$D6,E3:E6,$L3:$L6,M3:M6)</f>
        <v>-7.9726480716302284E-5</v>
      </c>
      <c r="W3" s="42">
        <f>bdrate($D3:$D6,F3:F6,$L3:$L6,N3:N6)</f>
        <v>-7.1774781128555176E-3</v>
      </c>
      <c r="X3" s="43">
        <f>bdrate($D3:$D6,G3:G6,$L3:$L6,O3:O6)</f>
        <v>-1.4856654522917845E-3</v>
      </c>
      <c r="Y3" s="37">
        <f>bdrateOld($D3:$D6,E3:E6,$L3:$L6,M3:M6)</f>
        <v>-1.1542581927048712E-4</v>
      </c>
      <c r="Z3" s="42">
        <f>bdrateOld($D3:$D6,F3:F6,$L3:$L6,N3:N6)</f>
        <v>-7.6341810747140304E-3</v>
      </c>
      <c r="AA3" s="43">
        <f>bdrateOld($D3:$D6,G3:G6,$L3:$L6,O3:O6)</f>
        <v>-9.8891367998121815E-4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41577.055099999998</v>
      </c>
      <c r="E4" s="18">
        <f>Reference!C2</f>
        <v>40.1648</v>
      </c>
      <c r="F4" s="18">
        <f>Reference!D2</f>
        <v>48.540700000000001</v>
      </c>
      <c r="G4" s="18">
        <f>Reference!E2</f>
        <v>46.659399999999998</v>
      </c>
      <c r="H4" s="18">
        <f>Reference!F2</f>
        <v>81789.468999999997</v>
      </c>
      <c r="I4" s="18">
        <f>Reference!G2</f>
        <v>24.745000000000001</v>
      </c>
      <c r="J4" s="19">
        <f t="shared" ref="J4:J14" si="0">H4/3600</f>
        <v>22.719296944444444</v>
      </c>
      <c r="L4" s="17">
        <f>Test!B2</f>
        <v>41592.674599999998</v>
      </c>
      <c r="M4" s="18">
        <f>Test!C2</f>
        <v>40.165199999999999</v>
      </c>
      <c r="N4" s="18">
        <f>Test!D2</f>
        <v>48.546599999999998</v>
      </c>
      <c r="O4" s="18">
        <f>Test!E2</f>
        <v>46.670299999999997</v>
      </c>
      <c r="P4" s="18">
        <f>Test!F2</f>
        <v>78873.766000000003</v>
      </c>
      <c r="Q4" s="18">
        <f>Test!G2</f>
        <v>24.187000000000001</v>
      </c>
      <c r="R4" s="18">
        <f t="shared" ref="R4:R14" si="1">P4/3600</f>
        <v>21.909379444444447</v>
      </c>
      <c r="S4" s="17">
        <f t="shared" ref="S4:T14" si="2">P4/H4</f>
        <v>0.96435111957995479</v>
      </c>
      <c r="T4" s="18">
        <f t="shared" si="2"/>
        <v>0.97744998989694887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24897.625899999999</v>
      </c>
      <c r="E5" s="18">
        <f>Reference!C3</f>
        <v>39.442399999999999</v>
      </c>
      <c r="F5" s="18">
        <f>Reference!D3</f>
        <v>47.602200000000003</v>
      </c>
      <c r="G5" s="18">
        <f>Reference!E3</f>
        <v>45.3812</v>
      </c>
      <c r="H5" s="18">
        <f>Reference!F3</f>
        <v>47717.184000000001</v>
      </c>
      <c r="I5" s="18">
        <f>Reference!G3</f>
        <v>22.805</v>
      </c>
      <c r="J5" s="19">
        <f t="shared" si="0"/>
        <v>13.254773333333334</v>
      </c>
      <c r="L5" s="17">
        <f>Test!B3</f>
        <v>24882.694100000001</v>
      </c>
      <c r="M5" s="18">
        <f>Test!C3</f>
        <v>39.441800000000001</v>
      </c>
      <c r="N5" s="18">
        <f>Test!D3</f>
        <v>47.625700000000002</v>
      </c>
      <c r="O5" s="18">
        <f>Test!E3</f>
        <v>45.378100000000003</v>
      </c>
      <c r="P5" s="18">
        <f>Test!F3</f>
        <v>47360.116999999998</v>
      </c>
      <c r="Q5" s="18">
        <f>Test!G3</f>
        <v>22.338999999999999</v>
      </c>
      <c r="R5" s="18">
        <f t="shared" si="1"/>
        <v>13.155588055555555</v>
      </c>
      <c r="S5" s="17">
        <f t="shared" si="2"/>
        <v>0.99251701441560336</v>
      </c>
      <c r="T5" s="18">
        <f t="shared" si="2"/>
        <v>0.97956588467441341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14206.6378</v>
      </c>
      <c r="E6" s="23">
        <f>Reference!C4</f>
        <v>38.232700000000001</v>
      </c>
      <c r="F6" s="23">
        <f>Reference!D4</f>
        <v>46.119100000000003</v>
      </c>
      <c r="G6" s="23">
        <f>Reference!E4</f>
        <v>43.5852</v>
      </c>
      <c r="H6" s="23">
        <f>Reference!F4</f>
        <v>27738.618999999999</v>
      </c>
      <c r="I6" s="23">
        <f>Reference!G4</f>
        <v>21.213000000000001</v>
      </c>
      <c r="J6" s="24">
        <f t="shared" si="0"/>
        <v>7.7051719444444444</v>
      </c>
      <c r="L6" s="22">
        <f>Test!B4</f>
        <v>14204.938399999999</v>
      </c>
      <c r="M6" s="23">
        <f>Test!C4</f>
        <v>38.231999999999999</v>
      </c>
      <c r="N6" s="23">
        <f>Test!D4</f>
        <v>46.125</v>
      </c>
      <c r="O6" s="23">
        <f>Test!E4</f>
        <v>43.594900000000003</v>
      </c>
      <c r="P6" s="23">
        <f>Test!F4</f>
        <v>26455.572</v>
      </c>
      <c r="Q6" s="23">
        <f>Test!G4</f>
        <v>20.57</v>
      </c>
      <c r="R6" s="23">
        <f t="shared" si="1"/>
        <v>7.34877</v>
      </c>
      <c r="S6" s="17">
        <f t="shared" si="2"/>
        <v>0.95374510172983018</v>
      </c>
      <c r="T6" s="18">
        <f t="shared" si="2"/>
        <v>0.96968839862348555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325291.45260000002</v>
      </c>
      <c r="E7" s="13">
        <f>Reference!C5</f>
        <v>44.788600000000002</v>
      </c>
      <c r="F7" s="13">
        <f>Reference!D5</f>
        <v>39.145499999999998</v>
      </c>
      <c r="G7" s="13">
        <f>Reference!E5</f>
        <v>39.642000000000003</v>
      </c>
      <c r="H7" s="13">
        <f>Reference!F5</f>
        <v>236876.90599999999</v>
      </c>
      <c r="I7" s="13">
        <f>Reference!G5</f>
        <v>45.085000000000001</v>
      </c>
      <c r="J7" s="14">
        <f t="shared" si="0"/>
        <v>65.799140555555553</v>
      </c>
      <c r="L7" s="12">
        <f>Test!B5</f>
        <v>325287.90529999998</v>
      </c>
      <c r="M7" s="13">
        <f>Test!C5</f>
        <v>44.789000000000001</v>
      </c>
      <c r="N7" s="13">
        <f>Test!D5</f>
        <v>39.1554</v>
      </c>
      <c r="O7" s="13">
        <f>Test!E5</f>
        <v>39.6539</v>
      </c>
      <c r="P7" s="13">
        <f>Test!F5</f>
        <v>232104.875</v>
      </c>
      <c r="Q7" s="13">
        <f>Test!G5</f>
        <v>41.579000000000001</v>
      </c>
      <c r="R7" s="13">
        <f t="shared" si="1"/>
        <v>64.473576388888887</v>
      </c>
      <c r="S7" s="17">
        <f t="shared" si="2"/>
        <v>0.97985438479173659</v>
      </c>
      <c r="T7" s="18">
        <f t="shared" si="2"/>
        <v>0.92223577686591995</v>
      </c>
      <c r="U7" s="91"/>
      <c r="V7" s="42">
        <f>bdrate($D7:$D10,E7:E10,$L7:$L10,M7:M10)</f>
        <v>1.2062603160556407E-5</v>
      </c>
      <c r="W7" s="42">
        <f>bdrate($D7:$D10,F7:F10,$L7:$L10,N7:N10)</f>
        <v>-3.5595065476183851E-3</v>
      </c>
      <c r="X7" s="42">
        <f>bdrate($D7:$D10,G7:G10,$L7:$L10,O7:O10)</f>
        <v>-9.1689989214386314E-3</v>
      </c>
      <c r="Y7" s="40">
        <f>bdrateOld($D7:$D10,E7:E10,$L7:$L10,M7:M10)</f>
        <v>1.1616401403014009E-5</v>
      </c>
      <c r="Z7" s="44">
        <f>bdrateOld($D7:$D10,F7:F10,$L7:$L10,N7:N10)</f>
        <v>-3.5472019469959815E-3</v>
      </c>
      <c r="AA7" s="45">
        <f>bdrateOld($D7:$D10,G7:G10,$L7:$L10,O7:O10)</f>
        <v>-9.0929675524865639E-3</v>
      </c>
    </row>
    <row r="8" spans="1:27" x14ac:dyDescent="0.2">
      <c r="A8" s="16"/>
      <c r="B8" s="85"/>
      <c r="C8" s="16">
        <v>48</v>
      </c>
      <c r="D8" s="17">
        <f>Reference!B6</f>
        <v>207686.37890000001</v>
      </c>
      <c r="E8" s="18">
        <f>Reference!C6</f>
        <v>42.0002</v>
      </c>
      <c r="F8" s="18">
        <f>Reference!D6</f>
        <v>36.647100000000002</v>
      </c>
      <c r="G8" s="18">
        <f>Reference!E6</f>
        <v>37.447000000000003</v>
      </c>
      <c r="H8" s="18">
        <f>Reference!F6</f>
        <v>160887.29999999999</v>
      </c>
      <c r="I8" s="18">
        <f>Reference!G6</f>
        <v>32.93</v>
      </c>
      <c r="J8" s="19">
        <f t="shared" si="0"/>
        <v>44.690916666666666</v>
      </c>
      <c r="L8" s="17">
        <f>Test!B6</f>
        <v>207672.69469999999</v>
      </c>
      <c r="M8" s="18">
        <f>Test!C6</f>
        <v>41.9998</v>
      </c>
      <c r="N8" s="18">
        <f>Test!D6</f>
        <v>36.6599</v>
      </c>
      <c r="O8" s="18">
        <f>Test!E6</f>
        <v>37.472900000000003</v>
      </c>
      <c r="P8" s="18">
        <f>Test!F6</f>
        <v>183621.016</v>
      </c>
      <c r="Q8" s="18">
        <f>Test!G6</f>
        <v>36.191000000000003</v>
      </c>
      <c r="R8" s="18">
        <f t="shared" si="1"/>
        <v>51.005837777777778</v>
      </c>
      <c r="S8" s="17">
        <f t="shared" si="2"/>
        <v>1.1413021164504595</v>
      </c>
      <c r="T8" s="18">
        <f t="shared" si="2"/>
        <v>1.0990282417248711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118788.18949999999</v>
      </c>
      <c r="E9" s="18">
        <f>Reference!C7</f>
        <v>38.742100000000001</v>
      </c>
      <c r="F9" s="18">
        <f>Reference!D7</f>
        <v>34.376899999999999</v>
      </c>
      <c r="G9" s="18">
        <f>Reference!E7</f>
        <v>35.511699999999998</v>
      </c>
      <c r="H9" s="18">
        <f>Reference!F7</f>
        <v>146038.641</v>
      </c>
      <c r="I9" s="18">
        <f>Reference!G7</f>
        <v>32.734000000000002</v>
      </c>
      <c r="J9" s="19">
        <f t="shared" si="0"/>
        <v>40.566289166666671</v>
      </c>
      <c r="L9" s="17">
        <f>Test!B7</f>
        <v>118796.5053</v>
      </c>
      <c r="M9" s="18">
        <f>Test!C7</f>
        <v>38.742699999999999</v>
      </c>
      <c r="N9" s="18">
        <f>Test!D7</f>
        <v>34.3947</v>
      </c>
      <c r="O9" s="18">
        <f>Test!E7</f>
        <v>35.549900000000001</v>
      </c>
      <c r="P9" s="18">
        <f>Test!F7</f>
        <v>136772.78099999999</v>
      </c>
      <c r="Q9" s="18">
        <f>Test!G7</f>
        <v>31.053000000000001</v>
      </c>
      <c r="R9" s="18">
        <f t="shared" si="1"/>
        <v>37.992439166666664</v>
      </c>
      <c r="S9" s="17">
        <f t="shared" si="2"/>
        <v>0.93655199790581445</v>
      </c>
      <c r="T9" s="18">
        <f t="shared" si="2"/>
        <v>0.94864666707399037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56197.021099999998</v>
      </c>
      <c r="E10" s="23">
        <f>Reference!C8</f>
        <v>35.257399999999997</v>
      </c>
      <c r="F10" s="23">
        <f>Reference!D8</f>
        <v>32.020899999999997</v>
      </c>
      <c r="G10" s="23">
        <f>Reference!E8</f>
        <v>33.674700000000001</v>
      </c>
      <c r="H10" s="23">
        <f>Reference!F8</f>
        <v>92266.172000000006</v>
      </c>
      <c r="I10" s="23">
        <f>Reference!G8</f>
        <v>27.120999999999999</v>
      </c>
      <c r="J10" s="24">
        <f t="shared" si="0"/>
        <v>25.629492222222225</v>
      </c>
      <c r="L10" s="22">
        <f>Test!B8</f>
        <v>56180.410499999998</v>
      </c>
      <c r="M10" s="23">
        <f>Test!C8</f>
        <v>35.255000000000003</v>
      </c>
      <c r="N10" s="23">
        <f>Test!D8</f>
        <v>32.0319</v>
      </c>
      <c r="O10" s="23">
        <f>Test!E8</f>
        <v>33.708199999999998</v>
      </c>
      <c r="P10" s="23">
        <f>Test!F8</f>
        <v>89976.343999999997</v>
      </c>
      <c r="Q10" s="23">
        <f>Test!G8</f>
        <v>26.260999999999999</v>
      </c>
      <c r="R10" s="23">
        <f t="shared" si="1"/>
        <v>24.993428888888889</v>
      </c>
      <c r="S10" s="17">
        <f t="shared" si="2"/>
        <v>0.97518236694592675</v>
      </c>
      <c r="T10" s="18">
        <f t="shared" si="2"/>
        <v>0.96829025478411568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125479.1874</v>
      </c>
      <c r="E11" s="13">
        <f>Reference!C9</f>
        <v>41.5884</v>
      </c>
      <c r="F11" s="13">
        <f>Reference!D9</f>
        <v>44.0426</v>
      </c>
      <c r="G11" s="13">
        <f>Reference!E9</f>
        <v>42.914999999999999</v>
      </c>
      <c r="H11" s="13">
        <f>Reference!F9</f>
        <v>197432.04699999999</v>
      </c>
      <c r="I11" s="13">
        <f>Reference!G9</f>
        <v>35.692</v>
      </c>
      <c r="J11" s="14">
        <f t="shared" si="0"/>
        <v>54.842235277777775</v>
      </c>
      <c r="L11" s="12">
        <f>Test!B9</f>
        <v>125469.3726</v>
      </c>
      <c r="M11" s="13">
        <f>Test!C9</f>
        <v>41.588299999999997</v>
      </c>
      <c r="N11" s="13">
        <f>Test!D9</f>
        <v>44.0441</v>
      </c>
      <c r="O11" s="13">
        <f>Test!E9</f>
        <v>42.918799999999997</v>
      </c>
      <c r="P11" s="13">
        <f>Test!F9</f>
        <v>189622.375</v>
      </c>
      <c r="Q11" s="13">
        <f>Test!G9</f>
        <v>34.844000000000001</v>
      </c>
      <c r="R11" s="13">
        <f t="shared" si="1"/>
        <v>52.672881944444441</v>
      </c>
      <c r="S11" s="17">
        <f t="shared" si="2"/>
        <v>0.96044374700729318</v>
      </c>
      <c r="T11" s="18">
        <f t="shared" si="2"/>
        <v>0.97624117449288361</v>
      </c>
      <c r="U11" s="91"/>
      <c r="V11" s="42">
        <f>bdrate($D11:$D14,E11:E14,$L11:$L14,M11:M14)</f>
        <v>8.9729748806721688E-6</v>
      </c>
      <c r="W11" s="42">
        <f>bdrate($D11:$D14,F11:F14,$L11:$L14,N11:N14)</f>
        <v>-4.2499639241155851E-4</v>
      </c>
      <c r="X11" s="42">
        <f>bdrate($D11:$D14,G11:G14,$L11:$L14,O11:O14)</f>
        <v>-9.4244605811022453E-4</v>
      </c>
      <c r="Y11" s="40">
        <f>bdrateOld($D11:$D14,E11:E14,$L11:$L14,M11:M14)</f>
        <v>-1.1531483344662252E-4</v>
      </c>
      <c r="Z11" s="44">
        <f>bdrateOld($D11:$D14,F11:F14,$L11:$L14,N11:N14)</f>
        <v>-4.1091296033346492E-4</v>
      </c>
      <c r="AA11" s="45">
        <f>bdrateOld($D11:$D14,G11:G14,$L11:$L14,O11:O14)</f>
        <v>-9.9930769543976616E-4</v>
      </c>
    </row>
    <row r="12" spans="1:27" x14ac:dyDescent="0.2">
      <c r="A12" s="34"/>
      <c r="B12" s="83"/>
      <c r="C12" s="16">
        <v>48</v>
      </c>
      <c r="D12" s="17">
        <f>Reference!B10</f>
        <v>56444.172599999998</v>
      </c>
      <c r="E12" s="18">
        <f>Reference!C10</f>
        <v>38.892800000000001</v>
      </c>
      <c r="F12" s="18">
        <f>Reference!D10</f>
        <v>41.417999999999999</v>
      </c>
      <c r="G12" s="18">
        <f>Reference!E10</f>
        <v>41.787100000000002</v>
      </c>
      <c r="H12" s="18">
        <f>Reference!F10</f>
        <v>135711.81200000001</v>
      </c>
      <c r="I12" s="18">
        <f>Reference!G10</f>
        <v>27.783000000000001</v>
      </c>
      <c r="J12" s="19">
        <f t="shared" si="0"/>
        <v>37.697725555555557</v>
      </c>
      <c r="L12" s="17">
        <f>Test!B10</f>
        <v>56447.065300000002</v>
      </c>
      <c r="M12" s="18">
        <f>Test!C10</f>
        <v>38.893900000000002</v>
      </c>
      <c r="N12" s="18">
        <f>Test!D10</f>
        <v>41.416600000000003</v>
      </c>
      <c r="O12" s="18">
        <f>Test!E10</f>
        <v>41.7866</v>
      </c>
      <c r="P12" s="18">
        <f>Test!F10</f>
        <v>131656.07800000001</v>
      </c>
      <c r="Q12" s="18">
        <f>Test!G10</f>
        <v>26.800999999999998</v>
      </c>
      <c r="R12" s="18">
        <f t="shared" si="1"/>
        <v>36.571132777777777</v>
      </c>
      <c r="S12" s="17">
        <f t="shared" si="2"/>
        <v>0.97011509948743446</v>
      </c>
      <c r="T12" s="18">
        <f t="shared" si="2"/>
        <v>0.96465464492675368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25580.185300000001</v>
      </c>
      <c r="E13" s="18">
        <f>Reference!C11</f>
        <v>37.320099999999996</v>
      </c>
      <c r="F13" s="18">
        <f>Reference!D11</f>
        <v>39.089399999999998</v>
      </c>
      <c r="G13" s="18">
        <f>Reference!E11</f>
        <v>40.705100000000002</v>
      </c>
      <c r="H13" s="18">
        <f>Reference!F11</f>
        <v>79845.422000000006</v>
      </c>
      <c r="I13" s="18">
        <f>Reference!G11</f>
        <v>22.983000000000001</v>
      </c>
      <c r="J13" s="19">
        <f t="shared" si="0"/>
        <v>22.179283888888889</v>
      </c>
      <c r="L13" s="17">
        <f>Test!B11</f>
        <v>25580.4568</v>
      </c>
      <c r="M13" s="18">
        <f>Test!C11</f>
        <v>37.319099999999999</v>
      </c>
      <c r="N13" s="18">
        <f>Test!D11</f>
        <v>39.092700000000001</v>
      </c>
      <c r="O13" s="18">
        <f>Test!E11</f>
        <v>40.7072</v>
      </c>
      <c r="P13" s="18">
        <f>Test!F11</f>
        <v>75834.398000000001</v>
      </c>
      <c r="Q13" s="18">
        <f>Test!G11</f>
        <v>21.393999999999998</v>
      </c>
      <c r="R13" s="18">
        <f t="shared" si="1"/>
        <v>21.065110555555556</v>
      </c>
      <c r="S13" s="17">
        <f t="shared" si="2"/>
        <v>0.94976513493785519</v>
      </c>
      <c r="T13" s="18">
        <f t="shared" si="2"/>
        <v>0.93086194143497358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12395.0779</v>
      </c>
      <c r="E14" s="23">
        <f>Reference!C12</f>
        <v>35.9375</v>
      </c>
      <c r="F14" s="23">
        <f>Reference!D12</f>
        <v>36.367100000000001</v>
      </c>
      <c r="G14" s="23">
        <f>Reference!E12</f>
        <v>39.209499999999998</v>
      </c>
      <c r="H14" s="23">
        <f>Reference!F12</f>
        <v>44579.262000000002</v>
      </c>
      <c r="I14" s="23">
        <f>Reference!G12</f>
        <v>19.68</v>
      </c>
      <c r="J14" s="24">
        <f t="shared" si="0"/>
        <v>12.383128333333334</v>
      </c>
      <c r="L14" s="22">
        <f>Test!B12</f>
        <v>12393.4547</v>
      </c>
      <c r="M14" s="23">
        <f>Test!C12</f>
        <v>35.935499999999998</v>
      </c>
      <c r="N14" s="23">
        <f>Test!D12</f>
        <v>36.371899999999997</v>
      </c>
      <c r="O14" s="23">
        <f>Test!E12</f>
        <v>39.213099999999997</v>
      </c>
      <c r="P14" s="23">
        <f>Test!F12</f>
        <v>43245.690999999999</v>
      </c>
      <c r="Q14" s="23">
        <f>Test!G12</f>
        <v>19.289000000000001</v>
      </c>
      <c r="R14" s="23">
        <f t="shared" si="1"/>
        <v>12.012691944444445</v>
      </c>
      <c r="S14" s="17">
        <f t="shared" si="2"/>
        <v>0.97008539531228666</v>
      </c>
      <c r="T14" s="18">
        <f t="shared" si="2"/>
        <v>0.9801321138211383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178611.09469999999</v>
      </c>
      <c r="E15" s="13">
        <f>Reference!C13</f>
        <v>38.622999999999998</v>
      </c>
      <c r="F15" s="13">
        <f>Reference!D13</f>
        <v>45.663800000000002</v>
      </c>
      <c r="G15" s="13">
        <f>Reference!E13</f>
        <v>43.485900000000001</v>
      </c>
      <c r="H15" s="13">
        <f>Reference!F13</f>
        <v>239648.56200000001</v>
      </c>
      <c r="I15" s="13">
        <f>Reference!G13</f>
        <v>36.603000000000002</v>
      </c>
      <c r="J15" s="14">
        <f>H15/3600</f>
        <v>66.569045000000003</v>
      </c>
      <c r="L15" s="12">
        <f>Test!B13</f>
        <v>178731.27160000001</v>
      </c>
      <c r="M15" s="13">
        <f>Test!C13</f>
        <v>38.624600000000001</v>
      </c>
      <c r="N15" s="13">
        <f>Test!D13</f>
        <v>45.663600000000002</v>
      </c>
      <c r="O15" s="13">
        <f>Test!E13</f>
        <v>43.488300000000002</v>
      </c>
      <c r="P15" s="13">
        <f>Test!F13</f>
        <v>225254.15599999999</v>
      </c>
      <c r="Q15" s="13">
        <f>Test!G13</f>
        <v>35.412999999999997</v>
      </c>
      <c r="R15" s="13">
        <f>P15/3600</f>
        <v>62.570598888888888</v>
      </c>
      <c r="S15" s="17">
        <f>P15/H15</f>
        <v>0.93993535417082952</v>
      </c>
      <c r="T15" s="18">
        <f>Q15/I15</f>
        <v>0.96748900363358181</v>
      </c>
      <c r="U15" s="91"/>
      <c r="V15" s="42">
        <f>bdrate($D15:$D18,E15:E18,$L15:$L18,M15:M18)</f>
        <v>1.2616672015308694E-4</v>
      </c>
      <c r="W15" s="42">
        <f>bdrate($D15:$D18,F15:F18,$L15:$L18,N15:N18)</f>
        <v>-2.8943835030517118E-3</v>
      </c>
      <c r="X15" s="43">
        <f>bdrate($D15:$D18,G15:G18,$L15:$L18,O15:O18)</f>
        <v>-4.4576316143517536E-3</v>
      </c>
      <c r="Y15" s="37">
        <f>bdrateOld($D15:$D18,E15:E18,$L15:$L18,M15:M18)</f>
        <v>8.4071166412957865E-5</v>
      </c>
      <c r="Z15" s="42">
        <f>bdrateOld($D15:$D18,F15:F18,$L15:$L18,N15:N18)</f>
        <v>-2.6934224791689276E-3</v>
      </c>
      <c r="AA15" s="43">
        <f>bdrateOld($D15:$D18,G15:G18,$L15:$L18,O15:O18)</f>
        <v>-4.2925846963359771E-3</v>
      </c>
    </row>
    <row r="16" spans="1:27" x14ac:dyDescent="0.2">
      <c r="A16" s="16"/>
      <c r="B16" s="85"/>
      <c r="C16" s="16">
        <v>48</v>
      </c>
      <c r="D16" s="17">
        <f>Reference!B14</f>
        <v>87223.237899999993</v>
      </c>
      <c r="E16" s="18">
        <f>Reference!C14</f>
        <v>37.688400000000001</v>
      </c>
      <c r="F16" s="18">
        <f>Reference!D14</f>
        <v>44.787300000000002</v>
      </c>
      <c r="G16" s="18">
        <f>Reference!E14</f>
        <v>42.484099999999998</v>
      </c>
      <c r="H16" s="18">
        <f>Reference!F14</f>
        <v>146233.84400000001</v>
      </c>
      <c r="I16" s="18">
        <f>Reference!G14</f>
        <v>30.216999999999999</v>
      </c>
      <c r="J16" s="19">
        <f t="shared" ref="J16:J26" si="3">H16/3600</f>
        <v>40.620512222222224</v>
      </c>
      <c r="L16" s="17">
        <f>Test!B14</f>
        <v>87221.482099999994</v>
      </c>
      <c r="M16" s="18">
        <f>Test!C14</f>
        <v>37.688000000000002</v>
      </c>
      <c r="N16" s="18">
        <f>Test!D14</f>
        <v>44.792900000000003</v>
      </c>
      <c r="O16" s="18">
        <f>Test!E14</f>
        <v>42.494500000000002</v>
      </c>
      <c r="P16" s="18">
        <f>Test!F14</f>
        <v>139479.234</v>
      </c>
      <c r="Q16" s="18">
        <f>Test!G14</f>
        <v>27.824999999999999</v>
      </c>
      <c r="R16" s="18">
        <f t="shared" ref="R16:R26" si="4">P16/3600</f>
        <v>38.744231666666664</v>
      </c>
      <c r="S16" s="17">
        <f t="shared" ref="S16:S26" si="5">P16/H16</f>
        <v>0.95380952989240975</v>
      </c>
      <c r="T16" s="18">
        <f t="shared" ref="T16:T26" si="6">Q16/I16</f>
        <v>0.92083926266671079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50215.528400000003</v>
      </c>
      <c r="E17" s="18">
        <f>Reference!C15</f>
        <v>36.772799999999997</v>
      </c>
      <c r="F17" s="18">
        <f>Reference!D15</f>
        <v>43.817700000000002</v>
      </c>
      <c r="G17" s="18">
        <f>Reference!E15</f>
        <v>41.465600000000002</v>
      </c>
      <c r="H17" s="18">
        <f>Reference!F15</f>
        <v>97119.648000000001</v>
      </c>
      <c r="I17" s="18">
        <f>Reference!G15</f>
        <v>25.582999999999998</v>
      </c>
      <c r="J17" s="19">
        <f t="shared" si="3"/>
        <v>26.977679999999999</v>
      </c>
      <c r="L17" s="17">
        <f>Test!B15</f>
        <v>50211.498899999999</v>
      </c>
      <c r="M17" s="18">
        <f>Test!C15</f>
        <v>36.772300000000001</v>
      </c>
      <c r="N17" s="18">
        <f>Test!D15</f>
        <v>43.823500000000003</v>
      </c>
      <c r="O17" s="18">
        <f>Test!E15</f>
        <v>41.475299999999997</v>
      </c>
      <c r="P17" s="18">
        <f>Test!F15</f>
        <v>89411.468999999997</v>
      </c>
      <c r="Q17" s="18">
        <f>Test!G15</f>
        <v>24.408000000000001</v>
      </c>
      <c r="R17" s="18">
        <f t="shared" si="4"/>
        <v>24.836519166666665</v>
      </c>
      <c r="S17" s="17">
        <f t="shared" si="5"/>
        <v>0.92063213614612771</v>
      </c>
      <c r="T17" s="18">
        <f t="shared" si="6"/>
        <v>0.95407106281515075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26554.9895</v>
      </c>
      <c r="E18" s="23">
        <f>Reference!C16</f>
        <v>35.278599999999997</v>
      </c>
      <c r="F18" s="23">
        <f>Reference!D16</f>
        <v>42.426499999999997</v>
      </c>
      <c r="G18" s="23">
        <f>Reference!E16</f>
        <v>40.210599999999999</v>
      </c>
      <c r="H18" s="23">
        <f>Reference!F16</f>
        <v>57447.866999999998</v>
      </c>
      <c r="I18" s="23">
        <f>Reference!G16</f>
        <v>22.265999999999998</v>
      </c>
      <c r="J18" s="24">
        <f t="shared" si="3"/>
        <v>15.957740833333332</v>
      </c>
      <c r="L18" s="22">
        <f>Test!B16</f>
        <v>26556.858899999999</v>
      </c>
      <c r="M18" s="23">
        <f>Test!C16</f>
        <v>35.277999999999999</v>
      </c>
      <c r="N18" s="23">
        <f>Test!D16</f>
        <v>42.434199999999997</v>
      </c>
      <c r="O18" s="23">
        <f>Test!E16</f>
        <v>40.212000000000003</v>
      </c>
      <c r="P18" s="23">
        <f>Test!F16</f>
        <v>54063.012000000002</v>
      </c>
      <c r="Q18" s="23">
        <f>Test!G16</f>
        <v>21.119</v>
      </c>
      <c r="R18" s="23">
        <f t="shared" si="4"/>
        <v>15.017503333333334</v>
      </c>
      <c r="S18" s="17">
        <f t="shared" si="5"/>
        <v>0.94107953564228941</v>
      </c>
      <c r="T18" s="18">
        <f t="shared" si="6"/>
        <v>0.94848648163118665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68154.761899999998</v>
      </c>
      <c r="E19" s="13">
        <f>Reference!C17</f>
        <v>39.584400000000002</v>
      </c>
      <c r="F19" s="13">
        <f>Reference!D17</f>
        <v>40.531199999999998</v>
      </c>
      <c r="G19" s="13">
        <f>Reference!E17</f>
        <v>43.526400000000002</v>
      </c>
      <c r="H19" s="13">
        <f>Reference!F17</f>
        <v>100803.656</v>
      </c>
      <c r="I19" s="13">
        <f>Reference!G17</f>
        <v>18.257999999999999</v>
      </c>
      <c r="J19" s="14">
        <f t="shared" si="3"/>
        <v>28.001015555555558</v>
      </c>
      <c r="L19" s="12">
        <f>Test!B17</f>
        <v>68145.206300000005</v>
      </c>
      <c r="M19" s="13">
        <f>Test!C17</f>
        <v>39.584200000000003</v>
      </c>
      <c r="N19" s="13">
        <f>Test!D17</f>
        <v>40.530099999999997</v>
      </c>
      <c r="O19" s="13">
        <f>Test!E17</f>
        <v>43.541400000000003</v>
      </c>
      <c r="P19" s="13">
        <f>Test!F17</f>
        <v>98717.031000000003</v>
      </c>
      <c r="Q19" s="13">
        <f>Test!G17</f>
        <v>17.108000000000001</v>
      </c>
      <c r="R19" s="13">
        <f t="shared" si="4"/>
        <v>27.421397500000001</v>
      </c>
      <c r="S19" s="12">
        <f t="shared" si="5"/>
        <v>0.97930010594060202</v>
      </c>
      <c r="T19" s="13">
        <f t="shared" si="6"/>
        <v>0.93701391170993542</v>
      </c>
      <c r="U19" s="90"/>
      <c r="V19" s="42">
        <f>bdrate($D19:$D22,E19:E22,$L19:$L22,M19:M22)</f>
        <v>1.6050426714775412E-4</v>
      </c>
      <c r="W19" s="42">
        <f>bdrate($D19:$D22,F19:F22,$L19:$L22,N19:N22)</f>
        <v>1.3902620882277894E-4</v>
      </c>
      <c r="X19" s="42">
        <f>bdrate($D19:$D22,G19:G22,$L19:$L22,O19:O22)</f>
        <v>-1.9398522342469748E-3</v>
      </c>
      <c r="Y19" s="40">
        <f>bdrateOld($D19:$D22,E19:E22,$L19:$L22,M19:M22)</f>
        <v>1.4334972071883278E-4</v>
      </c>
      <c r="Z19" s="44">
        <f>bdrateOld($D19:$D22,F19:F22,$L19:$L22,N19:N22)</f>
        <v>4.5081336952401685E-4</v>
      </c>
      <c r="AA19" s="45">
        <f>bdrateOld($D19:$D22,G19:G22,$L19:$L22,O19:O22)</f>
        <v>-2.0862100773111347E-3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40648.330199999997</v>
      </c>
      <c r="E20" s="18">
        <f>Reference!C18</f>
        <v>37.949199999999998</v>
      </c>
      <c r="F20" s="18">
        <f>Reference!D18</f>
        <v>39.5687</v>
      </c>
      <c r="G20" s="18">
        <f>Reference!E18</f>
        <v>42.154400000000003</v>
      </c>
      <c r="H20" s="18">
        <f>Reference!F18</f>
        <v>76230.297000000006</v>
      </c>
      <c r="I20" s="18">
        <f>Reference!G18</f>
        <v>14.994999999999999</v>
      </c>
      <c r="J20" s="19">
        <f t="shared" si="3"/>
        <v>21.175082500000002</v>
      </c>
      <c r="L20" s="17">
        <f>Test!B18</f>
        <v>40656.685700000002</v>
      </c>
      <c r="M20" s="18">
        <f>Test!C18</f>
        <v>37.9497</v>
      </c>
      <c r="N20" s="18">
        <f>Test!D18</f>
        <v>39.5685</v>
      </c>
      <c r="O20" s="18">
        <f>Test!E18</f>
        <v>42.1601</v>
      </c>
      <c r="P20" s="18">
        <f>Test!F18</f>
        <v>74263.202999999994</v>
      </c>
      <c r="Q20" s="18">
        <f>Test!G18</f>
        <v>14.513999999999999</v>
      </c>
      <c r="R20" s="18">
        <f t="shared" si="4"/>
        <v>20.628667499999999</v>
      </c>
      <c r="S20" s="17">
        <f t="shared" si="5"/>
        <v>0.97419537798731115</v>
      </c>
      <c r="T20" s="18">
        <f t="shared" si="6"/>
        <v>0.96792264088029345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23418.177800000001</v>
      </c>
      <c r="E21" s="18">
        <f>Reference!C19</f>
        <v>36.036099999999998</v>
      </c>
      <c r="F21" s="18">
        <f>Reference!D19</f>
        <v>38.720799999999997</v>
      </c>
      <c r="G21" s="18">
        <f>Reference!E19</f>
        <v>40.765599999999999</v>
      </c>
      <c r="H21" s="18">
        <f>Reference!F19</f>
        <v>56475.792999999998</v>
      </c>
      <c r="I21" s="18">
        <f>Reference!G19</f>
        <v>12.603</v>
      </c>
      <c r="J21" s="19">
        <f t="shared" si="3"/>
        <v>15.687720277777776</v>
      </c>
      <c r="L21" s="17">
        <f>Test!B19</f>
        <v>23422.1587</v>
      </c>
      <c r="M21" s="18">
        <f>Test!C19</f>
        <v>36.0366</v>
      </c>
      <c r="N21" s="18">
        <f>Test!D19</f>
        <v>38.718000000000004</v>
      </c>
      <c r="O21" s="18">
        <f>Test!E19</f>
        <v>40.772300000000001</v>
      </c>
      <c r="P21" s="18">
        <f>Test!F19</f>
        <v>55046.358999999997</v>
      </c>
      <c r="Q21" s="18">
        <f>Test!G19</f>
        <v>12.247</v>
      </c>
      <c r="R21" s="18">
        <f t="shared" si="4"/>
        <v>15.290655277777777</v>
      </c>
      <c r="S21" s="17">
        <f t="shared" si="5"/>
        <v>0.97468943906639782</v>
      </c>
      <c r="T21" s="18">
        <f t="shared" si="6"/>
        <v>0.97175275728001276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11923.422200000001</v>
      </c>
      <c r="E22" s="23">
        <f>Reference!C20</f>
        <v>33.558500000000002</v>
      </c>
      <c r="F22" s="23">
        <f>Reference!D20</f>
        <v>37.517099999999999</v>
      </c>
      <c r="G22" s="23">
        <f>Reference!E20</f>
        <v>38.93</v>
      </c>
      <c r="H22" s="23">
        <f>Reference!F20</f>
        <v>37367.906000000003</v>
      </c>
      <c r="I22" s="23">
        <f>Reference!G20</f>
        <v>10.952</v>
      </c>
      <c r="J22" s="24">
        <f t="shared" si="3"/>
        <v>10.379973888888889</v>
      </c>
      <c r="L22" s="22">
        <f>Test!B20</f>
        <v>11937.263499999999</v>
      </c>
      <c r="M22" s="23">
        <f>Test!C20</f>
        <v>33.559600000000003</v>
      </c>
      <c r="N22" s="23">
        <f>Test!D20</f>
        <v>37.5291</v>
      </c>
      <c r="O22" s="23">
        <f>Test!E20</f>
        <v>38.927399999999999</v>
      </c>
      <c r="P22" s="23">
        <f>Test!F20</f>
        <v>36464.633000000002</v>
      </c>
      <c r="Q22" s="23">
        <f>Test!G20</f>
        <v>10.34</v>
      </c>
      <c r="R22" s="23">
        <f t="shared" si="4"/>
        <v>10.129064722222223</v>
      </c>
      <c r="S22" s="17">
        <f t="shared" si="5"/>
        <v>0.9758275724628509</v>
      </c>
      <c r="T22" s="18">
        <f t="shared" si="6"/>
        <v>0.94411979547114677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42885.676200000002</v>
      </c>
      <c r="E23" s="13">
        <f>Reference!C21</f>
        <v>40.218600000000002</v>
      </c>
      <c r="F23" s="13">
        <f>Reference!D21</f>
        <v>44.217100000000002</v>
      </c>
      <c r="G23" s="13">
        <f>Reference!E21</f>
        <v>45.687399999999997</v>
      </c>
      <c r="H23" s="13">
        <f>Reference!F21</f>
        <v>88502.648000000001</v>
      </c>
      <c r="I23" s="13">
        <f>Reference!G21</f>
        <v>15.728</v>
      </c>
      <c r="J23" s="14">
        <f t="shared" si="3"/>
        <v>24.58406888888889</v>
      </c>
      <c r="L23" s="12">
        <f>Test!B21</f>
        <v>42866.1397</v>
      </c>
      <c r="M23" s="13">
        <f>Test!C21</f>
        <v>40.217799999999997</v>
      </c>
      <c r="N23" s="13">
        <f>Test!D21</f>
        <v>44.216799999999999</v>
      </c>
      <c r="O23" s="13">
        <f>Test!E21</f>
        <v>45.6892</v>
      </c>
      <c r="P23" s="13">
        <f>Test!F21</f>
        <v>85631.539000000004</v>
      </c>
      <c r="Q23" s="13">
        <f>Test!G21</f>
        <v>14.79</v>
      </c>
      <c r="R23" s="13">
        <f t="shared" si="4"/>
        <v>23.786538611111112</v>
      </c>
      <c r="S23" s="17">
        <f t="shared" si="5"/>
        <v>0.96755906105769851</v>
      </c>
      <c r="T23" s="18">
        <f t="shared" si="6"/>
        <v>0.94036113936927768</v>
      </c>
      <c r="U23" s="91"/>
      <c r="V23" s="42">
        <f>bdrate($D23:$D26,E23:E26,$L23:$L26,M23:M26)</f>
        <v>-1.0791740807825079E-4</v>
      </c>
      <c r="W23" s="42">
        <f>bdrate($D23:$D26,F23:F26,$L23:$L26,N23:N26)</f>
        <v>1.352497581002865E-3</v>
      </c>
      <c r="X23" s="42">
        <f>bdrate($D23:$D26,G23:G26,$L23:$L26,O23:O26)</f>
        <v>1.3247954722288569E-3</v>
      </c>
      <c r="Y23" s="40">
        <f>bdrateOld($D23:$D26,E23:E26,$L23:$L26,M23:M26)</f>
        <v>-1.1914716657679403E-4</v>
      </c>
      <c r="Z23" s="44">
        <f>bdrateOld($D23:$D26,F23:F26,$L23:$L26,N23:N26)</f>
        <v>1.2883807859829233E-3</v>
      </c>
      <c r="AA23" s="45">
        <f>bdrateOld($D23:$D26,G23:G26,$L23:$L26,O23:O26)</f>
        <v>1.5693456044880705E-3</v>
      </c>
    </row>
    <row r="24" spans="1:27" x14ac:dyDescent="0.2">
      <c r="A24" s="34"/>
      <c r="B24" s="85"/>
      <c r="C24" s="16">
        <v>32</v>
      </c>
      <c r="D24" s="17">
        <f>Reference!B22</f>
        <v>23346.2032</v>
      </c>
      <c r="E24" s="18">
        <f>Reference!C22</f>
        <v>38.748800000000003</v>
      </c>
      <c r="F24" s="18">
        <f>Reference!D22</f>
        <v>43.2639</v>
      </c>
      <c r="G24" s="18">
        <f>Reference!E22</f>
        <v>44.238799999999998</v>
      </c>
      <c r="H24" s="18">
        <f>Reference!F22</f>
        <v>61804.445</v>
      </c>
      <c r="I24" s="18">
        <f>Reference!G22</f>
        <v>13.351000000000001</v>
      </c>
      <c r="J24" s="19">
        <f t="shared" si="3"/>
        <v>17.16790138888889</v>
      </c>
      <c r="L24" s="17">
        <f>Test!B22</f>
        <v>23329.047600000002</v>
      </c>
      <c r="M24" s="18">
        <f>Test!C22</f>
        <v>38.747300000000003</v>
      </c>
      <c r="N24" s="18">
        <f>Test!D22</f>
        <v>43.260800000000003</v>
      </c>
      <c r="O24" s="18">
        <f>Test!E22</f>
        <v>44.24</v>
      </c>
      <c r="P24" s="18">
        <f>Test!F22</f>
        <v>59761.644999999997</v>
      </c>
      <c r="Q24" s="18">
        <f>Test!G22</f>
        <v>12.68</v>
      </c>
      <c r="R24" s="18">
        <f t="shared" si="4"/>
        <v>16.600456944444442</v>
      </c>
      <c r="S24" s="17">
        <f t="shared" si="5"/>
        <v>0.96694736114853874</v>
      </c>
      <c r="T24" s="18">
        <f t="shared" si="6"/>
        <v>0.94974159239008304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13120.4635</v>
      </c>
      <c r="E25" s="18">
        <f>Reference!C23</f>
        <v>37.301600000000001</v>
      </c>
      <c r="F25" s="18">
        <f>Reference!D23</f>
        <v>42.185899999999997</v>
      </c>
      <c r="G25" s="18">
        <f>Reference!E23</f>
        <v>42.691200000000002</v>
      </c>
      <c r="H25" s="18">
        <f>Reference!F23</f>
        <v>40463.758000000002</v>
      </c>
      <c r="I25" s="18">
        <f>Reference!G23</f>
        <v>10.842000000000001</v>
      </c>
      <c r="J25" s="19">
        <f t="shared" si="3"/>
        <v>11.239932777777778</v>
      </c>
      <c r="L25" s="17">
        <f>Test!B23</f>
        <v>13127.2</v>
      </c>
      <c r="M25" s="18">
        <f>Test!C23</f>
        <v>37.303400000000003</v>
      </c>
      <c r="N25" s="18">
        <f>Test!D23</f>
        <v>42.1843</v>
      </c>
      <c r="O25" s="18">
        <f>Test!E23</f>
        <v>42.680999999999997</v>
      </c>
      <c r="P25" s="18">
        <f>Test!F23</f>
        <v>40143.184000000001</v>
      </c>
      <c r="Q25" s="18">
        <f>Test!G23</f>
        <v>10.76</v>
      </c>
      <c r="R25" s="18">
        <f t="shared" si="4"/>
        <v>11.150884444444445</v>
      </c>
      <c r="S25" s="17">
        <f t="shared" si="5"/>
        <v>0.99207750303370235</v>
      </c>
      <c r="T25" s="18">
        <f t="shared" si="6"/>
        <v>0.99243681977494924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7008.4189999999999</v>
      </c>
      <c r="E26" s="23">
        <f>Reference!C24</f>
        <v>35.383499999999998</v>
      </c>
      <c r="F26" s="23">
        <f>Reference!D24</f>
        <v>40.690300000000001</v>
      </c>
      <c r="G26" s="23">
        <f>Reference!E24</f>
        <v>40.661499999999997</v>
      </c>
      <c r="H26" s="23">
        <f>Reference!F24</f>
        <v>25043.853999999999</v>
      </c>
      <c r="I26" s="23">
        <f>Reference!G24</f>
        <v>9.6020000000000003</v>
      </c>
      <c r="J26" s="24">
        <f t="shared" si="3"/>
        <v>6.9566261111111105</v>
      </c>
      <c r="L26" s="22">
        <f>Test!B24</f>
        <v>7008.4444000000003</v>
      </c>
      <c r="M26" s="23">
        <f>Test!C24</f>
        <v>35.383400000000002</v>
      </c>
      <c r="N26" s="23">
        <f>Test!D24</f>
        <v>40.682099999999998</v>
      </c>
      <c r="O26" s="23">
        <f>Test!E24</f>
        <v>40.6584</v>
      </c>
      <c r="P26" s="23">
        <f>Test!F24</f>
        <v>24685.824000000001</v>
      </c>
      <c r="Q26" s="23">
        <f>Test!G24</f>
        <v>9.4109999999999996</v>
      </c>
      <c r="R26" s="23">
        <f t="shared" si="4"/>
        <v>6.8571733333333338</v>
      </c>
      <c r="S26" s="17">
        <f t="shared" si="5"/>
        <v>0.98570387768591849</v>
      </c>
      <c r="T26" s="18">
        <f t="shared" si="6"/>
        <v>0.98010831076858984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65338.784</v>
      </c>
      <c r="E27" s="13">
        <f>Reference!C25</f>
        <v>41.762999999999998</v>
      </c>
      <c r="F27" s="13">
        <f>Reference!D25</f>
        <v>44.451900000000002</v>
      </c>
      <c r="G27" s="13">
        <f>Reference!E25</f>
        <v>45.163600000000002</v>
      </c>
      <c r="H27" s="13">
        <f>Reference!F25</f>
        <v>105760.641</v>
      </c>
      <c r="I27" s="13">
        <f>Reference!G25</f>
        <v>19.027000000000001</v>
      </c>
      <c r="J27" s="14">
        <f>H27/3600</f>
        <v>29.377955833333335</v>
      </c>
      <c r="L27" s="12">
        <f>Test!B25</f>
        <v>65342.995199999998</v>
      </c>
      <c r="M27" s="13">
        <f>Test!C25</f>
        <v>41.7637</v>
      </c>
      <c r="N27" s="13">
        <f>Test!D25</f>
        <v>44.456600000000002</v>
      </c>
      <c r="O27" s="13">
        <f>Test!E25</f>
        <v>45.168999999999997</v>
      </c>
      <c r="P27" s="13">
        <f>Test!F25</f>
        <v>103639.109</v>
      </c>
      <c r="Q27" s="13">
        <f>Test!G25</f>
        <v>18.094000000000001</v>
      </c>
      <c r="R27" s="13">
        <f>P27/3600</f>
        <v>28.788641388888887</v>
      </c>
      <c r="S27" s="17">
        <f>P27/H27</f>
        <v>0.97994025017302977</v>
      </c>
      <c r="T27" s="18">
        <f>Q27/I27</f>
        <v>0.95096441898354966</v>
      </c>
      <c r="U27" s="91"/>
      <c r="V27" s="42">
        <f>bdrate($D27:$D30,E27:E30,$L27:$L30,M27:M30)</f>
        <v>4.0379658066180824E-4</v>
      </c>
      <c r="W27" s="42">
        <f>bdrate($D27:$D30,F27:F30,$L27:$L30,N27:N30)</f>
        <v>-1.9475944745244167E-3</v>
      </c>
      <c r="X27" s="43">
        <f>bdrate($D27:$D30,G27:G30,$L27:$L30,O27:O30)</f>
        <v>-1.6394721630850206E-3</v>
      </c>
      <c r="Y27" s="37">
        <f>bdrateOld($D27:$D30,E27:E30,$L27:$L30,M27:M30)</f>
        <v>4.1966771140344861E-4</v>
      </c>
      <c r="Z27" s="42">
        <f>bdrateOld($D27:$D30,F27:F30,$L27:$L30,N27:N30)</f>
        <v>-1.9383276068075661E-3</v>
      </c>
      <c r="AA27" s="43">
        <f>bdrateOld($D27:$D30,G27:G30,$L27:$L30,O27:O30)</f>
        <v>-1.7386168614187403E-3</v>
      </c>
    </row>
    <row r="28" spans="1:27" x14ac:dyDescent="0.2">
      <c r="A28" s="16"/>
      <c r="B28" s="85"/>
      <c r="C28" s="16">
        <v>48</v>
      </c>
      <c r="D28" s="17">
        <f>Reference!B26</f>
        <v>42097.004800000002</v>
      </c>
      <c r="E28" s="18">
        <f>Reference!C26</f>
        <v>39.957099999999997</v>
      </c>
      <c r="F28" s="18">
        <f>Reference!D26</f>
        <v>43.028300000000002</v>
      </c>
      <c r="G28" s="18">
        <f>Reference!E26</f>
        <v>43.9238</v>
      </c>
      <c r="H28" s="18">
        <f>Reference!F26</f>
        <v>81647.695000000007</v>
      </c>
      <c r="I28" s="18">
        <f>Reference!G26</f>
        <v>16.504000000000001</v>
      </c>
      <c r="J28" s="19">
        <f t="shared" ref="J28:J46" si="7">H28/3600</f>
        <v>22.679915277777781</v>
      </c>
      <c r="L28" s="17">
        <f>Test!B26</f>
        <v>42100.703999999998</v>
      </c>
      <c r="M28" s="18">
        <f>Test!C26</f>
        <v>39.957099999999997</v>
      </c>
      <c r="N28" s="18">
        <f>Test!D26</f>
        <v>43.034700000000001</v>
      </c>
      <c r="O28" s="18">
        <f>Test!E26</f>
        <v>43.925400000000003</v>
      </c>
      <c r="P28" s="18">
        <f>Test!F26</f>
        <v>77848.398000000001</v>
      </c>
      <c r="Q28" s="18">
        <f>Test!G26</f>
        <v>15.554</v>
      </c>
      <c r="R28" s="18">
        <f t="shared" ref="R28:R46" si="8">P28/3600</f>
        <v>21.624555000000001</v>
      </c>
      <c r="S28" s="17">
        <f t="shared" ref="S28:S46" si="9">P28/H28</f>
        <v>0.95346718606079439</v>
      </c>
      <c r="T28" s="18">
        <f t="shared" ref="T28:T46" si="10">Q28/I28</f>
        <v>0.94243819680077556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24754.9568</v>
      </c>
      <c r="E29" s="18">
        <f>Reference!C27</f>
        <v>37.731099999999998</v>
      </c>
      <c r="F29" s="18">
        <f>Reference!D27</f>
        <v>41.721200000000003</v>
      </c>
      <c r="G29" s="18">
        <f>Reference!E27</f>
        <v>42.633800000000001</v>
      </c>
      <c r="H29" s="18">
        <f>Reference!F27</f>
        <v>57215.042999999998</v>
      </c>
      <c r="I29" s="18">
        <f>Reference!G27</f>
        <v>14.058</v>
      </c>
      <c r="J29" s="19">
        <f t="shared" si="7"/>
        <v>15.893067499999999</v>
      </c>
      <c r="L29" s="17">
        <f>Test!B27</f>
        <v>24764.7808</v>
      </c>
      <c r="M29" s="18">
        <f>Test!C27</f>
        <v>37.729999999999997</v>
      </c>
      <c r="N29" s="18">
        <f>Test!D27</f>
        <v>41.726300000000002</v>
      </c>
      <c r="O29" s="18">
        <f>Test!E27</f>
        <v>42.641100000000002</v>
      </c>
      <c r="P29" s="18">
        <f>Test!F27</f>
        <v>55477</v>
      </c>
      <c r="Q29" s="18">
        <f>Test!G27</f>
        <v>13.475</v>
      </c>
      <c r="R29" s="18">
        <f t="shared" si="8"/>
        <v>15.410277777777777</v>
      </c>
      <c r="S29" s="17">
        <f t="shared" si="9"/>
        <v>0.96962262179895597</v>
      </c>
      <c r="T29" s="18">
        <f t="shared" si="10"/>
        <v>0.95852895148669792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12506.540800000001</v>
      </c>
      <c r="E30" s="23">
        <f>Reference!C28</f>
        <v>35.035600000000002</v>
      </c>
      <c r="F30" s="23">
        <f>Reference!D28</f>
        <v>40.151499999999999</v>
      </c>
      <c r="G30" s="23">
        <f>Reference!E28</f>
        <v>41.010399999999997</v>
      </c>
      <c r="H30" s="23">
        <f>Reference!F28</f>
        <v>36122.699000000001</v>
      </c>
      <c r="I30" s="23">
        <f>Reference!G28</f>
        <v>11.999000000000001</v>
      </c>
      <c r="J30" s="24">
        <f t="shared" si="7"/>
        <v>10.034083055555556</v>
      </c>
      <c r="L30" s="22">
        <f>Test!B28</f>
        <v>12509.376</v>
      </c>
      <c r="M30" s="23">
        <f>Test!C28</f>
        <v>35.034100000000002</v>
      </c>
      <c r="N30" s="23">
        <f>Test!D28</f>
        <v>40.157600000000002</v>
      </c>
      <c r="O30" s="23">
        <f>Test!E28</f>
        <v>41.0137</v>
      </c>
      <c r="P30" s="23">
        <f>Test!F28</f>
        <v>35310.879000000001</v>
      </c>
      <c r="Q30" s="23">
        <f>Test!G28</f>
        <v>11.57</v>
      </c>
      <c r="R30" s="23">
        <f t="shared" si="8"/>
        <v>9.8085775000000002</v>
      </c>
      <c r="S30" s="17">
        <f t="shared" si="9"/>
        <v>0.97752604255844777</v>
      </c>
      <c r="T30" s="18">
        <f t="shared" si="10"/>
        <v>0.96424702058504874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39883.455999999998</v>
      </c>
      <c r="E31" s="13">
        <f>Reference!C29</f>
        <v>44.966299999999997</v>
      </c>
      <c r="F31" s="13">
        <f>Reference!D29</f>
        <v>47.605699999999999</v>
      </c>
      <c r="G31" s="13">
        <f>Reference!E29</f>
        <v>48.342799999999997</v>
      </c>
      <c r="H31" s="13">
        <f>Reference!F29</f>
        <v>71382.875</v>
      </c>
      <c r="I31" s="13">
        <f>Reference!G29</f>
        <v>17.39</v>
      </c>
      <c r="J31" s="14">
        <f t="shared" si="7"/>
        <v>19.828576388888887</v>
      </c>
      <c r="L31" s="12">
        <f>Test!B29</f>
        <v>39885.868799999997</v>
      </c>
      <c r="M31" s="13">
        <f>Test!C29</f>
        <v>44.966799999999999</v>
      </c>
      <c r="N31" s="13">
        <f>Test!D29</f>
        <v>47.611699999999999</v>
      </c>
      <c r="O31" s="13">
        <f>Test!E29</f>
        <v>48.335799999999999</v>
      </c>
      <c r="P31" s="13">
        <f>Test!F29</f>
        <v>70184.491999999998</v>
      </c>
      <c r="Q31" s="13">
        <f>Test!G29</f>
        <v>16.216000000000001</v>
      </c>
      <c r="R31" s="13">
        <f t="shared" si="8"/>
        <v>19.495692222222221</v>
      </c>
      <c r="S31" s="17">
        <f t="shared" si="9"/>
        <v>0.98321189781162499</v>
      </c>
      <c r="T31" s="18">
        <f t="shared" si="10"/>
        <v>0.93248993674525593</v>
      </c>
      <c r="U31" s="91"/>
      <c r="V31" s="42">
        <f>bdrate($D31:$D34,E31:E34,$L31:$L34,M31:M34)</f>
        <v>3.7073180912394754E-4</v>
      </c>
      <c r="W31" s="42">
        <f>bdrate($D31:$D34,F31:F34,$L31:$L34,N31:N34)</f>
        <v>-1.5783237628768099E-3</v>
      </c>
      <c r="X31" s="42">
        <f>bdrate($D31:$D34,G31:G34,$L31:$L34,O31:O34)</f>
        <v>-1.0022385539186773E-3</v>
      </c>
      <c r="Y31" s="40">
        <f>bdrateOld($D31:$D34,E31:E34,$L31:$L34,M31:M34)</f>
        <v>3.7536101964175117E-4</v>
      </c>
      <c r="Z31" s="44">
        <f>bdrateOld($D31:$D34,F31:F34,$L31:$L34,N31:N34)</f>
        <v>-1.468680771509745E-3</v>
      </c>
      <c r="AA31" s="45">
        <f>bdrateOld($D31:$D34,G31:G34,$L31:$L34,O31:O34)</f>
        <v>-1.0809836786840332E-3</v>
      </c>
    </row>
    <row r="32" spans="1:27" x14ac:dyDescent="0.2">
      <c r="A32" s="16"/>
      <c r="B32" s="85"/>
      <c r="C32" s="16">
        <v>48</v>
      </c>
      <c r="D32" s="17">
        <f>Reference!B30</f>
        <v>26303.648000000001</v>
      </c>
      <c r="E32" s="18">
        <f>Reference!C30</f>
        <v>42.802799999999998</v>
      </c>
      <c r="F32" s="18">
        <f>Reference!D30</f>
        <v>46.0152</v>
      </c>
      <c r="G32" s="18">
        <f>Reference!E30</f>
        <v>46.537300000000002</v>
      </c>
      <c r="H32" s="18">
        <f>Reference!F30</f>
        <v>57397.891000000003</v>
      </c>
      <c r="I32" s="18">
        <f>Reference!G30</f>
        <v>14.962</v>
      </c>
      <c r="J32" s="19">
        <f t="shared" si="7"/>
        <v>15.943858611111112</v>
      </c>
      <c r="L32" s="17">
        <f>Test!B30</f>
        <v>26300.729599999999</v>
      </c>
      <c r="M32" s="18">
        <f>Test!C30</f>
        <v>42.801400000000001</v>
      </c>
      <c r="N32" s="18">
        <f>Test!D30</f>
        <v>46.006599999999999</v>
      </c>
      <c r="O32" s="18">
        <f>Test!E30</f>
        <v>46.540500000000002</v>
      </c>
      <c r="P32" s="18">
        <f>Test!F30</f>
        <v>55786.550999999999</v>
      </c>
      <c r="Q32" s="18">
        <f>Test!G30</f>
        <v>14.141999999999999</v>
      </c>
      <c r="R32" s="18">
        <f t="shared" si="8"/>
        <v>15.496264166666666</v>
      </c>
      <c r="S32" s="17">
        <f t="shared" si="9"/>
        <v>0.97192684309602939</v>
      </c>
      <c r="T32" s="18">
        <f t="shared" si="10"/>
        <v>0.94519449271487765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15580.7552</v>
      </c>
      <c r="E33" s="18">
        <f>Reference!C31</f>
        <v>40.113</v>
      </c>
      <c r="F33" s="18">
        <f>Reference!D31</f>
        <v>44.469799999999999</v>
      </c>
      <c r="G33" s="18">
        <f>Reference!E31</f>
        <v>44.712400000000002</v>
      </c>
      <c r="H33" s="18">
        <f>Reference!F31</f>
        <v>41502.394999999997</v>
      </c>
      <c r="I33" s="18">
        <f>Reference!G31</f>
        <v>12.682</v>
      </c>
      <c r="J33" s="19">
        <f t="shared" si="7"/>
        <v>11.528443055555554</v>
      </c>
      <c r="L33" s="17">
        <f>Test!B31</f>
        <v>15577.062400000001</v>
      </c>
      <c r="M33" s="18">
        <f>Test!C31</f>
        <v>40.109099999999998</v>
      </c>
      <c r="N33" s="18">
        <f>Test!D31</f>
        <v>44.475200000000001</v>
      </c>
      <c r="O33" s="18">
        <f>Test!E31</f>
        <v>44.719700000000003</v>
      </c>
      <c r="P33" s="18">
        <f>Test!F31</f>
        <v>41442.487999999998</v>
      </c>
      <c r="Q33" s="18">
        <f>Test!G31</f>
        <v>12.381</v>
      </c>
      <c r="R33" s="18">
        <f t="shared" si="8"/>
        <v>11.511802222222222</v>
      </c>
      <c r="S33" s="17">
        <f t="shared" si="9"/>
        <v>0.99855654113455383</v>
      </c>
      <c r="T33" s="18">
        <f t="shared" si="10"/>
        <v>0.97626557325343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8127.3792000000003</v>
      </c>
      <c r="E34" s="23">
        <f>Reference!C32</f>
        <v>37.035299999999999</v>
      </c>
      <c r="F34" s="23">
        <f>Reference!D32</f>
        <v>42.437199999999997</v>
      </c>
      <c r="G34" s="23">
        <f>Reference!E32</f>
        <v>42.494100000000003</v>
      </c>
      <c r="H34" s="23">
        <f>Reference!F32</f>
        <v>27686.004000000001</v>
      </c>
      <c r="I34" s="23">
        <f>Reference!G32</f>
        <v>11.522</v>
      </c>
      <c r="J34" s="24">
        <f t="shared" si="7"/>
        <v>7.6905566666666667</v>
      </c>
      <c r="L34" s="22">
        <f>Test!B32</f>
        <v>8128.1535999999996</v>
      </c>
      <c r="M34" s="23">
        <f>Test!C32</f>
        <v>37.033099999999997</v>
      </c>
      <c r="N34" s="23">
        <f>Test!D32</f>
        <v>42.467399999999998</v>
      </c>
      <c r="O34" s="23">
        <f>Test!E32</f>
        <v>42.491999999999997</v>
      </c>
      <c r="P34" s="23">
        <f>Test!F32</f>
        <v>26897.469000000001</v>
      </c>
      <c r="Q34" s="23">
        <f>Test!G32</f>
        <v>10.721</v>
      </c>
      <c r="R34" s="23">
        <f t="shared" si="8"/>
        <v>7.4715191666666669</v>
      </c>
      <c r="S34" s="17">
        <f t="shared" si="9"/>
        <v>0.9715186416934708</v>
      </c>
      <c r="T34" s="18">
        <f t="shared" si="10"/>
        <v>0.9304808193022045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54319.9424</v>
      </c>
      <c r="E35" s="13">
        <f>Reference!C33</f>
        <v>41.7913</v>
      </c>
      <c r="F35" s="13">
        <f>Reference!D33</f>
        <v>46.074199999999998</v>
      </c>
      <c r="G35" s="13">
        <f>Reference!E33</f>
        <v>46.385300000000001</v>
      </c>
      <c r="H35" s="13">
        <f>Reference!F33</f>
        <v>60106.495999999999</v>
      </c>
      <c r="I35" s="13">
        <f>Reference!G33</f>
        <v>10.756</v>
      </c>
      <c r="J35" s="14">
        <f t="shared" si="7"/>
        <v>16.696248888888888</v>
      </c>
      <c r="L35" s="12">
        <f>Test!B33</f>
        <v>54311.891199999998</v>
      </c>
      <c r="M35" s="13">
        <f>Test!C33</f>
        <v>41.7911</v>
      </c>
      <c r="N35" s="13">
        <f>Test!D33</f>
        <v>46.079099999999997</v>
      </c>
      <c r="O35" s="13">
        <f>Test!E33</f>
        <v>46.3795</v>
      </c>
      <c r="P35" s="13">
        <f>Test!F33</f>
        <v>58784.023000000001</v>
      </c>
      <c r="Q35" s="13">
        <f>Test!G33</f>
        <v>10.516999999999999</v>
      </c>
      <c r="R35" s="13">
        <f t="shared" si="8"/>
        <v>16.328895277777779</v>
      </c>
      <c r="S35" s="12">
        <f t="shared" si="9"/>
        <v>0.97799783570814047</v>
      </c>
      <c r="T35" s="13">
        <f t="shared" si="10"/>
        <v>0.97777984380810701</v>
      </c>
      <c r="U35" s="90"/>
      <c r="V35" s="42">
        <f>bdrate($D35:$D38,E35:E38,$L35:$L38,M35:M38)</f>
        <v>-1.0466015207921675E-4</v>
      </c>
      <c r="W35" s="42">
        <f>bdrate($D35:$D38,F35:F38,$L35:$L38,N35:N38)</f>
        <v>-8.4517654833460298E-4</v>
      </c>
      <c r="X35" s="42">
        <f>bdrate($D35:$D38,G35:G38,$L35:$L38,O35:O38)</f>
        <v>-4.9740464138636753E-5</v>
      </c>
      <c r="Y35" s="40">
        <f>bdrateOld($D35:$D38,E35:E38,$L35:$L38,M35:M38)</f>
        <v>-1.0900702036331644E-4</v>
      </c>
      <c r="Z35" s="44">
        <f>bdrateOld($D35:$D38,F35:F38,$L35:$L38,N35:N38)</f>
        <v>-8.8649296030451907E-4</v>
      </c>
      <c r="AA35" s="45">
        <f>bdrateOld($D35:$D38,G35:G38,$L35:$L38,O35:O38)</f>
        <v>-5.7993352324592351E-5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37099.705600000001</v>
      </c>
      <c r="E36" s="18">
        <f>Reference!C34</f>
        <v>38.857700000000001</v>
      </c>
      <c r="F36" s="18">
        <f>Reference!D34</f>
        <v>44.326000000000001</v>
      </c>
      <c r="G36" s="18">
        <f>Reference!E34</f>
        <v>44.658900000000003</v>
      </c>
      <c r="H36" s="18">
        <f>Reference!F34</f>
        <v>51244.93</v>
      </c>
      <c r="I36" s="18">
        <f>Reference!G34</f>
        <v>9.4359999999999999</v>
      </c>
      <c r="J36" s="19">
        <f t="shared" si="7"/>
        <v>14.234702777777779</v>
      </c>
      <c r="L36" s="17">
        <f>Test!B34</f>
        <v>37097.670400000003</v>
      </c>
      <c r="M36" s="18">
        <f>Test!C34</f>
        <v>38.857799999999997</v>
      </c>
      <c r="N36" s="18">
        <f>Test!D34</f>
        <v>44.326300000000003</v>
      </c>
      <c r="O36" s="18">
        <f>Test!E34</f>
        <v>44.656300000000002</v>
      </c>
      <c r="P36" s="18">
        <f>Test!F34</f>
        <v>51100.828000000001</v>
      </c>
      <c r="Q36" s="18">
        <f>Test!G34</f>
        <v>9.2539999999999996</v>
      </c>
      <c r="R36" s="18">
        <f t="shared" si="8"/>
        <v>14.194674444444445</v>
      </c>
      <c r="S36" s="17">
        <f t="shared" si="9"/>
        <v>0.99718797547386639</v>
      </c>
      <c r="T36" s="18">
        <f t="shared" si="10"/>
        <v>0.98071216617210677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22073.8112</v>
      </c>
      <c r="E37" s="18">
        <f>Reference!C35</f>
        <v>35.467500000000001</v>
      </c>
      <c r="F37" s="18">
        <f>Reference!D35</f>
        <v>42.879899999999999</v>
      </c>
      <c r="G37" s="18">
        <f>Reference!E35</f>
        <v>43.210299999999997</v>
      </c>
      <c r="H37" s="18">
        <f>Reference!F35</f>
        <v>42654.828000000001</v>
      </c>
      <c r="I37" s="18">
        <f>Reference!G35</f>
        <v>8.25</v>
      </c>
      <c r="J37" s="19">
        <f t="shared" si="7"/>
        <v>11.848563333333333</v>
      </c>
      <c r="L37" s="17">
        <f>Test!B35</f>
        <v>22070.272000000001</v>
      </c>
      <c r="M37" s="18">
        <f>Test!C35</f>
        <v>35.467799999999997</v>
      </c>
      <c r="N37" s="18">
        <f>Test!D35</f>
        <v>42.880400000000002</v>
      </c>
      <c r="O37" s="18">
        <f>Test!E35</f>
        <v>43.21</v>
      </c>
      <c r="P37" s="18">
        <f>Test!F35</f>
        <v>41073.366999999998</v>
      </c>
      <c r="Q37" s="18">
        <f>Test!G35</f>
        <v>7.8789999999999996</v>
      </c>
      <c r="R37" s="18">
        <f t="shared" si="8"/>
        <v>11.409268611111111</v>
      </c>
      <c r="S37" s="17">
        <f t="shared" si="9"/>
        <v>0.96292422044229076</v>
      </c>
      <c r="T37" s="18">
        <f t="shared" si="10"/>
        <v>0.95503030303030301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10885.011200000001</v>
      </c>
      <c r="E38" s="23">
        <f>Reference!C36</f>
        <v>31.832100000000001</v>
      </c>
      <c r="F38" s="23">
        <f>Reference!D36</f>
        <v>41.500399999999999</v>
      </c>
      <c r="G38" s="23">
        <f>Reference!E36</f>
        <v>41.677</v>
      </c>
      <c r="H38" s="23">
        <f>Reference!F36</f>
        <v>30534.162</v>
      </c>
      <c r="I38" s="23">
        <f>Reference!G36</f>
        <v>6.69</v>
      </c>
      <c r="J38" s="24">
        <f t="shared" si="7"/>
        <v>8.4817116666666674</v>
      </c>
      <c r="L38" s="22">
        <f>Test!B36</f>
        <v>10883.468800000001</v>
      </c>
      <c r="M38" s="23">
        <f>Test!C36</f>
        <v>31.8308</v>
      </c>
      <c r="N38" s="23">
        <f>Test!D36</f>
        <v>41.508099999999999</v>
      </c>
      <c r="O38" s="23">
        <f>Test!E36</f>
        <v>41.683300000000003</v>
      </c>
      <c r="P38" s="23">
        <f>Test!F36</f>
        <v>29329.526999999998</v>
      </c>
      <c r="Q38" s="23">
        <f>Test!G36</f>
        <v>6.3209999999999997</v>
      </c>
      <c r="R38" s="23">
        <f t="shared" si="8"/>
        <v>8.1470908333333334</v>
      </c>
      <c r="S38" s="17">
        <f t="shared" si="9"/>
        <v>0.96054795936433424</v>
      </c>
      <c r="T38" s="18">
        <f t="shared" si="10"/>
        <v>0.94484304932735419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20345.7664</v>
      </c>
      <c r="E39" s="13">
        <f>Reference!C37</f>
        <v>42.7211</v>
      </c>
      <c r="F39" s="13">
        <f>Reference!D37</f>
        <v>45.485100000000003</v>
      </c>
      <c r="G39" s="13">
        <f>Reference!E37</f>
        <v>47.041200000000003</v>
      </c>
      <c r="H39" s="13">
        <f>Reference!F37</f>
        <v>39766.75</v>
      </c>
      <c r="I39" s="13">
        <f>Reference!G37</f>
        <v>7.3879999999999999</v>
      </c>
      <c r="J39" s="14">
        <f t="shared" si="7"/>
        <v>11.046319444444444</v>
      </c>
      <c r="L39" s="12">
        <f>Test!B37</f>
        <v>20345.894400000001</v>
      </c>
      <c r="M39" s="13">
        <f>Test!C37</f>
        <v>42.721299999999999</v>
      </c>
      <c r="N39" s="13">
        <f>Test!D37</f>
        <v>45.483499999999999</v>
      </c>
      <c r="O39" s="13">
        <f>Test!E37</f>
        <v>47.045699999999997</v>
      </c>
      <c r="P39" s="13">
        <f>Test!F37</f>
        <v>38531.980000000003</v>
      </c>
      <c r="Q39" s="13">
        <f>Test!G37</f>
        <v>7.1289999999999996</v>
      </c>
      <c r="R39" s="13">
        <f t="shared" si="8"/>
        <v>10.703327777777778</v>
      </c>
      <c r="S39" s="17">
        <f t="shared" si="9"/>
        <v>0.96894968786737667</v>
      </c>
      <c r="T39" s="18">
        <f t="shared" si="10"/>
        <v>0.96494315105576611</v>
      </c>
      <c r="U39" s="91"/>
      <c r="V39" s="42">
        <f>bdrate($D39:$D42,E39:E42,$L39:$L42,M39:M42)</f>
        <v>2.2490317692636097E-5</v>
      </c>
      <c r="W39" s="42">
        <f>bdrate($D39:$D42,F39:F42,$L39:$L42,N39:N42)</f>
        <v>1.649847061789611E-3</v>
      </c>
      <c r="X39" s="42">
        <f>bdrate($D39:$D42,G39:G42,$L39:$L42,O39:O42)</f>
        <v>8.1707581272016938E-5</v>
      </c>
      <c r="Y39" s="40">
        <f>bdrateOld($D39:$D42,E39:E42,$L39:$L42,M39:M42)</f>
        <v>3.7152572212040269E-6</v>
      </c>
      <c r="Z39" s="44">
        <f>bdrateOld($D39:$D42,F39:F42,$L39:$L42,N39:N42)</f>
        <v>1.3658068253736833E-3</v>
      </c>
      <c r="AA39" s="45">
        <f>bdrateOld($D39:$D42,G39:G42,$L39:$L42,O39:O42)</f>
        <v>2.4283580732697985E-5</v>
      </c>
    </row>
    <row r="40" spans="1:27" x14ac:dyDescent="0.2">
      <c r="A40" s="16"/>
      <c r="B40" s="85"/>
      <c r="C40" s="16">
        <v>32</v>
      </c>
      <c r="D40" s="17">
        <f>Reference!B38</f>
        <v>11539.7824</v>
      </c>
      <c r="E40" s="18">
        <f>Reference!C38</f>
        <v>40.691400000000002</v>
      </c>
      <c r="F40" s="18">
        <f>Reference!D38</f>
        <v>44.572000000000003</v>
      </c>
      <c r="G40" s="18">
        <f>Reference!E38</f>
        <v>45.409399999999998</v>
      </c>
      <c r="H40" s="18">
        <f>Reference!F38</f>
        <v>29519.370999999999</v>
      </c>
      <c r="I40" s="18">
        <f>Reference!G38</f>
        <v>6.2750000000000004</v>
      </c>
      <c r="J40" s="19">
        <f t="shared" si="7"/>
        <v>8.1998252777777783</v>
      </c>
      <c r="L40" s="17">
        <f>Test!B38</f>
        <v>11544.6976</v>
      </c>
      <c r="M40" s="18">
        <f>Test!C38</f>
        <v>40.692</v>
      </c>
      <c r="N40" s="18">
        <f>Test!D38</f>
        <v>44.566499999999998</v>
      </c>
      <c r="O40" s="18">
        <f>Test!E38</f>
        <v>45.411900000000003</v>
      </c>
      <c r="P40" s="18">
        <f>Test!F38</f>
        <v>28542.171999999999</v>
      </c>
      <c r="Q40" s="18">
        <f>Test!G38</f>
        <v>6.0720000000000001</v>
      </c>
      <c r="R40" s="18">
        <f t="shared" si="8"/>
        <v>7.9283811111111104</v>
      </c>
      <c r="S40" s="17">
        <f t="shared" si="9"/>
        <v>0.96689634748653686</v>
      </c>
      <c r="T40" s="18">
        <f t="shared" si="10"/>
        <v>0.96764940239043817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6390.7520000000004</v>
      </c>
      <c r="E41" s="18">
        <f>Reference!C39</f>
        <v>38.686700000000002</v>
      </c>
      <c r="F41" s="18">
        <f>Reference!D39</f>
        <v>43.6235</v>
      </c>
      <c r="G41" s="18">
        <f>Reference!E39</f>
        <v>43.628</v>
      </c>
      <c r="H41" s="18">
        <f>Reference!F39</f>
        <v>20198.330000000002</v>
      </c>
      <c r="I41" s="18">
        <f>Reference!G39</f>
        <v>5.665</v>
      </c>
      <c r="J41" s="19">
        <f t="shared" si="7"/>
        <v>5.610647222222223</v>
      </c>
      <c r="L41" s="17">
        <f>Test!B39</f>
        <v>6390.5856000000003</v>
      </c>
      <c r="M41" s="18">
        <f>Test!C39</f>
        <v>38.687199999999997</v>
      </c>
      <c r="N41" s="18">
        <f>Test!D39</f>
        <v>43.623100000000001</v>
      </c>
      <c r="O41" s="18">
        <f>Test!E39</f>
        <v>43.628900000000002</v>
      </c>
      <c r="P41" s="18">
        <f>Test!F39</f>
        <v>19606.063999999998</v>
      </c>
      <c r="Q41" s="18">
        <f>Test!G39</f>
        <v>5.2750000000000004</v>
      </c>
      <c r="R41" s="18">
        <f t="shared" si="8"/>
        <v>5.4461288888888886</v>
      </c>
      <c r="S41" s="17">
        <f t="shared" si="9"/>
        <v>0.97067747680129979</v>
      </c>
      <c r="T41" s="18">
        <f t="shared" si="10"/>
        <v>0.93115622241835838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3261.3184000000001</v>
      </c>
      <c r="E42" s="23">
        <f>Reference!C40</f>
        <v>36.312899999999999</v>
      </c>
      <c r="F42" s="23">
        <f>Reference!D40</f>
        <v>42.324399999999997</v>
      </c>
      <c r="G42" s="23">
        <f>Reference!E40</f>
        <v>41.4863</v>
      </c>
      <c r="H42" s="23">
        <f>Reference!F40</f>
        <v>12135.254999999999</v>
      </c>
      <c r="I42" s="23">
        <f>Reference!G40</f>
        <v>4.782</v>
      </c>
      <c r="J42" s="24">
        <f t="shared" si="7"/>
        <v>3.3709041666666666</v>
      </c>
      <c r="L42" s="22">
        <f>Test!B40</f>
        <v>3257.3760000000002</v>
      </c>
      <c r="M42" s="23">
        <f>Test!C40</f>
        <v>36.308300000000003</v>
      </c>
      <c r="N42" s="23">
        <f>Test!D40</f>
        <v>42.318100000000001</v>
      </c>
      <c r="O42" s="23">
        <f>Test!E40</f>
        <v>41.470599999999997</v>
      </c>
      <c r="P42" s="23">
        <f>Test!F40</f>
        <v>11801.094999999999</v>
      </c>
      <c r="Q42" s="23">
        <f>Test!G40</f>
        <v>4.5389999999999997</v>
      </c>
      <c r="R42" s="23">
        <f t="shared" si="8"/>
        <v>3.2780819444444442</v>
      </c>
      <c r="S42" s="17">
        <f t="shared" si="9"/>
        <v>0.97246370183403641</v>
      </c>
      <c r="T42" s="18">
        <f t="shared" si="10"/>
        <v>0.94918444165621074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15261.388800000001</v>
      </c>
      <c r="E43" s="13">
        <f>Reference!C41</f>
        <v>44.252600000000001</v>
      </c>
      <c r="F43" s="13">
        <f>Reference!D41</f>
        <v>47.078800000000001</v>
      </c>
      <c r="G43" s="13">
        <f>Reference!E41</f>
        <v>47.970300000000002</v>
      </c>
      <c r="H43" s="13">
        <f>Reference!F41</f>
        <v>31226.986000000001</v>
      </c>
      <c r="I43" s="13">
        <f>Reference!G41</f>
        <v>6.9379999999999997</v>
      </c>
      <c r="J43" s="14">
        <f t="shared" si="7"/>
        <v>8.6741627777777772</v>
      </c>
      <c r="L43" s="12">
        <f>Test!B41</f>
        <v>15254.316800000001</v>
      </c>
      <c r="M43" s="13">
        <f>Test!C41</f>
        <v>44.251600000000003</v>
      </c>
      <c r="N43" s="13">
        <f>Test!D41</f>
        <v>47.072600000000001</v>
      </c>
      <c r="O43" s="13">
        <f>Test!E41</f>
        <v>47.968499999999999</v>
      </c>
      <c r="P43" s="13">
        <f>Test!F41</f>
        <v>30670.511999999999</v>
      </c>
      <c r="Q43" s="13">
        <f>Test!G41</f>
        <v>6.7850000000000001</v>
      </c>
      <c r="R43" s="13">
        <f t="shared" si="8"/>
        <v>8.5195866666666671</v>
      </c>
      <c r="S43" s="17">
        <f t="shared" si="9"/>
        <v>0.98217970828180468</v>
      </c>
      <c r="T43" s="18">
        <f t="shared" si="10"/>
        <v>0.97794753531277034</v>
      </c>
      <c r="U43" s="91"/>
      <c r="V43" s="42">
        <f>bdrate($D43:$D46,E43:E46,$L43:$L46,M43:M46)</f>
        <v>-4.984734620239184E-5</v>
      </c>
      <c r="W43" s="42">
        <f>bdrate($D43:$D46,F43:F46,$L43:$L46,N43:N46)</f>
        <v>-7.0003757861125671E-4</v>
      </c>
      <c r="X43" s="42">
        <f>bdrate($D43:$D46,G43:G46,$L43:$L46,O43:O46)</f>
        <v>9.1161380725401919E-4</v>
      </c>
      <c r="Y43" s="40">
        <f>bdrateOld($D43:$D46,E43:E46,$L43:$L46,M43:M46)</f>
        <v>-9.7637931699257052E-5</v>
      </c>
      <c r="Z43" s="44">
        <f>bdrateOld($D43:$D46,F43:F46,$L43:$L46,N43:N46)</f>
        <v>-8.4384333165243852E-4</v>
      </c>
      <c r="AA43" s="45">
        <f>bdrateOld($D43:$D46,G43:G46,$L43:$L46,O43:O46)</f>
        <v>1.0644181554011478E-3</v>
      </c>
    </row>
    <row r="44" spans="1:27" x14ac:dyDescent="0.2">
      <c r="A44" s="16"/>
      <c r="B44" s="85"/>
      <c r="C44" s="16">
        <v>32</v>
      </c>
      <c r="D44" s="17">
        <f>Reference!B42</f>
        <v>10341.612800000001</v>
      </c>
      <c r="E44" s="18">
        <f>Reference!C42</f>
        <v>42.5229</v>
      </c>
      <c r="F44" s="18">
        <f>Reference!D42</f>
        <v>45.934600000000003</v>
      </c>
      <c r="G44" s="18">
        <f>Reference!E42</f>
        <v>46.6462</v>
      </c>
      <c r="H44" s="18">
        <f>Reference!F42</f>
        <v>24690.453000000001</v>
      </c>
      <c r="I44" s="18">
        <f>Reference!G42</f>
        <v>6.4489999999999998</v>
      </c>
      <c r="J44" s="19">
        <f t="shared" si="7"/>
        <v>6.858459166666667</v>
      </c>
      <c r="L44" s="17">
        <f>Test!B42</f>
        <v>10340.563200000001</v>
      </c>
      <c r="M44" s="18">
        <f>Test!C42</f>
        <v>42.521999999999998</v>
      </c>
      <c r="N44" s="18">
        <f>Test!D42</f>
        <v>45.932099999999998</v>
      </c>
      <c r="O44" s="18">
        <f>Test!E42</f>
        <v>46.647500000000001</v>
      </c>
      <c r="P44" s="18">
        <f>Test!F42</f>
        <v>24111.567999999999</v>
      </c>
      <c r="Q44" s="18">
        <f>Test!G42</f>
        <v>6.1420000000000003</v>
      </c>
      <c r="R44" s="18">
        <f t="shared" si="8"/>
        <v>6.6976577777777777</v>
      </c>
      <c r="S44" s="17">
        <f t="shared" si="9"/>
        <v>0.97655429813296657</v>
      </c>
      <c r="T44" s="18">
        <f t="shared" si="10"/>
        <v>0.95239572026670805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6525.9840000000004</v>
      </c>
      <c r="E45" s="18">
        <f>Reference!C43</f>
        <v>40.186100000000003</v>
      </c>
      <c r="F45" s="18">
        <f>Reference!D43</f>
        <v>44.597299999999997</v>
      </c>
      <c r="G45" s="18">
        <f>Reference!E43</f>
        <v>45.118600000000001</v>
      </c>
      <c r="H45" s="18">
        <f>Reference!F43</f>
        <v>18172.232</v>
      </c>
      <c r="I45" s="18">
        <f>Reference!G43</f>
        <v>5.76</v>
      </c>
      <c r="J45" s="19">
        <f t="shared" si="7"/>
        <v>5.0478422222222221</v>
      </c>
      <c r="L45" s="17">
        <f>Test!B43</f>
        <v>6521.3440000000001</v>
      </c>
      <c r="M45" s="18">
        <f>Test!C43</f>
        <v>40.183799999999998</v>
      </c>
      <c r="N45" s="18">
        <f>Test!D43</f>
        <v>44.602200000000003</v>
      </c>
      <c r="O45" s="18">
        <f>Test!E43</f>
        <v>45.1096</v>
      </c>
      <c r="P45" s="18">
        <f>Test!F43</f>
        <v>17714.098000000002</v>
      </c>
      <c r="Q45" s="18">
        <f>Test!G43</f>
        <v>5.5419999999999998</v>
      </c>
      <c r="R45" s="18">
        <f t="shared" si="8"/>
        <v>4.9205827777777786</v>
      </c>
      <c r="S45" s="17">
        <f t="shared" si="9"/>
        <v>0.97478933793053057</v>
      </c>
      <c r="T45" s="18">
        <f t="shared" si="10"/>
        <v>0.96215277777777775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3776.5120000000002</v>
      </c>
      <c r="E46" s="23">
        <f>Reference!C44</f>
        <v>37.198900000000002</v>
      </c>
      <c r="F46" s="23">
        <f>Reference!D44</f>
        <v>42.871699999999997</v>
      </c>
      <c r="G46" s="23">
        <f>Reference!E44</f>
        <v>43.078299999999999</v>
      </c>
      <c r="H46" s="23">
        <f>Reference!F44</f>
        <v>12375.433999999999</v>
      </c>
      <c r="I46" s="23">
        <f>Reference!G44</f>
        <v>4.9470000000000001</v>
      </c>
      <c r="J46" s="24">
        <f t="shared" si="7"/>
        <v>3.4376205555555552</v>
      </c>
      <c r="L46" s="22">
        <f>Test!B44</f>
        <v>3780.0511999999999</v>
      </c>
      <c r="M46" s="23">
        <f>Test!C44</f>
        <v>37.201799999999999</v>
      </c>
      <c r="N46" s="23">
        <f>Test!D44</f>
        <v>42.876100000000001</v>
      </c>
      <c r="O46" s="23">
        <f>Test!E44</f>
        <v>43.076500000000003</v>
      </c>
      <c r="P46" s="23">
        <f>Test!F44</f>
        <v>12141.807000000001</v>
      </c>
      <c r="Q46" s="23">
        <f>Test!G44</f>
        <v>4.851</v>
      </c>
      <c r="R46" s="23">
        <f t="shared" si="8"/>
        <v>3.372724166666667</v>
      </c>
      <c r="S46" s="17">
        <f t="shared" si="9"/>
        <v>0.98112171257993874</v>
      </c>
      <c r="T46" s="18">
        <f t="shared" si="10"/>
        <v>0.98059429957550026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16542.009600000001</v>
      </c>
      <c r="E47" s="13">
        <f>Reference!C45</f>
        <v>44.197499999999998</v>
      </c>
      <c r="F47" s="13">
        <f>Reference!D45</f>
        <v>48.802300000000002</v>
      </c>
      <c r="G47" s="13">
        <f>Reference!E45</f>
        <v>48.340200000000003</v>
      </c>
      <c r="H47" s="13">
        <f>Reference!F45</f>
        <v>31838.488000000001</v>
      </c>
      <c r="I47" s="13">
        <f>Reference!G45</f>
        <v>6.6639999999999997</v>
      </c>
      <c r="J47" s="14">
        <f>H47/3600</f>
        <v>8.8440244444444449</v>
      </c>
      <c r="L47" s="12">
        <f>Test!B45</f>
        <v>16541.024000000001</v>
      </c>
      <c r="M47" s="13">
        <f>Test!C45</f>
        <v>44.197899999999997</v>
      </c>
      <c r="N47" s="13">
        <f>Test!D45</f>
        <v>48.792700000000004</v>
      </c>
      <c r="O47" s="13">
        <f>Test!E45</f>
        <v>48.464700000000001</v>
      </c>
      <c r="P47" s="13">
        <f>Test!F45</f>
        <v>31023.046999999999</v>
      </c>
      <c r="Q47" s="13">
        <f>Test!G45</f>
        <v>6.47</v>
      </c>
      <c r="R47" s="13">
        <f>P47/3600</f>
        <v>8.6175130555555555</v>
      </c>
      <c r="S47" s="17">
        <f>P47/H47</f>
        <v>0.97438819959038248</v>
      </c>
      <c r="T47" s="18">
        <f>Q47/I47</f>
        <v>0.97088835534213691</v>
      </c>
      <c r="U47" s="91"/>
      <c r="V47" s="42">
        <f>bdrate($D47:$D50,E47:E50,$L47:$L50,M47:M50)</f>
        <v>1.3750821687086301E-5</v>
      </c>
      <c r="W47" s="42">
        <f>bdrate($D47:$D50,F47:F50,$L47:$L50,N47:N50)</f>
        <v>-1.18308902482267E-3</v>
      </c>
      <c r="X47" s="43">
        <f>bdrate($D47:$D50,G47:G50,$L47:$L50,O47:O50)</f>
        <v>-1.9355585834699873E-2</v>
      </c>
      <c r="Y47" s="37">
        <f>bdrateOld($D47:$D50,E47:E50,$L47:$L50,M47:M50)</f>
        <v>5.1424685063583553E-6</v>
      </c>
      <c r="Z47" s="42">
        <f>bdrateOld($D47:$D50,F47:F50,$L47:$L50,N47:N50)</f>
        <v>-1.6214358194654999E-3</v>
      </c>
      <c r="AA47" s="43">
        <f>bdrateOld($D47:$D50,G47:G50,$L47:$L50,O47:O50)</f>
        <v>-1.8023813637995101E-2</v>
      </c>
    </row>
    <row r="48" spans="1:27" x14ac:dyDescent="0.2">
      <c r="A48" s="16"/>
      <c r="B48" s="85"/>
      <c r="C48" s="16">
        <v>32</v>
      </c>
      <c r="D48" s="17">
        <f>Reference!B46</f>
        <v>11482.144</v>
      </c>
      <c r="E48" s="18">
        <f>Reference!C46</f>
        <v>42.4587</v>
      </c>
      <c r="F48" s="18">
        <f>Reference!D46</f>
        <v>47.807899999999997</v>
      </c>
      <c r="G48" s="18">
        <f>Reference!E46</f>
        <v>46.848700000000001</v>
      </c>
      <c r="H48" s="18">
        <f>Reference!F46</f>
        <v>25140.572</v>
      </c>
      <c r="I48" s="18">
        <f>Reference!G46</f>
        <v>5.867</v>
      </c>
      <c r="J48" s="19">
        <f t="shared" ref="J48:J70" si="11">H48/3600</f>
        <v>6.983492222222222</v>
      </c>
      <c r="L48" s="17">
        <f>Test!B46</f>
        <v>11481.785599999999</v>
      </c>
      <c r="M48" s="18">
        <f>Test!C46</f>
        <v>42.458399999999997</v>
      </c>
      <c r="N48" s="18">
        <f>Test!D46</f>
        <v>47.803199999999997</v>
      </c>
      <c r="O48" s="18">
        <f>Test!E46</f>
        <v>46.982100000000003</v>
      </c>
      <c r="P48" s="18">
        <f>Test!F46</f>
        <v>24503.879000000001</v>
      </c>
      <c r="Q48" s="18">
        <f>Test!G46</f>
        <v>5.7409999999999997</v>
      </c>
      <c r="R48" s="18">
        <f t="shared" ref="R48:R70" si="12">P48/3600</f>
        <v>6.8066330555555554</v>
      </c>
      <c r="S48" s="17">
        <f t="shared" ref="S48:S70" si="13">P48/H48</f>
        <v>0.97467468122841439</v>
      </c>
      <c r="T48" s="18">
        <f t="shared" ref="T48:T70" si="14">Q48/I48</f>
        <v>0.97852394750298277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7466.0735999999997</v>
      </c>
      <c r="E49" s="18">
        <f>Reference!C47</f>
        <v>40.0807</v>
      </c>
      <c r="F49" s="18">
        <f>Reference!D47</f>
        <v>46.601799999999997</v>
      </c>
      <c r="G49" s="18">
        <f>Reference!E47</f>
        <v>45.256399999999999</v>
      </c>
      <c r="H49" s="18">
        <f>Reference!F47</f>
        <v>19101.82</v>
      </c>
      <c r="I49" s="18">
        <f>Reference!G47</f>
        <v>5.3819999999999997</v>
      </c>
      <c r="J49" s="19">
        <f t="shared" si="11"/>
        <v>5.3060611111111111</v>
      </c>
      <c r="L49" s="17">
        <f>Test!B47</f>
        <v>7469.8047999999999</v>
      </c>
      <c r="M49" s="18">
        <f>Test!C47</f>
        <v>40.0837</v>
      </c>
      <c r="N49" s="18">
        <f>Test!D47</f>
        <v>46.613700000000001</v>
      </c>
      <c r="O49" s="18">
        <f>Test!E47</f>
        <v>45.299399999999999</v>
      </c>
      <c r="P49" s="18">
        <f>Test!F47</f>
        <v>18666.256000000001</v>
      </c>
      <c r="Q49" s="18">
        <f>Test!G47</f>
        <v>5.165</v>
      </c>
      <c r="R49" s="18">
        <f t="shared" si="12"/>
        <v>5.1850711111111112</v>
      </c>
      <c r="S49" s="17">
        <f t="shared" si="13"/>
        <v>0.97719777487171389</v>
      </c>
      <c r="T49" s="18">
        <f t="shared" si="14"/>
        <v>0.95968041620215538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4346.7776000000003</v>
      </c>
      <c r="E50" s="23">
        <f>Reference!C48</f>
        <v>36.869</v>
      </c>
      <c r="F50" s="23">
        <f>Reference!D48</f>
        <v>44.718699999999998</v>
      </c>
      <c r="G50" s="23">
        <f>Reference!E48</f>
        <v>42.9863</v>
      </c>
      <c r="H50" s="23">
        <f>Reference!F48</f>
        <v>13364.633</v>
      </c>
      <c r="I50" s="23">
        <f>Reference!G48</f>
        <v>4.7720000000000002</v>
      </c>
      <c r="J50" s="24">
        <f t="shared" si="11"/>
        <v>3.7123980555555556</v>
      </c>
      <c r="L50" s="22">
        <f>Test!B48</f>
        <v>4347.5328</v>
      </c>
      <c r="M50" s="23">
        <f>Test!C48</f>
        <v>36.869</v>
      </c>
      <c r="N50" s="23">
        <f>Test!D48</f>
        <v>44.725700000000003</v>
      </c>
      <c r="O50" s="23">
        <f>Test!E48</f>
        <v>43.040999999999997</v>
      </c>
      <c r="P50" s="23">
        <f>Test!F48</f>
        <v>13199.904</v>
      </c>
      <c r="Q50" s="23">
        <f>Test!G48</f>
        <v>4.6050000000000004</v>
      </c>
      <c r="R50" s="23">
        <f t="shared" si="12"/>
        <v>3.6666400000000001</v>
      </c>
      <c r="S50" s="22">
        <f t="shared" si="13"/>
        <v>0.98767425936799014</v>
      </c>
      <c r="T50" s="23">
        <f t="shared" si="14"/>
        <v>0.9650041911148366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27.761146071554549</v>
      </c>
      <c r="J75" s="15">
        <f>GEOMEAN(J3:J18)</f>
        <v>28.54738819615282</v>
      </c>
      <c r="Q75" s="15">
        <f>GEOMEAN(Q3:Q18)</f>
        <v>26.852640182079007</v>
      </c>
      <c r="R75" s="15">
        <f>GEOMEAN(R3:R18)</f>
        <v>27.65378157883633</v>
      </c>
      <c r="S75" s="15">
        <f>GEOMEAN(S3:S18)</f>
        <v>0.96869743000037678</v>
      </c>
      <c r="T75" s="15">
        <f>GEOMEAN(T3:T18)</f>
        <v>0.96727419368300338</v>
      </c>
      <c r="V75" s="37">
        <f>AVERAGE(V3:V18)</f>
        <v>1.6868954369503308E-5</v>
      </c>
      <c r="W75" s="42">
        <f t="shared" ref="W75:AA75" si="19">AVERAGE(W3:W18)</f>
        <v>-3.5140911389842933E-3</v>
      </c>
      <c r="X75" s="42">
        <f t="shared" si="19"/>
        <v>-4.0136855115480985E-3</v>
      </c>
      <c r="Y75" s="37">
        <f>AVERAGE(Y3:Y18)</f>
        <v>-3.3763271225284441E-5</v>
      </c>
      <c r="Z75" s="42">
        <f t="shared" si="19"/>
        <v>-3.5714296153031011E-3</v>
      </c>
      <c r="AA75" s="43">
        <f t="shared" si="19"/>
        <v>-3.8434434060608813E-3</v>
      </c>
    </row>
    <row r="76" spans="1:27" x14ac:dyDescent="0.2">
      <c r="B76" s="89" t="s">
        <v>47</v>
      </c>
      <c r="I76" s="15">
        <f>GEOMEAN(I19:I34)</f>
        <v>13.766265823418987</v>
      </c>
      <c r="J76" s="15">
        <f>GEOMEAN(J19:J34)</f>
        <v>15.348931061412475</v>
      </c>
      <c r="Q76" s="15">
        <f>GEOMEAN(Q19:Q34)</f>
        <v>13.148002581422615</v>
      </c>
      <c r="R76" s="15">
        <f>GEOMEAN(R19:R34)</f>
        <v>14.985553654717359</v>
      </c>
      <c r="S76" s="15">
        <f>GEOMEAN(S19:S34)</f>
        <v>0.97632555614190919</v>
      </c>
      <c r="T76" s="15">
        <f>GEOMEAN(T19:T34)</f>
        <v>0.95508852945839595</v>
      </c>
      <c r="V76" s="40">
        <f>AVERAGE(V19:V34)</f>
        <v>2.0677881221381478E-4</v>
      </c>
      <c r="W76" s="44">
        <f t="shared" ref="W76:AA76" si="20">AVERAGE(W19:W34)</f>
        <v>-5.0859861189389566E-4</v>
      </c>
      <c r="X76" s="44">
        <f t="shared" si="20"/>
        <v>-8.1419186975545399E-4</v>
      </c>
      <c r="Y76" s="40">
        <f t="shared" si="20"/>
        <v>2.0480782129680963E-4</v>
      </c>
      <c r="Z76" s="44">
        <f t="shared" si="20"/>
        <v>-4.1695355570259274E-4</v>
      </c>
      <c r="AA76" s="45">
        <f t="shared" si="20"/>
        <v>-8.3411625323145944E-4</v>
      </c>
    </row>
    <row r="77" spans="1:27" x14ac:dyDescent="0.2">
      <c r="B77" s="89" t="s">
        <v>51</v>
      </c>
      <c r="I77" s="15">
        <f>GEOMEAN(I35:I50)</f>
        <v>6.4514850896456331</v>
      </c>
      <c r="J77" s="15">
        <f>GEOMEAN(J35:J50)</f>
        <v>7.1933150253028071</v>
      </c>
      <c r="Q77" s="15">
        <f>GEOMEAN(Q35:Q50)</f>
        <v>6.2163528576738498</v>
      </c>
      <c r="R77" s="15">
        <f>GEOMEAN(R35:R50)</f>
        <v>7.0159964709264795</v>
      </c>
      <c r="S77" s="15">
        <f>GEOMEAN(S35:S50)</f>
        <v>0.97534953581865902</v>
      </c>
      <c r="T77" s="15">
        <f>GEOMEAN(T35:T50)</f>
        <v>0.96355378200452479</v>
      </c>
      <c r="V77" s="40">
        <f>AVERAGE(V35:V50)</f>
        <v>-2.9566589725471548E-5</v>
      </c>
      <c r="W77" s="44">
        <f t="shared" ref="W77:AA77" si="21">AVERAGE(W35:W50)</f>
        <v>-2.6961402249472965E-4</v>
      </c>
      <c r="X77" s="44">
        <f t="shared" si="21"/>
        <v>-4.6030012275781185E-3</v>
      </c>
      <c r="Y77" s="40">
        <f t="shared" si="21"/>
        <v>-4.9446806583752778E-5</v>
      </c>
      <c r="Z77" s="44">
        <f t="shared" si="21"/>
        <v>-4.9649132151219355E-4</v>
      </c>
      <c r="AA77" s="45">
        <f t="shared" si="21"/>
        <v>-4.2482763135464618E-3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13.509452444321543</v>
      </c>
      <c r="J80" s="54">
        <f xml:space="preserve"> GEOMEAN(J3:J50)</f>
        <v>14.661931927925703</v>
      </c>
      <c r="K80" s="4"/>
      <c r="L80" s="4"/>
      <c r="M80" s="4"/>
      <c r="N80" s="4"/>
      <c r="O80" s="4"/>
      <c r="P80" s="4"/>
      <c r="Q80" s="54">
        <f xml:space="preserve"> GEOMEAN(Q3:Q50)</f>
        <v>12.995534418542645</v>
      </c>
      <c r="R80" s="54">
        <f xml:space="preserve"> GEOMEAN(R3:R50)</f>
        <v>14.272681059340242</v>
      </c>
      <c r="S80" s="54">
        <f xml:space="preserve"> GEOMEAN(S3:S50)</f>
        <v>0.97345159761353972</v>
      </c>
      <c r="T80" s="54">
        <f>GEOMEAN(T3:T50)</f>
        <v>0.9619586339345001</v>
      </c>
      <c r="U80" s="4"/>
      <c r="V80" s="41">
        <f>AVERAGE(V3:V50)</f>
        <v>6.4693725619282175E-5</v>
      </c>
      <c r="W80" s="46">
        <f t="shared" ref="W80:AA80" si="25">AVERAGE(W3:W50)</f>
        <v>-1.4307679244576395E-3</v>
      </c>
      <c r="X80" s="47">
        <f t="shared" si="25"/>
        <v>-3.1436262029605568E-3</v>
      </c>
      <c r="Y80" s="46">
        <f t="shared" si="25"/>
        <v>4.0532581162590807E-5</v>
      </c>
      <c r="Z80" s="46">
        <f t="shared" si="25"/>
        <v>-1.4949581641726291E-3</v>
      </c>
      <c r="AA80" s="47">
        <f t="shared" si="25"/>
        <v>-2.9752786576129342E-3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AC14" sqref="AC1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14768.588</v>
      </c>
      <c r="E3" s="13">
        <f>Reference!C73</f>
        <v>40.089199999999998</v>
      </c>
      <c r="F3" s="13">
        <f>Reference!D73</f>
        <v>49.060899999999997</v>
      </c>
      <c r="G3" s="13">
        <f>Reference!E73</f>
        <v>47.042299999999997</v>
      </c>
      <c r="H3" s="13">
        <f>Reference!F73</f>
        <v>434668.837</v>
      </c>
      <c r="I3" s="13">
        <f>Reference!G73</f>
        <v>65.263000000000005</v>
      </c>
      <c r="J3" s="14">
        <f>H3/3600</f>
        <v>120.74134361111111</v>
      </c>
      <c r="L3" s="12">
        <f>Test!B73</f>
        <v>14763.407999999999</v>
      </c>
      <c r="M3" s="13">
        <f>Test!C73</f>
        <v>40.089300000000001</v>
      </c>
      <c r="N3" s="13">
        <f>Test!D73</f>
        <v>49.062399999999997</v>
      </c>
      <c r="O3" s="13">
        <f>Test!E73</f>
        <v>47.046599999999998</v>
      </c>
      <c r="P3" s="13">
        <f>Test!F73</f>
        <v>409211.99300000002</v>
      </c>
      <c r="Q3" s="13">
        <f>Test!G73</f>
        <v>61.777000000000001</v>
      </c>
      <c r="R3" s="14">
        <f>P3/3600</f>
        <v>113.66999805555557</v>
      </c>
      <c r="S3" s="12">
        <f>P3/H3</f>
        <v>0.94143393353041327</v>
      </c>
      <c r="T3" s="13">
        <f>Q3/I3</f>
        <v>0.94658535464198701</v>
      </c>
      <c r="U3" s="90"/>
      <c r="V3" s="37">
        <f>bdrate($D3:$D6,E3:E6,$L3:$L6,M3:M6)</f>
        <v>6.2450632558030961E-4</v>
      </c>
      <c r="W3" s="42">
        <f>bdrate($D3:$D6,F3:F6,$L3:$L6,N3:N6)</f>
        <v>-1.1314629197385351E-3</v>
      </c>
      <c r="X3" s="43">
        <f>bdrate($D3:$D6,G3:G6,$L3:$L6,O3:O6)</f>
        <v>-4.2002287813694972E-3</v>
      </c>
      <c r="Y3" s="37">
        <f>bdrateOld($D3:$D6,E3:E6,$L3:$L6,M3:M6)</f>
        <v>7.1478434145610947E-4</v>
      </c>
      <c r="Z3" s="42">
        <f>bdrateOld($D3:$D6,F3:F6,$L3:$L6,N3:N6)</f>
        <v>-1.737491313680839E-3</v>
      </c>
      <c r="AA3" s="43">
        <f>bdrateOld($D3:$D6,G3:G6,$L3:$L6,O3:O6)</f>
        <v>-4.4122741620029604E-3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6742.0879999999997</v>
      </c>
      <c r="E4" s="18">
        <f>Reference!C74</f>
        <v>39.598100000000002</v>
      </c>
      <c r="F4" s="18">
        <f>Reference!D74</f>
        <v>48.467500000000001</v>
      </c>
      <c r="G4" s="18">
        <f>Reference!E74</f>
        <v>46.137900000000002</v>
      </c>
      <c r="H4" s="18">
        <f>Reference!F74</f>
        <v>238141.09899999999</v>
      </c>
      <c r="I4" s="18">
        <f>Reference!G74</f>
        <v>60.676000000000002</v>
      </c>
      <c r="J4" s="19">
        <f t="shared" ref="J4:J14" si="0">H4/3600</f>
        <v>66.150305277777775</v>
      </c>
      <c r="L4" s="17">
        <f>Test!B74</f>
        <v>6742.152</v>
      </c>
      <c r="M4" s="18">
        <f>Test!C74</f>
        <v>39.597700000000003</v>
      </c>
      <c r="N4" s="18">
        <f>Test!D74</f>
        <v>48.465000000000003</v>
      </c>
      <c r="O4" s="18">
        <f>Test!E74</f>
        <v>46.137799999999999</v>
      </c>
      <c r="P4" s="18">
        <f>Test!F74</f>
        <v>223129.375</v>
      </c>
      <c r="Q4" s="18">
        <f>Test!G74</f>
        <v>55.51</v>
      </c>
      <c r="R4" s="19">
        <f t="shared" ref="R4:R14" si="1">P4/3600</f>
        <v>61.980381944444446</v>
      </c>
      <c r="S4" s="17">
        <f t="shared" ref="S4:T46" si="2">P4/H4</f>
        <v>0.93696290114122638</v>
      </c>
      <c r="T4" s="18">
        <f t="shared" si="2"/>
        <v>0.91485925242270416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3653.44</v>
      </c>
      <c r="E5" s="18">
        <f>Reference!C75</f>
        <v>38.754800000000003</v>
      </c>
      <c r="F5" s="18">
        <f>Reference!D75</f>
        <v>47.604700000000001</v>
      </c>
      <c r="G5" s="18">
        <f>Reference!E75</f>
        <v>44.888199999999998</v>
      </c>
      <c r="H5" s="18">
        <f>Reference!F75</f>
        <v>117979.701</v>
      </c>
      <c r="I5" s="18">
        <f>Reference!G75</f>
        <v>54.076999999999998</v>
      </c>
      <c r="J5" s="19">
        <f t="shared" si="0"/>
        <v>32.772139166666669</v>
      </c>
      <c r="L5" s="17">
        <f>Test!B75</f>
        <v>3661.2</v>
      </c>
      <c r="M5" s="18">
        <f>Test!C75</f>
        <v>38.757899999999999</v>
      </c>
      <c r="N5" s="18">
        <f>Test!D75</f>
        <v>47.614699999999999</v>
      </c>
      <c r="O5" s="18">
        <f>Test!E75</f>
        <v>44.914700000000003</v>
      </c>
      <c r="P5" s="18">
        <f>Test!F75</f>
        <v>111845.818</v>
      </c>
      <c r="Q5" s="18">
        <f>Test!G75</f>
        <v>51.188000000000002</v>
      </c>
      <c r="R5" s="19">
        <f t="shared" si="1"/>
        <v>31.068282777777778</v>
      </c>
      <c r="S5" s="17">
        <f t="shared" si="2"/>
        <v>0.94800899690362839</v>
      </c>
      <c r="T5" s="18">
        <f t="shared" si="2"/>
        <v>0.94657617841226405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1931.7760000000001</v>
      </c>
      <c r="E6" s="23">
        <f>Reference!C76</f>
        <v>37.265799999999999</v>
      </c>
      <c r="F6" s="23">
        <f>Reference!D76</f>
        <v>46.255600000000001</v>
      </c>
      <c r="G6" s="23">
        <f>Reference!E76</f>
        <v>43.156799999999997</v>
      </c>
      <c r="H6" s="23">
        <f>Reference!F76</f>
        <v>58757.046000000002</v>
      </c>
      <c r="I6" s="23">
        <f>Reference!G76</f>
        <v>50.320999999999998</v>
      </c>
      <c r="J6" s="24">
        <f t="shared" si="0"/>
        <v>16.321401666666667</v>
      </c>
      <c r="L6" s="22">
        <f>Test!B76</f>
        <v>1935.9280000000001</v>
      </c>
      <c r="M6" s="23">
        <f>Test!C76</f>
        <v>37.2669</v>
      </c>
      <c r="N6" s="23">
        <f>Test!D76</f>
        <v>46.255899999999997</v>
      </c>
      <c r="O6" s="23">
        <f>Test!E76</f>
        <v>43.153500000000001</v>
      </c>
      <c r="P6" s="23">
        <f>Test!F76</f>
        <v>57260.671000000002</v>
      </c>
      <c r="Q6" s="23">
        <f>Test!G76</f>
        <v>47.86</v>
      </c>
      <c r="R6" s="24">
        <f t="shared" si="1"/>
        <v>15.905741944444445</v>
      </c>
      <c r="S6" s="17">
        <f t="shared" si="2"/>
        <v>0.97453284155912123</v>
      </c>
      <c r="T6" s="18">
        <f t="shared" si="2"/>
        <v>0.95109397666978002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76273.679999999993</v>
      </c>
      <c r="E7" s="13">
        <f>Reference!C77</f>
        <v>41.672699999999999</v>
      </c>
      <c r="F7" s="13">
        <f>Reference!D77</f>
        <v>36.462000000000003</v>
      </c>
      <c r="G7" s="13">
        <f>Reference!E77</f>
        <v>37.595700000000001</v>
      </c>
      <c r="H7" s="13">
        <f>Reference!F77</f>
        <v>784906.47400000005</v>
      </c>
      <c r="I7" s="13">
        <f>Reference!G77</f>
        <v>74.292000000000002</v>
      </c>
      <c r="J7" s="14">
        <f t="shared" si="0"/>
        <v>218.02957611111111</v>
      </c>
      <c r="L7" s="12">
        <f>Test!B77</f>
        <v>76259.063999999998</v>
      </c>
      <c r="M7" s="13">
        <f>Test!C77</f>
        <v>41.668399999999998</v>
      </c>
      <c r="N7" s="13">
        <f>Test!D77</f>
        <v>36.490900000000003</v>
      </c>
      <c r="O7" s="13">
        <f>Test!E77</f>
        <v>37.620699999999999</v>
      </c>
      <c r="P7" s="13">
        <f>Test!F77</f>
        <v>746346.91799999995</v>
      </c>
      <c r="Q7" s="13">
        <f>Test!G77</f>
        <v>71.685000000000002</v>
      </c>
      <c r="R7" s="14">
        <f t="shared" si="1"/>
        <v>207.31858833333331</v>
      </c>
      <c r="S7" s="17">
        <f t="shared" si="2"/>
        <v>0.95087369351982165</v>
      </c>
      <c r="T7" s="18">
        <f t="shared" si="2"/>
        <v>0.96490873849135839</v>
      </c>
      <c r="U7" s="91"/>
      <c r="V7" s="37">
        <f>bdrate($D7:$D10,E7:E10,$L7:$L10,M7:M10)</f>
        <v>-3.3124014340191188E-5</v>
      </c>
      <c r="W7" s="42">
        <f>bdrate($D7:$D10,F7:F10,$L7:$L10,N7:N10)</f>
        <v>-8.3615006384191171E-3</v>
      </c>
      <c r="X7" s="42">
        <f>bdrate($D7:$D10,G7:G10,$L7:$L10,O7:O10)</f>
        <v>-2.7137314152768877E-2</v>
      </c>
      <c r="Y7" s="40">
        <f>bdrateOld($D7:$D10,E7:E10,$L7:$L10,M7:M10)</f>
        <v>-3.3219942397799684E-5</v>
      </c>
      <c r="Z7" s="44">
        <f>bdrateOld($D7:$D10,F7:F10,$L7:$L10,N7:N10)</f>
        <v>-8.3826348722648714E-3</v>
      </c>
      <c r="AA7" s="45">
        <f>bdrateOld($D7:$D10,G7:G10,$L7:$L10,O7:O10)</f>
        <v>-2.7306791183556722E-2</v>
      </c>
    </row>
    <row r="8" spans="1:27" x14ac:dyDescent="0.2">
      <c r="A8" s="16"/>
      <c r="B8" s="85"/>
      <c r="C8" s="16">
        <v>48</v>
      </c>
      <c r="D8" s="17">
        <f>Reference!B78</f>
        <v>39381.972000000002</v>
      </c>
      <c r="E8" s="18">
        <f>Reference!C78</f>
        <v>39.068600000000004</v>
      </c>
      <c r="F8" s="18">
        <f>Reference!D78</f>
        <v>34.533099999999997</v>
      </c>
      <c r="G8" s="18">
        <f>Reference!E78</f>
        <v>35.905999999999999</v>
      </c>
      <c r="H8" s="18">
        <f>Reference!F78</f>
        <v>534359.47499999998</v>
      </c>
      <c r="I8" s="18">
        <f>Reference!G78</f>
        <v>66.734999999999999</v>
      </c>
      <c r="J8" s="19">
        <f t="shared" si="0"/>
        <v>148.4331875</v>
      </c>
      <c r="L8" s="17">
        <f>Test!B78</f>
        <v>39371.923999999999</v>
      </c>
      <c r="M8" s="18">
        <f>Test!C78</f>
        <v>39.066099999999999</v>
      </c>
      <c r="N8" s="18">
        <f>Test!D78</f>
        <v>34.557499999999997</v>
      </c>
      <c r="O8" s="18">
        <f>Test!E78</f>
        <v>35.960500000000003</v>
      </c>
      <c r="P8" s="18">
        <f>Test!F78</f>
        <v>500546.14899999998</v>
      </c>
      <c r="Q8" s="18">
        <f>Test!G78</f>
        <v>62.603999999999999</v>
      </c>
      <c r="R8" s="19">
        <f t="shared" si="1"/>
        <v>139.04059694444445</v>
      </c>
      <c r="S8" s="17">
        <f t="shared" si="2"/>
        <v>0.93672176206850266</v>
      </c>
      <c r="T8" s="18">
        <f t="shared" si="2"/>
        <v>0.9380984490896831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18903.984</v>
      </c>
      <c r="E9" s="18">
        <f>Reference!C79</f>
        <v>36.160499999999999</v>
      </c>
      <c r="F9" s="18">
        <f>Reference!D79</f>
        <v>32.9041</v>
      </c>
      <c r="G9" s="18">
        <f>Reference!E79</f>
        <v>34.533000000000001</v>
      </c>
      <c r="H9" s="18">
        <f>Reference!F79</f>
        <v>358670.61700000003</v>
      </c>
      <c r="I9" s="18">
        <f>Reference!G79</f>
        <v>65.108999999999995</v>
      </c>
      <c r="J9" s="19">
        <f t="shared" si="0"/>
        <v>99.630726944444447</v>
      </c>
      <c r="L9" s="17">
        <f>Test!B79</f>
        <v>18909.2</v>
      </c>
      <c r="M9" s="18">
        <f>Test!C79</f>
        <v>36.162399999999998</v>
      </c>
      <c r="N9" s="18">
        <f>Test!D79</f>
        <v>32.9208</v>
      </c>
      <c r="O9" s="18">
        <f>Test!E79</f>
        <v>34.591299999999997</v>
      </c>
      <c r="P9" s="18">
        <f>Test!F79</f>
        <v>312293.31599999999</v>
      </c>
      <c r="Q9" s="18">
        <f>Test!G79</f>
        <v>57.136000000000003</v>
      </c>
      <c r="R9" s="19">
        <f t="shared" si="1"/>
        <v>86.748143333333331</v>
      </c>
      <c r="S9" s="17">
        <f t="shared" si="2"/>
        <v>0.87069668157400237</v>
      </c>
      <c r="T9" s="18">
        <f t="shared" si="2"/>
        <v>0.8775438111474605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7793.1360000000004</v>
      </c>
      <c r="E10" s="23">
        <f>Reference!C80</f>
        <v>33.091999999999999</v>
      </c>
      <c r="F10" s="23">
        <f>Reference!D80</f>
        <v>31.254899999999999</v>
      </c>
      <c r="G10" s="23">
        <f>Reference!E80</f>
        <v>33.102400000000003</v>
      </c>
      <c r="H10" s="23">
        <f>Reference!F80</f>
        <v>187080.603</v>
      </c>
      <c r="I10" s="23">
        <f>Reference!G80</f>
        <v>55.201000000000001</v>
      </c>
      <c r="J10" s="24">
        <f t="shared" si="0"/>
        <v>51.966834166666665</v>
      </c>
      <c r="L10" s="22">
        <f>Test!B80</f>
        <v>7794.5280000000002</v>
      </c>
      <c r="M10" s="23">
        <f>Test!C80</f>
        <v>33.096699999999998</v>
      </c>
      <c r="N10" s="23">
        <f>Test!D80</f>
        <v>31.262499999999999</v>
      </c>
      <c r="O10" s="23">
        <f>Test!E80</f>
        <v>33.161900000000003</v>
      </c>
      <c r="P10" s="23">
        <f>Test!F80</f>
        <v>177246.62400000001</v>
      </c>
      <c r="Q10" s="23">
        <f>Test!G80</f>
        <v>53.593000000000004</v>
      </c>
      <c r="R10" s="24">
        <f t="shared" si="1"/>
        <v>49.235173333333336</v>
      </c>
      <c r="S10" s="17">
        <f t="shared" si="2"/>
        <v>0.94743453440761038</v>
      </c>
      <c r="T10" s="18">
        <f t="shared" si="2"/>
        <v>0.97087009293309912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38340.836000000003</v>
      </c>
      <c r="E11" s="13">
        <f>Reference!C81</f>
        <v>38.322099999999999</v>
      </c>
      <c r="F11" s="13">
        <f>Reference!D81</f>
        <v>40.508200000000002</v>
      </c>
      <c r="G11" s="13">
        <f>Reference!E81</f>
        <v>41.566099999999999</v>
      </c>
      <c r="H11" s="13">
        <f>Reference!F81</f>
        <v>472816.48599999998</v>
      </c>
      <c r="I11" s="13">
        <f>Reference!G81</f>
        <v>46.127000000000002</v>
      </c>
      <c r="J11" s="14">
        <f t="shared" si="0"/>
        <v>131.33791277777777</v>
      </c>
      <c r="L11" s="12">
        <f>Test!B81</f>
        <v>38316.627999999997</v>
      </c>
      <c r="M11" s="13">
        <f>Test!C81</f>
        <v>38.3215</v>
      </c>
      <c r="N11" s="13">
        <f>Test!D81</f>
        <v>40.5062</v>
      </c>
      <c r="O11" s="13">
        <f>Test!E81</f>
        <v>41.562199999999997</v>
      </c>
      <c r="P11" s="13">
        <f>Test!F81</f>
        <v>435904.26</v>
      </c>
      <c r="Q11" s="13">
        <f>Test!G81</f>
        <v>38.677</v>
      </c>
      <c r="R11" s="14">
        <f t="shared" si="1"/>
        <v>121.08451666666667</v>
      </c>
      <c r="S11" s="17">
        <f t="shared" si="2"/>
        <v>0.92193117817808079</v>
      </c>
      <c r="T11" s="18">
        <f t="shared" si="2"/>
        <v>0.83848938799401651</v>
      </c>
      <c r="U11" s="91"/>
      <c r="V11" s="37">
        <f>bdrate($D11:$D14,E11:E14,$L11:$L14,M11:M14)</f>
        <v>-3.0602477282659635E-4</v>
      </c>
      <c r="W11" s="42">
        <f>bdrate($D11:$D14,F11:F14,$L11:$L14,N11:N14)</f>
        <v>-4.9056215935905367E-4</v>
      </c>
      <c r="X11" s="42">
        <f>bdrate($D11:$D14,G11:G14,$L11:$L14,O11:O14)</f>
        <v>1.3077289626082234E-3</v>
      </c>
      <c r="Y11" s="40">
        <f>bdrateOld($D11:$D14,E11:E14,$L11:$L14,M11:M14)</f>
        <v>-4.1816931841065497E-4</v>
      </c>
      <c r="Z11" s="44">
        <f>bdrateOld($D11:$D14,F11:F14,$L11:$L14,N11:N14)</f>
        <v>-4.821350140432612E-4</v>
      </c>
      <c r="AA11" s="45">
        <f>bdrateOld($D11:$D14,G11:G14,$L11:$L14,O11:O14)</f>
        <v>1.3767225930330085E-3</v>
      </c>
    </row>
    <row r="12" spans="1:27" x14ac:dyDescent="0.2">
      <c r="A12" s="34"/>
      <c r="B12" s="83"/>
      <c r="C12" s="16">
        <v>48</v>
      </c>
      <c r="D12" s="17">
        <f>Reference!B82</f>
        <v>18787.768</v>
      </c>
      <c r="E12" s="18">
        <f>Reference!C82</f>
        <v>37.215000000000003</v>
      </c>
      <c r="F12" s="18">
        <f>Reference!D82</f>
        <v>37.963200000000001</v>
      </c>
      <c r="G12" s="18">
        <f>Reference!E82</f>
        <v>40.342199999999998</v>
      </c>
      <c r="H12" s="18">
        <f>Reference!F82</f>
        <v>277300.11499999999</v>
      </c>
      <c r="I12" s="18">
        <f>Reference!G82</f>
        <v>37.457000000000001</v>
      </c>
      <c r="J12" s="19">
        <f t="shared" si="0"/>
        <v>77.027809722222216</v>
      </c>
      <c r="L12" s="17">
        <f>Test!B82</f>
        <v>18782.304</v>
      </c>
      <c r="M12" s="18">
        <f>Test!C82</f>
        <v>37.213900000000002</v>
      </c>
      <c r="N12" s="18">
        <f>Test!D82</f>
        <v>37.963700000000003</v>
      </c>
      <c r="O12" s="18">
        <f>Test!E82</f>
        <v>40.341999999999999</v>
      </c>
      <c r="P12" s="18">
        <f>Test!F82</f>
        <v>262920.484</v>
      </c>
      <c r="Q12" s="18">
        <f>Test!G82</f>
        <v>32.591000000000001</v>
      </c>
      <c r="R12" s="19">
        <f t="shared" si="1"/>
        <v>73.033467777777773</v>
      </c>
      <c r="S12" s="17">
        <f t="shared" si="2"/>
        <v>0.94814415781976868</v>
      </c>
      <c r="T12" s="18">
        <f t="shared" si="2"/>
        <v>0.87009103772325602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9298.4879999999994</v>
      </c>
      <c r="E13" s="18">
        <f>Reference!C83</f>
        <v>35.851300000000002</v>
      </c>
      <c r="F13" s="18">
        <f>Reference!D83</f>
        <v>35.746299999999998</v>
      </c>
      <c r="G13" s="18">
        <f>Reference!E83</f>
        <v>39.037599999999998</v>
      </c>
      <c r="H13" s="18">
        <f>Reference!F83</f>
        <v>165563.08499999999</v>
      </c>
      <c r="I13" s="18">
        <f>Reference!G83</f>
        <v>32.481000000000002</v>
      </c>
      <c r="J13" s="19">
        <f t="shared" si="0"/>
        <v>45.98974583333333</v>
      </c>
      <c r="L13" s="17">
        <f>Test!B83</f>
        <v>9297.36</v>
      </c>
      <c r="M13" s="18">
        <f>Test!C83</f>
        <v>35.853099999999998</v>
      </c>
      <c r="N13" s="18">
        <f>Test!D83</f>
        <v>35.748100000000001</v>
      </c>
      <c r="O13" s="18">
        <f>Test!E83</f>
        <v>39.033000000000001</v>
      </c>
      <c r="P13" s="18">
        <f>Test!F83</f>
        <v>158449.26800000001</v>
      </c>
      <c r="Q13" s="18">
        <f>Test!G83</f>
        <v>29.099</v>
      </c>
      <c r="R13" s="19">
        <f t="shared" si="1"/>
        <v>44.013685555555561</v>
      </c>
      <c r="S13" s="17">
        <f t="shared" si="2"/>
        <v>0.95703258972252192</v>
      </c>
      <c r="T13" s="18">
        <f t="shared" si="2"/>
        <v>0.89587758997567801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4709.8239999999996</v>
      </c>
      <c r="E14" s="23">
        <f>Reference!C84</f>
        <v>34.020600000000002</v>
      </c>
      <c r="F14" s="23">
        <f>Reference!D84</f>
        <v>33.844700000000003</v>
      </c>
      <c r="G14" s="23">
        <f>Reference!E84</f>
        <v>37.488500000000002</v>
      </c>
      <c r="H14" s="23">
        <f>Reference!F84</f>
        <v>94699.93</v>
      </c>
      <c r="I14" s="23">
        <f>Reference!G84</f>
        <v>27.407</v>
      </c>
      <c r="J14" s="24">
        <f t="shared" si="0"/>
        <v>26.30553611111111</v>
      </c>
      <c r="L14" s="22">
        <f>Test!B84</f>
        <v>4706.5280000000002</v>
      </c>
      <c r="M14" s="23">
        <f>Test!C84</f>
        <v>34.017699999999998</v>
      </c>
      <c r="N14" s="23">
        <f>Test!D84</f>
        <v>33.844099999999997</v>
      </c>
      <c r="O14" s="23">
        <f>Test!E84</f>
        <v>37.481499999999997</v>
      </c>
      <c r="P14" s="23">
        <f>Test!F84</f>
        <v>91143.89</v>
      </c>
      <c r="Q14" s="23">
        <f>Test!G84</f>
        <v>27.064</v>
      </c>
      <c r="R14" s="24">
        <f t="shared" si="1"/>
        <v>25.317747222222224</v>
      </c>
      <c r="S14" s="17">
        <f t="shared" si="2"/>
        <v>0.96244939146206343</v>
      </c>
      <c r="T14" s="18">
        <f t="shared" si="2"/>
        <v>0.9874849491005947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26754.752</v>
      </c>
      <c r="E15" s="13">
        <f>Reference!C85</f>
        <v>37.6417</v>
      </c>
      <c r="F15" s="13">
        <f>Reference!D85</f>
        <v>45.323799999999999</v>
      </c>
      <c r="G15" s="13">
        <f>Reference!E85</f>
        <v>43.009</v>
      </c>
      <c r="H15" s="13">
        <f>Reference!F85</f>
        <v>620345.78799999994</v>
      </c>
      <c r="I15" s="13">
        <f>Reference!G85</f>
        <v>70.358000000000004</v>
      </c>
      <c r="J15" s="14">
        <f>H15/3600</f>
        <v>172.31827444444443</v>
      </c>
      <c r="L15" s="12">
        <f>Test!B85</f>
        <v>26744.02</v>
      </c>
      <c r="M15" s="13">
        <f>Test!C85</f>
        <v>37.641500000000001</v>
      </c>
      <c r="N15" s="13">
        <f>Test!D85</f>
        <v>45.340699999999998</v>
      </c>
      <c r="O15" s="13">
        <f>Test!E85</f>
        <v>43.0276</v>
      </c>
      <c r="P15" s="13">
        <f>Test!F85</f>
        <v>584860.17599999998</v>
      </c>
      <c r="Q15" s="13">
        <f>Test!G85</f>
        <v>68.665999999999997</v>
      </c>
      <c r="R15" s="14">
        <f>P15/3600</f>
        <v>162.46116000000001</v>
      </c>
      <c r="S15" s="17">
        <f>P15/H15</f>
        <v>0.94279704531499142</v>
      </c>
      <c r="T15" s="18">
        <f>Q15/I15</f>
        <v>0.97595156201142719</v>
      </c>
      <c r="U15" s="91"/>
      <c r="V15" s="37">
        <f>bdrate($D15:$D18,E15:E18,$L15:$L18,M15:M18)</f>
        <v>9.9350340760917533E-4</v>
      </c>
      <c r="W15" s="42">
        <f>bdrate($D15:$D18,F15:F18,$L15:$L18,N15:N18)</f>
        <v>-1.2004103542311961E-2</v>
      </c>
      <c r="X15" s="43">
        <f>bdrate($D15:$D18,G15:G18,$L15:$L18,O15:O18)</f>
        <v>-8.3121108454606851E-3</v>
      </c>
      <c r="Y15" s="37">
        <f>bdrateOld($D15:$D18,E15:E18,$L15:$L18,M15:M18)</f>
        <v>8.4915440954125287E-4</v>
      </c>
      <c r="Z15" s="42">
        <f>bdrateOld($D15:$D18,F15:F18,$L15:$L18,N15:N18)</f>
        <v>-9.2065519885317082E-3</v>
      </c>
      <c r="AA15" s="43">
        <f>bdrateOld($D15:$D18,G15:G18,$L15:$L18,O15:O18)</f>
        <v>-7.1367828535454647E-3</v>
      </c>
    </row>
    <row r="16" spans="1:27" x14ac:dyDescent="0.2">
      <c r="A16" s="16"/>
      <c r="B16" s="85"/>
      <c r="C16" s="16">
        <v>48</v>
      </c>
      <c r="D16" s="17">
        <f>Reference!B86</f>
        <v>9157.848</v>
      </c>
      <c r="E16" s="18">
        <f>Reference!C86</f>
        <v>37.090299999999999</v>
      </c>
      <c r="F16" s="18">
        <f>Reference!D86</f>
        <v>44.730499999999999</v>
      </c>
      <c r="G16" s="18">
        <f>Reference!E86</f>
        <v>42.387300000000003</v>
      </c>
      <c r="H16" s="18">
        <f>Reference!F86</f>
        <v>335523.39199999999</v>
      </c>
      <c r="I16" s="18">
        <f>Reference!G86</f>
        <v>68.356999999999999</v>
      </c>
      <c r="J16" s="19">
        <f t="shared" ref="J16:J26" si="3">H16/3600</f>
        <v>93.200942222222224</v>
      </c>
      <c r="L16" s="17">
        <f>Test!B86</f>
        <v>9177.2559999999994</v>
      </c>
      <c r="M16" s="18">
        <f>Test!C86</f>
        <v>37.090800000000002</v>
      </c>
      <c r="N16" s="18">
        <f>Test!D86</f>
        <v>44.7547</v>
      </c>
      <c r="O16" s="18">
        <f>Test!E86</f>
        <v>42.399500000000003</v>
      </c>
      <c r="P16" s="18">
        <f>Test!F86</f>
        <v>315085.70600000001</v>
      </c>
      <c r="Q16" s="18">
        <f>Test!G86</f>
        <v>58.667999999999999</v>
      </c>
      <c r="R16" s="19">
        <f t="shared" ref="R16:R26" si="4">P16/3600</f>
        <v>87.523807222222217</v>
      </c>
      <c r="S16" s="17">
        <f t="shared" ref="S16:S26" si="5">P16/H16</f>
        <v>0.93908715014421418</v>
      </c>
      <c r="T16" s="18">
        <f t="shared" ref="T16:T26" si="6">Q16/I16</f>
        <v>0.85825884693593923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4536.2640000000001</v>
      </c>
      <c r="E17" s="18">
        <f>Reference!C87</f>
        <v>36.246400000000001</v>
      </c>
      <c r="F17" s="18">
        <f>Reference!D87</f>
        <v>43.981000000000002</v>
      </c>
      <c r="G17" s="18">
        <f>Reference!E87</f>
        <v>41.597900000000003</v>
      </c>
      <c r="H17" s="18">
        <f>Reference!F87</f>
        <v>169565.429</v>
      </c>
      <c r="I17" s="18">
        <f>Reference!G87</f>
        <v>52.725999999999999</v>
      </c>
      <c r="J17" s="19">
        <f t="shared" si="3"/>
        <v>47.101508055555556</v>
      </c>
      <c r="L17" s="17">
        <f>Test!B87</f>
        <v>4542.576</v>
      </c>
      <c r="M17" s="18">
        <f>Test!C87</f>
        <v>36.246299999999998</v>
      </c>
      <c r="N17" s="18">
        <f>Test!D87</f>
        <v>43.987499999999997</v>
      </c>
      <c r="O17" s="18">
        <f>Test!E87</f>
        <v>41.611499999999999</v>
      </c>
      <c r="P17" s="18">
        <f>Test!F87</f>
        <v>159293.90599999999</v>
      </c>
      <c r="Q17" s="18">
        <f>Test!G87</f>
        <v>49.045999999999999</v>
      </c>
      <c r="R17" s="19">
        <f t="shared" si="4"/>
        <v>44.248307222222216</v>
      </c>
      <c r="S17" s="17">
        <f t="shared" si="5"/>
        <v>0.93942442713366991</v>
      </c>
      <c r="T17" s="18">
        <f t="shared" si="6"/>
        <v>0.9302052118499412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2200.56</v>
      </c>
      <c r="E18" s="23">
        <f>Reference!C88</f>
        <v>34.798699999999997</v>
      </c>
      <c r="F18" s="23">
        <f>Reference!D88</f>
        <v>42.674700000000001</v>
      </c>
      <c r="G18" s="23">
        <f>Reference!E88</f>
        <v>40.467799999999997</v>
      </c>
      <c r="H18" s="23">
        <f>Reference!F88</f>
        <v>82000.414000000004</v>
      </c>
      <c r="I18" s="23">
        <f>Reference!G88</f>
        <v>46.209000000000003</v>
      </c>
      <c r="J18" s="24">
        <f t="shared" si="3"/>
        <v>22.77789277777778</v>
      </c>
      <c r="L18" s="22">
        <f>Test!B88</f>
        <v>2200.288</v>
      </c>
      <c r="M18" s="23">
        <f>Test!C88</f>
        <v>34.799199999999999</v>
      </c>
      <c r="N18" s="23">
        <f>Test!D88</f>
        <v>42.677999999999997</v>
      </c>
      <c r="O18" s="23">
        <f>Test!E88</f>
        <v>40.433100000000003</v>
      </c>
      <c r="P18" s="23">
        <f>Test!F88</f>
        <v>77179.528000000006</v>
      </c>
      <c r="Q18" s="23">
        <f>Test!G88</f>
        <v>41.500999999999998</v>
      </c>
      <c r="R18" s="24">
        <f t="shared" si="4"/>
        <v>21.438757777777781</v>
      </c>
      <c r="S18" s="17">
        <f t="shared" si="5"/>
        <v>0.94120900413990594</v>
      </c>
      <c r="T18" s="18">
        <f t="shared" si="6"/>
        <v>0.89811508580579524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9851.5560000000005</v>
      </c>
      <c r="E19" s="13">
        <f>Reference!C89</f>
        <v>38.018999999999998</v>
      </c>
      <c r="F19" s="13">
        <f>Reference!D89</f>
        <v>39.8476</v>
      </c>
      <c r="G19" s="13">
        <f>Reference!E89</f>
        <v>43.342300000000002</v>
      </c>
      <c r="H19" s="13">
        <f>Reference!F89</f>
        <v>136374.40900000001</v>
      </c>
      <c r="I19" s="13">
        <f>Reference!G89</f>
        <v>15.188000000000001</v>
      </c>
      <c r="J19" s="14">
        <f t="shared" si="3"/>
        <v>37.881780277777779</v>
      </c>
      <c r="L19" s="12">
        <f>Test!B89</f>
        <v>9844.6759999999995</v>
      </c>
      <c r="M19" s="13">
        <f>Test!C89</f>
        <v>38.017699999999998</v>
      </c>
      <c r="N19" s="13">
        <f>Test!D89</f>
        <v>39.849800000000002</v>
      </c>
      <c r="O19" s="13">
        <f>Test!E89</f>
        <v>43.371600000000001</v>
      </c>
      <c r="P19" s="13">
        <f>Test!F89</f>
        <v>131397.492</v>
      </c>
      <c r="Q19" s="13">
        <f>Test!G89</f>
        <v>14.269</v>
      </c>
      <c r="R19" s="14">
        <f t="shared" si="4"/>
        <v>36.49930333333333</v>
      </c>
      <c r="S19" s="12">
        <f t="shared" si="5"/>
        <v>0.96350549170849187</v>
      </c>
      <c r="T19" s="13">
        <f t="shared" si="6"/>
        <v>0.9394917039768238</v>
      </c>
      <c r="U19" s="90"/>
      <c r="V19" s="37">
        <f>bdrate($D19:$D22,E19:E22,$L19:$L22,M19:M22)</f>
        <v>3.1976394787691653E-4</v>
      </c>
      <c r="W19" s="42">
        <f>bdrate($D19:$D22,F19:F22,$L19:$L22,N19:N22)</f>
        <v>-9.6004546672801006E-4</v>
      </c>
      <c r="X19" s="42">
        <f>bdrate($D19:$D22,G19:G22,$L19:$L22,O19:O22)</f>
        <v>-1.4071726269291318E-3</v>
      </c>
      <c r="Y19" s="40">
        <f>bdrateOld($D19:$D22,E19:E22,$L19:$L22,M19:M22)</f>
        <v>1.1507890976658608E-4</v>
      </c>
      <c r="Z19" s="44">
        <f>bdrateOld($D19:$D22,F19:F22,$L19:$L22,N19:N22)</f>
        <v>-1.1536656877354501E-3</v>
      </c>
      <c r="AA19" s="45">
        <f>bdrateOld($D19:$D22,G19:G22,$L19:$L22,O19:O22)</f>
        <v>-1.3746139483569175E-3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4580.2120000000004</v>
      </c>
      <c r="E20" s="18">
        <f>Reference!C90</f>
        <v>36.931399999999996</v>
      </c>
      <c r="F20" s="18">
        <f>Reference!D90</f>
        <v>39.348399999999998</v>
      </c>
      <c r="G20" s="18">
        <f>Reference!E90</f>
        <v>42.2316</v>
      </c>
      <c r="H20" s="18">
        <f>Reference!F90</f>
        <v>81658.585000000006</v>
      </c>
      <c r="I20" s="18">
        <f>Reference!G90</f>
        <v>12.737</v>
      </c>
      <c r="J20" s="19">
        <f t="shared" si="3"/>
        <v>22.682940277777778</v>
      </c>
      <c r="L20" s="17">
        <f>Test!B90</f>
        <v>4577.9960000000001</v>
      </c>
      <c r="M20" s="18">
        <f>Test!C90</f>
        <v>36.927700000000002</v>
      </c>
      <c r="N20" s="18">
        <f>Test!D90</f>
        <v>39.351199999999999</v>
      </c>
      <c r="O20" s="18">
        <f>Test!E90</f>
        <v>42.241799999999998</v>
      </c>
      <c r="P20" s="18">
        <f>Test!F90</f>
        <v>79621.123000000007</v>
      </c>
      <c r="Q20" s="18">
        <f>Test!G90</f>
        <v>12.17</v>
      </c>
      <c r="R20" s="19">
        <f t="shared" si="4"/>
        <v>22.116978611111112</v>
      </c>
      <c r="S20" s="17">
        <f t="shared" si="5"/>
        <v>0.97504901658533516</v>
      </c>
      <c r="T20" s="18">
        <f t="shared" si="6"/>
        <v>0.95548402292533563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2331.0360000000001</v>
      </c>
      <c r="E21" s="18">
        <f>Reference!C91</f>
        <v>35.382599999999996</v>
      </c>
      <c r="F21" s="18">
        <f>Reference!D91</f>
        <v>38.734699999999997</v>
      </c>
      <c r="G21" s="18">
        <f>Reference!E91</f>
        <v>40.968699999999998</v>
      </c>
      <c r="H21" s="18">
        <f>Reference!F91</f>
        <v>47529.235999999997</v>
      </c>
      <c r="I21" s="18">
        <f>Reference!G91</f>
        <v>10.846</v>
      </c>
      <c r="J21" s="19">
        <f t="shared" si="3"/>
        <v>13.202565555555555</v>
      </c>
      <c r="L21" s="17">
        <f>Test!B91</f>
        <v>2330.8200000000002</v>
      </c>
      <c r="M21" s="18">
        <f>Test!C91</f>
        <v>35.383299999999998</v>
      </c>
      <c r="N21" s="18">
        <f>Test!D91</f>
        <v>38.738799999999998</v>
      </c>
      <c r="O21" s="18">
        <f>Test!E91</f>
        <v>40.959800000000001</v>
      </c>
      <c r="P21" s="18">
        <f>Test!F91</f>
        <v>46743.637999999999</v>
      </c>
      <c r="Q21" s="18">
        <f>Test!G91</f>
        <v>10.298999999999999</v>
      </c>
      <c r="R21" s="19">
        <f t="shared" si="4"/>
        <v>12.984343888888889</v>
      </c>
      <c r="S21" s="17">
        <f t="shared" si="5"/>
        <v>0.98347126808434293</v>
      </c>
      <c r="T21" s="18">
        <f t="shared" si="6"/>
        <v>0.94956666052000727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1114.992</v>
      </c>
      <c r="E22" s="23">
        <f>Reference!C92</f>
        <v>33.189700000000002</v>
      </c>
      <c r="F22" s="23">
        <f>Reference!D92</f>
        <v>37.719499999999996</v>
      </c>
      <c r="G22" s="23">
        <f>Reference!E92</f>
        <v>39.223500000000001</v>
      </c>
      <c r="H22" s="23">
        <f>Reference!F92</f>
        <v>25510.031999999999</v>
      </c>
      <c r="I22" s="23">
        <f>Reference!G92</f>
        <v>9.6620000000000008</v>
      </c>
      <c r="J22" s="24">
        <f t="shared" si="3"/>
        <v>7.0861200000000002</v>
      </c>
      <c r="L22" s="22">
        <f>Test!B92</f>
        <v>1115.3520000000001</v>
      </c>
      <c r="M22" s="23">
        <f>Test!C92</f>
        <v>33.19</v>
      </c>
      <c r="N22" s="23">
        <f>Test!D92</f>
        <v>37.696599999999997</v>
      </c>
      <c r="O22" s="23">
        <f>Test!E92</f>
        <v>39.2089</v>
      </c>
      <c r="P22" s="23">
        <f>Test!F92</f>
        <v>25187.357</v>
      </c>
      <c r="Q22" s="23">
        <f>Test!G92</f>
        <v>9.1440000000000001</v>
      </c>
      <c r="R22" s="24">
        <f t="shared" si="4"/>
        <v>6.996488055555556</v>
      </c>
      <c r="S22" s="17">
        <f t="shared" si="5"/>
        <v>0.9873510546752744</v>
      </c>
      <c r="T22" s="18">
        <f t="shared" si="6"/>
        <v>0.94638791140550604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8688.6080000000002</v>
      </c>
      <c r="E23" s="13">
        <f>Reference!C93</f>
        <v>38.952199999999998</v>
      </c>
      <c r="F23" s="13">
        <f>Reference!D93</f>
        <v>44.055900000000001</v>
      </c>
      <c r="G23" s="13">
        <f>Reference!E93</f>
        <v>45.217300000000002</v>
      </c>
      <c r="H23" s="13">
        <f>Reference!F93</f>
        <v>144670.679</v>
      </c>
      <c r="I23" s="13">
        <f>Reference!G93</f>
        <v>16.010999999999999</v>
      </c>
      <c r="J23" s="14">
        <f t="shared" si="3"/>
        <v>40.186299722222223</v>
      </c>
      <c r="L23" s="12">
        <f>Test!B93</f>
        <v>8681.732</v>
      </c>
      <c r="M23" s="13">
        <f>Test!C93</f>
        <v>38.9527</v>
      </c>
      <c r="N23" s="13">
        <f>Test!D93</f>
        <v>44.057099999999998</v>
      </c>
      <c r="O23" s="13">
        <f>Test!E93</f>
        <v>45.224200000000003</v>
      </c>
      <c r="P23" s="13">
        <f>Test!F93</f>
        <v>140585.25399999999</v>
      </c>
      <c r="Q23" s="13">
        <f>Test!G93</f>
        <v>15.052</v>
      </c>
      <c r="R23" s="14">
        <f t="shared" si="4"/>
        <v>39.05145944444444</v>
      </c>
      <c r="S23" s="17">
        <f t="shared" si="5"/>
        <v>0.97176051824571852</v>
      </c>
      <c r="T23" s="18">
        <f t="shared" si="6"/>
        <v>0.94010367872087941</v>
      </c>
      <c r="U23" s="91"/>
      <c r="V23" s="37">
        <f>bdrate($D23:$D26,E23:E26,$L23:$L26,M23:M26)</f>
        <v>-2.0225631889903006E-4</v>
      </c>
      <c r="W23" s="42">
        <f>bdrate($D23:$D26,F23:F26,$L23:$L26,N23:N26)</f>
        <v>-9.5004322687419762E-4</v>
      </c>
      <c r="X23" s="42">
        <f>bdrate($D23:$D26,G23:G26,$L23:$L26,O23:O26)</f>
        <v>6.8645876512984927E-4</v>
      </c>
      <c r="Y23" s="40">
        <f>bdrateOld($D23:$D26,E23:E26,$L23:$L26,M23:M26)</f>
        <v>-8.9130821633309765E-5</v>
      </c>
      <c r="Z23" s="44">
        <f>bdrateOld($D23:$D26,F23:F26,$L23:$L26,N23:N26)</f>
        <v>-1.1699198501718966E-3</v>
      </c>
      <c r="AA23" s="45">
        <f>bdrateOld($D23:$D26,G23:G26,$L23:$L26,O23:O26)</f>
        <v>4.0424814736073067E-4</v>
      </c>
    </row>
    <row r="24" spans="1:27" x14ac:dyDescent="0.2">
      <c r="A24" s="34"/>
      <c r="B24" s="85"/>
      <c r="C24" s="16">
        <v>32</v>
      </c>
      <c r="D24" s="17">
        <f>Reference!B94</f>
        <v>4335.5240000000003</v>
      </c>
      <c r="E24" s="18">
        <f>Reference!C94</f>
        <v>37.922400000000003</v>
      </c>
      <c r="F24" s="18">
        <f>Reference!D94</f>
        <v>43.206200000000003</v>
      </c>
      <c r="G24" s="18">
        <f>Reference!E94</f>
        <v>43.78</v>
      </c>
      <c r="H24" s="18">
        <f>Reference!F94</f>
        <v>88863.835999999996</v>
      </c>
      <c r="I24" s="18">
        <f>Reference!G94</f>
        <v>13.837999999999999</v>
      </c>
      <c r="J24" s="19">
        <f t="shared" si="3"/>
        <v>24.684398888888889</v>
      </c>
      <c r="L24" s="17">
        <f>Test!B94</f>
        <v>4333.5519999999997</v>
      </c>
      <c r="M24" s="18">
        <f>Test!C94</f>
        <v>37.9238</v>
      </c>
      <c r="N24" s="18">
        <f>Test!D94</f>
        <v>43.206899999999997</v>
      </c>
      <c r="O24" s="18">
        <f>Test!E94</f>
        <v>43.7624</v>
      </c>
      <c r="P24" s="18">
        <f>Test!F94</f>
        <v>86237.284</v>
      </c>
      <c r="Q24" s="18">
        <f>Test!G94</f>
        <v>13.066000000000001</v>
      </c>
      <c r="R24" s="19">
        <f t="shared" si="4"/>
        <v>23.954801111111109</v>
      </c>
      <c r="S24" s="17">
        <f t="shared" si="5"/>
        <v>0.97044295949591919</v>
      </c>
      <c r="T24" s="18">
        <f t="shared" si="6"/>
        <v>0.94421159127041487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2209.06</v>
      </c>
      <c r="E25" s="18">
        <f>Reference!C95</f>
        <v>36.431199999999997</v>
      </c>
      <c r="F25" s="18">
        <f>Reference!D95</f>
        <v>42.196599999999997</v>
      </c>
      <c r="G25" s="18">
        <f>Reference!E95</f>
        <v>42.211300000000001</v>
      </c>
      <c r="H25" s="18">
        <f>Reference!F95</f>
        <v>49450.512999999999</v>
      </c>
      <c r="I25" s="18">
        <f>Reference!G95</f>
        <v>11.759</v>
      </c>
      <c r="J25" s="19">
        <f t="shared" si="3"/>
        <v>13.736253611111112</v>
      </c>
      <c r="L25" s="17">
        <f>Test!B95</f>
        <v>2209.8200000000002</v>
      </c>
      <c r="M25" s="18">
        <f>Test!C95</f>
        <v>36.4313</v>
      </c>
      <c r="N25" s="18">
        <f>Test!D95</f>
        <v>42.2012</v>
      </c>
      <c r="O25" s="18">
        <f>Test!E95</f>
        <v>42.212299999999999</v>
      </c>
      <c r="P25" s="18">
        <f>Test!F95</f>
        <v>48061.915000000001</v>
      </c>
      <c r="Q25" s="18">
        <f>Test!G95</f>
        <v>11.381</v>
      </c>
      <c r="R25" s="19">
        <f t="shared" si="4"/>
        <v>13.350531944444445</v>
      </c>
      <c r="S25" s="17">
        <f t="shared" si="5"/>
        <v>0.97191944196817537</v>
      </c>
      <c r="T25" s="18">
        <f t="shared" si="6"/>
        <v>0.96785440938855349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1085.712</v>
      </c>
      <c r="E26" s="23">
        <f>Reference!C96</f>
        <v>34.370600000000003</v>
      </c>
      <c r="F26" s="23">
        <f>Reference!D96</f>
        <v>40.813800000000001</v>
      </c>
      <c r="G26" s="23">
        <f>Reference!E96</f>
        <v>40.269300000000001</v>
      </c>
      <c r="H26" s="23">
        <f>Reference!F96</f>
        <v>26619.010999999999</v>
      </c>
      <c r="I26" s="23">
        <f>Reference!G96</f>
        <v>10.218</v>
      </c>
      <c r="J26" s="24">
        <f t="shared" si="3"/>
        <v>7.3941697222222222</v>
      </c>
      <c r="L26" s="22">
        <f>Test!B96</f>
        <v>1085.9480000000001</v>
      </c>
      <c r="M26" s="23">
        <f>Test!C96</f>
        <v>34.369900000000001</v>
      </c>
      <c r="N26" s="23">
        <f>Test!D96</f>
        <v>40.806199999999997</v>
      </c>
      <c r="O26" s="23">
        <f>Test!E96</f>
        <v>40.295699999999997</v>
      </c>
      <c r="P26" s="23">
        <f>Test!F96</f>
        <v>25569.367999999999</v>
      </c>
      <c r="Q26" s="23">
        <f>Test!G96</f>
        <v>9.74</v>
      </c>
      <c r="R26" s="24">
        <f t="shared" si="4"/>
        <v>7.102602222222222</v>
      </c>
      <c r="S26" s="17">
        <f t="shared" si="5"/>
        <v>0.9605679189208044</v>
      </c>
      <c r="T26" s="18">
        <f t="shared" si="6"/>
        <v>0.95321980818164032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6804.7240000000002</v>
      </c>
      <c r="E27" s="13">
        <f>Reference!C97</f>
        <v>39.707599999999999</v>
      </c>
      <c r="F27" s="13">
        <f>Reference!D97</f>
        <v>43.912100000000002</v>
      </c>
      <c r="G27" s="13">
        <f>Reference!E97</f>
        <v>45.0413</v>
      </c>
      <c r="H27" s="13">
        <f>Reference!F97</f>
        <v>132882.17600000001</v>
      </c>
      <c r="I27" s="13">
        <f>Reference!G97</f>
        <v>16.448</v>
      </c>
      <c r="J27" s="14">
        <f>H27/3600</f>
        <v>36.91171555555556</v>
      </c>
      <c r="L27" s="12">
        <f>Test!B97</f>
        <v>6800.92</v>
      </c>
      <c r="M27" s="13">
        <f>Test!C97</f>
        <v>39.707900000000002</v>
      </c>
      <c r="N27" s="13">
        <f>Test!D97</f>
        <v>43.904499999999999</v>
      </c>
      <c r="O27" s="13">
        <f>Test!E97</f>
        <v>45.047899999999998</v>
      </c>
      <c r="P27" s="13">
        <f>Test!F97</f>
        <v>127670.23</v>
      </c>
      <c r="Q27" s="13">
        <f>Test!G97</f>
        <v>15.195</v>
      </c>
      <c r="R27" s="14">
        <f>P27/3600</f>
        <v>35.463952777777777</v>
      </c>
      <c r="S27" s="17">
        <f t="shared" si="2"/>
        <v>0.9607776892515667</v>
      </c>
      <c r="T27" s="18">
        <f t="shared" si="2"/>
        <v>0.92382052529182879</v>
      </c>
      <c r="U27" s="91"/>
      <c r="V27" s="37">
        <f>bdrate($D27:$D30,E27:E30,$L27:$L30,M27:M30)</f>
        <v>4.8616650270116857E-4</v>
      </c>
      <c r="W27" s="42">
        <f>bdrate($D27:$D30,F27:F30,$L27:$L30,N27:N30)</f>
        <v>4.0418066933356478E-4</v>
      </c>
      <c r="X27" s="43">
        <f>bdrate($D27:$D30,G27:G30,$L27:$L30,O27:O30)</f>
        <v>-9.2819789157616572E-4</v>
      </c>
      <c r="Y27" s="37">
        <f>bdrateOld($D27:$D30,E27:E30,$L27:$L30,M27:M30)</f>
        <v>2.6802118800905994E-4</v>
      </c>
      <c r="Z27" s="42">
        <f>bdrateOld($D27:$D30,F27:F30,$L27:$L30,N27:N30)</f>
        <v>-2.160509115554099E-4</v>
      </c>
      <c r="AA27" s="43">
        <f>bdrateOld($D27:$D30,G27:G30,$L27:$L30,O27:O30)</f>
        <v>-1.4083143910018636E-3</v>
      </c>
    </row>
    <row r="28" spans="1:27" x14ac:dyDescent="0.2">
      <c r="A28" s="16"/>
      <c r="B28" s="85"/>
      <c r="C28" s="16">
        <v>48</v>
      </c>
      <c r="D28" s="17">
        <f>Reference!B98</f>
        <v>3225.7280000000001</v>
      </c>
      <c r="E28" s="18">
        <f>Reference!C98</f>
        <v>38.562100000000001</v>
      </c>
      <c r="F28" s="18">
        <f>Reference!D98</f>
        <v>43.146599999999999</v>
      </c>
      <c r="G28" s="18">
        <f>Reference!E98</f>
        <v>44.364199999999997</v>
      </c>
      <c r="H28" s="18">
        <f>Reference!F98</f>
        <v>79303.702000000005</v>
      </c>
      <c r="I28" s="18">
        <f>Reference!G98</f>
        <v>13.993</v>
      </c>
      <c r="J28" s="19">
        <f t="shared" ref="J28:J46" si="7">H28/3600</f>
        <v>22.028806111111113</v>
      </c>
      <c r="L28" s="17">
        <f>Test!B98</f>
        <v>3230.7</v>
      </c>
      <c r="M28" s="18">
        <f>Test!C98</f>
        <v>38.563000000000002</v>
      </c>
      <c r="N28" s="18">
        <f>Test!D98</f>
        <v>43.1477</v>
      </c>
      <c r="O28" s="18">
        <f>Test!E98</f>
        <v>44.365200000000002</v>
      </c>
      <c r="P28" s="18">
        <f>Test!F98</f>
        <v>75861.043999999994</v>
      </c>
      <c r="Q28" s="18">
        <f>Test!G98</f>
        <v>13.015000000000001</v>
      </c>
      <c r="R28" s="19">
        <f t="shared" ref="R28:R46" si="8">P28/3600</f>
        <v>21.072512222222219</v>
      </c>
      <c r="S28" s="17">
        <f t="shared" si="2"/>
        <v>0.95658893704609138</v>
      </c>
      <c r="T28" s="18">
        <f t="shared" si="2"/>
        <v>0.9301079110984064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1553.5119999999999</v>
      </c>
      <c r="E29" s="18">
        <f>Reference!C99</f>
        <v>36.889400000000002</v>
      </c>
      <c r="F29" s="18">
        <f>Reference!D99</f>
        <v>42.284799999999997</v>
      </c>
      <c r="G29" s="18">
        <f>Reference!E99</f>
        <v>43.478499999999997</v>
      </c>
      <c r="H29" s="18">
        <f>Reference!F99</f>
        <v>42122.366999999998</v>
      </c>
      <c r="I29" s="18">
        <f>Reference!G99</f>
        <v>12.166</v>
      </c>
      <c r="J29" s="19">
        <f t="shared" si="7"/>
        <v>11.7006575</v>
      </c>
      <c r="L29" s="17">
        <f>Test!B99</f>
        <v>1555.912</v>
      </c>
      <c r="M29" s="18">
        <f>Test!C99</f>
        <v>36.895099999999999</v>
      </c>
      <c r="N29" s="18">
        <f>Test!D99</f>
        <v>42.293199999999999</v>
      </c>
      <c r="O29" s="18">
        <f>Test!E99</f>
        <v>43.479199999999999</v>
      </c>
      <c r="P29" s="18">
        <f>Test!F99</f>
        <v>41067.341999999997</v>
      </c>
      <c r="Q29" s="18">
        <f>Test!G99</f>
        <v>11.558999999999999</v>
      </c>
      <c r="R29" s="19">
        <f t="shared" si="8"/>
        <v>11.407594999999999</v>
      </c>
      <c r="S29" s="17">
        <f t="shared" si="2"/>
        <v>0.97495333061411293</v>
      </c>
      <c r="T29" s="18">
        <f t="shared" si="2"/>
        <v>0.95010685517014626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699.75599999999997</v>
      </c>
      <c r="E30" s="23">
        <f>Reference!C100</f>
        <v>34.661000000000001</v>
      </c>
      <c r="F30" s="23">
        <f>Reference!D100</f>
        <v>41.006599999999999</v>
      </c>
      <c r="G30" s="23">
        <f>Reference!E100</f>
        <v>42.112000000000002</v>
      </c>
      <c r="H30" s="23">
        <f>Reference!F100</f>
        <v>21123.686000000002</v>
      </c>
      <c r="I30" s="23">
        <f>Reference!G100</f>
        <v>10.609</v>
      </c>
      <c r="J30" s="24">
        <f t="shared" si="7"/>
        <v>5.8676905555555559</v>
      </c>
      <c r="L30" s="22">
        <f>Test!B100</f>
        <v>702.90800000000002</v>
      </c>
      <c r="M30" s="23">
        <f>Test!C100</f>
        <v>34.664200000000001</v>
      </c>
      <c r="N30" s="23">
        <f>Test!D100</f>
        <v>40.995899999999999</v>
      </c>
      <c r="O30" s="23">
        <f>Test!E100</f>
        <v>42.131700000000002</v>
      </c>
      <c r="P30" s="23">
        <f>Test!F100</f>
        <v>20884.992999999999</v>
      </c>
      <c r="Q30" s="23">
        <f>Test!G100</f>
        <v>10.273</v>
      </c>
      <c r="R30" s="24">
        <f t="shared" si="8"/>
        <v>5.8013869444444444</v>
      </c>
      <c r="S30" s="17">
        <f t="shared" si="2"/>
        <v>0.9887002202172479</v>
      </c>
      <c r="T30" s="18">
        <f t="shared" si="2"/>
        <v>0.96832877745310586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5633.4440000000004</v>
      </c>
      <c r="E31" s="13">
        <f>Reference!C101</f>
        <v>44.939399999999999</v>
      </c>
      <c r="F31" s="13">
        <f>Reference!D101</f>
        <v>47.752099999999999</v>
      </c>
      <c r="G31" s="13">
        <f>Reference!E101</f>
        <v>48.5428</v>
      </c>
      <c r="H31" s="13">
        <f>Reference!F101</f>
        <v>100972.522</v>
      </c>
      <c r="I31" s="13">
        <f>Reference!G101</f>
        <v>16.84</v>
      </c>
      <c r="J31" s="14">
        <f t="shared" si="7"/>
        <v>28.047922777777778</v>
      </c>
      <c r="L31" s="12">
        <f>Test!B101</f>
        <v>5630.64</v>
      </c>
      <c r="M31" s="13">
        <f>Test!C101</f>
        <v>44.932899999999997</v>
      </c>
      <c r="N31" s="13">
        <f>Test!D101</f>
        <v>47.741199999999999</v>
      </c>
      <c r="O31" s="13">
        <f>Test!E101</f>
        <v>48.540799999999997</v>
      </c>
      <c r="P31" s="13">
        <f>Test!F101</f>
        <v>96874.032000000007</v>
      </c>
      <c r="Q31" s="13">
        <f>Test!G101</f>
        <v>15.03</v>
      </c>
      <c r="R31" s="14">
        <f t="shared" si="8"/>
        <v>26.909453333333335</v>
      </c>
      <c r="S31" s="17">
        <f t="shared" si="2"/>
        <v>0.95940984815651142</v>
      </c>
      <c r="T31" s="18">
        <f t="shared" si="2"/>
        <v>0.89251781472684077</v>
      </c>
      <c r="U31" s="91"/>
      <c r="V31" s="37">
        <f>bdrate($D31:$D34,E31:E34,$L31:$L34,M31:M34)</f>
        <v>-1.4526483882837393E-4</v>
      </c>
      <c r="W31" s="42">
        <f>bdrate($D31:$D34,F31:F34,$L31:$L34,N31:N34)</f>
        <v>3.2125014272008645E-3</v>
      </c>
      <c r="X31" s="42">
        <f>bdrate($D31:$D34,G31:G34,$L31:$L34,O31:O34)</f>
        <v>-1.1636732474533673E-3</v>
      </c>
      <c r="Y31" s="40">
        <f>bdrateOld($D31:$D34,E31:E34,$L31:$L34,M31:M34)</f>
        <v>-9.9864706960217653E-5</v>
      </c>
      <c r="Z31" s="44">
        <f>bdrateOld($D31:$D34,F31:F34,$L31:$L34,N31:N34)</f>
        <v>2.877807349390249E-3</v>
      </c>
      <c r="AA31" s="45">
        <f>bdrateOld($D31:$D34,G31:G34,$L31:$L34,O31:O34)</f>
        <v>-1.3672396130086639E-3</v>
      </c>
    </row>
    <row r="32" spans="1:27" x14ac:dyDescent="0.2">
      <c r="A32" s="16"/>
      <c r="B32" s="85"/>
      <c r="C32" s="16">
        <v>48</v>
      </c>
      <c r="D32" s="17">
        <f>Reference!B102</f>
        <v>3455.86</v>
      </c>
      <c r="E32" s="18">
        <f>Reference!C102</f>
        <v>42.693300000000001</v>
      </c>
      <c r="F32" s="18">
        <f>Reference!D102</f>
        <v>46.207599999999999</v>
      </c>
      <c r="G32" s="18">
        <f>Reference!E102</f>
        <v>46.7622</v>
      </c>
      <c r="H32" s="18">
        <f>Reference!F102</f>
        <v>68548.758000000002</v>
      </c>
      <c r="I32" s="18">
        <f>Reference!G102</f>
        <v>14.452999999999999</v>
      </c>
      <c r="J32" s="19">
        <f t="shared" si="7"/>
        <v>19.041321666666668</v>
      </c>
      <c r="L32" s="17">
        <f>Test!B102</f>
        <v>3453.0520000000001</v>
      </c>
      <c r="M32" s="18">
        <f>Test!C102</f>
        <v>42.690100000000001</v>
      </c>
      <c r="N32" s="18">
        <f>Test!D102</f>
        <v>46.180599999999998</v>
      </c>
      <c r="O32" s="18">
        <f>Test!E102</f>
        <v>46.751600000000003</v>
      </c>
      <c r="P32" s="18">
        <f>Test!F102</f>
        <v>66425.034</v>
      </c>
      <c r="Q32" s="18">
        <f>Test!G102</f>
        <v>13.865</v>
      </c>
      <c r="R32" s="19">
        <f t="shared" si="8"/>
        <v>18.451398333333334</v>
      </c>
      <c r="S32" s="17">
        <f t="shared" si="2"/>
        <v>0.96901878222213744</v>
      </c>
      <c r="T32" s="18">
        <f t="shared" si="2"/>
        <v>0.95931640489863701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1930.7719999999999</v>
      </c>
      <c r="E33" s="18">
        <f>Reference!C103</f>
        <v>39.875900000000001</v>
      </c>
      <c r="F33" s="18">
        <f>Reference!D103</f>
        <v>44.6297</v>
      </c>
      <c r="G33" s="18">
        <f>Reference!E103</f>
        <v>44.961300000000001</v>
      </c>
      <c r="H33" s="18">
        <f>Reference!F103</f>
        <v>42422.076999999997</v>
      </c>
      <c r="I33" s="18">
        <f>Reference!G103</f>
        <v>12.728</v>
      </c>
      <c r="J33" s="19">
        <f t="shared" si="7"/>
        <v>11.783910277777776</v>
      </c>
      <c r="L33" s="17">
        <f>Test!B103</f>
        <v>1931.944</v>
      </c>
      <c r="M33" s="18">
        <f>Test!C103</f>
        <v>39.8782</v>
      </c>
      <c r="N33" s="18">
        <f>Test!D103</f>
        <v>44.638800000000003</v>
      </c>
      <c r="O33" s="18">
        <f>Test!E103</f>
        <v>44.979100000000003</v>
      </c>
      <c r="P33" s="18">
        <f>Test!F103</f>
        <v>41385.440999999999</v>
      </c>
      <c r="Q33" s="18">
        <f>Test!G103</f>
        <v>12.087999999999999</v>
      </c>
      <c r="R33" s="19">
        <f t="shared" si="8"/>
        <v>11.495955833333333</v>
      </c>
      <c r="S33" s="17">
        <f t="shared" si="2"/>
        <v>0.97556376129344169</v>
      </c>
      <c r="T33" s="18">
        <f t="shared" si="2"/>
        <v>0.9497171590194845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986.11199999999997</v>
      </c>
      <c r="E34" s="23">
        <f>Reference!C104</f>
        <v>36.694299999999998</v>
      </c>
      <c r="F34" s="23">
        <f>Reference!D104</f>
        <v>42.8384</v>
      </c>
      <c r="G34" s="23">
        <f>Reference!E104</f>
        <v>42.899099999999997</v>
      </c>
      <c r="H34" s="23">
        <f>Reference!F104</f>
        <v>24087.808000000001</v>
      </c>
      <c r="I34" s="23">
        <f>Reference!G104</f>
        <v>11.002000000000001</v>
      </c>
      <c r="J34" s="24">
        <f t="shared" si="7"/>
        <v>6.691057777777778</v>
      </c>
      <c r="L34" s="22">
        <f>Test!B104</f>
        <v>985.77200000000005</v>
      </c>
      <c r="M34" s="23">
        <f>Test!C104</f>
        <v>36.700600000000001</v>
      </c>
      <c r="N34" s="23">
        <f>Test!D104</f>
        <v>42.816800000000001</v>
      </c>
      <c r="O34" s="23">
        <f>Test!E104</f>
        <v>42.8962</v>
      </c>
      <c r="P34" s="23">
        <f>Test!F104</f>
        <v>23169.525000000001</v>
      </c>
      <c r="Q34" s="23">
        <f>Test!G104</f>
        <v>10.326000000000001</v>
      </c>
      <c r="R34" s="24">
        <f t="shared" si="8"/>
        <v>6.4359791666666668</v>
      </c>
      <c r="S34" s="17">
        <f t="shared" si="2"/>
        <v>0.96187768517583672</v>
      </c>
      <c r="T34" s="18">
        <f t="shared" si="2"/>
        <v>0.93855662606798762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4136.076</v>
      </c>
      <c r="E35" s="13">
        <f>Reference!C105</f>
        <v>38.617800000000003</v>
      </c>
      <c r="F35" s="13">
        <f>Reference!D105</f>
        <v>46.22</v>
      </c>
      <c r="G35" s="13">
        <f>Reference!E105</f>
        <v>46.4422</v>
      </c>
      <c r="H35" s="13">
        <f>Reference!F105</f>
        <v>63020.025000000001</v>
      </c>
      <c r="I35" s="13">
        <f>Reference!G105</f>
        <v>6.6669999999999998</v>
      </c>
      <c r="J35" s="14">
        <f t="shared" si="7"/>
        <v>17.5055625</v>
      </c>
      <c r="L35" s="12">
        <f>Test!B105</f>
        <v>4138.4319999999998</v>
      </c>
      <c r="M35" s="13">
        <f>Test!C105</f>
        <v>38.619799999999998</v>
      </c>
      <c r="N35" s="13">
        <f>Test!D105</f>
        <v>46.238199999999999</v>
      </c>
      <c r="O35" s="13">
        <f>Test!E105</f>
        <v>46.437199999999997</v>
      </c>
      <c r="P35" s="13">
        <f>Test!F105</f>
        <v>62257.900999999998</v>
      </c>
      <c r="Q35" s="13">
        <f>Test!G105</f>
        <v>6.4640000000000004</v>
      </c>
      <c r="R35" s="14">
        <f t="shared" si="8"/>
        <v>17.293861388888889</v>
      </c>
      <c r="S35" s="12">
        <f t="shared" si="2"/>
        <v>0.9879066376124096</v>
      </c>
      <c r="T35" s="13">
        <f t="shared" si="2"/>
        <v>0.96955152242387888</v>
      </c>
      <c r="U35" s="90"/>
      <c r="V35" s="37">
        <f>bdrate($D35:$D38,E35:E38,$L35:$L38,M35:M38)</f>
        <v>2.8194846097795434E-4</v>
      </c>
      <c r="W35" s="42">
        <f>bdrate($D35:$D38,F35:F38,$L35:$L38,N35:N38)</f>
        <v>-4.5112610298821965E-3</v>
      </c>
      <c r="X35" s="42">
        <f>bdrate($D35:$D38,G35:G38,$L35:$L38,O35:O38)</f>
        <v>1.5681598586552603E-2</v>
      </c>
      <c r="Y35" s="40">
        <f>bdrateOld($D35:$D38,E35:E38,$L35:$L38,M35:M38)</f>
        <v>3.1066353562958504E-4</v>
      </c>
      <c r="Z35" s="44">
        <f>bdrateOld($D35:$D38,F35:F38,$L35:$L38,N35:N38)</f>
        <v>-6.8178161410918925E-3</v>
      </c>
      <c r="AA35" s="45">
        <f>bdrateOld($D35:$D38,G35:G38,$L35:$L38,O35:O38)</f>
        <v>1.4339162162503527E-2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1799.5039999999999</v>
      </c>
      <c r="E36" s="18">
        <f>Reference!C106</f>
        <v>37.112699999999997</v>
      </c>
      <c r="F36" s="18">
        <f>Reference!D106</f>
        <v>45.187199999999997</v>
      </c>
      <c r="G36" s="18">
        <f>Reference!E106</f>
        <v>45.396999999999998</v>
      </c>
      <c r="H36" s="18">
        <f>Reference!F106</f>
        <v>34130.589</v>
      </c>
      <c r="I36" s="18">
        <f>Reference!G106</f>
        <v>5.3979999999999997</v>
      </c>
      <c r="J36" s="19">
        <f t="shared" si="7"/>
        <v>9.4807191666666668</v>
      </c>
      <c r="L36" s="17">
        <f>Test!B106</f>
        <v>1802.72</v>
      </c>
      <c r="M36" s="18">
        <f>Test!C106</f>
        <v>37.117199999999997</v>
      </c>
      <c r="N36" s="18">
        <f>Test!D106</f>
        <v>45.167000000000002</v>
      </c>
      <c r="O36" s="18">
        <f>Test!E106</f>
        <v>45.365200000000002</v>
      </c>
      <c r="P36" s="18">
        <f>Test!F106</f>
        <v>33192.322999999997</v>
      </c>
      <c r="Q36" s="18">
        <f>Test!G106</f>
        <v>5.18</v>
      </c>
      <c r="R36" s="19">
        <f t="shared" si="8"/>
        <v>9.2200897222222213</v>
      </c>
      <c r="S36" s="17">
        <f t="shared" si="2"/>
        <v>0.97250952803656554</v>
      </c>
      <c r="T36" s="18">
        <f t="shared" si="2"/>
        <v>0.95961467210077811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848.70399999999995</v>
      </c>
      <c r="E37" s="18">
        <f>Reference!C107</f>
        <v>35.168500000000002</v>
      </c>
      <c r="F37" s="18">
        <f>Reference!D107</f>
        <v>43.872199999999999</v>
      </c>
      <c r="G37" s="18">
        <f>Reference!E107</f>
        <v>44.195599999999999</v>
      </c>
      <c r="H37" s="18">
        <f>Reference!F107</f>
        <v>18786.505000000001</v>
      </c>
      <c r="I37" s="18">
        <f>Reference!G107</f>
        <v>4.71</v>
      </c>
      <c r="J37" s="19">
        <f t="shared" si="7"/>
        <v>5.2184736111111114</v>
      </c>
      <c r="L37" s="17">
        <f>Test!B107</f>
        <v>848.88800000000003</v>
      </c>
      <c r="M37" s="18">
        <f>Test!C107</f>
        <v>35.169400000000003</v>
      </c>
      <c r="N37" s="18">
        <f>Test!D107</f>
        <v>43.891199999999998</v>
      </c>
      <c r="O37" s="18">
        <f>Test!E107</f>
        <v>44.170400000000001</v>
      </c>
      <c r="P37" s="18">
        <f>Test!F107</f>
        <v>18329.906999999999</v>
      </c>
      <c r="Q37" s="18">
        <f>Test!G107</f>
        <v>4.45</v>
      </c>
      <c r="R37" s="19">
        <f t="shared" si="8"/>
        <v>5.0916408333333329</v>
      </c>
      <c r="S37" s="17">
        <f t="shared" si="2"/>
        <v>0.97569542605183868</v>
      </c>
      <c r="T37" s="18">
        <f t="shared" si="2"/>
        <v>0.94479830148619959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402.28399999999999</v>
      </c>
      <c r="E38" s="23">
        <f>Reference!C108</f>
        <v>32.507899999999999</v>
      </c>
      <c r="F38" s="23">
        <f>Reference!D108</f>
        <v>42.119</v>
      </c>
      <c r="G38" s="23">
        <f>Reference!E108</f>
        <v>42.455800000000004</v>
      </c>
      <c r="H38" s="23">
        <f>Reference!F108</f>
        <v>9545.6569999999992</v>
      </c>
      <c r="I38" s="23">
        <f>Reference!G108</f>
        <v>4.1529999999999996</v>
      </c>
      <c r="J38" s="24">
        <f t="shared" si="7"/>
        <v>2.6515713888888888</v>
      </c>
      <c r="L38" s="22">
        <f>Test!B108</f>
        <v>402.17200000000003</v>
      </c>
      <c r="M38" s="23">
        <f>Test!C108</f>
        <v>32.494399999999999</v>
      </c>
      <c r="N38" s="23">
        <f>Test!D108</f>
        <v>42.176699999999997</v>
      </c>
      <c r="O38" s="23">
        <f>Test!E108</f>
        <v>42.419600000000003</v>
      </c>
      <c r="P38" s="23">
        <f>Test!F108</f>
        <v>9405.93</v>
      </c>
      <c r="Q38" s="23">
        <f>Test!G108</f>
        <v>3.847</v>
      </c>
      <c r="R38" s="24">
        <f t="shared" si="8"/>
        <v>2.6127583333333333</v>
      </c>
      <c r="S38" s="17">
        <f t="shared" si="2"/>
        <v>0.98536224379317228</v>
      </c>
      <c r="T38" s="18">
        <f t="shared" si="2"/>
        <v>0.92631832410305814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2456.8679999999999</v>
      </c>
      <c r="E39" s="13">
        <f>Reference!C109</f>
        <v>40.652299999999997</v>
      </c>
      <c r="F39" s="13">
        <f>Reference!D109</f>
        <v>46.1556</v>
      </c>
      <c r="G39" s="13">
        <f>Reference!E109</f>
        <v>47.3444</v>
      </c>
      <c r="H39" s="13">
        <f>Reference!F109</f>
        <v>50455.356</v>
      </c>
      <c r="I39" s="13">
        <f>Reference!G109</f>
        <v>7.04</v>
      </c>
      <c r="J39" s="14">
        <f t="shared" si="7"/>
        <v>14.015376666666667</v>
      </c>
      <c r="L39" s="12">
        <f>Test!B109</f>
        <v>2461.5079999999998</v>
      </c>
      <c r="M39" s="13">
        <f>Test!C109</f>
        <v>40.6524</v>
      </c>
      <c r="N39" s="13">
        <f>Test!D109</f>
        <v>46.1462</v>
      </c>
      <c r="O39" s="13">
        <f>Test!E109</f>
        <v>47.343200000000003</v>
      </c>
      <c r="P39" s="13">
        <f>Test!F109</f>
        <v>49315.383000000002</v>
      </c>
      <c r="Q39" s="13">
        <f>Test!G109</f>
        <v>6.4139999999999997</v>
      </c>
      <c r="R39" s="14">
        <f t="shared" si="8"/>
        <v>13.698717500000001</v>
      </c>
      <c r="S39" s="17">
        <f t="shared" si="2"/>
        <v>0.97740630350522162</v>
      </c>
      <c r="T39" s="18">
        <f t="shared" si="2"/>
        <v>0.91107954545454539</v>
      </c>
      <c r="U39" s="91"/>
      <c r="V39" s="37">
        <f>bdrate($D39:$D42,E39:E42,$L39:$L42,M39:M42)</f>
        <v>1.2130610594971447E-3</v>
      </c>
      <c r="W39" s="42">
        <f>bdrate($D39:$D42,F39:F42,$L39:$L42,N39:N42)</f>
        <v>-1.4889314912211127E-2</v>
      </c>
      <c r="X39" s="42">
        <f>bdrate($D39:$D42,G39:G42,$L39:$L42,O39:O42)</f>
        <v>6.6959250365525858E-3</v>
      </c>
      <c r="Y39" s="40">
        <f>bdrateOld($D39:$D42,E39:E42,$L39:$L42,M39:M42)</f>
        <v>1.8948458491150344E-3</v>
      </c>
      <c r="Z39" s="44">
        <f>bdrateOld($D39:$D42,F39:F42,$L39:$L42,N39:N42)</f>
        <v>-1.0205794528331369E-2</v>
      </c>
      <c r="AA39" s="45">
        <f>bdrateOld($D39:$D42,G39:G42,$L39:$L42,O39:O42)</f>
        <v>7.330631777412222E-3</v>
      </c>
    </row>
    <row r="40" spans="1:27" x14ac:dyDescent="0.2">
      <c r="A40" s="16"/>
      <c r="B40" s="85"/>
      <c r="C40" s="16">
        <v>32</v>
      </c>
      <c r="D40" s="17">
        <f>Reference!B110</f>
        <v>1112.18</v>
      </c>
      <c r="E40" s="18">
        <f>Reference!C110</f>
        <v>39.523499999999999</v>
      </c>
      <c r="F40" s="18">
        <f>Reference!D110</f>
        <v>45.5535</v>
      </c>
      <c r="G40" s="18">
        <f>Reference!E110</f>
        <v>46.058300000000003</v>
      </c>
      <c r="H40" s="18">
        <f>Reference!F110</f>
        <v>27864.699000000001</v>
      </c>
      <c r="I40" s="18">
        <f>Reference!G110</f>
        <v>5.6589999999999998</v>
      </c>
      <c r="J40" s="19">
        <f t="shared" si="7"/>
        <v>7.7401941666666669</v>
      </c>
      <c r="L40" s="17">
        <f>Test!B110</f>
        <v>1112.212</v>
      </c>
      <c r="M40" s="18">
        <f>Test!C110</f>
        <v>39.526699999999998</v>
      </c>
      <c r="N40" s="18">
        <f>Test!D110</f>
        <v>45.580599999999997</v>
      </c>
      <c r="O40" s="18">
        <f>Test!E110</f>
        <v>46.042200000000001</v>
      </c>
      <c r="P40" s="18">
        <f>Test!F110</f>
        <v>27249.044000000002</v>
      </c>
      <c r="Q40" s="18">
        <f>Test!G110</f>
        <v>5.54</v>
      </c>
      <c r="R40" s="19">
        <f t="shared" si="8"/>
        <v>7.5691788888888896</v>
      </c>
      <c r="S40" s="17">
        <f t="shared" si="2"/>
        <v>0.97790555713521254</v>
      </c>
      <c r="T40" s="18">
        <f t="shared" si="2"/>
        <v>0.97897154974377099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524.08799999999997</v>
      </c>
      <c r="E41" s="18">
        <f>Reference!C111</f>
        <v>37.988500000000002</v>
      </c>
      <c r="F41" s="18">
        <f>Reference!D111</f>
        <v>44.817900000000002</v>
      </c>
      <c r="G41" s="18">
        <f>Reference!E111</f>
        <v>44.576099999999997</v>
      </c>
      <c r="H41" s="18">
        <f>Reference!F111</f>
        <v>14364.781000000001</v>
      </c>
      <c r="I41" s="18">
        <f>Reference!G111</f>
        <v>4.9939999999999998</v>
      </c>
      <c r="J41" s="19">
        <f t="shared" si="7"/>
        <v>3.9902169444444446</v>
      </c>
      <c r="L41" s="17">
        <f>Test!B111</f>
        <v>525.67600000000004</v>
      </c>
      <c r="M41" s="18">
        <f>Test!C111</f>
        <v>37.983499999999999</v>
      </c>
      <c r="N41" s="18">
        <f>Test!D111</f>
        <v>44.839799999999997</v>
      </c>
      <c r="O41" s="18">
        <f>Test!E111</f>
        <v>44.5533</v>
      </c>
      <c r="P41" s="18">
        <f>Test!F111</f>
        <v>14042.074000000001</v>
      </c>
      <c r="Q41" s="18">
        <f>Test!G111</f>
        <v>4.7220000000000004</v>
      </c>
      <c r="R41" s="19">
        <f t="shared" si="8"/>
        <v>3.9005761111111115</v>
      </c>
      <c r="S41" s="17">
        <f t="shared" si="2"/>
        <v>0.97753484720720762</v>
      </c>
      <c r="T41" s="18">
        <f t="shared" si="2"/>
        <v>0.94553464156988398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239.27600000000001</v>
      </c>
      <c r="E42" s="23">
        <f>Reference!C112</f>
        <v>35.898899999999998</v>
      </c>
      <c r="F42" s="23">
        <f>Reference!D112</f>
        <v>43.614400000000003</v>
      </c>
      <c r="G42" s="23">
        <f>Reference!E112</f>
        <v>42.442599999999999</v>
      </c>
      <c r="H42" s="23">
        <f>Reference!F112</f>
        <v>7102.5950000000003</v>
      </c>
      <c r="I42" s="23">
        <f>Reference!G112</f>
        <v>4.3250000000000002</v>
      </c>
      <c r="J42" s="24">
        <f t="shared" si="7"/>
        <v>1.9729430555555556</v>
      </c>
      <c r="L42" s="22">
        <f>Test!B112</f>
        <v>238.37200000000001</v>
      </c>
      <c r="M42" s="23">
        <f>Test!C112</f>
        <v>35.9026</v>
      </c>
      <c r="N42" s="23">
        <f>Test!D112</f>
        <v>43.616100000000003</v>
      </c>
      <c r="O42" s="23">
        <f>Test!E112</f>
        <v>42.4711</v>
      </c>
      <c r="P42" s="23">
        <f>Test!F112</f>
        <v>6858.2420000000002</v>
      </c>
      <c r="Q42" s="23">
        <f>Test!G112</f>
        <v>4.0289999999999999</v>
      </c>
      <c r="R42" s="24">
        <f t="shared" si="8"/>
        <v>1.9050672222222222</v>
      </c>
      <c r="S42" s="17">
        <f t="shared" si="2"/>
        <v>0.96559665868601541</v>
      </c>
      <c r="T42" s="18">
        <f t="shared" si="2"/>
        <v>0.93156069364161842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939.07600000000002</v>
      </c>
      <c r="E43" s="13">
        <f>Reference!C113</f>
        <v>43.548400000000001</v>
      </c>
      <c r="F43" s="13">
        <f>Reference!D113</f>
        <v>47.271900000000002</v>
      </c>
      <c r="G43" s="13">
        <f>Reference!E113</f>
        <v>48.283999999999999</v>
      </c>
      <c r="H43" s="13">
        <f>Reference!F113</f>
        <v>22363.451000000001</v>
      </c>
      <c r="I43" s="13">
        <f>Reference!G113</f>
        <v>5.0780000000000003</v>
      </c>
      <c r="J43" s="14">
        <f t="shared" si="7"/>
        <v>6.2120697222222221</v>
      </c>
      <c r="L43" s="12">
        <f>Test!B113</f>
        <v>942.22799999999995</v>
      </c>
      <c r="M43" s="13">
        <f>Test!C113</f>
        <v>43.558599999999998</v>
      </c>
      <c r="N43" s="13">
        <f>Test!D113</f>
        <v>47.289900000000003</v>
      </c>
      <c r="O43" s="13">
        <f>Test!E113</f>
        <v>48.281300000000002</v>
      </c>
      <c r="P43" s="13">
        <f>Test!F113</f>
        <v>21496.638999999999</v>
      </c>
      <c r="Q43" s="13">
        <f>Test!G113</f>
        <v>4.6749999999999998</v>
      </c>
      <c r="R43" s="14">
        <f t="shared" si="8"/>
        <v>5.9712886111111105</v>
      </c>
      <c r="S43" s="17">
        <f t="shared" si="2"/>
        <v>0.9612397925525894</v>
      </c>
      <c r="T43" s="18">
        <f t="shared" si="2"/>
        <v>0.92063804647499003</v>
      </c>
      <c r="U43" s="91"/>
      <c r="V43" s="37">
        <f>bdrate($D43:$D46,E43:E46,$L43:$L46,M43:M46)</f>
        <v>-7.4275878388552208E-4</v>
      </c>
      <c r="W43" s="42">
        <f>bdrate($D43:$D46,F43:F46,$L43:$L46,N43:N46)</f>
        <v>1.0064992678002316E-2</v>
      </c>
      <c r="X43" s="42">
        <f>bdrate($D43:$D46,G43:G46,$L43:$L46,O43:O46)</f>
        <v>1.8703531449444366E-3</v>
      </c>
      <c r="Y43" s="40">
        <f>bdrateOld($D43:$D46,E43:E46,$L43:$L46,M43:M46)</f>
        <v>-3.9823884823031452E-4</v>
      </c>
      <c r="Z43" s="44">
        <f>bdrateOld($D43:$D46,F43:F46,$L43:$L46,N43:N46)</f>
        <v>6.4906669619322344E-3</v>
      </c>
      <c r="AA43" s="45">
        <f>bdrateOld($D43:$D46,G43:G46,$L43:$L46,O43:O46)</f>
        <v>-5.4829636165509843E-4</v>
      </c>
    </row>
    <row r="44" spans="1:27" x14ac:dyDescent="0.2">
      <c r="A44" s="16"/>
      <c r="B44" s="85"/>
      <c r="C44" s="16">
        <v>32</v>
      </c>
      <c r="D44" s="17">
        <f>Reference!B114</f>
        <v>515.29999999999995</v>
      </c>
      <c r="E44" s="18">
        <f>Reference!C114</f>
        <v>42.293799999999997</v>
      </c>
      <c r="F44" s="18">
        <f>Reference!D114</f>
        <v>46.5336</v>
      </c>
      <c r="G44" s="18">
        <f>Reference!E114</f>
        <v>47.3215</v>
      </c>
      <c r="H44" s="18">
        <f>Reference!F114</f>
        <v>12514.262000000001</v>
      </c>
      <c r="I44" s="18">
        <f>Reference!G114</f>
        <v>4.5389999999999997</v>
      </c>
      <c r="J44" s="19">
        <f t="shared" si="7"/>
        <v>3.476183888888889</v>
      </c>
      <c r="L44" s="17">
        <f>Test!B114</f>
        <v>516.41600000000005</v>
      </c>
      <c r="M44" s="18">
        <f>Test!C114</f>
        <v>42.304600000000001</v>
      </c>
      <c r="N44" s="18">
        <f>Test!D114</f>
        <v>46.505899999999997</v>
      </c>
      <c r="O44" s="18">
        <f>Test!E114</f>
        <v>47.3</v>
      </c>
      <c r="P44" s="18">
        <f>Test!F114</f>
        <v>12244.812</v>
      </c>
      <c r="Q44" s="18">
        <f>Test!G114</f>
        <v>4.3339999999999996</v>
      </c>
      <c r="R44" s="19">
        <f t="shared" si="8"/>
        <v>3.4013366666666665</v>
      </c>
      <c r="S44" s="17">
        <f t="shared" si="2"/>
        <v>0.97846856650436109</v>
      </c>
      <c r="T44" s="18">
        <f t="shared" si="2"/>
        <v>0.95483586693104205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296</v>
      </c>
      <c r="E45" s="18">
        <f>Reference!C115</f>
        <v>40.553699999999999</v>
      </c>
      <c r="F45" s="18">
        <f>Reference!D115</f>
        <v>45.552599999999998</v>
      </c>
      <c r="G45" s="18">
        <f>Reference!E115</f>
        <v>46.095999999999997</v>
      </c>
      <c r="H45" s="18">
        <f>Reference!F115</f>
        <v>7047.009</v>
      </c>
      <c r="I45" s="18">
        <f>Reference!G115</f>
        <v>4.41</v>
      </c>
      <c r="J45" s="19">
        <f t="shared" si="7"/>
        <v>1.9575024999999999</v>
      </c>
      <c r="L45" s="17">
        <f>Test!B115</f>
        <v>295.61200000000002</v>
      </c>
      <c r="M45" s="18">
        <f>Test!C115</f>
        <v>40.546199999999999</v>
      </c>
      <c r="N45" s="18">
        <f>Test!D115</f>
        <v>45.524500000000003</v>
      </c>
      <c r="O45" s="18">
        <f>Test!E115</f>
        <v>46.107900000000001</v>
      </c>
      <c r="P45" s="18">
        <f>Test!F115</f>
        <v>6916.0249999999996</v>
      </c>
      <c r="Q45" s="18">
        <f>Test!G115</f>
        <v>4.3639999999999999</v>
      </c>
      <c r="R45" s="19">
        <f t="shared" si="8"/>
        <v>1.9211180555555554</v>
      </c>
      <c r="S45" s="17">
        <f t="shared" si="2"/>
        <v>0.98141282351136483</v>
      </c>
      <c r="T45" s="18">
        <f t="shared" si="2"/>
        <v>0.9895691609977324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166.18799999999999</v>
      </c>
      <c r="E46" s="23">
        <f>Reference!C116</f>
        <v>38.024700000000003</v>
      </c>
      <c r="F46" s="23">
        <f>Reference!D116</f>
        <v>43.859200000000001</v>
      </c>
      <c r="G46" s="23">
        <f>Reference!E116</f>
        <v>44.227200000000003</v>
      </c>
      <c r="H46" s="23">
        <f>Reference!F116</f>
        <v>4095.3380000000002</v>
      </c>
      <c r="I46" s="23">
        <f>Reference!G116</f>
        <v>4.2679999999999998</v>
      </c>
      <c r="J46" s="24">
        <f t="shared" si="7"/>
        <v>1.137593888888889</v>
      </c>
      <c r="L46" s="22">
        <f>Test!B116</f>
        <v>165.3</v>
      </c>
      <c r="M46" s="23">
        <f>Test!C116</f>
        <v>38.006300000000003</v>
      </c>
      <c r="N46" s="23">
        <f>Test!D116</f>
        <v>43.829700000000003</v>
      </c>
      <c r="O46" s="23">
        <f>Test!E116</f>
        <v>44.186300000000003</v>
      </c>
      <c r="P46" s="23">
        <f>Test!F116</f>
        <v>4097.2079999999996</v>
      </c>
      <c r="Q46" s="23">
        <f>Test!G116</f>
        <v>4.2160000000000002</v>
      </c>
      <c r="R46" s="24">
        <f t="shared" si="8"/>
        <v>1.1381133333333333</v>
      </c>
      <c r="S46" s="17">
        <f t="shared" si="2"/>
        <v>1.0004566167676512</v>
      </c>
      <c r="T46" s="18">
        <f t="shared" si="2"/>
        <v>0.98781630740393633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1311.136</v>
      </c>
      <c r="E47" s="13">
        <f>Reference!C117</f>
        <v>42.926699999999997</v>
      </c>
      <c r="F47" s="13">
        <f>Reference!D117</f>
        <v>49.040900000000001</v>
      </c>
      <c r="G47" s="13">
        <f>Reference!E117</f>
        <v>48.694899999999997</v>
      </c>
      <c r="H47" s="13">
        <f>Reference!F117</f>
        <v>25253.105</v>
      </c>
      <c r="I47" s="13">
        <f>Reference!G117</f>
        <v>4.8010000000000002</v>
      </c>
      <c r="J47" s="14">
        <f>H47/3600</f>
        <v>7.0147513888888886</v>
      </c>
      <c r="L47" s="12">
        <f>Test!B117</f>
        <v>1314.42</v>
      </c>
      <c r="M47" s="13">
        <f>Test!C117</f>
        <v>42.926600000000001</v>
      </c>
      <c r="N47" s="13">
        <f>Test!D117</f>
        <v>49.058700000000002</v>
      </c>
      <c r="O47" s="13">
        <f>Test!E117</f>
        <v>48.747799999999998</v>
      </c>
      <c r="P47" s="13">
        <f>Test!F117</f>
        <v>24796.679</v>
      </c>
      <c r="Q47" s="13">
        <f>Test!G117</f>
        <v>4.6790000000000003</v>
      </c>
      <c r="R47" s="14">
        <f>P47/3600</f>
        <v>6.8879663888888887</v>
      </c>
      <c r="S47" s="17">
        <f t="shared" ref="S47:T62" si="9">P47/H47</f>
        <v>0.98192594534414679</v>
      </c>
      <c r="T47" s="18">
        <f t="shared" si="9"/>
        <v>0.97458862736929808</v>
      </c>
      <c r="U47" s="91"/>
      <c r="V47" s="72">
        <f>bdrate($D47:$D50,E47:E50,$L47:$L50,M47:M50)</f>
        <v>9.3479575563382156E-4</v>
      </c>
      <c r="W47" s="73">
        <f>bdrate($D47:$D50,F47:F50,$L47:$L50,N47:N50)</f>
        <v>-8.0774913787959868E-3</v>
      </c>
      <c r="X47" s="74">
        <f>bdrate($D47:$D50,G47:G50,$L47:$L50,O47:O50)</f>
        <v>-3.1314020958386313E-2</v>
      </c>
      <c r="Y47" s="37">
        <f>bdrateOld($D47:$D50,E47:E50,$L47:$L50,M47:M50)</f>
        <v>8.8925237245374156E-4</v>
      </c>
      <c r="Z47" s="42">
        <f>bdrateOld($D47:$D50,F47:F50,$L47:$L50,N47:N50)</f>
        <v>-2.5569523500540425E-3</v>
      </c>
      <c r="AA47" s="43">
        <f>bdrateOld($D47:$D50,G47:G50,$L47:$L50,O47:O50)</f>
        <v>-3.0092157397483166E-2</v>
      </c>
    </row>
    <row r="48" spans="1:27" x14ac:dyDescent="0.2">
      <c r="A48" s="16"/>
      <c r="B48" s="85"/>
      <c r="C48" s="16">
        <v>32</v>
      </c>
      <c r="D48" s="17">
        <f>Reference!B118</f>
        <v>711</v>
      </c>
      <c r="E48" s="18">
        <f>Reference!C118</f>
        <v>41.686500000000002</v>
      </c>
      <c r="F48" s="18">
        <f>Reference!D118</f>
        <v>48.188600000000001</v>
      </c>
      <c r="G48" s="18">
        <f>Reference!E118</f>
        <v>47.662799999999997</v>
      </c>
      <c r="H48" s="18">
        <f>Reference!F118</f>
        <v>14614.044</v>
      </c>
      <c r="I48" s="18">
        <f>Reference!G118</f>
        <v>4.351</v>
      </c>
      <c r="J48" s="19">
        <f t="shared" ref="J48:J70" si="10">H48/3600</f>
        <v>4.0594566666666667</v>
      </c>
      <c r="L48" s="17">
        <f>Test!B118</f>
        <v>711.84799999999996</v>
      </c>
      <c r="M48" s="18">
        <f>Test!C118</f>
        <v>41.689300000000003</v>
      </c>
      <c r="N48" s="18">
        <f>Test!D118</f>
        <v>48.258400000000002</v>
      </c>
      <c r="O48" s="18">
        <f>Test!E118</f>
        <v>47.74</v>
      </c>
      <c r="P48" s="18">
        <f>Test!F118</f>
        <v>14464.296</v>
      </c>
      <c r="Q48" s="18">
        <f>Test!G118</f>
        <v>4.3079999999999998</v>
      </c>
      <c r="R48" s="19">
        <f t="shared" ref="R48:R70" si="11">P48/3600</f>
        <v>4.0178599999999998</v>
      </c>
      <c r="S48" s="17">
        <f t="shared" si="9"/>
        <v>0.98975314430420491</v>
      </c>
      <c r="T48" s="18">
        <f t="shared" si="9"/>
        <v>0.99011721443346357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405.14800000000002</v>
      </c>
      <c r="E49" s="18">
        <f>Reference!C119</f>
        <v>39.863399999999999</v>
      </c>
      <c r="F49" s="18">
        <f>Reference!D119</f>
        <v>47.200699999999998</v>
      </c>
      <c r="G49" s="18">
        <f>Reference!E119</f>
        <v>46.142400000000002</v>
      </c>
      <c r="H49" s="18">
        <f>Reference!F119</f>
        <v>8629.3070000000007</v>
      </c>
      <c r="I49" s="18">
        <f>Reference!G119</f>
        <v>4.28</v>
      </c>
      <c r="J49" s="19">
        <f t="shared" si="10"/>
        <v>2.3970297222222223</v>
      </c>
      <c r="L49" s="17">
        <f>Test!B119</f>
        <v>404.79199999999997</v>
      </c>
      <c r="M49" s="18">
        <f>Test!C119</f>
        <v>39.8538</v>
      </c>
      <c r="N49" s="18">
        <f>Test!D119</f>
        <v>47.148899999999998</v>
      </c>
      <c r="O49" s="18">
        <f>Test!E119</f>
        <v>46.288499999999999</v>
      </c>
      <c r="P49" s="18">
        <f>Test!F119</f>
        <v>8338.6740000000009</v>
      </c>
      <c r="Q49" s="18">
        <f>Test!G119</f>
        <v>4.0609999999999999</v>
      </c>
      <c r="R49" s="19">
        <f t="shared" si="11"/>
        <v>2.3162983333333336</v>
      </c>
      <c r="S49" s="17">
        <f t="shared" si="9"/>
        <v>0.9663202386935591</v>
      </c>
      <c r="T49" s="18">
        <f t="shared" si="9"/>
        <v>0.94883177570093447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225.25200000000001</v>
      </c>
      <c r="E50" s="23">
        <f>Reference!C120</f>
        <v>37.143099999999997</v>
      </c>
      <c r="F50" s="23">
        <f>Reference!D120</f>
        <v>45.6569</v>
      </c>
      <c r="G50" s="23">
        <f>Reference!E120</f>
        <v>44.154899999999998</v>
      </c>
      <c r="H50" s="23">
        <f>Reference!F120</f>
        <v>4975.0860000000002</v>
      </c>
      <c r="I50" s="23">
        <f>Reference!G120</f>
        <v>4.2629999999999999</v>
      </c>
      <c r="J50" s="24">
        <f t="shared" si="10"/>
        <v>1.3819683333333335</v>
      </c>
      <c r="L50" s="22">
        <f>Test!B120</f>
        <v>225.93199999999999</v>
      </c>
      <c r="M50" s="23">
        <f>Test!C120</f>
        <v>37.163400000000003</v>
      </c>
      <c r="N50" s="23">
        <f>Test!D120</f>
        <v>45.773499999999999</v>
      </c>
      <c r="O50" s="23">
        <f>Test!E120</f>
        <v>44.056100000000001</v>
      </c>
      <c r="P50" s="23">
        <f>Test!F120</f>
        <v>4773.866</v>
      </c>
      <c r="Q50" s="23">
        <f>Test!G120</f>
        <v>3.9740000000000002</v>
      </c>
      <c r="R50" s="24">
        <f t="shared" si="11"/>
        <v>1.3260738888888888</v>
      </c>
      <c r="S50" s="22">
        <f t="shared" si="9"/>
        <v>0.95955446800316613</v>
      </c>
      <c r="T50" s="23">
        <f t="shared" si="9"/>
        <v>0.9322073657049027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52.62562663228082</v>
      </c>
      <c r="J75" s="15">
        <f>GEOMEAN(J3:J18)</f>
        <v>66.631389376668437</v>
      </c>
      <c r="Q75" s="15">
        <f>GEOMEAN(Q3:Q18)</f>
        <v>48.507992826031959</v>
      </c>
      <c r="R75" s="15">
        <f>GEOMEAN(R3:R18)</f>
        <v>62.694599949990376</v>
      </c>
      <c r="S75" s="15">
        <f>GEOMEAN(S3:S18)</f>
        <v>0.9409168942219811</v>
      </c>
      <c r="T75" s="15">
        <f>GEOMEAN(T3:T18)</f>
        <v>0.92175610876767999</v>
      </c>
      <c r="V75" s="37">
        <f>AVERAGE(V3:V18)</f>
        <v>3.1971523650567435E-4</v>
      </c>
      <c r="W75" s="42">
        <f t="shared" ref="W75:AA75" si="16">AVERAGE(W3:W18)</f>
        <v>-5.4969073149571668E-3</v>
      </c>
      <c r="X75" s="42">
        <f t="shared" si="16"/>
        <v>-9.5854812042477089E-3</v>
      </c>
      <c r="Y75" s="37">
        <f>AVERAGE(Y3:Y18)</f>
        <v>2.7813737254722692E-4</v>
      </c>
      <c r="Z75" s="42">
        <f t="shared" si="16"/>
        <v>-4.9522032971301699E-3</v>
      </c>
      <c r="AA75" s="43">
        <f t="shared" si="16"/>
        <v>-9.3697814015180347E-3</v>
      </c>
    </row>
    <row r="76" spans="1:27" x14ac:dyDescent="0.2">
      <c r="B76" s="89" t="s">
        <v>47</v>
      </c>
      <c r="I76" s="15">
        <f>GEOMEAN(I19:I34)</f>
        <v>12.840868790353317</v>
      </c>
      <c r="J76" s="15">
        <f>GEOMEAN(J19:J34)</f>
        <v>16.031691413500621</v>
      </c>
      <c r="Q76" s="15">
        <f>GEOMEAN(Q19:Q34)</f>
        <v>12.123449790645898</v>
      </c>
      <c r="R76" s="15">
        <f>GEOMEAN(R19:R34)</f>
        <v>15.560954305823863</v>
      </c>
      <c r="S76" s="15">
        <f>GEOMEAN(S19:S34)</f>
        <v>0.97063709027730294</v>
      </c>
      <c r="T76" s="15">
        <f>GEOMEAN(T19:T34)</f>
        <v>0.94413002644755784</v>
      </c>
      <c r="V76" s="40">
        <f>AVERAGE(V19:V34)</f>
        <v>1.1460232321267028E-4</v>
      </c>
      <c r="W76" s="44">
        <f t="shared" ref="W76:AA76" si="17">AVERAGE(W19:W34)</f>
        <v>4.266483507330554E-4</v>
      </c>
      <c r="X76" s="44">
        <f t="shared" si="17"/>
        <v>-7.0314625020720389E-4</v>
      </c>
      <c r="Y76" s="40">
        <f t="shared" si="17"/>
        <v>4.8526142295529651E-5</v>
      </c>
      <c r="Z76" s="44">
        <f t="shared" si="17"/>
        <v>8.4542724981873096E-5</v>
      </c>
      <c r="AA76" s="45">
        <f t="shared" si="17"/>
        <v>-9.364799512516786E-4</v>
      </c>
    </row>
    <row r="77" spans="1:27" x14ac:dyDescent="0.2">
      <c r="B77" s="89" t="s">
        <v>51</v>
      </c>
      <c r="I77" s="15">
        <f>GEOMEAN(I35:I50)</f>
        <v>4.8701580913760081</v>
      </c>
      <c r="J77" s="15">
        <f>GEOMEAN(J35:J50)</f>
        <v>4.1862558028839727</v>
      </c>
      <c r="Q77" s="15">
        <f>GEOMEAN(Q35:Q50)</f>
        <v>4.64516661250879</v>
      </c>
      <c r="R77" s="15">
        <f>GEOMEAN(R35:R50)</f>
        <v>4.091580233418993</v>
      </c>
      <c r="S77" s="15">
        <f>GEOMEAN(S35:S50)</f>
        <v>0.97738418913632641</v>
      </c>
      <c r="T77" s="15">
        <f>GEOMEAN(T35:T50)</f>
        <v>0.95380201737893711</v>
      </c>
      <c r="V77" s="40">
        <f>AVERAGE(V35:V50)</f>
        <v>4.2176162305584963E-4</v>
      </c>
      <c r="W77" s="44">
        <f t="shared" ref="W77:AA77" si="18">AVERAGE(W35:W50)</f>
        <v>-4.3532686607217486E-3</v>
      </c>
      <c r="X77" s="44">
        <f t="shared" si="18"/>
        <v>-1.7665360475841718E-3</v>
      </c>
      <c r="Y77" s="40">
        <f t="shared" si="18"/>
        <v>6.7413072724201162E-4</v>
      </c>
      <c r="Z77" s="44">
        <f t="shared" si="18"/>
        <v>-3.2724740143862674E-3</v>
      </c>
      <c r="AA77" s="45">
        <f t="shared" si="18"/>
        <v>-2.2426649548056288E-3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14.874586990320129</v>
      </c>
      <c r="J80" s="54">
        <f xml:space="preserve"> GEOMEAN(J3:J50)</f>
        <v>16.47509745084556</v>
      </c>
      <c r="K80" s="4"/>
      <c r="L80" s="4"/>
      <c r="M80" s="4"/>
      <c r="N80" s="4"/>
      <c r="O80" s="4"/>
      <c r="P80" s="4"/>
      <c r="Q80" s="54">
        <f xml:space="preserve"> GEOMEAN(Q3:Q50)</f>
        <v>13.979134159928599</v>
      </c>
      <c r="R80" s="54">
        <f xml:space="preserve"> GEOMEAN(R3:R50)</f>
        <v>15.863017801487219</v>
      </c>
      <c r="S80" s="54">
        <f>GEOMEAN(S3:S50)</f>
        <v>0.96284819248052922</v>
      </c>
      <c r="T80" s="54">
        <f>GEOMEAN(T3:T50)</f>
        <v>0.93979981891434983</v>
      </c>
      <c r="U80" s="4"/>
      <c r="V80" s="41">
        <f>AVERAGE(V3:V50)</f>
        <v>2.853597275913981E-4</v>
      </c>
      <c r="W80" s="46">
        <f t="shared" ref="W80:AA80" si="22">AVERAGE(W3:W50)</f>
        <v>-3.1411758749819532E-3</v>
      </c>
      <c r="X80" s="47">
        <f t="shared" si="22"/>
        <v>-4.0183878340130279E-3</v>
      </c>
      <c r="Y80" s="46">
        <f t="shared" si="22"/>
        <v>3.3359808069492275E-4</v>
      </c>
      <c r="Z80" s="46">
        <f t="shared" si="22"/>
        <v>-2.7133781955115213E-3</v>
      </c>
      <c r="AA80" s="47">
        <f t="shared" si="22"/>
        <v>-4.1829754358584477E-3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O28" sqref="O28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16788.304</v>
      </c>
      <c r="E3" s="13">
        <f>Reference!C145</f>
        <v>40.1633</v>
      </c>
      <c r="F3" s="13">
        <f>Reference!D145</f>
        <v>48.760599999999997</v>
      </c>
      <c r="G3" s="13">
        <f>Reference!E145</f>
        <v>46.675400000000003</v>
      </c>
      <c r="H3" s="13">
        <f>Reference!F145</f>
        <v>246478.31200000001</v>
      </c>
      <c r="I3" s="13">
        <f>Reference!G145</f>
        <v>32.296999999999997</v>
      </c>
      <c r="J3" s="14">
        <f>H3/3600</f>
        <v>68.466197777777779</v>
      </c>
      <c r="L3" s="12">
        <f>Test!B145</f>
        <v>16800.727999999999</v>
      </c>
      <c r="M3" s="13">
        <f>Test!C145</f>
        <v>40.163800000000002</v>
      </c>
      <c r="N3" s="13">
        <f>Test!D145</f>
        <v>48.757199999999997</v>
      </c>
      <c r="O3" s="13">
        <f>Test!E145</f>
        <v>46.677900000000001</v>
      </c>
      <c r="P3" s="13">
        <f>Test!F145</f>
        <v>229756.56200000001</v>
      </c>
      <c r="Q3" s="13">
        <f>Test!G145</f>
        <v>30.146999999999998</v>
      </c>
      <c r="R3" s="14">
        <f>P3/3600</f>
        <v>63.821267222222225</v>
      </c>
      <c r="S3" s="12">
        <f t="shared" ref="S3:T3" si="0">P3/H3</f>
        <v>0.93215731694884374</v>
      </c>
      <c r="T3" s="13">
        <f t="shared" si="0"/>
        <v>0.93343034956807136</v>
      </c>
      <c r="U3" s="90"/>
      <c r="V3" s="37">
        <f>bdrate($D3:$D6,E3:E6,$L3:$L6,M3:M6)</f>
        <v>-4.4709616692673038E-5</v>
      </c>
      <c r="W3" s="42">
        <f>bdrate($D3:$D6,F3:F6,$L3:$L6,N3:N6)</f>
        <v>-5.0210335240512549E-3</v>
      </c>
      <c r="X3" s="43">
        <f>bdrate($D3:$D6,G3:G6,$L3:$L6,O3:O6)</f>
        <v>-7.0959448135125003E-3</v>
      </c>
      <c r="Y3" s="37">
        <f>bdrateOld($D3:$D6,E3:E6,$L3:$L6,M3:M6)</f>
        <v>3.8972492883293519E-4</v>
      </c>
      <c r="Z3" s="42">
        <f>bdrateOld($D3:$D6,F3:F6,$L3:$L6,N3:N6)</f>
        <v>-3.3693247938485493E-3</v>
      </c>
      <c r="AA3" s="43">
        <f>bdrateOld($D3:$D6,G3:G6,$L3:$L6,O3:O6)</f>
        <v>-7.6844655739245482E-3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8417.0159999999996</v>
      </c>
      <c r="E4" s="18">
        <f>Reference!C146</f>
        <v>39.554600000000001</v>
      </c>
      <c r="F4" s="18">
        <f>Reference!D146</f>
        <v>47.913499999999999</v>
      </c>
      <c r="G4" s="18">
        <f>Reference!E146</f>
        <v>45.539200000000001</v>
      </c>
      <c r="H4" s="18">
        <f>Reference!F146</f>
        <v>137581.859</v>
      </c>
      <c r="I4" s="18">
        <f>Reference!G146</f>
        <v>29.311</v>
      </c>
      <c r="J4" s="19">
        <f t="shared" ref="J4:J14" si="1">H4/3600</f>
        <v>38.217183055555552</v>
      </c>
      <c r="L4" s="17">
        <f>Test!B146</f>
        <v>8418.1440000000002</v>
      </c>
      <c r="M4" s="18">
        <f>Test!C146</f>
        <v>39.5563</v>
      </c>
      <c r="N4" s="18">
        <f>Test!D146</f>
        <v>47.9377</v>
      </c>
      <c r="O4" s="18">
        <f>Test!E146</f>
        <v>45.532499999999999</v>
      </c>
      <c r="P4" s="18">
        <f>Test!F146</f>
        <v>131292.516</v>
      </c>
      <c r="Q4" s="18">
        <f>Test!G146</f>
        <v>27.898</v>
      </c>
      <c r="R4" s="19">
        <f t="shared" ref="R4:R14" si="2">P4/3600</f>
        <v>36.470143333333333</v>
      </c>
      <c r="S4" s="17">
        <f t="shared" ref="S4:S26" si="3">P4/H4</f>
        <v>0.95428653860535495</v>
      </c>
      <c r="T4" s="18">
        <f t="shared" ref="T4:T26" si="4">Q4/I4</f>
        <v>0.95179284227764316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4600.9040000000005</v>
      </c>
      <c r="E5" s="18">
        <f>Reference!C147</f>
        <v>38.563699999999997</v>
      </c>
      <c r="F5" s="18">
        <f>Reference!D147</f>
        <v>46.885199999999998</v>
      </c>
      <c r="G5" s="18">
        <f>Reference!E147</f>
        <v>44.118299999999998</v>
      </c>
      <c r="H5" s="18">
        <f>Reference!F147</f>
        <v>75061.531000000003</v>
      </c>
      <c r="I5" s="18">
        <f>Reference!G147</f>
        <v>24.283999999999999</v>
      </c>
      <c r="J5" s="19">
        <f t="shared" si="1"/>
        <v>20.850425277777777</v>
      </c>
      <c r="L5" s="17">
        <f>Test!B147</f>
        <v>4599.76</v>
      </c>
      <c r="M5" s="18">
        <f>Test!C147</f>
        <v>38.561700000000002</v>
      </c>
      <c r="N5" s="18">
        <f>Test!D147</f>
        <v>46.8902</v>
      </c>
      <c r="O5" s="18">
        <f>Test!E147</f>
        <v>44.153399999999998</v>
      </c>
      <c r="P5" s="18">
        <f>Test!F147</f>
        <v>69134.445000000007</v>
      </c>
      <c r="Q5" s="18">
        <f>Test!G147</f>
        <v>23.032</v>
      </c>
      <c r="R5" s="19">
        <f t="shared" si="2"/>
        <v>19.204012500000001</v>
      </c>
      <c r="S5" s="17">
        <f t="shared" si="3"/>
        <v>0.92103696899014764</v>
      </c>
      <c r="T5" s="18">
        <f t="shared" si="4"/>
        <v>0.94844341953549671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2500.0320000000002</v>
      </c>
      <c r="E6" s="23">
        <f>Reference!C148</f>
        <v>37.014499999999998</v>
      </c>
      <c r="F6" s="23">
        <f>Reference!D148</f>
        <v>45.469700000000003</v>
      </c>
      <c r="G6" s="23">
        <f>Reference!E148</f>
        <v>42.453699999999998</v>
      </c>
      <c r="H6" s="23">
        <f>Reference!F148</f>
        <v>37370.25</v>
      </c>
      <c r="I6" s="23">
        <f>Reference!G148</f>
        <v>22.058</v>
      </c>
      <c r="J6" s="24">
        <f t="shared" si="1"/>
        <v>10.380625</v>
      </c>
      <c r="L6" s="22">
        <f>Test!B148</f>
        <v>2495.7759999999998</v>
      </c>
      <c r="M6" s="23">
        <f>Test!C148</f>
        <v>37.010899999999999</v>
      </c>
      <c r="N6" s="23">
        <f>Test!D148</f>
        <v>45.453499999999998</v>
      </c>
      <c r="O6" s="23">
        <f>Test!E148</f>
        <v>42.488500000000002</v>
      </c>
      <c r="P6" s="23">
        <f>Test!F148</f>
        <v>35502.675999999999</v>
      </c>
      <c r="Q6" s="23">
        <f>Test!G148</f>
        <v>19.975000000000001</v>
      </c>
      <c r="R6" s="24">
        <f t="shared" si="2"/>
        <v>9.8618544444444449</v>
      </c>
      <c r="S6" s="17">
        <f t="shared" si="3"/>
        <v>0.95002511355958286</v>
      </c>
      <c r="T6" s="18">
        <f t="shared" si="4"/>
        <v>0.90556714117327053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91977.744000000006</v>
      </c>
      <c r="E7" s="13">
        <f>Reference!C149</f>
        <v>41.761499999999998</v>
      </c>
      <c r="F7" s="13">
        <f>Reference!D149</f>
        <v>36.679099999999998</v>
      </c>
      <c r="G7" s="13">
        <f>Reference!E149</f>
        <v>37.6952</v>
      </c>
      <c r="H7" s="13">
        <f>Reference!F149</f>
        <v>426496.375</v>
      </c>
      <c r="I7" s="13">
        <f>Reference!G149</f>
        <v>36.896000000000001</v>
      </c>
      <c r="J7" s="14">
        <f t="shared" si="1"/>
        <v>118.47121527777777</v>
      </c>
      <c r="L7" s="12">
        <f>Test!B149</f>
        <v>91793.728000000003</v>
      </c>
      <c r="M7" s="13">
        <f>Test!C149</f>
        <v>41.755600000000001</v>
      </c>
      <c r="N7" s="13">
        <f>Test!D149</f>
        <v>36.713799999999999</v>
      </c>
      <c r="O7" s="13">
        <f>Test!E149</f>
        <v>37.714500000000001</v>
      </c>
      <c r="P7" s="13">
        <f>Test!F149</f>
        <v>402711.53100000002</v>
      </c>
      <c r="Q7" s="13">
        <f>Test!G149</f>
        <v>33.384</v>
      </c>
      <c r="R7" s="14">
        <f t="shared" si="2"/>
        <v>111.86431416666667</v>
      </c>
      <c r="S7" s="17">
        <f t="shared" si="3"/>
        <v>0.94423201369530985</v>
      </c>
      <c r="T7" s="18">
        <f t="shared" si="4"/>
        <v>0.90481352992194275</v>
      </c>
      <c r="U7" s="91"/>
      <c r="V7" s="37">
        <f>bdrate($D7:$D10,E7:E10,$L7:$L10,M7:M10)</f>
        <v>-2.41050676042176E-3</v>
      </c>
      <c r="W7" s="42">
        <f>bdrate($D7:$D10,F7:F10,$L7:$L10,N7:N10)</f>
        <v>-1.128374977976776E-2</v>
      </c>
      <c r="X7" s="43">
        <f>bdrate($D7:$D10,G7:G10,$L7:$L10,O7:O10)</f>
        <v>-3.4238576476807836E-2</v>
      </c>
      <c r="Y7" s="37">
        <f>bdrateOld($D7:$D10,E7:E10,$L7:$L10,M7:M10)</f>
        <v>-2.4277725908630199E-3</v>
      </c>
      <c r="Z7" s="42">
        <f>bdrateOld($D7:$D10,F7:F10,$L7:$L10,N7:N10)</f>
        <v>-1.1176291654968917E-2</v>
      </c>
      <c r="AA7" s="43">
        <f>bdrateOld($D7:$D10,G7:G10,$L7:$L10,O7:O10)</f>
        <v>-3.4411418461618326E-2</v>
      </c>
    </row>
    <row r="8" spans="1:27" x14ac:dyDescent="0.2">
      <c r="A8" s="16"/>
      <c r="B8" s="85"/>
      <c r="C8" s="16">
        <v>48</v>
      </c>
      <c r="D8" s="17">
        <f>Reference!B150</f>
        <v>47113.760000000002</v>
      </c>
      <c r="E8" s="18">
        <f>Reference!C150</f>
        <v>38.967700000000001</v>
      </c>
      <c r="F8" s="18">
        <f>Reference!D150</f>
        <v>34.398400000000002</v>
      </c>
      <c r="G8" s="18">
        <f>Reference!E150</f>
        <v>35.736899999999999</v>
      </c>
      <c r="H8" s="18">
        <f>Reference!F150</f>
        <v>294476.21899999998</v>
      </c>
      <c r="I8" s="18">
        <f>Reference!G150</f>
        <v>29.629000000000001</v>
      </c>
      <c r="J8" s="19">
        <f t="shared" si="1"/>
        <v>81.798949722222218</v>
      </c>
      <c r="L8" s="17">
        <f>Test!B150</f>
        <v>46961.735999999997</v>
      </c>
      <c r="M8" s="18">
        <f>Test!C150</f>
        <v>38.959899999999998</v>
      </c>
      <c r="N8" s="18">
        <f>Test!D150</f>
        <v>34.424399999999999</v>
      </c>
      <c r="O8" s="18">
        <f>Test!E150</f>
        <v>35.789900000000003</v>
      </c>
      <c r="P8" s="18">
        <f>Test!F150</f>
        <v>277529.09399999998</v>
      </c>
      <c r="Q8" s="18">
        <f>Test!G150</f>
        <v>28.081</v>
      </c>
      <c r="R8" s="19">
        <f t="shared" si="2"/>
        <v>77.091414999999998</v>
      </c>
      <c r="S8" s="17">
        <f t="shared" si="3"/>
        <v>0.94244993684872058</v>
      </c>
      <c r="T8" s="18">
        <f t="shared" si="4"/>
        <v>0.94775388977015751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21897.727999999999</v>
      </c>
      <c r="E9" s="18">
        <f>Reference!C151</f>
        <v>35.856099999999998</v>
      </c>
      <c r="F9" s="18">
        <f>Reference!D151</f>
        <v>32.482300000000002</v>
      </c>
      <c r="G9" s="18">
        <f>Reference!E151</f>
        <v>34.098399999999998</v>
      </c>
      <c r="H9" s="18">
        <f>Reference!F151</f>
        <v>202707.5</v>
      </c>
      <c r="I9" s="18">
        <f>Reference!G151</f>
        <v>28.881</v>
      </c>
      <c r="J9" s="19">
        <f t="shared" si="1"/>
        <v>56.307638888888889</v>
      </c>
      <c r="L9" s="17">
        <f>Test!B151</f>
        <v>21795.151999999998</v>
      </c>
      <c r="M9" s="18">
        <f>Test!C151</f>
        <v>35.851900000000001</v>
      </c>
      <c r="N9" s="18">
        <f>Test!D151</f>
        <v>32.499899999999997</v>
      </c>
      <c r="O9" s="18">
        <f>Test!E151</f>
        <v>34.174999999999997</v>
      </c>
      <c r="P9" s="18">
        <f>Test!F151</f>
        <v>182894.18799999999</v>
      </c>
      <c r="Q9" s="18">
        <f>Test!G151</f>
        <v>24.035</v>
      </c>
      <c r="R9" s="19">
        <f t="shared" si="2"/>
        <v>50.803941111111108</v>
      </c>
      <c r="S9" s="17">
        <f t="shared" si="3"/>
        <v>0.9022566407261694</v>
      </c>
      <c r="T9" s="18">
        <f t="shared" si="4"/>
        <v>0.83220802603787958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9219.5840000000007</v>
      </c>
      <c r="E10" s="23">
        <f>Reference!C152</f>
        <v>32.823599999999999</v>
      </c>
      <c r="F10" s="23">
        <f>Reference!D152</f>
        <v>30.791799999999999</v>
      </c>
      <c r="G10" s="23">
        <f>Reference!E152</f>
        <v>32.692500000000003</v>
      </c>
      <c r="H10" s="23">
        <f>Reference!F152</f>
        <v>113604.031</v>
      </c>
      <c r="I10" s="23">
        <f>Reference!G152</f>
        <v>25.445</v>
      </c>
      <c r="J10" s="24">
        <f t="shared" si="1"/>
        <v>31.556675277777778</v>
      </c>
      <c r="L10" s="22">
        <f>Test!B152</f>
        <v>9183.6720000000005</v>
      </c>
      <c r="M10" s="23">
        <f>Test!C152</f>
        <v>32.822299999999998</v>
      </c>
      <c r="N10" s="23">
        <f>Test!D152</f>
        <v>30.793500000000002</v>
      </c>
      <c r="O10" s="23">
        <f>Test!E152</f>
        <v>32.807299999999998</v>
      </c>
      <c r="P10" s="23">
        <f>Test!F152</f>
        <v>103319.289</v>
      </c>
      <c r="Q10" s="23">
        <f>Test!G152</f>
        <v>20.585000000000001</v>
      </c>
      <c r="R10" s="24">
        <f t="shared" si="2"/>
        <v>28.699802500000001</v>
      </c>
      <c r="S10" s="17">
        <f t="shared" si="3"/>
        <v>0.90946851172913046</v>
      </c>
      <c r="T10" s="18">
        <f t="shared" si="4"/>
        <v>0.80899980349774026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46736.167999999998</v>
      </c>
      <c r="E11" s="13">
        <f>Reference!C153</f>
        <v>38.936300000000003</v>
      </c>
      <c r="F11" s="13">
        <f>Reference!D153</f>
        <v>41.303699999999999</v>
      </c>
      <c r="G11" s="13">
        <f>Reference!E153</f>
        <v>41.527200000000001</v>
      </c>
      <c r="H11" s="13">
        <f>Reference!F153</f>
        <v>227807.92199999999</v>
      </c>
      <c r="I11" s="13">
        <f>Reference!G153</f>
        <v>19.952999999999999</v>
      </c>
      <c r="J11" s="14">
        <f t="shared" si="1"/>
        <v>63.279978333333332</v>
      </c>
      <c r="L11" s="12">
        <f>Test!B153</f>
        <v>46670.584000000003</v>
      </c>
      <c r="M11" s="13">
        <f>Test!C153</f>
        <v>38.933199999999999</v>
      </c>
      <c r="N11" s="13">
        <f>Test!D153</f>
        <v>41.298999999999999</v>
      </c>
      <c r="O11" s="13">
        <f>Test!E153</f>
        <v>41.524799999999999</v>
      </c>
      <c r="P11" s="13">
        <f>Test!F153</f>
        <v>220292.65599999999</v>
      </c>
      <c r="Q11" s="13">
        <f>Test!G153</f>
        <v>18.834</v>
      </c>
      <c r="R11" s="14">
        <f t="shared" si="2"/>
        <v>61.192404444444442</v>
      </c>
      <c r="S11" s="17">
        <f t="shared" si="3"/>
        <v>0.96701051511281511</v>
      </c>
      <c r="T11" s="18">
        <f t="shared" si="4"/>
        <v>0.94391820778830249</v>
      </c>
      <c r="U11" s="91"/>
      <c r="V11" s="37">
        <f>bdrate($D11:$D14,E11:E14,$L11:$L14,M11:M14)</f>
        <v>-1.6413038907980848E-5</v>
      </c>
      <c r="W11" s="42">
        <f>bdrate($D11:$D14,F11:F14,$L11:$L14,N11:N14)</f>
        <v>-2.7811246118669697E-4</v>
      </c>
      <c r="X11" s="43">
        <f>bdrate($D11:$D14,G11:G14,$L11:$L14,O11:O14)</f>
        <v>5.0670795011087399E-4</v>
      </c>
      <c r="Y11" s="37">
        <f>bdrateOld($D11:$D14,E11:E14,$L11:$L14,M11:M14)</f>
        <v>-4.7000478199721307E-5</v>
      </c>
      <c r="Z11" s="42">
        <f>bdrateOld($D11:$D14,F11:F14,$L11:$L14,N11:N14)</f>
        <v>-2.7571486210631324E-4</v>
      </c>
      <c r="AA11" s="43">
        <f>bdrateOld($D11:$D14,G11:G14,$L11:$L14,O11:O14)</f>
        <v>4.6778256929180806E-4</v>
      </c>
    </row>
    <row r="12" spans="1:27" x14ac:dyDescent="0.2">
      <c r="A12" s="34"/>
      <c r="B12" s="83"/>
      <c r="C12" s="16">
        <v>48</v>
      </c>
      <c r="D12" s="17">
        <f>Reference!B154</f>
        <v>22976.096000000001</v>
      </c>
      <c r="E12" s="18">
        <f>Reference!C154</f>
        <v>37.565600000000003</v>
      </c>
      <c r="F12" s="18">
        <f>Reference!D154</f>
        <v>38.728999999999999</v>
      </c>
      <c r="G12" s="18">
        <f>Reference!E154</f>
        <v>40.142099999999999</v>
      </c>
      <c r="H12" s="18">
        <f>Reference!F154</f>
        <v>155254.34400000001</v>
      </c>
      <c r="I12" s="18">
        <f>Reference!G154</f>
        <v>18.498999999999999</v>
      </c>
      <c r="J12" s="19">
        <f t="shared" si="1"/>
        <v>43.126206666666668</v>
      </c>
      <c r="L12" s="17">
        <f>Test!B154</f>
        <v>22977.288</v>
      </c>
      <c r="M12" s="18">
        <f>Test!C154</f>
        <v>37.563800000000001</v>
      </c>
      <c r="N12" s="18">
        <f>Test!D154</f>
        <v>38.728499999999997</v>
      </c>
      <c r="O12" s="18">
        <f>Test!E154</f>
        <v>40.136200000000002</v>
      </c>
      <c r="P12" s="18">
        <f>Test!F154</f>
        <v>134547.70300000001</v>
      </c>
      <c r="Q12" s="18">
        <f>Test!G154</f>
        <v>15.339</v>
      </c>
      <c r="R12" s="19">
        <f t="shared" si="2"/>
        <v>37.374361944444445</v>
      </c>
      <c r="S12" s="17">
        <f t="shared" si="3"/>
        <v>0.86662762234852508</v>
      </c>
      <c r="T12" s="18">
        <f t="shared" si="4"/>
        <v>0.82917995567327973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11958.208000000001</v>
      </c>
      <c r="E13" s="18">
        <f>Reference!C155</f>
        <v>36.017200000000003</v>
      </c>
      <c r="F13" s="18">
        <f>Reference!D155</f>
        <v>36.496299999999998</v>
      </c>
      <c r="G13" s="18">
        <f>Reference!E155</f>
        <v>38.711500000000001</v>
      </c>
      <c r="H13" s="18">
        <f>Reference!F155</f>
        <v>89876.187999999995</v>
      </c>
      <c r="I13" s="18">
        <f>Reference!G155</f>
        <v>13.926</v>
      </c>
      <c r="J13" s="19">
        <f t="shared" si="1"/>
        <v>24.965607777777777</v>
      </c>
      <c r="L13" s="17">
        <f>Test!B155</f>
        <v>11945.72</v>
      </c>
      <c r="M13" s="18">
        <f>Test!C155</f>
        <v>36.014400000000002</v>
      </c>
      <c r="N13" s="18">
        <f>Test!D155</f>
        <v>36.494100000000003</v>
      </c>
      <c r="O13" s="18">
        <f>Test!E155</f>
        <v>38.707500000000003</v>
      </c>
      <c r="P13" s="18">
        <f>Test!F155</f>
        <v>84300.741999999998</v>
      </c>
      <c r="Q13" s="18">
        <f>Test!G155</f>
        <v>12.946999999999999</v>
      </c>
      <c r="R13" s="19">
        <f t="shared" si="2"/>
        <v>23.416872777777776</v>
      </c>
      <c r="S13" s="17">
        <f t="shared" si="3"/>
        <v>0.93796525949676468</v>
      </c>
      <c r="T13" s="18">
        <f t="shared" si="4"/>
        <v>0.92969984202211686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5889.3680000000004</v>
      </c>
      <c r="E14" s="23">
        <f>Reference!C156</f>
        <v>34.0989</v>
      </c>
      <c r="F14" s="23">
        <f>Reference!D156</f>
        <v>34.053699999999999</v>
      </c>
      <c r="G14" s="23">
        <f>Reference!E156</f>
        <v>36.942700000000002</v>
      </c>
      <c r="H14" s="23">
        <f>Reference!F156</f>
        <v>52550.241999999998</v>
      </c>
      <c r="I14" s="23">
        <f>Reference!G156</f>
        <v>12.837999999999999</v>
      </c>
      <c r="J14" s="24">
        <f t="shared" si="1"/>
        <v>14.597289444444444</v>
      </c>
      <c r="L14" s="22">
        <f>Test!B156</f>
        <v>5886.8720000000003</v>
      </c>
      <c r="M14" s="23">
        <f>Test!C156</f>
        <v>34.104599999999998</v>
      </c>
      <c r="N14" s="23">
        <f>Test!D156</f>
        <v>34.057299999999998</v>
      </c>
      <c r="O14" s="23">
        <f>Test!E156</f>
        <v>36.954599999999999</v>
      </c>
      <c r="P14" s="23">
        <f>Test!F156</f>
        <v>50096.108999999997</v>
      </c>
      <c r="Q14" s="23">
        <f>Test!G156</f>
        <v>11.718999999999999</v>
      </c>
      <c r="R14" s="24">
        <f t="shared" si="2"/>
        <v>13.915585833333333</v>
      </c>
      <c r="S14" s="17">
        <f t="shared" si="3"/>
        <v>0.95329930164736443</v>
      </c>
      <c r="T14" s="18">
        <f t="shared" si="4"/>
        <v>0.91283689048138339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24393.423999999999</v>
      </c>
      <c r="E15" s="13">
        <f>Reference!C157</f>
        <v>37.537199999999999</v>
      </c>
      <c r="F15" s="13">
        <f>Reference!D157</f>
        <v>45.009</v>
      </c>
      <c r="G15" s="13">
        <f>Reference!E157</f>
        <v>42.7637</v>
      </c>
      <c r="H15" s="13">
        <f>Reference!F157</f>
        <v>334668.65600000002</v>
      </c>
      <c r="I15" s="13">
        <f>Reference!G157</f>
        <v>32.505000000000003</v>
      </c>
      <c r="J15" s="14">
        <f>H15/3600</f>
        <v>92.96351555555556</v>
      </c>
      <c r="L15" s="12">
        <f>Test!B157</f>
        <v>24349.439999999999</v>
      </c>
      <c r="M15" s="13">
        <f>Test!C157</f>
        <v>37.537700000000001</v>
      </c>
      <c r="N15" s="13">
        <f>Test!D157</f>
        <v>45.0259</v>
      </c>
      <c r="O15" s="13">
        <f>Test!E157</f>
        <v>42.779000000000003</v>
      </c>
      <c r="P15" s="13">
        <f>Test!F157</f>
        <v>314787.81199999998</v>
      </c>
      <c r="Q15" s="13">
        <f>Test!G157</f>
        <v>30.283999999999999</v>
      </c>
      <c r="R15" s="14">
        <f>P15/3600</f>
        <v>87.441058888888875</v>
      </c>
      <c r="S15" s="17">
        <f t="shared" si="3"/>
        <v>0.94059544076335599</v>
      </c>
      <c r="T15" s="18">
        <f t="shared" si="4"/>
        <v>0.93167205045377621</v>
      </c>
      <c r="U15" s="91"/>
      <c r="V15" s="37">
        <f>bdrate($D15:$D18,E15:E18,$L15:$L18,M15:M18)</f>
        <v>7.2247256368118684E-5</v>
      </c>
      <c r="W15" s="42">
        <f>bdrate($D15:$D18,F15:F18,$L15:$L18,N15:N18)</f>
        <v>-1.7705672422028029E-2</v>
      </c>
      <c r="X15" s="43">
        <f>bdrate($D15:$D18,G15:G18,$L15:$L18,O15:O18)</f>
        <v>-3.3839051730980563E-3</v>
      </c>
      <c r="Y15" s="37">
        <f>bdrateOld($D15:$D18,E15:E18,$L15:$L18,M15:M18)</f>
        <v>-1.9707841599103659E-5</v>
      </c>
      <c r="Z15" s="42">
        <f>bdrateOld($D15:$D18,F15:F18,$L15:$L18,N15:N18)</f>
        <v>-2.03810598001265E-2</v>
      </c>
      <c r="AA15" s="43">
        <f>bdrateOld($D15:$D18,G15:G18,$L15:$L18,O15:O18)</f>
        <v>-2.9767601003893862E-3</v>
      </c>
    </row>
    <row r="16" spans="1:27" x14ac:dyDescent="0.2">
      <c r="A16" s="16"/>
      <c r="B16" s="85"/>
      <c r="C16" s="16">
        <v>48</v>
      </c>
      <c r="D16" s="17">
        <f>Reference!B158</f>
        <v>10278.136</v>
      </c>
      <c r="E16" s="18">
        <f>Reference!C158</f>
        <v>36.900500000000001</v>
      </c>
      <c r="F16" s="18">
        <f>Reference!D158</f>
        <v>44.347299999999997</v>
      </c>
      <c r="G16" s="18">
        <f>Reference!E158</f>
        <v>42.033200000000001</v>
      </c>
      <c r="H16" s="18">
        <f>Reference!F158</f>
        <v>190969.09400000001</v>
      </c>
      <c r="I16" s="18">
        <f>Reference!G158</f>
        <v>28.452999999999999</v>
      </c>
      <c r="J16" s="19">
        <f t="shared" ref="J16:J26" si="5">H16/3600</f>
        <v>53.046970555555561</v>
      </c>
      <c r="L16" s="17">
        <f>Test!B158</f>
        <v>10282.208000000001</v>
      </c>
      <c r="M16" s="18">
        <f>Test!C158</f>
        <v>36.9009</v>
      </c>
      <c r="N16" s="18">
        <f>Test!D158</f>
        <v>44.352600000000002</v>
      </c>
      <c r="O16" s="18">
        <f>Test!E158</f>
        <v>42.046399999999998</v>
      </c>
      <c r="P16" s="18">
        <f>Test!F158</f>
        <v>172358.891</v>
      </c>
      <c r="Q16" s="18">
        <f>Test!G158</f>
        <v>25.085000000000001</v>
      </c>
      <c r="R16" s="19">
        <f t="shared" ref="R16:R26" si="6">P16/3600</f>
        <v>47.877469722222223</v>
      </c>
      <c r="S16" s="17">
        <f t="shared" si="3"/>
        <v>0.90254861344213111</v>
      </c>
      <c r="T16" s="18">
        <f t="shared" si="4"/>
        <v>0.88162935367096618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5156.8159999999998</v>
      </c>
      <c r="E17" s="18">
        <f>Reference!C159</f>
        <v>35.883600000000001</v>
      </c>
      <c r="F17" s="18">
        <f>Reference!D159</f>
        <v>43.396000000000001</v>
      </c>
      <c r="G17" s="18">
        <f>Reference!E159</f>
        <v>41.085599999999999</v>
      </c>
      <c r="H17" s="18">
        <f>Reference!F159</f>
        <v>99929.945000000007</v>
      </c>
      <c r="I17" s="18">
        <f>Reference!G159</f>
        <v>22.292999999999999</v>
      </c>
      <c r="J17" s="19">
        <f t="shared" si="5"/>
        <v>27.758318055555556</v>
      </c>
      <c r="L17" s="17">
        <f>Test!B159</f>
        <v>5160.8559999999998</v>
      </c>
      <c r="M17" s="18">
        <f>Test!C159</f>
        <v>35.883699999999997</v>
      </c>
      <c r="N17" s="18">
        <f>Test!D159</f>
        <v>43.427100000000003</v>
      </c>
      <c r="O17" s="18">
        <f>Test!E159</f>
        <v>41.083500000000001</v>
      </c>
      <c r="P17" s="18">
        <f>Test!F159</f>
        <v>94259.781000000003</v>
      </c>
      <c r="Q17" s="18">
        <f>Test!G159</f>
        <v>21.087</v>
      </c>
      <c r="R17" s="19">
        <f t="shared" si="6"/>
        <v>26.183272500000001</v>
      </c>
      <c r="S17" s="17">
        <f t="shared" si="3"/>
        <v>0.9432586098191087</v>
      </c>
      <c r="T17" s="18">
        <f t="shared" si="4"/>
        <v>0.94590230117077112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2571.6080000000002</v>
      </c>
      <c r="E18" s="23">
        <f>Reference!C160</f>
        <v>34.305700000000002</v>
      </c>
      <c r="F18" s="23">
        <f>Reference!D160</f>
        <v>42.064799999999998</v>
      </c>
      <c r="G18" s="23">
        <f>Reference!E160</f>
        <v>39.9617</v>
      </c>
      <c r="H18" s="23">
        <f>Reference!F160</f>
        <v>50162.233999999997</v>
      </c>
      <c r="I18" s="23">
        <f>Reference!G160</f>
        <v>18.407</v>
      </c>
      <c r="J18" s="24">
        <f t="shared" si="5"/>
        <v>13.933953888888889</v>
      </c>
      <c r="L18" s="22">
        <f>Test!B160</f>
        <v>2569.96</v>
      </c>
      <c r="M18" s="23">
        <f>Test!C160</f>
        <v>34.305500000000002</v>
      </c>
      <c r="N18" s="23">
        <f>Test!D160</f>
        <v>42.134399999999999</v>
      </c>
      <c r="O18" s="23">
        <f>Test!E160</f>
        <v>39.943300000000001</v>
      </c>
      <c r="P18" s="23">
        <f>Test!F160</f>
        <v>47258.887000000002</v>
      </c>
      <c r="Q18" s="23">
        <f>Test!G160</f>
        <v>16.516999999999999</v>
      </c>
      <c r="R18" s="24">
        <f t="shared" si="6"/>
        <v>13.127468611111112</v>
      </c>
      <c r="S18" s="17">
        <f t="shared" si="3"/>
        <v>0.94212085929027811</v>
      </c>
      <c r="T18" s="18">
        <f t="shared" si="4"/>
        <v>0.89732167110338457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8047.7103999999999</v>
      </c>
      <c r="E19" s="13">
        <f>Reference!C161</f>
        <v>38.012599999999999</v>
      </c>
      <c r="F19" s="13">
        <f>Reference!D161</f>
        <v>39.732399999999998</v>
      </c>
      <c r="G19" s="13">
        <f>Reference!E161</f>
        <v>42.815600000000003</v>
      </c>
      <c r="H19" s="13">
        <f>Reference!F161</f>
        <v>378251.06199999998</v>
      </c>
      <c r="I19" s="13">
        <f>Reference!G161</f>
        <v>29.867999999999999</v>
      </c>
      <c r="J19" s="14">
        <f t="shared" si="5"/>
        <v>105.06973944444444</v>
      </c>
      <c r="L19" s="12">
        <f>Test!B161</f>
        <v>8039.9759999999997</v>
      </c>
      <c r="M19" s="13">
        <f>Test!C161</f>
        <v>38.011200000000002</v>
      </c>
      <c r="N19" s="13">
        <f>Test!D161</f>
        <v>39.738300000000002</v>
      </c>
      <c r="O19" s="13">
        <f>Test!E161</f>
        <v>42.842700000000001</v>
      </c>
      <c r="P19" s="13">
        <f>Test!F161</f>
        <v>355752</v>
      </c>
      <c r="Q19" s="13">
        <f>Test!G161</f>
        <v>27.469000000000001</v>
      </c>
      <c r="R19" s="14">
        <f t="shared" si="6"/>
        <v>98.82</v>
      </c>
      <c r="S19" s="12">
        <f t="shared" si="3"/>
        <v>0.94051817890203315</v>
      </c>
      <c r="T19" s="13">
        <f t="shared" si="4"/>
        <v>0.91967992500334816</v>
      </c>
      <c r="U19" s="90"/>
      <c r="V19" s="37">
        <f>bdrate($D19:$D22,E19:E22,$L19:$L22,M19:M22)</f>
        <v>4.0229821696091683E-4</v>
      </c>
      <c r="W19" s="42">
        <f>bdrate($D19:$D22,F19:F22,$L19:$L22,N19:N22)</f>
        <v>-2.537447394548531E-3</v>
      </c>
      <c r="X19" s="43">
        <f>bdrate($D19:$D22,G19:G22,$L19:$L22,O19:O22)</f>
        <v>-6.0054170501051551E-3</v>
      </c>
      <c r="Y19" s="37">
        <f>bdrateOld($D19:$D22,E19:E22,$L19:$L22,M19:M22)</f>
        <v>3.0241785191664761E-4</v>
      </c>
      <c r="Z19" s="42">
        <f>bdrateOld($D19:$D22,F19:F22,$L19:$L22,N19:N22)</f>
        <v>-3.3824711474494951E-3</v>
      </c>
      <c r="AA19" s="43">
        <f>bdrateOld($D19:$D22,G19:G22,$L19:$L22,O19:O22)</f>
        <v>-5.7681183010962478E-3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3821.6255999999998</v>
      </c>
      <c r="E20" s="18">
        <f>Reference!C162</f>
        <v>36.673400000000001</v>
      </c>
      <c r="F20" s="18">
        <f>Reference!D162</f>
        <v>39.113399999999999</v>
      </c>
      <c r="G20" s="18">
        <f>Reference!E162</f>
        <v>41.661999999999999</v>
      </c>
      <c r="H20" s="18">
        <f>Reference!F162</f>
        <v>259919.07800000001</v>
      </c>
      <c r="I20" s="18">
        <f>Reference!G162</f>
        <v>27.353000000000002</v>
      </c>
      <c r="J20" s="19">
        <f t="shared" si="5"/>
        <v>72.199743888888889</v>
      </c>
      <c r="L20" s="17">
        <f>Test!B162</f>
        <v>3824.2303999999999</v>
      </c>
      <c r="M20" s="18">
        <f>Test!C162</f>
        <v>36.673099999999998</v>
      </c>
      <c r="N20" s="18">
        <f>Test!D162</f>
        <v>39.110999999999997</v>
      </c>
      <c r="O20" s="18">
        <f>Test!E162</f>
        <v>41.689399999999999</v>
      </c>
      <c r="P20" s="18">
        <f>Test!F162</f>
        <v>222317.71900000001</v>
      </c>
      <c r="Q20" s="18">
        <f>Test!G162</f>
        <v>22.550999999999998</v>
      </c>
      <c r="R20" s="19">
        <f t="shared" si="6"/>
        <v>61.754921944444447</v>
      </c>
      <c r="S20" s="17">
        <f t="shared" si="3"/>
        <v>0.85533436295122589</v>
      </c>
      <c r="T20" s="18">
        <f t="shared" si="4"/>
        <v>0.82444338829378849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1878.3136</v>
      </c>
      <c r="E21" s="18">
        <f>Reference!C163</f>
        <v>34.842300000000002</v>
      </c>
      <c r="F21" s="18">
        <f>Reference!D163</f>
        <v>38.293100000000003</v>
      </c>
      <c r="G21" s="18">
        <f>Reference!E163</f>
        <v>40.193100000000001</v>
      </c>
      <c r="H21" s="18">
        <f>Reference!F163</f>
        <v>145080.06200000001</v>
      </c>
      <c r="I21" s="18">
        <f>Reference!G163</f>
        <v>21.047999999999998</v>
      </c>
      <c r="J21" s="19">
        <f t="shared" si="5"/>
        <v>40.300017222222223</v>
      </c>
      <c r="L21" s="17">
        <f>Test!B163</f>
        <v>1876.3456000000001</v>
      </c>
      <c r="M21" s="18">
        <f>Test!C163</f>
        <v>34.838299999999997</v>
      </c>
      <c r="N21" s="18">
        <f>Test!D163</f>
        <v>38.301000000000002</v>
      </c>
      <c r="O21" s="18">
        <f>Test!E163</f>
        <v>40.186199999999999</v>
      </c>
      <c r="P21" s="18">
        <f>Test!F163</f>
        <v>136231.016</v>
      </c>
      <c r="Q21" s="18">
        <f>Test!G163</f>
        <v>18.277999999999999</v>
      </c>
      <c r="R21" s="19">
        <f t="shared" si="6"/>
        <v>37.841948888888886</v>
      </c>
      <c r="S21" s="17">
        <f t="shared" si="3"/>
        <v>0.93900577461843104</v>
      </c>
      <c r="T21" s="18">
        <f t="shared" si="4"/>
        <v>0.86839604713036866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898.42240000000004</v>
      </c>
      <c r="E22" s="23">
        <f>Reference!C164</f>
        <v>32.533499999999997</v>
      </c>
      <c r="F22" s="23">
        <f>Reference!D164</f>
        <v>37.263399999999997</v>
      </c>
      <c r="G22" s="23">
        <f>Reference!E164</f>
        <v>38.501600000000003</v>
      </c>
      <c r="H22" s="23">
        <f>Reference!F164</f>
        <v>91543.608999999997</v>
      </c>
      <c r="I22" s="23">
        <f>Reference!G164</f>
        <v>18.722999999999999</v>
      </c>
      <c r="J22" s="24">
        <f t="shared" si="5"/>
        <v>25.428780277777776</v>
      </c>
      <c r="L22" s="22">
        <f>Test!B164</f>
        <v>898.83360000000005</v>
      </c>
      <c r="M22" s="23">
        <f>Test!C164</f>
        <v>32.534999999999997</v>
      </c>
      <c r="N22" s="23">
        <f>Test!D164</f>
        <v>37.257899999999999</v>
      </c>
      <c r="O22" s="23">
        <f>Test!E164</f>
        <v>38.508000000000003</v>
      </c>
      <c r="P22" s="23">
        <f>Test!F164</f>
        <v>77306.422000000006</v>
      </c>
      <c r="Q22" s="23">
        <f>Test!G164</f>
        <v>14.599</v>
      </c>
      <c r="R22" s="24">
        <f t="shared" si="6"/>
        <v>21.474006111111112</v>
      </c>
      <c r="S22" s="17">
        <f t="shared" si="3"/>
        <v>0.84447645056248555</v>
      </c>
      <c r="T22" s="18">
        <f t="shared" si="4"/>
        <v>0.77973615339422109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9380.4992000000002</v>
      </c>
      <c r="E23" s="13">
        <f>Reference!C165</f>
        <v>38.739199999999997</v>
      </c>
      <c r="F23" s="13">
        <f>Reference!D165</f>
        <v>43.682600000000001</v>
      </c>
      <c r="G23" s="13">
        <f>Reference!E165</f>
        <v>44.628900000000002</v>
      </c>
      <c r="H23" s="13">
        <f>Reference!F165</f>
        <v>417011.5</v>
      </c>
      <c r="I23" s="13">
        <f>Reference!G165</f>
        <v>38.174999999999997</v>
      </c>
      <c r="J23" s="14">
        <f t="shared" si="5"/>
        <v>115.83652777777777</v>
      </c>
      <c r="L23" s="12">
        <f>Test!B165</f>
        <v>9378.9567999999999</v>
      </c>
      <c r="M23" s="13">
        <f>Test!C165</f>
        <v>38.738999999999997</v>
      </c>
      <c r="N23" s="13">
        <f>Test!D165</f>
        <v>43.691099999999999</v>
      </c>
      <c r="O23" s="13">
        <f>Test!E165</f>
        <v>44.6389</v>
      </c>
      <c r="P23" s="13">
        <f>Test!F165</f>
        <v>389342</v>
      </c>
      <c r="Q23" s="13">
        <f>Test!G165</f>
        <v>33.520000000000003</v>
      </c>
      <c r="R23" s="14">
        <f t="shared" si="6"/>
        <v>108.15055555555556</v>
      </c>
      <c r="S23" s="17">
        <f t="shared" si="3"/>
        <v>0.93364811282182869</v>
      </c>
      <c r="T23" s="18">
        <f t="shared" si="4"/>
        <v>0.87806155861165702</v>
      </c>
      <c r="U23" s="91"/>
      <c r="V23" s="37">
        <f>bdrate($D23:$D26,E23:E26,$L23:$L26,M23:M26)</f>
        <v>3.0735947332050095E-4</v>
      </c>
      <c r="W23" s="42">
        <f>bdrate($D23:$D26,F23:F26,$L23:$L26,N23:N26)</f>
        <v>4.5651111704443359E-3</v>
      </c>
      <c r="X23" s="43">
        <f>bdrate($D23:$D26,G23:G26,$L23:$L26,O23:O26)</f>
        <v>2.0135005018426799E-3</v>
      </c>
      <c r="Y23" s="37">
        <f>bdrateOld($D23:$D26,E23:E26,$L23:$L26,M23:M26)</f>
        <v>2.099924365139838E-4</v>
      </c>
      <c r="Z23" s="42">
        <f>bdrateOld($D23:$D26,F23:F26,$L23:$L26,N23:N26)</f>
        <v>4.5281460914716742E-3</v>
      </c>
      <c r="AA23" s="43">
        <f>bdrateOld($D23:$D26,G23:G26,$L23:$L26,O23:O26)</f>
        <v>2.0217782699551989E-3</v>
      </c>
    </row>
    <row r="24" spans="1:27" x14ac:dyDescent="0.2">
      <c r="A24" s="34"/>
      <c r="B24" s="85"/>
      <c r="C24" s="16">
        <v>32</v>
      </c>
      <c r="D24" s="17">
        <f>Reference!B166</f>
        <v>4789.2416000000003</v>
      </c>
      <c r="E24" s="18">
        <f>Reference!C166</f>
        <v>37.514699999999998</v>
      </c>
      <c r="F24" s="18">
        <f>Reference!D166</f>
        <v>42.716099999999997</v>
      </c>
      <c r="G24" s="18">
        <f>Reference!E166</f>
        <v>43.131799999999998</v>
      </c>
      <c r="H24" s="18">
        <f>Reference!F166</f>
        <v>259236.109</v>
      </c>
      <c r="I24" s="18">
        <f>Reference!G166</f>
        <v>31.692</v>
      </c>
      <c r="J24" s="19">
        <f t="shared" si="5"/>
        <v>72.010030277777773</v>
      </c>
      <c r="L24" s="17">
        <f>Test!B166</f>
        <v>4792.84</v>
      </c>
      <c r="M24" s="18">
        <f>Test!C166</f>
        <v>37.513399999999997</v>
      </c>
      <c r="N24" s="18">
        <f>Test!D166</f>
        <v>42.715699999999998</v>
      </c>
      <c r="O24" s="18">
        <f>Test!E166</f>
        <v>43.136000000000003</v>
      </c>
      <c r="P24" s="18">
        <f>Test!F166</f>
        <v>245365.56200000001</v>
      </c>
      <c r="Q24" s="18">
        <f>Test!G166</f>
        <v>29.132000000000001</v>
      </c>
      <c r="R24" s="19">
        <f t="shared" si="6"/>
        <v>68.157100555555559</v>
      </c>
      <c r="S24" s="17">
        <f t="shared" si="3"/>
        <v>0.94649454100547392</v>
      </c>
      <c r="T24" s="18">
        <f t="shared" si="4"/>
        <v>0.91922251672346333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2440.7775999999999</v>
      </c>
      <c r="E25" s="18">
        <f>Reference!C167</f>
        <v>35.832000000000001</v>
      </c>
      <c r="F25" s="18">
        <f>Reference!D167</f>
        <v>41.489199999999997</v>
      </c>
      <c r="G25" s="18">
        <f>Reference!E167</f>
        <v>41.402799999999999</v>
      </c>
      <c r="H25" s="18">
        <f>Reference!F167</f>
        <v>160170.625</v>
      </c>
      <c r="I25" s="18">
        <f>Reference!G167</f>
        <v>32.284999999999997</v>
      </c>
      <c r="J25" s="19">
        <f t="shared" si="5"/>
        <v>44.491840277777776</v>
      </c>
      <c r="L25" s="17">
        <f>Test!B167</f>
        <v>2441.6608000000001</v>
      </c>
      <c r="M25" s="18">
        <f>Test!C167</f>
        <v>35.833399999999997</v>
      </c>
      <c r="N25" s="18">
        <f>Test!D167</f>
        <v>41.480400000000003</v>
      </c>
      <c r="O25" s="18">
        <f>Test!E167</f>
        <v>41.3949</v>
      </c>
      <c r="P25" s="18">
        <f>Test!F167</f>
        <v>145108.609</v>
      </c>
      <c r="Q25" s="18">
        <f>Test!G167</f>
        <v>23.88</v>
      </c>
      <c r="R25" s="19">
        <f t="shared" si="6"/>
        <v>40.307946944444446</v>
      </c>
      <c r="S25" s="17">
        <f t="shared" si="3"/>
        <v>0.90596268198366581</v>
      </c>
      <c r="T25" s="18">
        <f t="shared" si="4"/>
        <v>0.73966238191110423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1215.1600000000001</v>
      </c>
      <c r="E26" s="23">
        <f>Reference!C168</f>
        <v>33.751100000000001</v>
      </c>
      <c r="F26" s="23">
        <f>Reference!D168</f>
        <v>40.114899999999999</v>
      </c>
      <c r="G26" s="23">
        <f>Reference!E168</f>
        <v>39.488599999999998</v>
      </c>
      <c r="H26" s="23">
        <f>Reference!F168</f>
        <v>85543.148000000001</v>
      </c>
      <c r="I26" s="23">
        <f>Reference!G168</f>
        <v>21.516999999999999</v>
      </c>
      <c r="J26" s="24">
        <f t="shared" si="5"/>
        <v>23.761985555555555</v>
      </c>
      <c r="L26" s="22">
        <f>Test!B168</f>
        <v>1215.0192</v>
      </c>
      <c r="M26" s="23">
        <f>Test!C168</f>
        <v>33.751199999999997</v>
      </c>
      <c r="N26" s="23">
        <f>Test!D168</f>
        <v>40.075000000000003</v>
      </c>
      <c r="O26" s="23">
        <f>Test!E168</f>
        <v>39.457700000000003</v>
      </c>
      <c r="P26" s="23">
        <f>Test!F168</f>
        <v>80965.906000000003</v>
      </c>
      <c r="Q26" s="23">
        <f>Test!G168</f>
        <v>19.882999999999999</v>
      </c>
      <c r="R26" s="24">
        <f t="shared" si="6"/>
        <v>22.490529444444444</v>
      </c>
      <c r="S26" s="17">
        <f t="shared" si="3"/>
        <v>0.94649200892162633</v>
      </c>
      <c r="T26" s="18">
        <f t="shared" si="4"/>
        <v>0.92406004554538268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6404.0703999999996</v>
      </c>
      <c r="E27" s="13">
        <f>Reference!C169</f>
        <v>39.8352</v>
      </c>
      <c r="F27" s="13">
        <f>Reference!D169</f>
        <v>43.797400000000003</v>
      </c>
      <c r="G27" s="13">
        <f>Reference!E169</f>
        <v>44.508600000000001</v>
      </c>
      <c r="H27" s="13">
        <f>Reference!F169</f>
        <v>378346.03100000002</v>
      </c>
      <c r="I27" s="13">
        <f>Reference!G169</f>
        <v>38.427999999999997</v>
      </c>
      <c r="J27" s="14">
        <f>H27/3600</f>
        <v>105.09611972222223</v>
      </c>
      <c r="L27" s="12">
        <f>Test!B169</f>
        <v>6406.8015999999998</v>
      </c>
      <c r="M27" s="13">
        <f>Test!C169</f>
        <v>39.8367</v>
      </c>
      <c r="N27" s="13">
        <f>Test!D169</f>
        <v>43.800800000000002</v>
      </c>
      <c r="O27" s="13">
        <f>Test!E169</f>
        <v>44.497999999999998</v>
      </c>
      <c r="P27" s="13">
        <f>Test!F169</f>
        <v>354205.40600000002</v>
      </c>
      <c r="Q27" s="13">
        <f>Test!G169</f>
        <v>34.718000000000004</v>
      </c>
      <c r="R27" s="14">
        <f>P27/3600</f>
        <v>98.390390555555555</v>
      </c>
      <c r="S27" s="17">
        <f t="shared" ref="S27:T46" si="7">P27/H27</f>
        <v>0.93619432207021092</v>
      </c>
      <c r="T27" s="18">
        <f t="shared" si="7"/>
        <v>0.90345581346934545</v>
      </c>
      <c r="U27" s="91"/>
      <c r="V27" s="37">
        <f>bdrate($D27:$D30,E27:E30,$L27:$L30,M27:M30)</f>
        <v>3.6814491365944058E-4</v>
      </c>
      <c r="W27" s="42">
        <f>bdrate($D27:$D30,F27:F30,$L27:$L30,N27:N30)</f>
        <v>4.3107425884070238E-3</v>
      </c>
      <c r="X27" s="43">
        <f>bdrate($D27:$D30,G27:G30,$L27:$L30,O27:O30)</f>
        <v>2.4901358545297292E-3</v>
      </c>
      <c r="Y27" s="37">
        <f>bdrateOld($D27:$D30,E27:E30,$L27:$L30,M27:M30)</f>
        <v>2.9350503455183308E-4</v>
      </c>
      <c r="Z27" s="42">
        <f>bdrateOld($D27:$D30,F27:F30,$L27:$L30,N27:N30)</f>
        <v>4.3047690494688595E-3</v>
      </c>
      <c r="AA27" s="43">
        <f>bdrateOld($D27:$D30,G27:G30,$L27:$L30,O27:O30)</f>
        <v>2.8980286201885086E-3</v>
      </c>
    </row>
    <row r="28" spans="1:27" x14ac:dyDescent="0.2">
      <c r="A28" s="16"/>
      <c r="B28" s="85"/>
      <c r="C28" s="16">
        <v>48</v>
      </c>
      <c r="D28" s="17">
        <f>Reference!B170</f>
        <v>3055.9312</v>
      </c>
      <c r="E28" s="18">
        <f>Reference!C170</f>
        <v>38.5398</v>
      </c>
      <c r="F28" s="18">
        <f>Reference!D170</f>
        <v>42.924799999999998</v>
      </c>
      <c r="G28" s="18">
        <f>Reference!E170</f>
        <v>43.641199999999998</v>
      </c>
      <c r="H28" s="18">
        <f>Reference!F170</f>
        <v>221013.766</v>
      </c>
      <c r="I28" s="18">
        <f>Reference!G170</f>
        <v>30.268000000000001</v>
      </c>
      <c r="J28" s="19">
        <f t="shared" ref="J28:J46" si="8">H28/3600</f>
        <v>61.392712777777781</v>
      </c>
      <c r="L28" s="17">
        <f>Test!B170</f>
        <v>3059.96</v>
      </c>
      <c r="M28" s="18">
        <f>Test!C170</f>
        <v>38.539200000000001</v>
      </c>
      <c r="N28" s="18">
        <f>Test!D170</f>
        <v>42.923999999999999</v>
      </c>
      <c r="O28" s="18">
        <f>Test!E170</f>
        <v>43.644599999999997</v>
      </c>
      <c r="P28" s="18">
        <f>Test!F170</f>
        <v>207189.93799999999</v>
      </c>
      <c r="Q28" s="18">
        <f>Test!G170</f>
        <v>27.558</v>
      </c>
      <c r="R28" s="19">
        <f t="shared" ref="R28:R46" si="9">P28/3600</f>
        <v>57.552760555555551</v>
      </c>
      <c r="S28" s="17">
        <f t="shared" si="7"/>
        <v>0.93745263813114699</v>
      </c>
      <c r="T28" s="18">
        <f t="shared" si="7"/>
        <v>0.9104664992731597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1475.568</v>
      </c>
      <c r="E29" s="18">
        <f>Reference!C171</f>
        <v>36.725000000000001</v>
      </c>
      <c r="F29" s="18">
        <f>Reference!D171</f>
        <v>41.820999999999998</v>
      </c>
      <c r="G29" s="18">
        <f>Reference!E171</f>
        <v>42.388800000000003</v>
      </c>
      <c r="H29" s="18">
        <f>Reference!F171</f>
        <v>125002.211</v>
      </c>
      <c r="I29" s="18">
        <f>Reference!G171</f>
        <v>26.213000000000001</v>
      </c>
      <c r="J29" s="19">
        <f t="shared" si="8"/>
        <v>34.722836388888886</v>
      </c>
      <c r="L29" s="17">
        <f>Test!B171</f>
        <v>1476.2672</v>
      </c>
      <c r="M29" s="18">
        <f>Test!C171</f>
        <v>36.7239</v>
      </c>
      <c r="N29" s="18">
        <f>Test!D171</f>
        <v>41.8048</v>
      </c>
      <c r="O29" s="18">
        <f>Test!E171</f>
        <v>42.381100000000004</v>
      </c>
      <c r="P29" s="18">
        <f>Test!F171</f>
        <v>115936.117</v>
      </c>
      <c r="Q29" s="18">
        <f>Test!G171</f>
        <v>22.943999999999999</v>
      </c>
      <c r="R29" s="19">
        <f t="shared" si="9"/>
        <v>32.204476944444444</v>
      </c>
      <c r="S29" s="17">
        <f t="shared" si="7"/>
        <v>0.92747253086587411</v>
      </c>
      <c r="T29" s="18">
        <f t="shared" si="7"/>
        <v>0.87529088620150297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695.66719999999998</v>
      </c>
      <c r="E30" s="23">
        <f>Reference!C172</f>
        <v>34.428800000000003</v>
      </c>
      <c r="F30" s="23">
        <f>Reference!D172</f>
        <v>40.646900000000002</v>
      </c>
      <c r="G30" s="23">
        <f>Reference!E172</f>
        <v>40.989800000000002</v>
      </c>
      <c r="H30" s="23">
        <f>Reference!F172</f>
        <v>66673.523000000001</v>
      </c>
      <c r="I30" s="23">
        <f>Reference!G172</f>
        <v>22.262</v>
      </c>
      <c r="J30" s="24">
        <f t="shared" si="8"/>
        <v>18.520423055555558</v>
      </c>
      <c r="L30" s="22">
        <f>Test!B172</f>
        <v>694.14559999999994</v>
      </c>
      <c r="M30" s="23">
        <f>Test!C172</f>
        <v>34.430700000000002</v>
      </c>
      <c r="N30" s="23">
        <f>Test!D172</f>
        <v>40.651000000000003</v>
      </c>
      <c r="O30" s="23">
        <f>Test!E172</f>
        <v>40.988500000000002</v>
      </c>
      <c r="P30" s="23">
        <f>Test!F172</f>
        <v>61882.296999999999</v>
      </c>
      <c r="Q30" s="23">
        <f>Test!G172</f>
        <v>18.803000000000001</v>
      </c>
      <c r="R30" s="24">
        <f t="shared" si="9"/>
        <v>17.189526944444445</v>
      </c>
      <c r="S30" s="17">
        <f t="shared" si="7"/>
        <v>0.92813900054448895</v>
      </c>
      <c r="T30" s="18">
        <f t="shared" si="7"/>
        <v>0.84462312460695355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6791.4384</v>
      </c>
      <c r="E31" s="13">
        <f>Reference!C173</f>
        <v>43.383400000000002</v>
      </c>
      <c r="F31" s="13">
        <f>Reference!D173</f>
        <v>46.7393</v>
      </c>
      <c r="G31" s="13">
        <f>Reference!E173</f>
        <v>47.347700000000003</v>
      </c>
      <c r="H31" s="13">
        <f>Reference!F173</f>
        <v>318246.43800000002</v>
      </c>
      <c r="I31" s="13">
        <f>Reference!G173</f>
        <v>38.777000000000001</v>
      </c>
      <c r="J31" s="14">
        <f t="shared" si="8"/>
        <v>88.401788333333343</v>
      </c>
      <c r="L31" s="12">
        <f>Test!B173</f>
        <v>6793.9920000000002</v>
      </c>
      <c r="M31" s="13">
        <f>Test!C173</f>
        <v>43.3842</v>
      </c>
      <c r="N31" s="13">
        <f>Test!D173</f>
        <v>46.746200000000002</v>
      </c>
      <c r="O31" s="13">
        <f>Test!E173</f>
        <v>47.341999999999999</v>
      </c>
      <c r="P31" s="13">
        <f>Test!F173</f>
        <v>294661.03100000002</v>
      </c>
      <c r="Q31" s="13">
        <f>Test!G173</f>
        <v>35.531999999999996</v>
      </c>
      <c r="R31" s="14">
        <f t="shared" si="9"/>
        <v>81.85028638888889</v>
      </c>
      <c r="S31" s="17">
        <f t="shared" si="7"/>
        <v>0.92588948631060564</v>
      </c>
      <c r="T31" s="18">
        <f t="shared" si="7"/>
        <v>0.91631637310776992</v>
      </c>
      <c r="U31" s="91"/>
      <c r="V31" s="37">
        <f>bdrate($D31:$D34,E31:E34,$L31:$L34,M31:M34)</f>
        <v>8.5002073511186715E-4</v>
      </c>
      <c r="W31" s="42">
        <f>bdrate($D31:$D34,F31:F34,$L31:$L34,N31:N34)</f>
        <v>4.1919604072866434E-3</v>
      </c>
      <c r="X31" s="42">
        <f>bdrate($D31:$D34,G31:G34,$L31:$L34,O31:O34)</f>
        <v>-4.0364888208516136E-3</v>
      </c>
      <c r="Y31" s="40">
        <f>bdrateOld($D31:$D34,E31:E34,$L31:$L34,M31:M34)</f>
        <v>8.2218327530192425E-4</v>
      </c>
      <c r="Z31" s="44">
        <f>bdrateOld($D31:$D34,F31:F34,$L31:$L34,N31:N34)</f>
        <v>4.0571609327297864E-3</v>
      </c>
      <c r="AA31" s="45">
        <f>bdrateOld($D31:$D34,G31:G34,$L31:$L34,O31:O34)</f>
        <v>-4.0645797019648322E-3</v>
      </c>
    </row>
    <row r="32" spans="1:27" x14ac:dyDescent="0.2">
      <c r="A32" s="16"/>
      <c r="B32" s="85"/>
      <c r="C32" s="16">
        <v>48</v>
      </c>
      <c r="D32" s="17">
        <f>Reference!B174</f>
        <v>4142.8271999999997</v>
      </c>
      <c r="E32" s="18">
        <f>Reference!C174</f>
        <v>41.066800000000001</v>
      </c>
      <c r="F32" s="18">
        <f>Reference!D174</f>
        <v>45.305</v>
      </c>
      <c r="G32" s="18">
        <f>Reference!E174</f>
        <v>45.662100000000002</v>
      </c>
      <c r="H32" s="18">
        <f>Reference!F174</f>
        <v>218442.90599999999</v>
      </c>
      <c r="I32" s="18">
        <f>Reference!G174</f>
        <v>33.883000000000003</v>
      </c>
      <c r="J32" s="19">
        <f t="shared" si="8"/>
        <v>60.678584999999998</v>
      </c>
      <c r="L32" s="17">
        <f>Test!B174</f>
        <v>4147.8559999999998</v>
      </c>
      <c r="M32" s="18">
        <f>Test!C174</f>
        <v>41.066099999999999</v>
      </c>
      <c r="N32" s="18">
        <f>Test!D174</f>
        <v>45.288400000000003</v>
      </c>
      <c r="O32" s="18">
        <f>Test!E174</f>
        <v>45.682499999999997</v>
      </c>
      <c r="P32" s="18">
        <f>Test!F174</f>
        <v>207449.81200000001</v>
      </c>
      <c r="Q32" s="18">
        <f>Test!G174</f>
        <v>31.486999999999998</v>
      </c>
      <c r="R32" s="19">
        <f t="shared" si="9"/>
        <v>57.624947777777777</v>
      </c>
      <c r="S32" s="17">
        <f t="shared" si="7"/>
        <v>0.94967520712254216</v>
      </c>
      <c r="T32" s="18">
        <f t="shared" si="7"/>
        <v>0.92928607266180663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2298.3824</v>
      </c>
      <c r="E33" s="18">
        <f>Reference!C175</f>
        <v>38.277999999999999</v>
      </c>
      <c r="F33" s="18">
        <f>Reference!D175</f>
        <v>43.639299999999999</v>
      </c>
      <c r="G33" s="18">
        <f>Reference!E175</f>
        <v>43.7971</v>
      </c>
      <c r="H33" s="18">
        <f>Reference!F175</f>
        <v>144507.92199999999</v>
      </c>
      <c r="I33" s="18">
        <f>Reference!G175</f>
        <v>29.600999999999999</v>
      </c>
      <c r="J33" s="19">
        <f t="shared" si="8"/>
        <v>40.141089444444439</v>
      </c>
      <c r="L33" s="17">
        <f>Test!B175</f>
        <v>2298.3247999999999</v>
      </c>
      <c r="M33" s="18">
        <f>Test!C175</f>
        <v>38.274700000000003</v>
      </c>
      <c r="N33" s="18">
        <f>Test!D175</f>
        <v>43.639299999999999</v>
      </c>
      <c r="O33" s="18">
        <f>Test!E175</f>
        <v>43.821800000000003</v>
      </c>
      <c r="P33" s="18">
        <f>Test!F175</f>
        <v>131817.42199999999</v>
      </c>
      <c r="Q33" s="18">
        <f>Test!G175</f>
        <v>26.427</v>
      </c>
      <c r="R33" s="19">
        <f t="shared" si="9"/>
        <v>36.61595055555555</v>
      </c>
      <c r="S33" s="17">
        <f t="shared" si="7"/>
        <v>0.91218128512013341</v>
      </c>
      <c r="T33" s="18">
        <f t="shared" si="7"/>
        <v>0.89277389277389274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1198.3456000000001</v>
      </c>
      <c r="E34" s="23">
        <f>Reference!C176</f>
        <v>35.321899999999999</v>
      </c>
      <c r="F34" s="23">
        <f>Reference!D176</f>
        <v>42.0548</v>
      </c>
      <c r="G34" s="23">
        <f>Reference!E176</f>
        <v>41.949300000000001</v>
      </c>
      <c r="H34" s="23">
        <f>Reference!F176</f>
        <v>79734.141000000003</v>
      </c>
      <c r="I34" s="23">
        <f>Reference!G176</f>
        <v>24.201000000000001</v>
      </c>
      <c r="J34" s="24">
        <f t="shared" si="8"/>
        <v>22.148372500000001</v>
      </c>
      <c r="L34" s="22">
        <f>Test!B176</f>
        <v>1199.6864</v>
      </c>
      <c r="M34" s="23">
        <f>Test!C176</f>
        <v>35.324399999999997</v>
      </c>
      <c r="N34" s="23">
        <f>Test!D176</f>
        <v>42.023000000000003</v>
      </c>
      <c r="O34" s="23">
        <f>Test!E176</f>
        <v>41.935400000000001</v>
      </c>
      <c r="P34" s="23">
        <f>Test!F176</f>
        <v>76698.695000000007</v>
      </c>
      <c r="Q34" s="23">
        <f>Test!G176</f>
        <v>21.387</v>
      </c>
      <c r="R34" s="24">
        <f t="shared" si="9"/>
        <v>21.305193055555556</v>
      </c>
      <c r="S34" s="17">
        <f t="shared" si="7"/>
        <v>0.96193041071327279</v>
      </c>
      <c r="T34" s="18">
        <f t="shared" si="7"/>
        <v>0.88372381306557579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4745.4528</v>
      </c>
      <c r="E35" s="13">
        <f>Reference!C177</f>
        <v>38.467799999999997</v>
      </c>
      <c r="F35" s="13">
        <f>Reference!D177</f>
        <v>45.531500000000001</v>
      </c>
      <c r="G35" s="13">
        <f>Reference!E177</f>
        <v>45.713500000000003</v>
      </c>
      <c r="H35" s="13">
        <f>Reference!F177</f>
        <v>215114.04699999999</v>
      </c>
      <c r="I35" s="13">
        <f>Reference!G177</f>
        <v>17.262</v>
      </c>
      <c r="J35" s="14">
        <f t="shared" si="8"/>
        <v>59.753901944444443</v>
      </c>
      <c r="L35" s="12">
        <f>Test!B177</f>
        <v>4754.4639999999999</v>
      </c>
      <c r="M35" s="13">
        <f>Test!C177</f>
        <v>38.467199999999998</v>
      </c>
      <c r="N35" s="13">
        <f>Test!D177</f>
        <v>45.532400000000003</v>
      </c>
      <c r="O35" s="13">
        <f>Test!E177</f>
        <v>45.736699999999999</v>
      </c>
      <c r="P35" s="13">
        <f>Test!F177</f>
        <v>203766.75</v>
      </c>
      <c r="Q35" s="13">
        <f>Test!G177</f>
        <v>15.43</v>
      </c>
      <c r="R35" s="14">
        <f t="shared" si="9"/>
        <v>56.601875</v>
      </c>
      <c r="S35" s="12">
        <f t="shared" si="7"/>
        <v>0.94724985579393617</v>
      </c>
      <c r="T35" s="13">
        <f t="shared" si="7"/>
        <v>0.89387093036728071</v>
      </c>
      <c r="U35" s="90"/>
      <c r="V35" s="37">
        <f>bdrate($D35:$D38,E35:E38,$L35:$L38,M35:M38)</f>
        <v>2.2902229280807873E-5</v>
      </c>
      <c r="W35" s="42">
        <f>bdrate($D35:$D38,F35:F38,$L35:$L38,N35:N38)</f>
        <v>-8.382965653759511E-3</v>
      </c>
      <c r="X35" s="42">
        <f>bdrate($D35:$D38,G35:G38,$L35:$L38,O35:O38)</f>
        <v>-4.6688785320427861E-3</v>
      </c>
      <c r="Y35" s="40">
        <f>bdrateOld($D35:$D38,E35:E38,$L35:$L38,M35:M38)</f>
        <v>1.5746642284963919E-4</v>
      </c>
      <c r="Z35" s="44">
        <f>bdrateOld($D35:$D38,F35:F38,$L35:$L38,N35:N38)</f>
        <v>-8.564832600916783E-3</v>
      </c>
      <c r="AA35" s="45">
        <f>bdrateOld($D35:$D38,G35:G38,$L35:$L38,O35:O38)</f>
        <v>-4.5638728780847959E-3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1666.3471999999999</v>
      </c>
      <c r="E36" s="18">
        <f>Reference!C178</f>
        <v>36.471499999999999</v>
      </c>
      <c r="F36" s="18">
        <f>Reference!D178</f>
        <v>44.529899999999998</v>
      </c>
      <c r="G36" s="18">
        <f>Reference!E178</f>
        <v>44.724200000000003</v>
      </c>
      <c r="H36" s="18">
        <f>Reference!F178</f>
        <v>110943.508</v>
      </c>
      <c r="I36" s="18">
        <f>Reference!G178</f>
        <v>12.295</v>
      </c>
      <c r="J36" s="19">
        <f t="shared" si="8"/>
        <v>30.817641111111111</v>
      </c>
      <c r="L36" s="17">
        <f>Test!B178</f>
        <v>1665.4464</v>
      </c>
      <c r="M36" s="18">
        <f>Test!C178</f>
        <v>36.471600000000002</v>
      </c>
      <c r="N36" s="18">
        <f>Test!D178</f>
        <v>44.544600000000003</v>
      </c>
      <c r="O36" s="18">
        <f>Test!E178</f>
        <v>44.715699999999998</v>
      </c>
      <c r="P36" s="18">
        <f>Test!F178</f>
        <v>103608.18</v>
      </c>
      <c r="Q36" s="18">
        <f>Test!G178</f>
        <v>10.654</v>
      </c>
      <c r="R36" s="19">
        <f t="shared" si="9"/>
        <v>28.780049999999999</v>
      </c>
      <c r="S36" s="17">
        <f t="shared" si="7"/>
        <v>0.93388231423149148</v>
      </c>
      <c r="T36" s="18">
        <f t="shared" si="7"/>
        <v>0.86653111020740137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656.93439999999998</v>
      </c>
      <c r="E37" s="18">
        <f>Reference!C179</f>
        <v>34.0154</v>
      </c>
      <c r="F37" s="18">
        <f>Reference!D179</f>
        <v>43.203000000000003</v>
      </c>
      <c r="G37" s="18">
        <f>Reference!E179</f>
        <v>43.333300000000001</v>
      </c>
      <c r="H37" s="18">
        <f>Reference!F179</f>
        <v>63159.574000000001</v>
      </c>
      <c r="I37" s="18">
        <f>Reference!G179</f>
        <v>9.2859999999999996</v>
      </c>
      <c r="J37" s="19">
        <f t="shared" si="8"/>
        <v>17.544326111111111</v>
      </c>
      <c r="L37" s="17">
        <f>Test!B179</f>
        <v>657.73119999999994</v>
      </c>
      <c r="M37" s="18">
        <f>Test!C179</f>
        <v>34.0182</v>
      </c>
      <c r="N37" s="18">
        <f>Test!D179</f>
        <v>43.2057</v>
      </c>
      <c r="O37" s="18">
        <f>Test!E179</f>
        <v>43.359200000000001</v>
      </c>
      <c r="P37" s="18">
        <f>Test!F179</f>
        <v>58884.891000000003</v>
      </c>
      <c r="Q37" s="18">
        <f>Test!G179</f>
        <v>8.4039999999999999</v>
      </c>
      <c r="R37" s="19">
        <f t="shared" si="9"/>
        <v>16.356914166666666</v>
      </c>
      <c r="S37" s="17">
        <f t="shared" si="7"/>
        <v>0.93231931868318174</v>
      </c>
      <c r="T37" s="18">
        <f t="shared" si="7"/>
        <v>0.90501830712901143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274.74720000000002</v>
      </c>
      <c r="E38" s="23">
        <f>Reference!C180</f>
        <v>30.9801</v>
      </c>
      <c r="F38" s="23">
        <f>Reference!D180</f>
        <v>41.942500000000003</v>
      </c>
      <c r="G38" s="23">
        <f>Reference!E180</f>
        <v>42.017800000000001</v>
      </c>
      <c r="H38" s="23">
        <f>Reference!F180</f>
        <v>36150.230000000003</v>
      </c>
      <c r="I38" s="23">
        <f>Reference!G180</f>
        <v>7.1059999999999999</v>
      </c>
      <c r="J38" s="24">
        <f t="shared" si="8"/>
        <v>10.041730555555556</v>
      </c>
      <c r="L38" s="22">
        <f>Test!B180</f>
        <v>274.48480000000001</v>
      </c>
      <c r="M38" s="23">
        <f>Test!C180</f>
        <v>30.979800000000001</v>
      </c>
      <c r="N38" s="23">
        <f>Test!D180</f>
        <v>41.982500000000002</v>
      </c>
      <c r="O38" s="23">
        <f>Test!E180</f>
        <v>41.9895</v>
      </c>
      <c r="P38" s="23">
        <f>Test!F180</f>
        <v>33943.163999999997</v>
      </c>
      <c r="Q38" s="23">
        <f>Test!G180</f>
        <v>6.681</v>
      </c>
      <c r="R38" s="24">
        <f t="shared" si="9"/>
        <v>9.4286566666666651</v>
      </c>
      <c r="S38" s="17">
        <f t="shared" si="7"/>
        <v>0.93894738705673497</v>
      </c>
      <c r="T38" s="18">
        <f t="shared" si="7"/>
        <v>0.94019138755980869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3856.3807999999999</v>
      </c>
      <c r="E39" s="13">
        <f>Reference!C181</f>
        <v>40.522399999999998</v>
      </c>
      <c r="F39" s="13">
        <f>Reference!D181</f>
        <v>45.279200000000003</v>
      </c>
      <c r="G39" s="13">
        <f>Reference!E181</f>
        <v>46.113100000000003</v>
      </c>
      <c r="H39" s="13">
        <f>Reference!F181</f>
        <v>184555.81200000001</v>
      </c>
      <c r="I39" s="13">
        <f>Reference!G181</f>
        <v>17.55</v>
      </c>
      <c r="J39" s="14">
        <f t="shared" si="8"/>
        <v>51.265503333333335</v>
      </c>
      <c r="L39" s="12">
        <f>Test!B181</f>
        <v>3856.8928000000001</v>
      </c>
      <c r="M39" s="13">
        <f>Test!C181</f>
        <v>40.522599999999997</v>
      </c>
      <c r="N39" s="13">
        <f>Test!D181</f>
        <v>45.274700000000003</v>
      </c>
      <c r="O39" s="13">
        <f>Test!E181</f>
        <v>46.122300000000003</v>
      </c>
      <c r="P39" s="13">
        <f>Test!F181</f>
        <v>173502.57800000001</v>
      </c>
      <c r="Q39" s="13">
        <f>Test!G181</f>
        <v>16.489000000000001</v>
      </c>
      <c r="R39" s="14">
        <f t="shared" si="9"/>
        <v>48.19516055555556</v>
      </c>
      <c r="S39" s="17">
        <f t="shared" si="7"/>
        <v>0.94010898990274017</v>
      </c>
      <c r="T39" s="18">
        <f t="shared" si="7"/>
        <v>0.9395441595441596</v>
      </c>
      <c r="U39" s="91"/>
      <c r="V39" s="37">
        <f>bdrate($D39:$D42,E39:E42,$L39:$L42,M39:M42)</f>
        <v>-9.2809358507306428E-5</v>
      </c>
      <c r="W39" s="42">
        <f>bdrate($D39:$D42,F39:F42,$L39:$L42,N39:N42)</f>
        <v>-6.7051292129864937E-3</v>
      </c>
      <c r="X39" s="42">
        <f>bdrate($D39:$D42,G39:G42,$L39:$L42,O39:O42)</f>
        <v>-2.1632740570670661E-3</v>
      </c>
      <c r="Y39" s="40">
        <f>bdrateOld($D39:$D42,E39:E42,$L39:$L42,M39:M42)</f>
        <v>-3.8288424806798282E-5</v>
      </c>
      <c r="Z39" s="44">
        <f>bdrateOld($D39:$D42,F39:F42,$L39:$L42,N39:N42)</f>
        <v>-6.2538195354020498E-3</v>
      </c>
      <c r="AA39" s="45">
        <f>bdrateOld($D39:$D42,G39:G42,$L39:$L42,O39:O42)</f>
        <v>-2.4383300315148349E-3</v>
      </c>
    </row>
    <row r="40" spans="1:27" x14ac:dyDescent="0.2">
      <c r="A40" s="16"/>
      <c r="B40" s="85"/>
      <c r="C40" s="16">
        <v>32</v>
      </c>
      <c r="D40" s="17">
        <f>Reference!B182</f>
        <v>1753.2016000000001</v>
      </c>
      <c r="E40" s="18">
        <f>Reference!C182</f>
        <v>38.9009</v>
      </c>
      <c r="F40" s="18">
        <f>Reference!D182</f>
        <v>44.456499999999998</v>
      </c>
      <c r="G40" s="18">
        <f>Reference!E182</f>
        <v>44.59</v>
      </c>
      <c r="H40" s="18">
        <f>Reference!F182</f>
        <v>110699.219</v>
      </c>
      <c r="I40" s="18">
        <f>Reference!G182</f>
        <v>19.373999999999999</v>
      </c>
      <c r="J40" s="19">
        <f t="shared" si="8"/>
        <v>30.749783055555554</v>
      </c>
      <c r="L40" s="17">
        <f>Test!B182</f>
        <v>1752.1264000000001</v>
      </c>
      <c r="M40" s="18">
        <f>Test!C182</f>
        <v>38.9011</v>
      </c>
      <c r="N40" s="18">
        <f>Test!D182</f>
        <v>44.465800000000002</v>
      </c>
      <c r="O40" s="18">
        <f>Test!E182</f>
        <v>44.581899999999997</v>
      </c>
      <c r="P40" s="18">
        <f>Test!F182</f>
        <v>101839.32</v>
      </c>
      <c r="Q40" s="18">
        <f>Test!G182</f>
        <v>12.795999999999999</v>
      </c>
      <c r="R40" s="19">
        <f t="shared" si="9"/>
        <v>28.288700000000002</v>
      </c>
      <c r="S40" s="17">
        <f t="shared" si="7"/>
        <v>0.91996421402033568</v>
      </c>
      <c r="T40" s="18">
        <f t="shared" si="7"/>
        <v>0.66047279859605657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838.86080000000004</v>
      </c>
      <c r="E41" s="18">
        <f>Reference!C183</f>
        <v>36.967700000000001</v>
      </c>
      <c r="F41" s="18">
        <f>Reference!D183</f>
        <v>43.438200000000002</v>
      </c>
      <c r="G41" s="18">
        <f>Reference!E183</f>
        <v>42.782600000000002</v>
      </c>
      <c r="H41" s="18">
        <f>Reference!F183</f>
        <v>60741.938000000002</v>
      </c>
      <c r="I41" s="18">
        <f>Reference!G183</f>
        <v>15.865</v>
      </c>
      <c r="J41" s="19">
        <f t="shared" si="8"/>
        <v>16.872760555555555</v>
      </c>
      <c r="L41" s="17">
        <f>Test!B183</f>
        <v>838.48800000000006</v>
      </c>
      <c r="M41" s="18">
        <f>Test!C183</f>
        <v>36.964300000000001</v>
      </c>
      <c r="N41" s="18">
        <f>Test!D183</f>
        <v>43.447099999999999</v>
      </c>
      <c r="O41" s="18">
        <f>Test!E183</f>
        <v>42.7881</v>
      </c>
      <c r="P41" s="18">
        <f>Test!F183</f>
        <v>57598.605000000003</v>
      </c>
      <c r="Q41" s="18">
        <f>Test!G183</f>
        <v>10.502000000000001</v>
      </c>
      <c r="R41" s="19">
        <f t="shared" si="9"/>
        <v>15.999612500000001</v>
      </c>
      <c r="S41" s="17">
        <f t="shared" si="7"/>
        <v>0.94825102551057894</v>
      </c>
      <c r="T41" s="18">
        <f t="shared" si="7"/>
        <v>0.66196028994642298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394.4624</v>
      </c>
      <c r="E42" s="23">
        <f>Reference!C184</f>
        <v>34.745699999999999</v>
      </c>
      <c r="F42" s="23">
        <f>Reference!D184</f>
        <v>42.169199999999996</v>
      </c>
      <c r="G42" s="23">
        <f>Reference!E184</f>
        <v>40.707500000000003</v>
      </c>
      <c r="H42" s="23">
        <f>Reference!F184</f>
        <v>31199.728999999999</v>
      </c>
      <c r="I42" s="23">
        <f>Reference!G184</f>
        <v>9.07</v>
      </c>
      <c r="J42" s="24">
        <f t="shared" si="8"/>
        <v>8.6665913888888895</v>
      </c>
      <c r="L42" s="22">
        <f>Test!B184</f>
        <v>393.952</v>
      </c>
      <c r="M42" s="23">
        <f>Test!C184</f>
        <v>34.745800000000003</v>
      </c>
      <c r="N42" s="23">
        <f>Test!D184</f>
        <v>42.188699999999997</v>
      </c>
      <c r="O42" s="23">
        <f>Test!E184</f>
        <v>40.735500000000002</v>
      </c>
      <c r="P42" s="23">
        <f>Test!F184</f>
        <v>30166.134999999998</v>
      </c>
      <c r="Q42" s="23">
        <f>Test!G184</f>
        <v>8.4760000000000009</v>
      </c>
      <c r="R42" s="24">
        <f t="shared" si="9"/>
        <v>8.3794819444444446</v>
      </c>
      <c r="S42" s="17">
        <f t="shared" si="7"/>
        <v>0.96687169943046614</v>
      </c>
      <c r="T42" s="18">
        <f t="shared" si="7"/>
        <v>0.93450937155457559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958.04960000000005</v>
      </c>
      <c r="E43" s="13">
        <f>Reference!C185</f>
        <v>42.996499999999997</v>
      </c>
      <c r="F43" s="13">
        <f>Reference!D185</f>
        <v>46.766399999999997</v>
      </c>
      <c r="G43" s="13">
        <f>Reference!E185</f>
        <v>47.584499999999998</v>
      </c>
      <c r="H43" s="13">
        <f>Reference!F185</f>
        <v>71122.023000000001</v>
      </c>
      <c r="I43" s="13">
        <f>Reference!G185</f>
        <v>9.86</v>
      </c>
      <c r="J43" s="14">
        <f t="shared" si="8"/>
        <v>19.756117500000002</v>
      </c>
      <c r="L43" s="12">
        <f>Test!B185</f>
        <v>958.8528</v>
      </c>
      <c r="M43" s="13">
        <f>Test!C185</f>
        <v>42.993099999999998</v>
      </c>
      <c r="N43" s="13">
        <f>Test!D185</f>
        <v>46.756900000000002</v>
      </c>
      <c r="O43" s="13">
        <f>Test!E185</f>
        <v>47.552700000000002</v>
      </c>
      <c r="P43" s="13">
        <f>Test!F185</f>
        <v>69353.312000000005</v>
      </c>
      <c r="Q43" s="13">
        <f>Test!G185</f>
        <v>8.8089999999999993</v>
      </c>
      <c r="R43" s="14">
        <f t="shared" si="9"/>
        <v>19.26480888888889</v>
      </c>
      <c r="S43" s="17">
        <f t="shared" si="7"/>
        <v>0.97513131762295346</v>
      </c>
      <c r="T43" s="18">
        <f t="shared" si="7"/>
        <v>0.89340770791075053</v>
      </c>
      <c r="U43" s="91"/>
      <c r="V43" s="37">
        <f>bdrate($D43:$D46,E43:E46,$L43:$L46,M43:M46)</f>
        <v>2.0390826156850839E-3</v>
      </c>
      <c r="W43" s="42">
        <f>bdrate($D43:$D46,F43:F46,$L43:$L46,N43:N46)</f>
        <v>1.8313076154555574E-2</v>
      </c>
      <c r="X43" s="42">
        <f>bdrate($D43:$D46,G43:G46,$L43:$L46,O43:O46)</f>
        <v>-1.4640672677505018E-3</v>
      </c>
      <c r="Y43" s="40">
        <f>bdrateOld($D43:$D46,E43:E46,$L43:$L46,M43:M46)</f>
        <v>2.2832461794688452E-3</v>
      </c>
      <c r="Z43" s="44">
        <f>bdrateOld($D43:$D46,F43:F46,$L43:$L46,N43:N46)</f>
        <v>1.6654471611686983E-2</v>
      </c>
      <c r="AA43" s="45">
        <f>bdrateOld($D43:$D46,G43:G46,$L43:$L46,O43:O46)</f>
        <v>-3.1556432573990323E-3</v>
      </c>
    </row>
    <row r="44" spans="1:27" x14ac:dyDescent="0.2">
      <c r="A44" s="16"/>
      <c r="B44" s="85"/>
      <c r="C44" s="16">
        <v>32</v>
      </c>
      <c r="D44" s="17">
        <f>Reference!B186</f>
        <v>489.97120000000001</v>
      </c>
      <c r="E44" s="18">
        <f>Reference!C186</f>
        <v>41.368400000000001</v>
      </c>
      <c r="F44" s="18">
        <f>Reference!D186</f>
        <v>45.981400000000001</v>
      </c>
      <c r="G44" s="18">
        <f>Reference!E186</f>
        <v>46.554200000000002</v>
      </c>
      <c r="H44" s="18">
        <f>Reference!F186</f>
        <v>42963.148000000001</v>
      </c>
      <c r="I44" s="18">
        <f>Reference!G186</f>
        <v>7.7389999999999999</v>
      </c>
      <c r="J44" s="19">
        <f t="shared" si="8"/>
        <v>11.934207777777779</v>
      </c>
      <c r="L44" s="17">
        <f>Test!B186</f>
        <v>490.2944</v>
      </c>
      <c r="M44" s="18">
        <f>Test!C186</f>
        <v>41.365400000000001</v>
      </c>
      <c r="N44" s="18">
        <f>Test!D186</f>
        <v>45.930100000000003</v>
      </c>
      <c r="O44" s="18">
        <f>Test!E186</f>
        <v>46.506599999999999</v>
      </c>
      <c r="P44" s="18">
        <f>Test!F186</f>
        <v>40887.379000000001</v>
      </c>
      <c r="Q44" s="18">
        <f>Test!G186</f>
        <v>6.7</v>
      </c>
      <c r="R44" s="19">
        <f t="shared" si="9"/>
        <v>11.357605277777777</v>
      </c>
      <c r="S44" s="17">
        <f t="shared" si="7"/>
        <v>0.95168489515712396</v>
      </c>
      <c r="T44" s="18">
        <f t="shared" si="7"/>
        <v>0.86574492828530825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260.94080000000002</v>
      </c>
      <c r="E45" s="18">
        <f>Reference!C187</f>
        <v>39.204099999999997</v>
      </c>
      <c r="F45" s="18">
        <f>Reference!D187</f>
        <v>44.708799999999997</v>
      </c>
      <c r="G45" s="18">
        <f>Reference!E187</f>
        <v>45.008899999999997</v>
      </c>
      <c r="H45" s="18">
        <f>Reference!F187</f>
        <v>26710.967000000001</v>
      </c>
      <c r="I45" s="18">
        <f>Reference!G187</f>
        <v>6.7210000000000001</v>
      </c>
      <c r="J45" s="19">
        <f t="shared" si="8"/>
        <v>7.4197130555555555</v>
      </c>
      <c r="L45" s="17">
        <f>Test!B187</f>
        <v>261.99680000000001</v>
      </c>
      <c r="M45" s="18">
        <f>Test!C187</f>
        <v>39.198399999999999</v>
      </c>
      <c r="N45" s="18">
        <f>Test!D187</f>
        <v>44.691200000000002</v>
      </c>
      <c r="O45" s="18">
        <f>Test!E187</f>
        <v>45.051299999999998</v>
      </c>
      <c r="P45" s="18">
        <f>Test!F187</f>
        <v>23309.241999999998</v>
      </c>
      <c r="Q45" s="18">
        <f>Test!G187</f>
        <v>5.6120000000000001</v>
      </c>
      <c r="R45" s="19">
        <f t="shared" si="9"/>
        <v>6.4747894444444443</v>
      </c>
      <c r="S45" s="17">
        <f t="shared" si="7"/>
        <v>0.87264687946340536</v>
      </c>
      <c r="T45" s="18">
        <f t="shared" si="7"/>
        <v>0.83499479244160091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142.61600000000001</v>
      </c>
      <c r="E46" s="23">
        <f>Reference!C188</f>
        <v>36.420299999999997</v>
      </c>
      <c r="F46" s="23">
        <f>Reference!D188</f>
        <v>43.176299999999998</v>
      </c>
      <c r="G46" s="23">
        <f>Reference!E188</f>
        <v>43.1663</v>
      </c>
      <c r="H46" s="23">
        <f>Reference!F188</f>
        <v>14117.022999999999</v>
      </c>
      <c r="I46" s="23">
        <f>Reference!G188</f>
        <v>5.35</v>
      </c>
      <c r="J46" s="24">
        <f t="shared" si="8"/>
        <v>3.9213952777777776</v>
      </c>
      <c r="L46" s="22">
        <f>Test!B188</f>
        <v>142.51840000000001</v>
      </c>
      <c r="M46" s="23">
        <f>Test!C188</f>
        <v>36.456200000000003</v>
      </c>
      <c r="N46" s="23">
        <f>Test!D188</f>
        <v>43.139299999999999</v>
      </c>
      <c r="O46" s="23">
        <f>Test!E188</f>
        <v>43.2943</v>
      </c>
      <c r="P46" s="23">
        <f>Test!F188</f>
        <v>13757.093999999999</v>
      </c>
      <c r="Q46" s="23">
        <f>Test!G188</f>
        <v>5.4260000000000002</v>
      </c>
      <c r="R46" s="24">
        <f t="shared" si="9"/>
        <v>3.8214149999999996</v>
      </c>
      <c r="S46" s="17">
        <f t="shared" si="7"/>
        <v>0.97450390213290716</v>
      </c>
      <c r="T46" s="18">
        <f t="shared" si="7"/>
        <v>1.0142056074766357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1337.0816</v>
      </c>
      <c r="E47" s="13">
        <f>Reference!C189</f>
        <v>42.716000000000001</v>
      </c>
      <c r="F47" s="13">
        <f>Reference!D189</f>
        <v>48.5914</v>
      </c>
      <c r="G47" s="13">
        <f>Reference!E189</f>
        <v>47.267099999999999</v>
      </c>
      <c r="H47" s="13">
        <f>Reference!F189</f>
        <v>80777.508000000002</v>
      </c>
      <c r="I47" s="13">
        <f>Reference!G189</f>
        <v>10.946999999999999</v>
      </c>
      <c r="J47" s="14">
        <f>H47/3600</f>
        <v>22.438196666666666</v>
      </c>
      <c r="L47" s="12">
        <f>Test!B189</f>
        <v>1336.0496000000001</v>
      </c>
      <c r="M47" s="13">
        <f>Test!C189</f>
        <v>42.7179</v>
      </c>
      <c r="N47" s="13">
        <f>Test!D189</f>
        <v>48.601199999999999</v>
      </c>
      <c r="O47" s="13">
        <f>Test!E189</f>
        <v>47.652000000000001</v>
      </c>
      <c r="P47" s="13">
        <f>Test!F189</f>
        <v>76027.398000000001</v>
      </c>
      <c r="Q47" s="13">
        <f>Test!G189</f>
        <v>9.4659999999999993</v>
      </c>
      <c r="R47" s="14">
        <f>P47/3600</f>
        <v>21.118721666666666</v>
      </c>
      <c r="S47" s="17">
        <f t="shared" ref="S47:T62" si="10">P47/H47</f>
        <v>0.94119514060770482</v>
      </c>
      <c r="T47" s="18">
        <f t="shared" si="10"/>
        <v>0.86471179318534763</v>
      </c>
      <c r="U47" s="91"/>
      <c r="V47" s="37">
        <f>bdrate($D47:$D50,E47:E50,$L47:$L50,M47:M50)</f>
        <v>2.3276532165668051E-3</v>
      </c>
      <c r="W47" s="42">
        <f>bdrate($D47:$D50,F47:F50,$L47:$L50,N47:N50)</f>
        <v>2.092232894840107E-2</v>
      </c>
      <c r="X47" s="43">
        <f>bdrate($D47:$D50,G47:G50,$L47:$L50,O47:O50)</f>
        <v>-3.5353128123708277E-2</v>
      </c>
      <c r="Y47" s="37">
        <f>bdrateOld($D47:$D50,E47:E50,$L47:$L50,M47:M50)</f>
        <v>2.1271025880365002E-3</v>
      </c>
      <c r="Z47" s="42">
        <f>bdrateOld($D47:$D50,F47:F50,$L47:$L50,N47:N50)</f>
        <v>2.2027577777783414E-2</v>
      </c>
      <c r="AA47" s="43">
        <f>bdrateOld($D47:$D50,G47:G50,$L47:$L50,O47:O50)</f>
        <v>-7.1906763355564673E-2</v>
      </c>
    </row>
    <row r="48" spans="1:27" x14ac:dyDescent="0.2">
      <c r="A48" s="16"/>
      <c r="B48" s="85"/>
      <c r="C48" s="16">
        <v>32</v>
      </c>
      <c r="D48" s="17">
        <f>Reference!B190</f>
        <v>652.3424</v>
      </c>
      <c r="E48" s="18">
        <f>Reference!C190</f>
        <v>41.035899999999998</v>
      </c>
      <c r="F48" s="18">
        <f>Reference!D190</f>
        <v>47.787300000000002</v>
      </c>
      <c r="G48" s="18">
        <f>Reference!E190</f>
        <v>46.668500000000002</v>
      </c>
      <c r="H48" s="18">
        <f>Reference!F190</f>
        <v>45141.879000000001</v>
      </c>
      <c r="I48" s="18">
        <f>Reference!G190</f>
        <v>7.7679999999999998</v>
      </c>
      <c r="J48" s="19">
        <f t="shared" ref="J48:J70" si="11">H48/3600</f>
        <v>12.539410833333333</v>
      </c>
      <c r="L48" s="17">
        <f>Test!B190</f>
        <v>650.54079999999999</v>
      </c>
      <c r="M48" s="18">
        <f>Test!C190</f>
        <v>41.020200000000003</v>
      </c>
      <c r="N48" s="18">
        <f>Test!D190</f>
        <v>47.7761</v>
      </c>
      <c r="O48" s="18">
        <f>Test!E190</f>
        <v>46.840800000000002</v>
      </c>
      <c r="P48" s="18">
        <f>Test!F190</f>
        <v>44266.464999999997</v>
      </c>
      <c r="Q48" s="18">
        <f>Test!G190</f>
        <v>7.0350000000000001</v>
      </c>
      <c r="R48" s="19">
        <f t="shared" ref="R48:R70" si="12">P48/3600</f>
        <v>12.296240277777777</v>
      </c>
      <c r="S48" s="17">
        <f t="shared" si="10"/>
        <v>0.98060749753017584</v>
      </c>
      <c r="T48" s="18">
        <f t="shared" si="10"/>
        <v>0.90563851699279097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345.73439999999999</v>
      </c>
      <c r="E49" s="18">
        <f>Reference!C191</f>
        <v>38.752299999999998</v>
      </c>
      <c r="F49" s="18">
        <f>Reference!D191</f>
        <v>46.661700000000003</v>
      </c>
      <c r="G49" s="18">
        <f>Reference!E191</f>
        <v>45.4146</v>
      </c>
      <c r="H49" s="18">
        <f>Reference!F191</f>
        <v>27067.886999999999</v>
      </c>
      <c r="I49" s="18">
        <f>Reference!G191</f>
        <v>6.9249999999999998</v>
      </c>
      <c r="J49" s="19">
        <f t="shared" si="11"/>
        <v>7.5188574999999993</v>
      </c>
      <c r="L49" s="17">
        <f>Test!B191</f>
        <v>346.31200000000001</v>
      </c>
      <c r="M49" s="18">
        <f>Test!C191</f>
        <v>38.745100000000001</v>
      </c>
      <c r="N49" s="18">
        <f>Test!D191</f>
        <v>46.601199999999999</v>
      </c>
      <c r="O49" s="18">
        <f>Test!E191</f>
        <v>45.368400000000001</v>
      </c>
      <c r="P49" s="18">
        <f>Test!F191</f>
        <v>25582.936000000002</v>
      </c>
      <c r="Q49" s="18">
        <f>Test!G191</f>
        <v>6.226</v>
      </c>
      <c r="R49" s="19">
        <f t="shared" si="12"/>
        <v>7.1063711111111116</v>
      </c>
      <c r="S49" s="17">
        <f t="shared" si="10"/>
        <v>0.94513975176562559</v>
      </c>
      <c r="T49" s="18">
        <f t="shared" si="10"/>
        <v>0.89906137184115531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188.8176</v>
      </c>
      <c r="E50" s="23">
        <f>Reference!C192</f>
        <v>35.7226</v>
      </c>
      <c r="F50" s="23">
        <f>Reference!D192</f>
        <v>45.082099999999997</v>
      </c>
      <c r="G50" s="23">
        <f>Reference!E192</f>
        <v>43.250599999999999</v>
      </c>
      <c r="H50" s="23">
        <f>Reference!F192</f>
        <v>16222.581</v>
      </c>
      <c r="I50" s="23">
        <f>Reference!G192</f>
        <v>5.7210000000000001</v>
      </c>
      <c r="J50" s="24">
        <f t="shared" si="11"/>
        <v>4.5062724999999997</v>
      </c>
      <c r="L50" s="22">
        <f>Test!B192</f>
        <v>189.2</v>
      </c>
      <c r="M50" s="23">
        <f>Test!C192</f>
        <v>35.730200000000004</v>
      </c>
      <c r="N50" s="23">
        <f>Test!D192</f>
        <v>44.9694</v>
      </c>
      <c r="O50" s="23">
        <f>Test!E192</f>
        <v>43.404000000000003</v>
      </c>
      <c r="P50" s="23">
        <f>Test!F192</f>
        <v>15830.376</v>
      </c>
      <c r="Q50" s="23">
        <f>Test!G192</f>
        <v>5.8540000000000001</v>
      </c>
      <c r="R50" s="24">
        <f t="shared" si="12"/>
        <v>4.3973266666666664</v>
      </c>
      <c r="S50" s="22">
        <f t="shared" si="10"/>
        <v>0.97582351414981372</v>
      </c>
      <c r="T50" s="23">
        <f t="shared" si="10"/>
        <v>1.0232476839713336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23.743446374932795</v>
      </c>
      <c r="J75" s="15">
        <f>GEOMEAN(J3:J18)</f>
        <v>37.948724962745153</v>
      </c>
      <c r="Q75" s="15">
        <f>GEOMEAN(Q3:Q18)</f>
        <v>21.497954330576473</v>
      </c>
      <c r="R75" s="15">
        <f>GEOMEAN(R3:R18)</f>
        <v>35.349236276481804</v>
      </c>
      <c r="S75" s="15">
        <f>GEOMEAN(S3:S18)</f>
        <v>0.93149997295520992</v>
      </c>
      <c r="T75" s="15">
        <f>GEOMEAN(T3:T18)</f>
        <v>0.90542686984451393</v>
      </c>
      <c r="V75" s="37">
        <f>AVERAGE(V3:V18)</f>
        <v>-5.9984553991357381E-4</v>
      </c>
      <c r="W75" s="42">
        <f t="shared" ref="W75:AA75" si="17">AVERAGE(W3:W18)</f>
        <v>-8.5721420467584353E-3</v>
      </c>
      <c r="X75" s="42">
        <f t="shared" si="17"/>
        <v>-1.105292962832688E-2</v>
      </c>
      <c r="Y75" s="37">
        <f>AVERAGE(Y3:Y18)</f>
        <v>-5.2618899545722742E-4</v>
      </c>
      <c r="Z75" s="42">
        <f t="shared" si="17"/>
        <v>-8.8005977777625699E-3</v>
      </c>
      <c r="AA75" s="43">
        <f t="shared" si="17"/>
        <v>-1.1151215391660113E-2</v>
      </c>
    </row>
    <row r="76" spans="1:27" x14ac:dyDescent="0.2">
      <c r="B76" s="89" t="s">
        <v>47</v>
      </c>
      <c r="I76" s="15">
        <f>GEOMEAN(I19:I34)</f>
        <v>28.337223605319625</v>
      </c>
      <c r="J76" s="15">
        <f>GEOMEAN(J19:J34)</f>
        <v>49.633816750446442</v>
      </c>
      <c r="Q76" s="15">
        <f>GEOMEAN(Q19:Q34)</f>
        <v>24.763877415463281</v>
      </c>
      <c r="R76" s="15">
        <f>GEOMEAN(R19:R34)</f>
        <v>45.855868462073644</v>
      </c>
      <c r="S76" s="15">
        <f>GEOMEAN(S19:S34)</f>
        <v>0.92388358309480967</v>
      </c>
      <c r="T76" s="15">
        <f>GEOMEAN(T19:T34)</f>
        <v>0.87389921328829345</v>
      </c>
      <c r="V76" s="38">
        <f>AVERAGE(V19:V34)</f>
        <v>4.8195583476318138E-4</v>
      </c>
      <c r="W76" s="25">
        <f t="shared" ref="W76:AA76" si="18">AVERAGE(W19:W34)</f>
        <v>2.6325916928973681E-3</v>
      </c>
      <c r="X76" s="25">
        <f t="shared" si="18"/>
        <v>-1.3845673786460899E-3</v>
      </c>
      <c r="Y76" s="38">
        <f t="shared" si="18"/>
        <v>4.0702464957109719E-4</v>
      </c>
      <c r="Z76" s="25">
        <f t="shared" si="18"/>
        <v>2.3769012315552063E-3</v>
      </c>
      <c r="AA76" s="50">
        <f t="shared" si="18"/>
        <v>-1.2282227782293431E-3</v>
      </c>
    </row>
    <row r="77" spans="1:27" x14ac:dyDescent="0.2">
      <c r="B77" s="89" t="s">
        <v>51</v>
      </c>
      <c r="I77" s="15">
        <f>GEOMEAN(I35:I50)</f>
        <v>9.7186048721671376</v>
      </c>
      <c r="J77" s="15">
        <f>GEOMEAN(J35:J50)</f>
        <v>14.72602805817961</v>
      </c>
      <c r="Q77" s="15">
        <f>GEOMEAN(Q35:Q50)</f>
        <v>8.5097011629812727</v>
      </c>
      <c r="R77" s="15">
        <f>GEOMEAN(R35:R50)</f>
        <v>13.933161073964113</v>
      </c>
      <c r="S77" s="15">
        <f>GEOMEAN(S35:S50)</f>
        <v>0.94615880255809381</v>
      </c>
      <c r="T77" s="15">
        <f>GEOMEAN(T35:T50)</f>
        <v>0.87560933641329397</v>
      </c>
      <c r="V77" s="38">
        <f>AVERAGE(V35:V50)</f>
        <v>1.0742071757563476E-3</v>
      </c>
      <c r="W77" s="25">
        <f t="shared" ref="W77:AA77" si="19">AVERAGE(W35:W50)</f>
        <v>6.0368275590526599E-3</v>
      </c>
      <c r="X77" s="25">
        <f t="shared" si="19"/>
        <v>-1.0912336995142158E-2</v>
      </c>
      <c r="Y77" s="38">
        <f t="shared" si="19"/>
        <v>1.1323816913870466E-3</v>
      </c>
      <c r="Z77" s="25">
        <f t="shared" si="19"/>
        <v>5.9658493132878909E-3</v>
      </c>
      <c r="AA77" s="50">
        <f t="shared" si="19"/>
        <v>-2.0516152380640834E-2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18.699715246837364</v>
      </c>
      <c r="J80" s="54">
        <f xml:space="preserve"> GEOMEAN(J3:J50)</f>
        <v>30.27053953116118</v>
      </c>
      <c r="K80" s="4"/>
      <c r="L80" s="4"/>
      <c r="M80" s="4"/>
      <c r="N80" s="4"/>
      <c r="O80" s="4"/>
      <c r="P80" s="4"/>
      <c r="Q80" s="54">
        <f xml:space="preserve"> GEOMEAN(Q3:Q50)</f>
        <v>16.546648077635528</v>
      </c>
      <c r="R80" s="54">
        <f xml:space="preserve"> GEOMEAN(R3:R50)</f>
        <v>28.266684530354581</v>
      </c>
      <c r="S80" s="54">
        <f>GEOMEAN(S3:S50)</f>
        <v>0.93380180757122666</v>
      </c>
      <c r="T80" s="54">
        <f>GEOMEAN(T3:T50)</f>
        <v>0.88486096495153954</v>
      </c>
      <c r="U80" s="4"/>
      <c r="V80" s="41">
        <f>AVERAGE(V3:V50)</f>
        <v>3.1877249020198506E-4</v>
      </c>
      <c r="W80" s="46">
        <f t="shared" ref="W80:AA80" si="23">AVERAGE(W3:W50)</f>
        <v>3.2425735063864224E-5</v>
      </c>
      <c r="X80" s="47">
        <f t="shared" si="23"/>
        <v>-7.7832780007050422E-3</v>
      </c>
      <c r="Y80" s="46">
        <f t="shared" si="23"/>
        <v>3.3773911516697214E-4</v>
      </c>
      <c r="Z80" s="46">
        <f t="shared" si="23"/>
        <v>-1.5261574430649091E-4</v>
      </c>
      <c r="AA80" s="47">
        <f t="shared" si="23"/>
        <v>-1.0965196850176764E-2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B1" sqref="B1:G1048576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77035.161099999998</v>
      </c>
      <c r="C1">
        <v>40.813899999999997</v>
      </c>
      <c r="D1">
        <v>49.238100000000003</v>
      </c>
      <c r="E1">
        <v>47.745100000000001</v>
      </c>
      <c r="F1">
        <v>149371.71900000001</v>
      </c>
      <c r="G1">
        <v>27.913</v>
      </c>
    </row>
    <row r="2" spans="1:7" x14ac:dyDescent="0.15">
      <c r="A2" s="141" t="s">
        <v>191</v>
      </c>
      <c r="B2">
        <v>41577.055099999998</v>
      </c>
      <c r="C2">
        <v>40.1648</v>
      </c>
      <c r="D2">
        <v>48.540700000000001</v>
      </c>
      <c r="E2">
        <v>46.659399999999998</v>
      </c>
      <c r="F2">
        <v>81789.468999999997</v>
      </c>
      <c r="G2">
        <v>24.745000000000001</v>
      </c>
    </row>
    <row r="3" spans="1:7" x14ac:dyDescent="0.15">
      <c r="A3" s="141" t="s">
        <v>192</v>
      </c>
      <c r="B3">
        <v>24897.625899999999</v>
      </c>
      <c r="C3">
        <v>39.442399999999999</v>
      </c>
      <c r="D3">
        <v>47.602200000000003</v>
      </c>
      <c r="E3">
        <v>45.3812</v>
      </c>
      <c r="F3">
        <v>47717.184000000001</v>
      </c>
      <c r="G3">
        <v>22.805</v>
      </c>
    </row>
    <row r="4" spans="1:7" x14ac:dyDescent="0.15">
      <c r="A4" s="141" t="s">
        <v>193</v>
      </c>
      <c r="B4">
        <v>14206.6378</v>
      </c>
      <c r="C4">
        <v>38.232700000000001</v>
      </c>
      <c r="D4">
        <v>46.119100000000003</v>
      </c>
      <c r="E4">
        <v>43.5852</v>
      </c>
      <c r="F4">
        <v>27738.618999999999</v>
      </c>
      <c r="G4">
        <v>21.213000000000001</v>
      </c>
    </row>
    <row r="5" spans="1:7" x14ac:dyDescent="0.15">
      <c r="A5" s="141" t="s">
        <v>194</v>
      </c>
      <c r="B5">
        <v>325291.45260000002</v>
      </c>
      <c r="C5">
        <v>44.788600000000002</v>
      </c>
      <c r="D5">
        <v>39.145499999999998</v>
      </c>
      <c r="E5">
        <v>39.642000000000003</v>
      </c>
      <c r="F5">
        <v>236876.90599999999</v>
      </c>
      <c r="G5">
        <v>45.085000000000001</v>
      </c>
    </row>
    <row r="6" spans="1:7" x14ac:dyDescent="0.15">
      <c r="A6" s="141" t="s">
        <v>195</v>
      </c>
      <c r="B6">
        <v>207686.37890000001</v>
      </c>
      <c r="C6">
        <v>42.0002</v>
      </c>
      <c r="D6">
        <v>36.647100000000002</v>
      </c>
      <c r="E6">
        <v>37.447000000000003</v>
      </c>
      <c r="F6">
        <v>160887.29999999999</v>
      </c>
      <c r="G6">
        <v>32.93</v>
      </c>
    </row>
    <row r="7" spans="1:7" x14ac:dyDescent="0.15">
      <c r="A7" s="141" t="s">
        <v>196</v>
      </c>
      <c r="B7">
        <v>118788.18949999999</v>
      </c>
      <c r="C7">
        <v>38.742100000000001</v>
      </c>
      <c r="D7">
        <v>34.376899999999999</v>
      </c>
      <c r="E7">
        <v>35.511699999999998</v>
      </c>
      <c r="F7">
        <v>146038.641</v>
      </c>
      <c r="G7">
        <v>32.734000000000002</v>
      </c>
    </row>
    <row r="8" spans="1:7" x14ac:dyDescent="0.15">
      <c r="A8" s="141" t="s">
        <v>197</v>
      </c>
      <c r="B8">
        <v>56197.021099999998</v>
      </c>
      <c r="C8">
        <v>35.257399999999997</v>
      </c>
      <c r="D8">
        <v>32.020899999999997</v>
      </c>
      <c r="E8">
        <v>33.674700000000001</v>
      </c>
      <c r="F8">
        <v>92266.172000000006</v>
      </c>
      <c r="G8">
        <v>27.120999999999999</v>
      </c>
    </row>
    <row r="9" spans="1:7" x14ac:dyDescent="0.15">
      <c r="A9" s="141" t="s">
        <v>198</v>
      </c>
      <c r="B9">
        <v>125479.1874</v>
      </c>
      <c r="C9">
        <v>41.5884</v>
      </c>
      <c r="D9">
        <v>44.0426</v>
      </c>
      <c r="E9">
        <v>42.914999999999999</v>
      </c>
      <c r="F9">
        <v>197432.04699999999</v>
      </c>
      <c r="G9">
        <v>35.692</v>
      </c>
    </row>
    <row r="10" spans="1:7" x14ac:dyDescent="0.15">
      <c r="A10" s="141" t="s">
        <v>199</v>
      </c>
      <c r="B10">
        <v>56444.172599999998</v>
      </c>
      <c r="C10">
        <v>38.892800000000001</v>
      </c>
      <c r="D10">
        <v>41.417999999999999</v>
      </c>
      <c r="E10">
        <v>41.787100000000002</v>
      </c>
      <c r="F10">
        <v>135711.81200000001</v>
      </c>
      <c r="G10">
        <v>27.783000000000001</v>
      </c>
    </row>
    <row r="11" spans="1:7" x14ac:dyDescent="0.15">
      <c r="A11" s="141" t="s">
        <v>200</v>
      </c>
      <c r="B11">
        <v>25580.185300000001</v>
      </c>
      <c r="C11">
        <v>37.320099999999996</v>
      </c>
      <c r="D11">
        <v>39.089399999999998</v>
      </c>
      <c r="E11">
        <v>40.705100000000002</v>
      </c>
      <c r="F11">
        <v>79845.422000000006</v>
      </c>
      <c r="G11">
        <v>22.983000000000001</v>
      </c>
    </row>
    <row r="12" spans="1:7" x14ac:dyDescent="0.15">
      <c r="A12" s="141" t="s">
        <v>201</v>
      </c>
      <c r="B12">
        <v>12395.0779</v>
      </c>
      <c r="C12">
        <v>35.9375</v>
      </c>
      <c r="D12">
        <v>36.367100000000001</v>
      </c>
      <c r="E12">
        <v>39.209499999999998</v>
      </c>
      <c r="F12">
        <v>44579.262000000002</v>
      </c>
      <c r="G12">
        <v>19.68</v>
      </c>
    </row>
    <row r="13" spans="1:7" x14ac:dyDescent="0.15">
      <c r="A13" s="141" t="s">
        <v>202</v>
      </c>
      <c r="B13">
        <v>178611.09469999999</v>
      </c>
      <c r="C13">
        <v>38.622999999999998</v>
      </c>
      <c r="D13">
        <v>45.663800000000002</v>
      </c>
      <c r="E13">
        <v>43.485900000000001</v>
      </c>
      <c r="F13">
        <v>239648.56200000001</v>
      </c>
      <c r="G13">
        <v>36.603000000000002</v>
      </c>
    </row>
    <row r="14" spans="1:7" x14ac:dyDescent="0.15">
      <c r="A14" s="141" t="s">
        <v>203</v>
      </c>
      <c r="B14">
        <v>87223.237899999993</v>
      </c>
      <c r="C14">
        <v>37.688400000000001</v>
      </c>
      <c r="D14">
        <v>44.787300000000002</v>
      </c>
      <c r="E14">
        <v>42.484099999999998</v>
      </c>
      <c r="F14">
        <v>146233.84400000001</v>
      </c>
      <c r="G14">
        <v>30.216999999999999</v>
      </c>
    </row>
    <row r="15" spans="1:7" x14ac:dyDescent="0.15">
      <c r="A15" s="141" t="s">
        <v>204</v>
      </c>
      <c r="B15">
        <v>50215.528400000003</v>
      </c>
      <c r="C15">
        <v>36.772799999999997</v>
      </c>
      <c r="D15">
        <v>43.817700000000002</v>
      </c>
      <c r="E15">
        <v>41.465600000000002</v>
      </c>
      <c r="F15">
        <v>97119.648000000001</v>
      </c>
      <c r="G15">
        <v>25.582999999999998</v>
      </c>
    </row>
    <row r="16" spans="1:7" x14ac:dyDescent="0.15">
      <c r="A16" s="141" t="s">
        <v>205</v>
      </c>
      <c r="B16">
        <v>26554.9895</v>
      </c>
      <c r="C16">
        <v>35.278599999999997</v>
      </c>
      <c r="D16">
        <v>42.426499999999997</v>
      </c>
      <c r="E16">
        <v>40.210599999999999</v>
      </c>
      <c r="F16">
        <v>57447.866999999998</v>
      </c>
      <c r="G16">
        <v>22.265999999999998</v>
      </c>
    </row>
    <row r="17" spans="1:7" x14ac:dyDescent="0.15">
      <c r="A17" s="141" t="s">
        <v>94</v>
      </c>
      <c r="B17">
        <v>68154.761899999998</v>
      </c>
      <c r="C17">
        <v>39.584400000000002</v>
      </c>
      <c r="D17">
        <v>40.531199999999998</v>
      </c>
      <c r="E17">
        <v>43.526400000000002</v>
      </c>
      <c r="F17">
        <v>100803.656</v>
      </c>
      <c r="G17">
        <v>18.257999999999999</v>
      </c>
    </row>
    <row r="18" spans="1:7" x14ac:dyDescent="0.15">
      <c r="A18" s="141" t="s">
        <v>95</v>
      </c>
      <c r="B18">
        <v>40648.330199999997</v>
      </c>
      <c r="C18">
        <v>37.949199999999998</v>
      </c>
      <c r="D18">
        <v>39.5687</v>
      </c>
      <c r="E18">
        <v>42.154400000000003</v>
      </c>
      <c r="F18">
        <v>76230.297000000006</v>
      </c>
      <c r="G18">
        <v>14.994999999999999</v>
      </c>
    </row>
    <row r="19" spans="1:7" x14ac:dyDescent="0.15">
      <c r="A19" s="141" t="s">
        <v>96</v>
      </c>
      <c r="B19">
        <v>23418.177800000001</v>
      </c>
      <c r="C19">
        <v>36.036099999999998</v>
      </c>
      <c r="D19">
        <v>38.720799999999997</v>
      </c>
      <c r="E19">
        <v>40.765599999999999</v>
      </c>
      <c r="F19">
        <v>56475.792999999998</v>
      </c>
      <c r="G19">
        <v>12.603</v>
      </c>
    </row>
    <row r="20" spans="1:7" x14ac:dyDescent="0.15">
      <c r="A20" s="141" t="s">
        <v>97</v>
      </c>
      <c r="B20">
        <v>11923.422200000001</v>
      </c>
      <c r="C20">
        <v>33.558500000000002</v>
      </c>
      <c r="D20">
        <v>37.517099999999999</v>
      </c>
      <c r="E20">
        <v>38.93</v>
      </c>
      <c r="F20">
        <v>37367.906000000003</v>
      </c>
      <c r="G20">
        <v>10.952</v>
      </c>
    </row>
    <row r="21" spans="1:7" x14ac:dyDescent="0.15">
      <c r="A21" s="141" t="s">
        <v>98</v>
      </c>
      <c r="B21">
        <v>42885.676200000002</v>
      </c>
      <c r="C21">
        <v>40.218600000000002</v>
      </c>
      <c r="D21">
        <v>44.217100000000002</v>
      </c>
      <c r="E21">
        <v>45.687399999999997</v>
      </c>
      <c r="F21">
        <v>88502.648000000001</v>
      </c>
      <c r="G21">
        <v>15.728</v>
      </c>
    </row>
    <row r="22" spans="1:7" x14ac:dyDescent="0.15">
      <c r="A22" s="141" t="s">
        <v>99</v>
      </c>
      <c r="B22">
        <v>23346.2032</v>
      </c>
      <c r="C22">
        <v>38.748800000000003</v>
      </c>
      <c r="D22">
        <v>43.2639</v>
      </c>
      <c r="E22">
        <v>44.238799999999998</v>
      </c>
      <c r="F22">
        <v>61804.445</v>
      </c>
      <c r="G22">
        <v>13.351000000000001</v>
      </c>
    </row>
    <row r="23" spans="1:7" x14ac:dyDescent="0.15">
      <c r="A23" s="141" t="s">
        <v>100</v>
      </c>
      <c r="B23">
        <v>13120.4635</v>
      </c>
      <c r="C23">
        <v>37.301600000000001</v>
      </c>
      <c r="D23">
        <v>42.185899999999997</v>
      </c>
      <c r="E23">
        <v>42.691200000000002</v>
      </c>
      <c r="F23">
        <v>40463.758000000002</v>
      </c>
      <c r="G23">
        <v>10.842000000000001</v>
      </c>
    </row>
    <row r="24" spans="1:7" x14ac:dyDescent="0.15">
      <c r="A24" s="141" t="s">
        <v>101</v>
      </c>
      <c r="B24">
        <v>7008.4189999999999</v>
      </c>
      <c r="C24">
        <v>35.383499999999998</v>
      </c>
      <c r="D24">
        <v>40.690300000000001</v>
      </c>
      <c r="E24">
        <v>40.661499999999997</v>
      </c>
      <c r="F24">
        <v>25043.853999999999</v>
      </c>
      <c r="G24">
        <v>9.6020000000000003</v>
      </c>
    </row>
    <row r="25" spans="1:7" x14ac:dyDescent="0.15">
      <c r="A25" s="141" t="s">
        <v>206</v>
      </c>
      <c r="B25">
        <v>65338.784</v>
      </c>
      <c r="C25">
        <v>41.762999999999998</v>
      </c>
      <c r="D25">
        <v>44.451900000000002</v>
      </c>
      <c r="E25">
        <v>45.163600000000002</v>
      </c>
      <c r="F25">
        <v>105760.641</v>
      </c>
      <c r="G25">
        <v>19.027000000000001</v>
      </c>
    </row>
    <row r="26" spans="1:7" x14ac:dyDescent="0.15">
      <c r="A26" s="141" t="s">
        <v>207</v>
      </c>
      <c r="B26">
        <v>42097.004800000002</v>
      </c>
      <c r="C26">
        <v>39.957099999999997</v>
      </c>
      <c r="D26">
        <v>43.028300000000002</v>
      </c>
      <c r="E26">
        <v>43.9238</v>
      </c>
      <c r="F26">
        <v>81647.695000000007</v>
      </c>
      <c r="G26">
        <v>16.504000000000001</v>
      </c>
    </row>
    <row r="27" spans="1:7" x14ac:dyDescent="0.15">
      <c r="A27" s="141" t="s">
        <v>208</v>
      </c>
      <c r="B27">
        <v>24754.9568</v>
      </c>
      <c r="C27">
        <v>37.731099999999998</v>
      </c>
      <c r="D27">
        <v>41.721200000000003</v>
      </c>
      <c r="E27">
        <v>42.633800000000001</v>
      </c>
      <c r="F27">
        <v>57215.042999999998</v>
      </c>
      <c r="G27">
        <v>14.058</v>
      </c>
    </row>
    <row r="28" spans="1:7" x14ac:dyDescent="0.15">
      <c r="A28" s="141" t="s">
        <v>209</v>
      </c>
      <c r="B28">
        <v>12506.540800000001</v>
      </c>
      <c r="C28">
        <v>35.035600000000002</v>
      </c>
      <c r="D28">
        <v>40.151499999999999</v>
      </c>
      <c r="E28">
        <v>41.010399999999997</v>
      </c>
      <c r="F28">
        <v>36122.699000000001</v>
      </c>
      <c r="G28">
        <v>11.999000000000001</v>
      </c>
    </row>
    <row r="29" spans="1:7" x14ac:dyDescent="0.15">
      <c r="A29" s="141" t="s">
        <v>210</v>
      </c>
      <c r="B29">
        <v>39883.455999999998</v>
      </c>
      <c r="C29">
        <v>44.966299999999997</v>
      </c>
      <c r="D29">
        <v>47.605699999999999</v>
      </c>
      <c r="E29">
        <v>48.342799999999997</v>
      </c>
      <c r="F29">
        <v>71382.875</v>
      </c>
      <c r="G29">
        <v>17.39</v>
      </c>
    </row>
    <row r="30" spans="1:7" x14ac:dyDescent="0.15">
      <c r="A30" s="141" t="s">
        <v>211</v>
      </c>
      <c r="B30">
        <v>26303.648000000001</v>
      </c>
      <c r="C30">
        <v>42.802799999999998</v>
      </c>
      <c r="D30">
        <v>46.0152</v>
      </c>
      <c r="E30">
        <v>46.537300000000002</v>
      </c>
      <c r="F30">
        <v>57397.891000000003</v>
      </c>
      <c r="G30">
        <v>14.962</v>
      </c>
    </row>
    <row r="31" spans="1:7" x14ac:dyDescent="0.15">
      <c r="A31" s="141" t="s">
        <v>212</v>
      </c>
      <c r="B31">
        <v>15580.7552</v>
      </c>
      <c r="C31">
        <v>40.113</v>
      </c>
      <c r="D31">
        <v>44.469799999999999</v>
      </c>
      <c r="E31">
        <v>44.712400000000002</v>
      </c>
      <c r="F31">
        <v>41502.394999999997</v>
      </c>
      <c r="G31">
        <v>12.682</v>
      </c>
    </row>
    <row r="32" spans="1:7" x14ac:dyDescent="0.15">
      <c r="A32" s="141" t="s">
        <v>213</v>
      </c>
      <c r="B32">
        <v>8127.3792000000003</v>
      </c>
      <c r="C32">
        <v>37.035299999999999</v>
      </c>
      <c r="D32">
        <v>42.437199999999997</v>
      </c>
      <c r="E32">
        <v>42.494100000000003</v>
      </c>
      <c r="F32">
        <v>27686.004000000001</v>
      </c>
      <c r="G32">
        <v>11.522</v>
      </c>
    </row>
    <row r="33" spans="1:7" x14ac:dyDescent="0.15">
      <c r="A33" s="141" t="s">
        <v>102</v>
      </c>
      <c r="B33">
        <v>54319.9424</v>
      </c>
      <c r="C33">
        <v>41.7913</v>
      </c>
      <c r="D33">
        <v>46.074199999999998</v>
      </c>
      <c r="E33">
        <v>46.385300000000001</v>
      </c>
      <c r="F33">
        <v>60106.495999999999</v>
      </c>
      <c r="G33">
        <v>10.756</v>
      </c>
    </row>
    <row r="34" spans="1:7" x14ac:dyDescent="0.15">
      <c r="A34" s="141" t="s">
        <v>103</v>
      </c>
      <c r="B34">
        <v>37099.705600000001</v>
      </c>
      <c r="C34">
        <v>38.857700000000001</v>
      </c>
      <c r="D34">
        <v>44.326000000000001</v>
      </c>
      <c r="E34">
        <v>44.658900000000003</v>
      </c>
      <c r="F34">
        <v>51244.93</v>
      </c>
      <c r="G34">
        <v>9.4359999999999999</v>
      </c>
    </row>
    <row r="35" spans="1:7" x14ac:dyDescent="0.15">
      <c r="A35" s="141" t="s">
        <v>104</v>
      </c>
      <c r="B35">
        <v>22073.8112</v>
      </c>
      <c r="C35">
        <v>35.467500000000001</v>
      </c>
      <c r="D35">
        <v>42.879899999999999</v>
      </c>
      <c r="E35">
        <v>43.210299999999997</v>
      </c>
      <c r="F35">
        <v>42654.828000000001</v>
      </c>
      <c r="G35">
        <v>8.25</v>
      </c>
    </row>
    <row r="36" spans="1:7" x14ac:dyDescent="0.15">
      <c r="A36" s="141" t="s">
        <v>105</v>
      </c>
      <c r="B36">
        <v>10885.011200000001</v>
      </c>
      <c r="C36">
        <v>31.832100000000001</v>
      </c>
      <c r="D36">
        <v>41.500399999999999</v>
      </c>
      <c r="E36">
        <v>41.677</v>
      </c>
      <c r="F36">
        <v>30534.162</v>
      </c>
      <c r="G36">
        <v>6.69</v>
      </c>
    </row>
    <row r="37" spans="1:7" x14ac:dyDescent="0.15">
      <c r="A37" s="141" t="s">
        <v>106</v>
      </c>
      <c r="B37">
        <v>20345.7664</v>
      </c>
      <c r="C37">
        <v>42.7211</v>
      </c>
      <c r="D37">
        <v>45.485100000000003</v>
      </c>
      <c r="E37">
        <v>47.041200000000003</v>
      </c>
      <c r="F37">
        <v>39766.75</v>
      </c>
      <c r="G37">
        <v>7.3879999999999999</v>
      </c>
    </row>
    <row r="38" spans="1:7" x14ac:dyDescent="0.15">
      <c r="A38" s="141" t="s">
        <v>107</v>
      </c>
      <c r="B38">
        <v>11539.7824</v>
      </c>
      <c r="C38">
        <v>40.691400000000002</v>
      </c>
      <c r="D38">
        <v>44.572000000000003</v>
      </c>
      <c r="E38">
        <v>45.409399999999998</v>
      </c>
      <c r="F38">
        <v>29519.370999999999</v>
      </c>
      <c r="G38">
        <v>6.2750000000000004</v>
      </c>
    </row>
    <row r="39" spans="1:7" x14ac:dyDescent="0.15">
      <c r="A39" s="141" t="s">
        <v>108</v>
      </c>
      <c r="B39">
        <v>6390.7520000000004</v>
      </c>
      <c r="C39">
        <v>38.686700000000002</v>
      </c>
      <c r="D39">
        <v>43.6235</v>
      </c>
      <c r="E39">
        <v>43.628</v>
      </c>
      <c r="F39">
        <v>20198.330000000002</v>
      </c>
      <c r="G39">
        <v>5.665</v>
      </c>
    </row>
    <row r="40" spans="1:7" x14ac:dyDescent="0.15">
      <c r="A40" s="141" t="s">
        <v>109</v>
      </c>
      <c r="B40">
        <v>3261.3184000000001</v>
      </c>
      <c r="C40">
        <v>36.312899999999999</v>
      </c>
      <c r="D40">
        <v>42.324399999999997</v>
      </c>
      <c r="E40">
        <v>41.4863</v>
      </c>
      <c r="F40">
        <v>12135.254999999999</v>
      </c>
      <c r="G40">
        <v>4.782</v>
      </c>
    </row>
    <row r="41" spans="1:7" x14ac:dyDescent="0.15">
      <c r="A41" s="141" t="s">
        <v>110</v>
      </c>
      <c r="B41">
        <v>15261.388800000001</v>
      </c>
      <c r="C41">
        <v>44.252600000000001</v>
      </c>
      <c r="D41">
        <v>47.078800000000001</v>
      </c>
      <c r="E41">
        <v>47.970300000000002</v>
      </c>
      <c r="F41">
        <v>31226.986000000001</v>
      </c>
      <c r="G41">
        <v>6.9379999999999997</v>
      </c>
    </row>
    <row r="42" spans="1:7" x14ac:dyDescent="0.15">
      <c r="A42" s="141" t="s">
        <v>111</v>
      </c>
      <c r="B42">
        <v>10341.612800000001</v>
      </c>
      <c r="C42">
        <v>42.5229</v>
      </c>
      <c r="D42">
        <v>45.934600000000003</v>
      </c>
      <c r="E42">
        <v>46.6462</v>
      </c>
      <c r="F42">
        <v>24690.453000000001</v>
      </c>
      <c r="G42">
        <v>6.4489999999999998</v>
      </c>
    </row>
    <row r="43" spans="1:7" x14ac:dyDescent="0.15">
      <c r="A43" s="141" t="s">
        <v>112</v>
      </c>
      <c r="B43">
        <v>6525.9840000000004</v>
      </c>
      <c r="C43">
        <v>40.186100000000003</v>
      </c>
      <c r="D43">
        <v>44.597299999999997</v>
      </c>
      <c r="E43">
        <v>45.118600000000001</v>
      </c>
      <c r="F43">
        <v>18172.232</v>
      </c>
      <c r="G43">
        <v>5.76</v>
      </c>
    </row>
    <row r="44" spans="1:7" x14ac:dyDescent="0.15">
      <c r="A44" s="141" t="s">
        <v>113</v>
      </c>
      <c r="B44">
        <v>3776.5120000000002</v>
      </c>
      <c r="C44">
        <v>37.198900000000002</v>
      </c>
      <c r="D44">
        <v>42.871699999999997</v>
      </c>
      <c r="E44">
        <v>43.078299999999999</v>
      </c>
      <c r="F44">
        <v>12375.433999999999</v>
      </c>
      <c r="G44">
        <v>4.9470000000000001</v>
      </c>
    </row>
    <row r="45" spans="1:7" x14ac:dyDescent="0.15">
      <c r="A45" s="141" t="s">
        <v>114</v>
      </c>
      <c r="B45">
        <v>16542.009600000001</v>
      </c>
      <c r="C45">
        <v>44.197499999999998</v>
      </c>
      <c r="D45">
        <v>48.802300000000002</v>
      </c>
      <c r="E45">
        <v>48.340200000000003</v>
      </c>
      <c r="F45">
        <v>31838.488000000001</v>
      </c>
      <c r="G45">
        <v>6.6639999999999997</v>
      </c>
    </row>
    <row r="46" spans="1:7" x14ac:dyDescent="0.15">
      <c r="A46" s="141" t="s">
        <v>115</v>
      </c>
      <c r="B46">
        <v>11482.144</v>
      </c>
      <c r="C46">
        <v>42.4587</v>
      </c>
      <c r="D46">
        <v>47.807899999999997</v>
      </c>
      <c r="E46">
        <v>46.848700000000001</v>
      </c>
      <c r="F46">
        <v>25140.572</v>
      </c>
      <c r="G46">
        <v>5.867</v>
      </c>
    </row>
    <row r="47" spans="1:7" x14ac:dyDescent="0.15">
      <c r="A47" s="141" t="s">
        <v>116</v>
      </c>
      <c r="B47">
        <v>7466.0735999999997</v>
      </c>
      <c r="C47">
        <v>40.0807</v>
      </c>
      <c r="D47">
        <v>46.601799999999997</v>
      </c>
      <c r="E47">
        <v>45.256399999999999</v>
      </c>
      <c r="F47">
        <v>19101.82</v>
      </c>
      <c r="G47">
        <v>5.3819999999999997</v>
      </c>
    </row>
    <row r="48" spans="1:7" x14ac:dyDescent="0.15">
      <c r="A48" s="141" t="s">
        <v>117</v>
      </c>
      <c r="B48">
        <v>4346.7776000000003</v>
      </c>
      <c r="C48">
        <v>36.869</v>
      </c>
      <c r="D48">
        <v>44.718699999999998</v>
      </c>
      <c r="E48">
        <v>42.9863</v>
      </c>
      <c r="F48">
        <v>13364.633</v>
      </c>
      <c r="G48">
        <v>4.7720000000000002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14768.588</v>
      </c>
      <c r="C73">
        <v>40.089199999999998</v>
      </c>
      <c r="D73">
        <v>49.060899999999997</v>
      </c>
      <c r="E73">
        <v>47.042299999999997</v>
      </c>
      <c r="F73">
        <v>434668.837</v>
      </c>
      <c r="G73">
        <v>65.263000000000005</v>
      </c>
    </row>
    <row r="74" spans="1:7" x14ac:dyDescent="0.15">
      <c r="A74" s="141" t="s">
        <v>223</v>
      </c>
      <c r="B74">
        <v>6742.0879999999997</v>
      </c>
      <c r="C74">
        <v>39.598100000000002</v>
      </c>
      <c r="D74">
        <v>48.467500000000001</v>
      </c>
      <c r="E74">
        <v>46.137900000000002</v>
      </c>
      <c r="F74">
        <v>238141.09899999999</v>
      </c>
      <c r="G74">
        <v>60.676000000000002</v>
      </c>
    </row>
    <row r="75" spans="1:7" x14ac:dyDescent="0.15">
      <c r="A75" s="141" t="s">
        <v>224</v>
      </c>
      <c r="B75">
        <v>3653.44</v>
      </c>
      <c r="C75">
        <v>38.754800000000003</v>
      </c>
      <c r="D75">
        <v>47.604700000000001</v>
      </c>
      <c r="E75">
        <v>44.888199999999998</v>
      </c>
      <c r="F75">
        <v>117979.701</v>
      </c>
      <c r="G75">
        <v>54.076999999999998</v>
      </c>
    </row>
    <row r="76" spans="1:7" x14ac:dyDescent="0.15">
      <c r="A76" s="141" t="s">
        <v>225</v>
      </c>
      <c r="B76">
        <v>1931.7760000000001</v>
      </c>
      <c r="C76">
        <v>37.265799999999999</v>
      </c>
      <c r="D76">
        <v>46.255600000000001</v>
      </c>
      <c r="E76">
        <v>43.156799999999997</v>
      </c>
      <c r="F76">
        <v>58757.046000000002</v>
      </c>
      <c r="G76">
        <v>50.320999999999998</v>
      </c>
    </row>
    <row r="77" spans="1:7" x14ac:dyDescent="0.15">
      <c r="A77" s="141" t="s">
        <v>226</v>
      </c>
      <c r="B77">
        <v>76273.679999999993</v>
      </c>
      <c r="C77">
        <v>41.672699999999999</v>
      </c>
      <c r="D77">
        <v>36.462000000000003</v>
      </c>
      <c r="E77">
        <v>37.595700000000001</v>
      </c>
      <c r="F77">
        <v>784906.47400000005</v>
      </c>
      <c r="G77">
        <v>74.292000000000002</v>
      </c>
    </row>
    <row r="78" spans="1:7" x14ac:dyDescent="0.15">
      <c r="A78" s="141" t="s">
        <v>227</v>
      </c>
      <c r="B78">
        <v>39381.972000000002</v>
      </c>
      <c r="C78">
        <v>39.068600000000004</v>
      </c>
      <c r="D78">
        <v>34.533099999999997</v>
      </c>
      <c r="E78">
        <v>35.905999999999999</v>
      </c>
      <c r="F78">
        <v>534359.47499999998</v>
      </c>
      <c r="G78">
        <v>66.734999999999999</v>
      </c>
    </row>
    <row r="79" spans="1:7" x14ac:dyDescent="0.15">
      <c r="A79" s="141" t="s">
        <v>228</v>
      </c>
      <c r="B79">
        <v>18903.984</v>
      </c>
      <c r="C79">
        <v>36.160499999999999</v>
      </c>
      <c r="D79">
        <v>32.9041</v>
      </c>
      <c r="E79">
        <v>34.533000000000001</v>
      </c>
      <c r="F79">
        <v>358670.61700000003</v>
      </c>
      <c r="G79">
        <v>65.108999999999995</v>
      </c>
    </row>
    <row r="80" spans="1:7" x14ac:dyDescent="0.15">
      <c r="A80" s="141" t="s">
        <v>229</v>
      </c>
      <c r="B80">
        <v>7793.1360000000004</v>
      </c>
      <c r="C80">
        <v>33.091999999999999</v>
      </c>
      <c r="D80">
        <v>31.254899999999999</v>
      </c>
      <c r="E80">
        <v>33.102400000000003</v>
      </c>
      <c r="F80">
        <v>187080.603</v>
      </c>
      <c r="G80">
        <v>55.201000000000001</v>
      </c>
    </row>
    <row r="81" spans="1:7" x14ac:dyDescent="0.15">
      <c r="A81" s="141" t="s">
        <v>230</v>
      </c>
      <c r="B81">
        <v>38340.836000000003</v>
      </c>
      <c r="C81">
        <v>38.322099999999999</v>
      </c>
      <c r="D81">
        <v>40.508200000000002</v>
      </c>
      <c r="E81">
        <v>41.566099999999999</v>
      </c>
      <c r="F81">
        <v>472816.48599999998</v>
      </c>
      <c r="G81">
        <v>46.127000000000002</v>
      </c>
    </row>
    <row r="82" spans="1:7" x14ac:dyDescent="0.15">
      <c r="A82" s="141" t="s">
        <v>231</v>
      </c>
      <c r="B82">
        <v>18787.768</v>
      </c>
      <c r="C82">
        <v>37.215000000000003</v>
      </c>
      <c r="D82">
        <v>37.963200000000001</v>
      </c>
      <c r="E82">
        <v>40.342199999999998</v>
      </c>
      <c r="F82">
        <v>277300.11499999999</v>
      </c>
      <c r="G82">
        <v>37.457000000000001</v>
      </c>
    </row>
    <row r="83" spans="1:7" x14ac:dyDescent="0.15">
      <c r="A83" s="141" t="s">
        <v>232</v>
      </c>
      <c r="B83">
        <v>9298.4879999999994</v>
      </c>
      <c r="C83">
        <v>35.851300000000002</v>
      </c>
      <c r="D83">
        <v>35.746299999999998</v>
      </c>
      <c r="E83">
        <v>39.037599999999998</v>
      </c>
      <c r="F83">
        <v>165563.08499999999</v>
      </c>
      <c r="G83">
        <v>32.481000000000002</v>
      </c>
    </row>
    <row r="84" spans="1:7" x14ac:dyDescent="0.15">
      <c r="A84" s="141" t="s">
        <v>233</v>
      </c>
      <c r="B84">
        <v>4709.8239999999996</v>
      </c>
      <c r="C84">
        <v>34.020600000000002</v>
      </c>
      <c r="D84">
        <v>33.844700000000003</v>
      </c>
      <c r="E84">
        <v>37.488500000000002</v>
      </c>
      <c r="F84">
        <v>94699.93</v>
      </c>
      <c r="G84">
        <v>27.407</v>
      </c>
    </row>
    <row r="85" spans="1:7" x14ac:dyDescent="0.15">
      <c r="A85" s="141" t="s">
        <v>234</v>
      </c>
      <c r="B85">
        <v>26754.752</v>
      </c>
      <c r="C85">
        <v>37.6417</v>
      </c>
      <c r="D85">
        <v>45.323799999999999</v>
      </c>
      <c r="E85">
        <v>43.009</v>
      </c>
      <c r="F85">
        <v>620345.78799999994</v>
      </c>
      <c r="G85">
        <v>70.358000000000004</v>
      </c>
    </row>
    <row r="86" spans="1:7" x14ac:dyDescent="0.15">
      <c r="A86" s="141" t="s">
        <v>235</v>
      </c>
      <c r="B86">
        <v>9157.848</v>
      </c>
      <c r="C86">
        <v>37.090299999999999</v>
      </c>
      <c r="D86">
        <v>44.730499999999999</v>
      </c>
      <c r="E86">
        <v>42.387300000000003</v>
      </c>
      <c r="F86">
        <v>335523.39199999999</v>
      </c>
      <c r="G86">
        <v>68.356999999999999</v>
      </c>
    </row>
    <row r="87" spans="1:7" x14ac:dyDescent="0.15">
      <c r="A87" s="141" t="s">
        <v>236</v>
      </c>
      <c r="B87">
        <v>4536.2640000000001</v>
      </c>
      <c r="C87">
        <v>36.246400000000001</v>
      </c>
      <c r="D87">
        <v>43.981000000000002</v>
      </c>
      <c r="E87">
        <v>41.597900000000003</v>
      </c>
      <c r="F87">
        <v>169565.429</v>
      </c>
      <c r="G87">
        <v>52.725999999999999</v>
      </c>
    </row>
    <row r="88" spans="1:7" x14ac:dyDescent="0.15">
      <c r="A88" s="141" t="s">
        <v>237</v>
      </c>
      <c r="B88">
        <v>2200.56</v>
      </c>
      <c r="C88">
        <v>34.798699999999997</v>
      </c>
      <c r="D88">
        <v>42.674700000000001</v>
      </c>
      <c r="E88">
        <v>40.467799999999997</v>
      </c>
      <c r="F88">
        <v>82000.414000000004</v>
      </c>
      <c r="G88">
        <v>46.209000000000003</v>
      </c>
    </row>
    <row r="89" spans="1:7" x14ac:dyDescent="0.15">
      <c r="A89" s="141" t="s">
        <v>118</v>
      </c>
      <c r="B89">
        <v>9851.5560000000005</v>
      </c>
      <c r="C89">
        <v>38.018999999999998</v>
      </c>
      <c r="D89">
        <v>39.8476</v>
      </c>
      <c r="E89">
        <v>43.342300000000002</v>
      </c>
      <c r="F89">
        <v>136374.40900000001</v>
      </c>
      <c r="G89">
        <v>15.188000000000001</v>
      </c>
    </row>
    <row r="90" spans="1:7" x14ac:dyDescent="0.15">
      <c r="A90" s="141" t="s">
        <v>119</v>
      </c>
      <c r="B90">
        <v>4580.2120000000004</v>
      </c>
      <c r="C90">
        <v>36.931399999999996</v>
      </c>
      <c r="D90">
        <v>39.348399999999998</v>
      </c>
      <c r="E90">
        <v>42.2316</v>
      </c>
      <c r="F90">
        <v>81658.585000000006</v>
      </c>
      <c r="G90">
        <v>12.737</v>
      </c>
    </row>
    <row r="91" spans="1:7" x14ac:dyDescent="0.15">
      <c r="A91" s="141" t="s">
        <v>120</v>
      </c>
      <c r="B91">
        <v>2331.0360000000001</v>
      </c>
      <c r="C91">
        <v>35.382599999999996</v>
      </c>
      <c r="D91">
        <v>38.734699999999997</v>
      </c>
      <c r="E91">
        <v>40.968699999999998</v>
      </c>
      <c r="F91">
        <v>47529.235999999997</v>
      </c>
      <c r="G91">
        <v>10.846</v>
      </c>
    </row>
    <row r="92" spans="1:7" x14ac:dyDescent="0.15">
      <c r="A92" s="141" t="s">
        <v>121</v>
      </c>
      <c r="B92">
        <v>1114.992</v>
      </c>
      <c r="C92">
        <v>33.189700000000002</v>
      </c>
      <c r="D92">
        <v>37.719499999999996</v>
      </c>
      <c r="E92">
        <v>39.223500000000001</v>
      </c>
      <c r="F92">
        <v>25510.031999999999</v>
      </c>
      <c r="G92">
        <v>9.6620000000000008</v>
      </c>
    </row>
    <row r="93" spans="1:7" x14ac:dyDescent="0.15">
      <c r="A93" s="141" t="s">
        <v>122</v>
      </c>
      <c r="B93">
        <v>8688.6080000000002</v>
      </c>
      <c r="C93">
        <v>38.952199999999998</v>
      </c>
      <c r="D93">
        <v>44.055900000000001</v>
      </c>
      <c r="E93">
        <v>45.217300000000002</v>
      </c>
      <c r="F93">
        <v>144670.679</v>
      </c>
      <c r="G93">
        <v>16.010999999999999</v>
      </c>
    </row>
    <row r="94" spans="1:7" x14ac:dyDescent="0.15">
      <c r="A94" s="141" t="s">
        <v>123</v>
      </c>
      <c r="B94">
        <v>4335.5240000000003</v>
      </c>
      <c r="C94">
        <v>37.922400000000003</v>
      </c>
      <c r="D94">
        <v>43.206200000000003</v>
      </c>
      <c r="E94">
        <v>43.78</v>
      </c>
      <c r="F94">
        <v>88863.835999999996</v>
      </c>
      <c r="G94">
        <v>13.837999999999999</v>
      </c>
    </row>
    <row r="95" spans="1:7" x14ac:dyDescent="0.15">
      <c r="A95" s="141" t="s">
        <v>124</v>
      </c>
      <c r="B95">
        <v>2209.06</v>
      </c>
      <c r="C95">
        <v>36.431199999999997</v>
      </c>
      <c r="D95">
        <v>42.196599999999997</v>
      </c>
      <c r="E95">
        <v>42.211300000000001</v>
      </c>
      <c r="F95">
        <v>49450.512999999999</v>
      </c>
      <c r="G95">
        <v>11.759</v>
      </c>
    </row>
    <row r="96" spans="1:7" x14ac:dyDescent="0.15">
      <c r="A96" s="141" t="s">
        <v>125</v>
      </c>
      <c r="B96">
        <v>1085.712</v>
      </c>
      <c r="C96">
        <v>34.370600000000003</v>
      </c>
      <c r="D96">
        <v>40.813800000000001</v>
      </c>
      <c r="E96">
        <v>40.269300000000001</v>
      </c>
      <c r="F96">
        <v>26619.010999999999</v>
      </c>
      <c r="G96">
        <v>10.218</v>
      </c>
    </row>
    <row r="97" spans="1:7" x14ac:dyDescent="0.15">
      <c r="A97" s="141" t="s">
        <v>238</v>
      </c>
      <c r="B97">
        <v>6804.7240000000002</v>
      </c>
      <c r="C97">
        <v>39.707599999999999</v>
      </c>
      <c r="D97">
        <v>43.912100000000002</v>
      </c>
      <c r="E97">
        <v>45.0413</v>
      </c>
      <c r="F97">
        <v>132882.17600000001</v>
      </c>
      <c r="G97">
        <v>16.448</v>
      </c>
    </row>
    <row r="98" spans="1:7" x14ac:dyDescent="0.15">
      <c r="A98" s="141" t="s">
        <v>239</v>
      </c>
      <c r="B98">
        <v>3225.7280000000001</v>
      </c>
      <c r="C98">
        <v>38.562100000000001</v>
      </c>
      <c r="D98">
        <v>43.146599999999999</v>
      </c>
      <c r="E98">
        <v>44.364199999999997</v>
      </c>
      <c r="F98">
        <v>79303.702000000005</v>
      </c>
      <c r="G98">
        <v>13.993</v>
      </c>
    </row>
    <row r="99" spans="1:7" x14ac:dyDescent="0.15">
      <c r="A99" s="141" t="s">
        <v>240</v>
      </c>
      <c r="B99">
        <v>1553.5119999999999</v>
      </c>
      <c r="C99">
        <v>36.889400000000002</v>
      </c>
      <c r="D99">
        <v>42.284799999999997</v>
      </c>
      <c r="E99">
        <v>43.478499999999997</v>
      </c>
      <c r="F99">
        <v>42122.366999999998</v>
      </c>
      <c r="G99">
        <v>12.166</v>
      </c>
    </row>
    <row r="100" spans="1:7" x14ac:dyDescent="0.15">
      <c r="A100" s="141" t="s">
        <v>241</v>
      </c>
      <c r="B100">
        <v>699.75599999999997</v>
      </c>
      <c r="C100">
        <v>34.661000000000001</v>
      </c>
      <c r="D100">
        <v>41.006599999999999</v>
      </c>
      <c r="E100">
        <v>42.112000000000002</v>
      </c>
      <c r="F100">
        <v>21123.686000000002</v>
      </c>
      <c r="G100">
        <v>10.609</v>
      </c>
    </row>
    <row r="101" spans="1:7" x14ac:dyDescent="0.15">
      <c r="A101" s="141" t="s">
        <v>242</v>
      </c>
      <c r="B101">
        <v>5633.4440000000004</v>
      </c>
      <c r="C101">
        <v>44.939399999999999</v>
      </c>
      <c r="D101">
        <v>47.752099999999999</v>
      </c>
      <c r="E101">
        <v>48.5428</v>
      </c>
      <c r="F101">
        <v>100972.522</v>
      </c>
      <c r="G101">
        <v>16.84</v>
      </c>
    </row>
    <row r="102" spans="1:7" x14ac:dyDescent="0.15">
      <c r="A102" s="141" t="s">
        <v>243</v>
      </c>
      <c r="B102">
        <v>3455.86</v>
      </c>
      <c r="C102">
        <v>42.693300000000001</v>
      </c>
      <c r="D102">
        <v>46.207599999999999</v>
      </c>
      <c r="E102">
        <v>46.7622</v>
      </c>
      <c r="F102">
        <v>68548.758000000002</v>
      </c>
      <c r="G102">
        <v>14.452999999999999</v>
      </c>
    </row>
    <row r="103" spans="1:7" x14ac:dyDescent="0.15">
      <c r="A103" s="141" t="s">
        <v>244</v>
      </c>
      <c r="B103">
        <v>1930.7719999999999</v>
      </c>
      <c r="C103">
        <v>39.875900000000001</v>
      </c>
      <c r="D103">
        <v>44.6297</v>
      </c>
      <c r="E103">
        <v>44.961300000000001</v>
      </c>
      <c r="F103">
        <v>42422.076999999997</v>
      </c>
      <c r="G103">
        <v>12.728</v>
      </c>
    </row>
    <row r="104" spans="1:7" x14ac:dyDescent="0.15">
      <c r="A104" s="141" t="s">
        <v>245</v>
      </c>
      <c r="B104">
        <v>986.11199999999997</v>
      </c>
      <c r="C104">
        <v>36.694299999999998</v>
      </c>
      <c r="D104">
        <v>42.8384</v>
      </c>
      <c r="E104">
        <v>42.899099999999997</v>
      </c>
      <c r="F104">
        <v>24087.808000000001</v>
      </c>
      <c r="G104">
        <v>11.002000000000001</v>
      </c>
    </row>
    <row r="105" spans="1:7" x14ac:dyDescent="0.15">
      <c r="A105" s="141" t="s">
        <v>126</v>
      </c>
      <c r="B105">
        <v>4136.076</v>
      </c>
      <c r="C105">
        <v>38.617800000000003</v>
      </c>
      <c r="D105">
        <v>46.22</v>
      </c>
      <c r="E105">
        <v>46.4422</v>
      </c>
      <c r="F105">
        <v>63020.025000000001</v>
      </c>
      <c r="G105">
        <v>6.6669999999999998</v>
      </c>
    </row>
    <row r="106" spans="1:7" x14ac:dyDescent="0.15">
      <c r="A106" s="141" t="s">
        <v>127</v>
      </c>
      <c r="B106">
        <v>1799.5039999999999</v>
      </c>
      <c r="C106">
        <v>37.112699999999997</v>
      </c>
      <c r="D106">
        <v>45.187199999999997</v>
      </c>
      <c r="E106">
        <v>45.396999999999998</v>
      </c>
      <c r="F106">
        <v>34130.589</v>
      </c>
      <c r="G106">
        <v>5.3979999999999997</v>
      </c>
    </row>
    <row r="107" spans="1:7" x14ac:dyDescent="0.15">
      <c r="A107" s="141" t="s">
        <v>128</v>
      </c>
      <c r="B107">
        <v>848.70399999999995</v>
      </c>
      <c r="C107">
        <v>35.168500000000002</v>
      </c>
      <c r="D107">
        <v>43.872199999999999</v>
      </c>
      <c r="E107">
        <v>44.195599999999999</v>
      </c>
      <c r="F107">
        <v>18786.505000000001</v>
      </c>
      <c r="G107">
        <v>4.71</v>
      </c>
    </row>
    <row r="108" spans="1:7" x14ac:dyDescent="0.15">
      <c r="A108" s="141" t="s">
        <v>129</v>
      </c>
      <c r="B108">
        <v>402.28399999999999</v>
      </c>
      <c r="C108">
        <v>32.507899999999999</v>
      </c>
      <c r="D108">
        <v>42.119</v>
      </c>
      <c r="E108">
        <v>42.455800000000004</v>
      </c>
      <c r="F108">
        <v>9545.6569999999992</v>
      </c>
      <c r="G108">
        <v>4.1529999999999996</v>
      </c>
    </row>
    <row r="109" spans="1:7" x14ac:dyDescent="0.15">
      <c r="A109" s="141" t="s">
        <v>130</v>
      </c>
      <c r="B109">
        <v>2456.8679999999999</v>
      </c>
      <c r="C109">
        <v>40.652299999999997</v>
      </c>
      <c r="D109">
        <v>46.1556</v>
      </c>
      <c r="E109">
        <v>47.3444</v>
      </c>
      <c r="F109">
        <v>50455.356</v>
      </c>
      <c r="G109">
        <v>7.04</v>
      </c>
    </row>
    <row r="110" spans="1:7" x14ac:dyDescent="0.15">
      <c r="A110" s="141" t="s">
        <v>131</v>
      </c>
      <c r="B110">
        <v>1112.18</v>
      </c>
      <c r="C110">
        <v>39.523499999999999</v>
      </c>
      <c r="D110">
        <v>45.5535</v>
      </c>
      <c r="E110">
        <v>46.058300000000003</v>
      </c>
      <c r="F110">
        <v>27864.699000000001</v>
      </c>
      <c r="G110">
        <v>5.6589999999999998</v>
      </c>
    </row>
    <row r="111" spans="1:7" x14ac:dyDescent="0.15">
      <c r="A111" s="141" t="s">
        <v>132</v>
      </c>
      <c r="B111">
        <v>524.08799999999997</v>
      </c>
      <c r="C111">
        <v>37.988500000000002</v>
      </c>
      <c r="D111">
        <v>44.817900000000002</v>
      </c>
      <c r="E111">
        <v>44.576099999999997</v>
      </c>
      <c r="F111">
        <v>14364.781000000001</v>
      </c>
      <c r="G111">
        <v>4.9939999999999998</v>
      </c>
    </row>
    <row r="112" spans="1:7" x14ac:dyDescent="0.15">
      <c r="A112" s="141" t="s">
        <v>133</v>
      </c>
      <c r="B112">
        <v>239.27600000000001</v>
      </c>
      <c r="C112">
        <v>35.898899999999998</v>
      </c>
      <c r="D112">
        <v>43.614400000000003</v>
      </c>
      <c r="E112">
        <v>42.442599999999999</v>
      </c>
      <c r="F112">
        <v>7102.5950000000003</v>
      </c>
      <c r="G112">
        <v>4.3250000000000002</v>
      </c>
    </row>
    <row r="113" spans="1:7" x14ac:dyDescent="0.15">
      <c r="A113" s="141" t="s">
        <v>134</v>
      </c>
      <c r="B113">
        <v>939.07600000000002</v>
      </c>
      <c r="C113">
        <v>43.548400000000001</v>
      </c>
      <c r="D113">
        <v>47.271900000000002</v>
      </c>
      <c r="E113">
        <v>48.283999999999999</v>
      </c>
      <c r="F113">
        <v>22363.451000000001</v>
      </c>
      <c r="G113">
        <v>5.0780000000000003</v>
      </c>
    </row>
    <row r="114" spans="1:7" x14ac:dyDescent="0.15">
      <c r="A114" s="141" t="s">
        <v>135</v>
      </c>
      <c r="B114">
        <v>515.29999999999995</v>
      </c>
      <c r="C114">
        <v>42.293799999999997</v>
      </c>
      <c r="D114">
        <v>46.5336</v>
      </c>
      <c r="E114">
        <v>47.3215</v>
      </c>
      <c r="F114">
        <v>12514.262000000001</v>
      </c>
      <c r="G114">
        <v>4.5389999999999997</v>
      </c>
    </row>
    <row r="115" spans="1:7" x14ac:dyDescent="0.15">
      <c r="A115" s="141" t="s">
        <v>136</v>
      </c>
      <c r="B115">
        <v>296</v>
      </c>
      <c r="C115">
        <v>40.553699999999999</v>
      </c>
      <c r="D115">
        <v>45.552599999999998</v>
      </c>
      <c r="E115">
        <v>46.095999999999997</v>
      </c>
      <c r="F115">
        <v>7047.009</v>
      </c>
      <c r="G115">
        <v>4.41</v>
      </c>
    </row>
    <row r="116" spans="1:7" x14ac:dyDescent="0.15">
      <c r="A116" s="141" t="s">
        <v>137</v>
      </c>
      <c r="B116">
        <v>166.18799999999999</v>
      </c>
      <c r="C116">
        <v>38.024700000000003</v>
      </c>
      <c r="D116">
        <v>43.859200000000001</v>
      </c>
      <c r="E116">
        <v>44.227200000000003</v>
      </c>
      <c r="F116">
        <v>4095.3380000000002</v>
      </c>
      <c r="G116">
        <v>4.2679999999999998</v>
      </c>
    </row>
    <row r="117" spans="1:7" x14ac:dyDescent="0.15">
      <c r="A117" s="141" t="s">
        <v>138</v>
      </c>
      <c r="B117">
        <v>1311.136</v>
      </c>
      <c r="C117">
        <v>42.926699999999997</v>
      </c>
      <c r="D117">
        <v>49.040900000000001</v>
      </c>
      <c r="E117">
        <v>48.694899999999997</v>
      </c>
      <c r="F117">
        <v>25253.105</v>
      </c>
      <c r="G117">
        <v>4.8010000000000002</v>
      </c>
    </row>
    <row r="118" spans="1:7" x14ac:dyDescent="0.15">
      <c r="A118" s="141" t="s">
        <v>139</v>
      </c>
      <c r="B118">
        <v>711</v>
      </c>
      <c r="C118">
        <v>41.686500000000002</v>
      </c>
      <c r="D118">
        <v>48.188600000000001</v>
      </c>
      <c r="E118">
        <v>47.662799999999997</v>
      </c>
      <c r="F118">
        <v>14614.044</v>
      </c>
      <c r="G118">
        <v>4.351</v>
      </c>
    </row>
    <row r="119" spans="1:7" x14ac:dyDescent="0.15">
      <c r="A119" s="141" t="s">
        <v>140</v>
      </c>
      <c r="B119">
        <v>405.14800000000002</v>
      </c>
      <c r="C119">
        <v>39.863399999999999</v>
      </c>
      <c r="D119">
        <v>47.200699999999998</v>
      </c>
      <c r="E119">
        <v>46.142400000000002</v>
      </c>
      <c r="F119">
        <v>8629.3070000000007</v>
      </c>
      <c r="G119">
        <v>4.28</v>
      </c>
    </row>
    <row r="120" spans="1:7" x14ac:dyDescent="0.15">
      <c r="A120" s="141" t="s">
        <v>141</v>
      </c>
      <c r="B120">
        <v>225.25200000000001</v>
      </c>
      <c r="C120">
        <v>37.143099999999997</v>
      </c>
      <c r="D120">
        <v>45.6569</v>
      </c>
      <c r="E120">
        <v>44.154899999999998</v>
      </c>
      <c r="F120">
        <v>4975.0860000000002</v>
      </c>
      <c r="G120">
        <v>4.2629999999999999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16788.304</v>
      </c>
      <c r="C145">
        <v>40.1633</v>
      </c>
      <c r="D145">
        <v>48.760599999999997</v>
      </c>
      <c r="E145">
        <v>46.675400000000003</v>
      </c>
      <c r="F145">
        <v>246478.31200000001</v>
      </c>
      <c r="G145">
        <v>32.296999999999997</v>
      </c>
    </row>
    <row r="146" spans="1:7" x14ac:dyDescent="0.15">
      <c r="A146" s="141" t="s">
        <v>255</v>
      </c>
      <c r="B146">
        <v>8417.0159999999996</v>
      </c>
      <c r="C146">
        <v>39.554600000000001</v>
      </c>
      <c r="D146">
        <v>47.913499999999999</v>
      </c>
      <c r="E146">
        <v>45.539200000000001</v>
      </c>
      <c r="F146">
        <v>137581.859</v>
      </c>
      <c r="G146">
        <v>29.311</v>
      </c>
    </row>
    <row r="147" spans="1:7" x14ac:dyDescent="0.15">
      <c r="A147" s="141" t="s">
        <v>256</v>
      </c>
      <c r="B147">
        <v>4600.9040000000005</v>
      </c>
      <c r="C147">
        <v>38.563699999999997</v>
      </c>
      <c r="D147">
        <v>46.885199999999998</v>
      </c>
      <c r="E147">
        <v>44.118299999999998</v>
      </c>
      <c r="F147">
        <v>75061.531000000003</v>
      </c>
      <c r="G147">
        <v>24.283999999999999</v>
      </c>
    </row>
    <row r="148" spans="1:7" x14ac:dyDescent="0.15">
      <c r="A148" s="141" t="s">
        <v>257</v>
      </c>
      <c r="B148">
        <v>2500.0320000000002</v>
      </c>
      <c r="C148">
        <v>37.014499999999998</v>
      </c>
      <c r="D148">
        <v>45.469700000000003</v>
      </c>
      <c r="E148">
        <v>42.453699999999998</v>
      </c>
      <c r="F148">
        <v>37370.25</v>
      </c>
      <c r="G148">
        <v>22.058</v>
      </c>
    </row>
    <row r="149" spans="1:7" x14ac:dyDescent="0.15">
      <c r="A149" s="141" t="s">
        <v>258</v>
      </c>
      <c r="B149">
        <v>91977.744000000006</v>
      </c>
      <c r="C149">
        <v>41.761499999999998</v>
      </c>
      <c r="D149">
        <v>36.679099999999998</v>
      </c>
      <c r="E149">
        <v>37.6952</v>
      </c>
      <c r="F149">
        <v>426496.375</v>
      </c>
      <c r="G149">
        <v>36.896000000000001</v>
      </c>
    </row>
    <row r="150" spans="1:7" x14ac:dyDescent="0.15">
      <c r="A150" s="141" t="s">
        <v>259</v>
      </c>
      <c r="B150">
        <v>47113.760000000002</v>
      </c>
      <c r="C150">
        <v>38.967700000000001</v>
      </c>
      <c r="D150">
        <v>34.398400000000002</v>
      </c>
      <c r="E150">
        <v>35.736899999999999</v>
      </c>
      <c r="F150">
        <v>294476.21899999998</v>
      </c>
      <c r="G150">
        <v>29.629000000000001</v>
      </c>
    </row>
    <row r="151" spans="1:7" x14ac:dyDescent="0.15">
      <c r="A151" s="141" t="s">
        <v>260</v>
      </c>
      <c r="B151">
        <v>21897.727999999999</v>
      </c>
      <c r="C151">
        <v>35.856099999999998</v>
      </c>
      <c r="D151">
        <v>32.482300000000002</v>
      </c>
      <c r="E151">
        <v>34.098399999999998</v>
      </c>
      <c r="F151">
        <v>202707.5</v>
      </c>
      <c r="G151">
        <v>28.881</v>
      </c>
    </row>
    <row r="152" spans="1:7" x14ac:dyDescent="0.15">
      <c r="A152" s="141" t="s">
        <v>261</v>
      </c>
      <c r="B152">
        <v>9219.5840000000007</v>
      </c>
      <c r="C152">
        <v>32.823599999999999</v>
      </c>
      <c r="D152">
        <v>30.791799999999999</v>
      </c>
      <c r="E152">
        <v>32.692500000000003</v>
      </c>
      <c r="F152">
        <v>113604.031</v>
      </c>
      <c r="G152">
        <v>25.445</v>
      </c>
    </row>
    <row r="153" spans="1:7" x14ac:dyDescent="0.15">
      <c r="A153" s="141" t="s">
        <v>262</v>
      </c>
      <c r="B153">
        <v>46736.167999999998</v>
      </c>
      <c r="C153">
        <v>38.936300000000003</v>
      </c>
      <c r="D153">
        <v>41.303699999999999</v>
      </c>
      <c r="E153">
        <v>41.527200000000001</v>
      </c>
      <c r="F153">
        <v>227807.92199999999</v>
      </c>
      <c r="G153">
        <v>19.952999999999999</v>
      </c>
    </row>
    <row r="154" spans="1:7" x14ac:dyDescent="0.15">
      <c r="A154" s="141" t="s">
        <v>263</v>
      </c>
      <c r="B154">
        <v>22976.096000000001</v>
      </c>
      <c r="C154">
        <v>37.565600000000003</v>
      </c>
      <c r="D154">
        <v>38.728999999999999</v>
      </c>
      <c r="E154">
        <v>40.142099999999999</v>
      </c>
      <c r="F154">
        <v>155254.34400000001</v>
      </c>
      <c r="G154">
        <v>18.498999999999999</v>
      </c>
    </row>
    <row r="155" spans="1:7" x14ac:dyDescent="0.15">
      <c r="A155" s="141" t="s">
        <v>264</v>
      </c>
      <c r="B155">
        <v>11958.208000000001</v>
      </c>
      <c r="C155">
        <v>36.017200000000003</v>
      </c>
      <c r="D155">
        <v>36.496299999999998</v>
      </c>
      <c r="E155">
        <v>38.711500000000001</v>
      </c>
      <c r="F155">
        <v>89876.187999999995</v>
      </c>
      <c r="G155">
        <v>13.926</v>
      </c>
    </row>
    <row r="156" spans="1:7" x14ac:dyDescent="0.15">
      <c r="A156" s="141" t="s">
        <v>265</v>
      </c>
      <c r="B156">
        <v>5889.3680000000004</v>
      </c>
      <c r="C156">
        <v>34.0989</v>
      </c>
      <c r="D156">
        <v>34.053699999999999</v>
      </c>
      <c r="E156">
        <v>36.942700000000002</v>
      </c>
      <c r="F156">
        <v>52550.241999999998</v>
      </c>
      <c r="G156">
        <v>12.837999999999999</v>
      </c>
    </row>
    <row r="157" spans="1:7" x14ac:dyDescent="0.15">
      <c r="A157" s="141" t="s">
        <v>266</v>
      </c>
      <c r="B157">
        <v>24393.423999999999</v>
      </c>
      <c r="C157">
        <v>37.537199999999999</v>
      </c>
      <c r="D157">
        <v>45.009</v>
      </c>
      <c r="E157">
        <v>42.7637</v>
      </c>
      <c r="F157">
        <v>334668.65600000002</v>
      </c>
      <c r="G157">
        <v>32.505000000000003</v>
      </c>
    </row>
    <row r="158" spans="1:7" x14ac:dyDescent="0.15">
      <c r="A158" s="141" t="s">
        <v>267</v>
      </c>
      <c r="B158">
        <v>10278.136</v>
      </c>
      <c r="C158">
        <v>36.900500000000001</v>
      </c>
      <c r="D158">
        <v>44.347299999999997</v>
      </c>
      <c r="E158">
        <v>42.033200000000001</v>
      </c>
      <c r="F158">
        <v>190969.09400000001</v>
      </c>
      <c r="G158">
        <v>28.452999999999999</v>
      </c>
    </row>
    <row r="159" spans="1:7" x14ac:dyDescent="0.15">
      <c r="A159" s="141" t="s">
        <v>268</v>
      </c>
      <c r="B159">
        <v>5156.8159999999998</v>
      </c>
      <c r="C159">
        <v>35.883600000000001</v>
      </c>
      <c r="D159">
        <v>43.396000000000001</v>
      </c>
      <c r="E159">
        <v>41.085599999999999</v>
      </c>
      <c r="F159">
        <v>99929.945000000007</v>
      </c>
      <c r="G159">
        <v>22.292999999999999</v>
      </c>
    </row>
    <row r="160" spans="1:7" x14ac:dyDescent="0.15">
      <c r="A160" s="141" t="s">
        <v>269</v>
      </c>
      <c r="B160">
        <v>2571.6080000000002</v>
      </c>
      <c r="C160">
        <v>34.305700000000002</v>
      </c>
      <c r="D160">
        <v>42.064799999999998</v>
      </c>
      <c r="E160">
        <v>39.9617</v>
      </c>
      <c r="F160">
        <v>50162.233999999997</v>
      </c>
      <c r="G160">
        <v>18.407</v>
      </c>
    </row>
    <row r="161" spans="1:7" x14ac:dyDescent="0.15">
      <c r="A161" s="141" t="s">
        <v>142</v>
      </c>
      <c r="B161">
        <v>8047.7103999999999</v>
      </c>
      <c r="C161">
        <v>38.012599999999999</v>
      </c>
      <c r="D161">
        <v>39.732399999999998</v>
      </c>
      <c r="E161">
        <v>42.815600000000003</v>
      </c>
      <c r="F161">
        <v>378251.06199999998</v>
      </c>
      <c r="G161">
        <v>29.867999999999999</v>
      </c>
    </row>
    <row r="162" spans="1:7" x14ac:dyDescent="0.15">
      <c r="A162" s="141" t="s">
        <v>143</v>
      </c>
      <c r="B162">
        <v>3821.6255999999998</v>
      </c>
      <c r="C162">
        <v>36.673400000000001</v>
      </c>
      <c r="D162">
        <v>39.113399999999999</v>
      </c>
      <c r="E162">
        <v>41.661999999999999</v>
      </c>
      <c r="F162">
        <v>259919.07800000001</v>
      </c>
      <c r="G162">
        <v>27.353000000000002</v>
      </c>
    </row>
    <row r="163" spans="1:7" x14ac:dyDescent="0.15">
      <c r="A163" s="141" t="s">
        <v>144</v>
      </c>
      <c r="B163">
        <v>1878.3136</v>
      </c>
      <c r="C163">
        <v>34.842300000000002</v>
      </c>
      <c r="D163">
        <v>38.293100000000003</v>
      </c>
      <c r="E163">
        <v>40.193100000000001</v>
      </c>
      <c r="F163">
        <v>145080.06200000001</v>
      </c>
      <c r="G163">
        <v>21.047999999999998</v>
      </c>
    </row>
    <row r="164" spans="1:7" x14ac:dyDescent="0.15">
      <c r="A164" s="141" t="s">
        <v>145</v>
      </c>
      <c r="B164">
        <v>898.42240000000004</v>
      </c>
      <c r="C164">
        <v>32.533499999999997</v>
      </c>
      <c r="D164">
        <v>37.263399999999997</v>
      </c>
      <c r="E164">
        <v>38.501600000000003</v>
      </c>
      <c r="F164">
        <v>91543.608999999997</v>
      </c>
      <c r="G164">
        <v>18.722999999999999</v>
      </c>
    </row>
    <row r="165" spans="1:7" x14ac:dyDescent="0.15">
      <c r="A165" s="141" t="s">
        <v>146</v>
      </c>
      <c r="B165">
        <v>9380.4992000000002</v>
      </c>
      <c r="C165">
        <v>38.739199999999997</v>
      </c>
      <c r="D165">
        <v>43.682600000000001</v>
      </c>
      <c r="E165">
        <v>44.628900000000002</v>
      </c>
      <c r="F165">
        <v>417011.5</v>
      </c>
      <c r="G165">
        <v>38.174999999999997</v>
      </c>
    </row>
    <row r="166" spans="1:7" x14ac:dyDescent="0.15">
      <c r="A166" s="141" t="s">
        <v>147</v>
      </c>
      <c r="B166">
        <v>4789.2416000000003</v>
      </c>
      <c r="C166">
        <v>37.514699999999998</v>
      </c>
      <c r="D166">
        <v>42.716099999999997</v>
      </c>
      <c r="E166">
        <v>43.131799999999998</v>
      </c>
      <c r="F166">
        <v>259236.109</v>
      </c>
      <c r="G166">
        <v>31.692</v>
      </c>
    </row>
    <row r="167" spans="1:7" x14ac:dyDescent="0.15">
      <c r="A167" s="141" t="s">
        <v>148</v>
      </c>
      <c r="B167">
        <v>2440.7775999999999</v>
      </c>
      <c r="C167">
        <v>35.832000000000001</v>
      </c>
      <c r="D167">
        <v>41.489199999999997</v>
      </c>
      <c r="E167">
        <v>41.402799999999999</v>
      </c>
      <c r="F167">
        <v>160170.625</v>
      </c>
      <c r="G167">
        <v>32.284999999999997</v>
      </c>
    </row>
    <row r="168" spans="1:7" x14ac:dyDescent="0.15">
      <c r="A168" s="141" t="s">
        <v>149</v>
      </c>
      <c r="B168">
        <v>1215.1600000000001</v>
      </c>
      <c r="C168">
        <v>33.751100000000001</v>
      </c>
      <c r="D168">
        <v>40.114899999999999</v>
      </c>
      <c r="E168">
        <v>39.488599999999998</v>
      </c>
      <c r="F168">
        <v>85543.148000000001</v>
      </c>
      <c r="G168">
        <v>21.516999999999999</v>
      </c>
    </row>
    <row r="169" spans="1:7" x14ac:dyDescent="0.15">
      <c r="A169" s="141" t="s">
        <v>270</v>
      </c>
      <c r="B169">
        <v>6404.0703999999996</v>
      </c>
      <c r="C169">
        <v>39.8352</v>
      </c>
      <c r="D169">
        <v>43.797400000000003</v>
      </c>
      <c r="E169">
        <v>44.508600000000001</v>
      </c>
      <c r="F169">
        <v>378346.03100000002</v>
      </c>
      <c r="G169">
        <v>38.427999999999997</v>
      </c>
    </row>
    <row r="170" spans="1:7" x14ac:dyDescent="0.15">
      <c r="A170" s="141" t="s">
        <v>271</v>
      </c>
      <c r="B170">
        <v>3055.9312</v>
      </c>
      <c r="C170">
        <v>38.5398</v>
      </c>
      <c r="D170">
        <v>42.924799999999998</v>
      </c>
      <c r="E170">
        <v>43.641199999999998</v>
      </c>
      <c r="F170">
        <v>221013.766</v>
      </c>
      <c r="G170">
        <v>30.268000000000001</v>
      </c>
    </row>
    <row r="171" spans="1:7" x14ac:dyDescent="0.15">
      <c r="A171" s="141" t="s">
        <v>272</v>
      </c>
      <c r="B171">
        <v>1475.568</v>
      </c>
      <c r="C171">
        <v>36.725000000000001</v>
      </c>
      <c r="D171">
        <v>41.820999999999998</v>
      </c>
      <c r="E171">
        <v>42.388800000000003</v>
      </c>
      <c r="F171">
        <v>125002.211</v>
      </c>
      <c r="G171">
        <v>26.213000000000001</v>
      </c>
    </row>
    <row r="172" spans="1:7" x14ac:dyDescent="0.15">
      <c r="A172" s="141" t="s">
        <v>273</v>
      </c>
      <c r="B172">
        <v>695.66719999999998</v>
      </c>
      <c r="C172">
        <v>34.428800000000003</v>
      </c>
      <c r="D172">
        <v>40.646900000000002</v>
      </c>
      <c r="E172">
        <v>40.989800000000002</v>
      </c>
      <c r="F172">
        <v>66673.523000000001</v>
      </c>
      <c r="G172">
        <v>22.262</v>
      </c>
    </row>
    <row r="173" spans="1:7" x14ac:dyDescent="0.15">
      <c r="A173" s="141" t="s">
        <v>274</v>
      </c>
      <c r="B173">
        <v>6791.4384</v>
      </c>
      <c r="C173">
        <v>43.383400000000002</v>
      </c>
      <c r="D173">
        <v>46.7393</v>
      </c>
      <c r="E173">
        <v>47.347700000000003</v>
      </c>
      <c r="F173">
        <v>318246.43800000002</v>
      </c>
      <c r="G173">
        <v>38.777000000000001</v>
      </c>
    </row>
    <row r="174" spans="1:7" x14ac:dyDescent="0.15">
      <c r="A174" s="141" t="s">
        <v>275</v>
      </c>
      <c r="B174">
        <v>4142.8271999999997</v>
      </c>
      <c r="C174">
        <v>41.066800000000001</v>
      </c>
      <c r="D174">
        <v>45.305</v>
      </c>
      <c r="E174">
        <v>45.662100000000002</v>
      </c>
      <c r="F174">
        <v>218442.90599999999</v>
      </c>
      <c r="G174">
        <v>33.883000000000003</v>
      </c>
    </row>
    <row r="175" spans="1:7" x14ac:dyDescent="0.15">
      <c r="A175" s="141" t="s">
        <v>276</v>
      </c>
      <c r="B175">
        <v>2298.3824</v>
      </c>
      <c r="C175">
        <v>38.277999999999999</v>
      </c>
      <c r="D175">
        <v>43.639299999999999</v>
      </c>
      <c r="E175">
        <v>43.7971</v>
      </c>
      <c r="F175">
        <v>144507.92199999999</v>
      </c>
      <c r="G175">
        <v>29.600999999999999</v>
      </c>
    </row>
    <row r="176" spans="1:7" x14ac:dyDescent="0.15">
      <c r="A176" s="141" t="s">
        <v>277</v>
      </c>
      <c r="B176">
        <v>1198.3456000000001</v>
      </c>
      <c r="C176">
        <v>35.321899999999999</v>
      </c>
      <c r="D176">
        <v>42.0548</v>
      </c>
      <c r="E176">
        <v>41.949300000000001</v>
      </c>
      <c r="F176">
        <v>79734.141000000003</v>
      </c>
      <c r="G176">
        <v>24.201000000000001</v>
      </c>
    </row>
    <row r="177" spans="1:7" x14ac:dyDescent="0.15">
      <c r="A177" s="141" t="s">
        <v>150</v>
      </c>
      <c r="B177" s="71">
        <v>4745.4528</v>
      </c>
      <c r="C177" s="71">
        <v>38.467799999999997</v>
      </c>
      <c r="D177" s="71">
        <v>45.531500000000001</v>
      </c>
      <c r="E177" s="71">
        <v>45.713500000000003</v>
      </c>
      <c r="F177" s="71">
        <v>215114.04699999999</v>
      </c>
      <c r="G177" s="71">
        <v>17.262</v>
      </c>
    </row>
    <row r="178" spans="1:7" x14ac:dyDescent="0.15">
      <c r="A178" s="141" t="s">
        <v>151</v>
      </c>
      <c r="B178" s="71">
        <v>1666.3471999999999</v>
      </c>
      <c r="C178" s="71">
        <v>36.471499999999999</v>
      </c>
      <c r="D178" s="71">
        <v>44.529899999999998</v>
      </c>
      <c r="E178" s="71">
        <v>44.724200000000003</v>
      </c>
      <c r="F178" s="71">
        <v>110943.508</v>
      </c>
      <c r="G178" s="71">
        <v>12.295</v>
      </c>
    </row>
    <row r="179" spans="1:7" x14ac:dyDescent="0.15">
      <c r="A179" s="141" t="s">
        <v>152</v>
      </c>
      <c r="B179" s="71">
        <v>656.93439999999998</v>
      </c>
      <c r="C179" s="71">
        <v>34.0154</v>
      </c>
      <c r="D179" s="71">
        <v>43.203000000000003</v>
      </c>
      <c r="E179" s="71">
        <v>43.333300000000001</v>
      </c>
      <c r="F179" s="71">
        <v>63159.574000000001</v>
      </c>
      <c r="G179" s="71">
        <v>9.2859999999999996</v>
      </c>
    </row>
    <row r="180" spans="1:7" x14ac:dyDescent="0.15">
      <c r="A180" s="141" t="s">
        <v>153</v>
      </c>
      <c r="B180" s="71">
        <v>274.74720000000002</v>
      </c>
      <c r="C180" s="71">
        <v>30.9801</v>
      </c>
      <c r="D180" s="71">
        <v>41.942500000000003</v>
      </c>
      <c r="E180" s="71">
        <v>42.017800000000001</v>
      </c>
      <c r="F180" s="71">
        <v>36150.230000000003</v>
      </c>
      <c r="G180" s="71">
        <v>7.1059999999999999</v>
      </c>
    </row>
    <row r="181" spans="1:7" x14ac:dyDescent="0.15">
      <c r="A181" s="141" t="s">
        <v>154</v>
      </c>
      <c r="B181" s="71">
        <v>3856.3807999999999</v>
      </c>
      <c r="C181" s="71">
        <v>40.522399999999998</v>
      </c>
      <c r="D181" s="71">
        <v>45.279200000000003</v>
      </c>
      <c r="E181" s="71">
        <v>46.113100000000003</v>
      </c>
      <c r="F181" s="71">
        <v>184555.81200000001</v>
      </c>
      <c r="G181" s="71">
        <v>17.55</v>
      </c>
    </row>
    <row r="182" spans="1:7" x14ac:dyDescent="0.15">
      <c r="A182" s="141" t="s">
        <v>155</v>
      </c>
      <c r="B182" s="71">
        <v>1753.2016000000001</v>
      </c>
      <c r="C182" s="71">
        <v>38.9009</v>
      </c>
      <c r="D182" s="71">
        <v>44.456499999999998</v>
      </c>
      <c r="E182" s="71">
        <v>44.59</v>
      </c>
      <c r="F182" s="71">
        <v>110699.219</v>
      </c>
      <c r="G182" s="71">
        <v>19.373999999999999</v>
      </c>
    </row>
    <row r="183" spans="1:7" x14ac:dyDescent="0.15">
      <c r="A183" s="141" t="s">
        <v>156</v>
      </c>
      <c r="B183" s="71">
        <v>838.86080000000004</v>
      </c>
      <c r="C183" s="71">
        <v>36.967700000000001</v>
      </c>
      <c r="D183" s="71">
        <v>43.438200000000002</v>
      </c>
      <c r="E183" s="71">
        <v>42.782600000000002</v>
      </c>
      <c r="F183" s="71">
        <v>60741.938000000002</v>
      </c>
      <c r="G183" s="71">
        <v>15.865</v>
      </c>
    </row>
    <row r="184" spans="1:7" x14ac:dyDescent="0.15">
      <c r="A184" s="141" t="s">
        <v>157</v>
      </c>
      <c r="B184" s="71">
        <v>394.4624</v>
      </c>
      <c r="C184" s="71">
        <v>34.745699999999999</v>
      </c>
      <c r="D184" s="71">
        <v>42.169199999999996</v>
      </c>
      <c r="E184" s="71">
        <v>40.707500000000003</v>
      </c>
      <c r="F184" s="71">
        <v>31199.728999999999</v>
      </c>
      <c r="G184" s="71">
        <v>9.07</v>
      </c>
    </row>
    <row r="185" spans="1:7" x14ac:dyDescent="0.15">
      <c r="A185" s="141" t="s">
        <v>158</v>
      </c>
      <c r="B185" s="71">
        <v>958.04960000000005</v>
      </c>
      <c r="C185" s="71">
        <v>42.996499999999997</v>
      </c>
      <c r="D185" s="71">
        <v>46.766399999999997</v>
      </c>
      <c r="E185" s="71">
        <v>47.584499999999998</v>
      </c>
      <c r="F185" s="71">
        <v>71122.023000000001</v>
      </c>
      <c r="G185" s="71">
        <v>9.86</v>
      </c>
    </row>
    <row r="186" spans="1:7" x14ac:dyDescent="0.15">
      <c r="A186" s="141" t="s">
        <v>159</v>
      </c>
      <c r="B186" s="71">
        <v>489.97120000000001</v>
      </c>
      <c r="C186" s="71">
        <v>41.368400000000001</v>
      </c>
      <c r="D186" s="71">
        <v>45.981400000000001</v>
      </c>
      <c r="E186" s="71">
        <v>46.554200000000002</v>
      </c>
      <c r="F186" s="71">
        <v>42963.148000000001</v>
      </c>
      <c r="G186" s="71">
        <v>7.7389999999999999</v>
      </c>
    </row>
    <row r="187" spans="1:7" x14ac:dyDescent="0.15">
      <c r="A187" s="141" t="s">
        <v>160</v>
      </c>
      <c r="B187" s="71">
        <v>260.94080000000002</v>
      </c>
      <c r="C187" s="71">
        <v>39.204099999999997</v>
      </c>
      <c r="D187" s="71">
        <v>44.708799999999997</v>
      </c>
      <c r="E187" s="71">
        <v>45.008899999999997</v>
      </c>
      <c r="F187" s="71">
        <v>26710.967000000001</v>
      </c>
      <c r="G187" s="71">
        <v>6.7210000000000001</v>
      </c>
    </row>
    <row r="188" spans="1:7" x14ac:dyDescent="0.15">
      <c r="A188" s="141" t="s">
        <v>161</v>
      </c>
      <c r="B188" s="71">
        <v>142.61600000000001</v>
      </c>
      <c r="C188" s="71">
        <v>36.420299999999997</v>
      </c>
      <c r="D188" s="71">
        <v>43.176299999999998</v>
      </c>
      <c r="E188" s="71">
        <v>43.1663</v>
      </c>
      <c r="F188" s="71">
        <v>14117.022999999999</v>
      </c>
      <c r="G188" s="71">
        <v>5.35</v>
      </c>
    </row>
    <row r="189" spans="1:7" x14ac:dyDescent="0.15">
      <c r="A189" s="141" t="s">
        <v>162</v>
      </c>
      <c r="B189" s="71">
        <v>1337.0816</v>
      </c>
      <c r="C189" s="71">
        <v>42.716000000000001</v>
      </c>
      <c r="D189" s="71">
        <v>48.5914</v>
      </c>
      <c r="E189" s="71">
        <v>47.267099999999999</v>
      </c>
      <c r="F189" s="71">
        <v>80777.508000000002</v>
      </c>
      <c r="G189" s="71">
        <v>10.946999999999999</v>
      </c>
    </row>
    <row r="190" spans="1:7" x14ac:dyDescent="0.15">
      <c r="A190" s="141" t="s">
        <v>163</v>
      </c>
      <c r="B190" s="71">
        <v>652.3424</v>
      </c>
      <c r="C190" s="71">
        <v>41.035899999999998</v>
      </c>
      <c r="D190" s="71">
        <v>47.787300000000002</v>
      </c>
      <c r="E190" s="71">
        <v>46.668500000000002</v>
      </c>
      <c r="F190" s="71">
        <v>45141.879000000001</v>
      </c>
      <c r="G190" s="71">
        <v>7.7679999999999998</v>
      </c>
    </row>
    <row r="191" spans="1:7" x14ac:dyDescent="0.15">
      <c r="A191" s="141" t="s">
        <v>164</v>
      </c>
      <c r="B191" s="71">
        <v>345.73439999999999</v>
      </c>
      <c r="C191" s="71">
        <v>38.752299999999998</v>
      </c>
      <c r="D191" s="71">
        <v>46.661700000000003</v>
      </c>
      <c r="E191" s="71">
        <v>45.4146</v>
      </c>
      <c r="F191" s="71">
        <v>27067.886999999999</v>
      </c>
      <c r="G191" s="71">
        <v>6.9249999999999998</v>
      </c>
    </row>
    <row r="192" spans="1:7" x14ac:dyDescent="0.15">
      <c r="A192" s="141" t="s">
        <v>165</v>
      </c>
      <c r="B192" s="71">
        <v>188.8176</v>
      </c>
      <c r="C192" s="71">
        <v>35.7226</v>
      </c>
      <c r="D192" s="71">
        <v>45.082099999999997</v>
      </c>
      <c r="E192" s="71">
        <v>43.250599999999999</v>
      </c>
      <c r="F192" s="71">
        <v>16222.581</v>
      </c>
      <c r="G192" s="71">
        <v>5.7210000000000001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374</v>
      </c>
    </row>
    <row r="274" spans="1:1" x14ac:dyDescent="0.15">
      <c r="A274" s="141" t="s">
        <v>375</v>
      </c>
    </row>
    <row r="275" spans="1:1" x14ac:dyDescent="0.15">
      <c r="A275" s="141" t="s">
        <v>376</v>
      </c>
    </row>
    <row r="276" spans="1:1" x14ac:dyDescent="0.15">
      <c r="A276" s="141" t="s">
        <v>377</v>
      </c>
    </row>
    <row r="277" spans="1:1" x14ac:dyDescent="0.15">
      <c r="A277" s="141" t="s">
        <v>378</v>
      </c>
    </row>
    <row r="278" spans="1:1" x14ac:dyDescent="0.15">
      <c r="A278" s="141" t="s">
        <v>379</v>
      </c>
    </row>
    <row r="279" spans="1:1" x14ac:dyDescent="0.15">
      <c r="A279" s="141" t="s">
        <v>380</v>
      </c>
    </row>
    <row r="280" spans="1:1" x14ac:dyDescent="0.15">
      <c r="A280" s="141" t="s">
        <v>381</v>
      </c>
    </row>
    <row r="281" spans="1:1" x14ac:dyDescent="0.15">
      <c r="A281" s="141" t="s">
        <v>382</v>
      </c>
    </row>
    <row r="282" spans="1:1" x14ac:dyDescent="0.15">
      <c r="A282" s="141" t="s">
        <v>383</v>
      </c>
    </row>
    <row r="283" spans="1:1" x14ac:dyDescent="0.15">
      <c r="A283" s="141" t="s">
        <v>384</v>
      </c>
    </row>
    <row r="284" spans="1:1" x14ac:dyDescent="0.15">
      <c r="A284" s="141" t="s">
        <v>385</v>
      </c>
    </row>
    <row r="285" spans="1:1" x14ac:dyDescent="0.15">
      <c r="A285" s="141" t="s">
        <v>386</v>
      </c>
    </row>
    <row r="286" spans="1:1" x14ac:dyDescent="0.15">
      <c r="A286" s="141" t="s">
        <v>387</v>
      </c>
    </row>
    <row r="287" spans="1:1" x14ac:dyDescent="0.15">
      <c r="A287" s="141" t="s">
        <v>388</v>
      </c>
    </row>
    <row r="288" spans="1:1" x14ac:dyDescent="0.1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zoomScaleNormal="100" workbookViewId="0">
      <selection activeCell="I16" sqref="I16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76977.924299999999</v>
      </c>
      <c r="C1">
        <v>40.813200000000002</v>
      </c>
      <c r="D1">
        <v>49.239899999999999</v>
      </c>
      <c r="E1">
        <v>47.741799999999998</v>
      </c>
      <c r="F1">
        <v>144444.125</v>
      </c>
      <c r="G1">
        <v>27.373999999999999</v>
      </c>
    </row>
    <row r="2" spans="1:7" x14ac:dyDescent="0.15">
      <c r="A2" s="141" t="s">
        <v>191</v>
      </c>
      <c r="B2">
        <v>41592.674599999998</v>
      </c>
      <c r="C2">
        <v>40.165199999999999</v>
      </c>
      <c r="D2">
        <v>48.546599999999998</v>
      </c>
      <c r="E2">
        <v>46.670299999999997</v>
      </c>
      <c r="F2">
        <v>78873.766000000003</v>
      </c>
      <c r="G2">
        <v>24.187000000000001</v>
      </c>
    </row>
    <row r="3" spans="1:7" x14ac:dyDescent="0.15">
      <c r="A3" s="141" t="s">
        <v>192</v>
      </c>
      <c r="B3">
        <v>24882.694100000001</v>
      </c>
      <c r="C3">
        <v>39.441800000000001</v>
      </c>
      <c r="D3">
        <v>47.625700000000002</v>
      </c>
      <c r="E3">
        <v>45.378100000000003</v>
      </c>
      <c r="F3">
        <v>47360.116999999998</v>
      </c>
      <c r="G3">
        <v>22.338999999999999</v>
      </c>
    </row>
    <row r="4" spans="1:7" x14ac:dyDescent="0.15">
      <c r="A4" s="141" t="s">
        <v>193</v>
      </c>
      <c r="B4">
        <v>14204.938399999999</v>
      </c>
      <c r="C4">
        <v>38.231999999999999</v>
      </c>
      <c r="D4">
        <v>46.125</v>
      </c>
      <c r="E4">
        <v>43.594900000000003</v>
      </c>
      <c r="F4">
        <v>26455.572</v>
      </c>
      <c r="G4">
        <v>20.57</v>
      </c>
    </row>
    <row r="5" spans="1:7" x14ac:dyDescent="0.15">
      <c r="A5" s="141" t="s">
        <v>194</v>
      </c>
      <c r="B5">
        <v>325287.90529999998</v>
      </c>
      <c r="C5">
        <v>44.789000000000001</v>
      </c>
      <c r="D5">
        <v>39.1554</v>
      </c>
      <c r="E5">
        <v>39.6539</v>
      </c>
      <c r="F5">
        <v>232104.875</v>
      </c>
      <c r="G5">
        <v>41.579000000000001</v>
      </c>
    </row>
    <row r="6" spans="1:7" x14ac:dyDescent="0.15">
      <c r="A6" s="141" t="s">
        <v>195</v>
      </c>
      <c r="B6">
        <v>207672.69469999999</v>
      </c>
      <c r="C6">
        <v>41.9998</v>
      </c>
      <c r="D6">
        <v>36.6599</v>
      </c>
      <c r="E6">
        <v>37.472900000000003</v>
      </c>
      <c r="F6">
        <v>183621.016</v>
      </c>
      <c r="G6">
        <v>36.191000000000003</v>
      </c>
    </row>
    <row r="7" spans="1:7" x14ac:dyDescent="0.15">
      <c r="A7" s="141" t="s">
        <v>196</v>
      </c>
      <c r="B7">
        <v>118796.5053</v>
      </c>
      <c r="C7">
        <v>38.742699999999999</v>
      </c>
      <c r="D7">
        <v>34.3947</v>
      </c>
      <c r="E7">
        <v>35.549900000000001</v>
      </c>
      <c r="F7">
        <v>136772.78099999999</v>
      </c>
      <c r="G7">
        <v>31.053000000000001</v>
      </c>
    </row>
    <row r="8" spans="1:7" x14ac:dyDescent="0.15">
      <c r="A8" s="141" t="s">
        <v>197</v>
      </c>
      <c r="B8">
        <v>56180.410499999998</v>
      </c>
      <c r="C8">
        <v>35.255000000000003</v>
      </c>
      <c r="D8">
        <v>32.0319</v>
      </c>
      <c r="E8">
        <v>33.708199999999998</v>
      </c>
      <c r="F8">
        <v>89976.343999999997</v>
      </c>
      <c r="G8">
        <v>26.260999999999999</v>
      </c>
    </row>
    <row r="9" spans="1:7" x14ac:dyDescent="0.15">
      <c r="A9" s="141" t="s">
        <v>198</v>
      </c>
      <c r="B9">
        <v>125469.3726</v>
      </c>
      <c r="C9">
        <v>41.588299999999997</v>
      </c>
      <c r="D9">
        <v>44.0441</v>
      </c>
      <c r="E9">
        <v>42.918799999999997</v>
      </c>
      <c r="F9">
        <v>189622.375</v>
      </c>
      <c r="G9">
        <v>34.844000000000001</v>
      </c>
    </row>
    <row r="10" spans="1:7" x14ac:dyDescent="0.15">
      <c r="A10" s="141" t="s">
        <v>199</v>
      </c>
      <c r="B10">
        <v>56447.065300000002</v>
      </c>
      <c r="C10">
        <v>38.893900000000002</v>
      </c>
      <c r="D10">
        <v>41.416600000000003</v>
      </c>
      <c r="E10">
        <v>41.7866</v>
      </c>
      <c r="F10">
        <v>131656.07800000001</v>
      </c>
      <c r="G10">
        <v>26.800999999999998</v>
      </c>
    </row>
    <row r="11" spans="1:7" x14ac:dyDescent="0.15">
      <c r="A11" s="141" t="s">
        <v>200</v>
      </c>
      <c r="B11">
        <v>25580.4568</v>
      </c>
      <c r="C11">
        <v>37.319099999999999</v>
      </c>
      <c r="D11">
        <v>39.092700000000001</v>
      </c>
      <c r="E11">
        <v>40.7072</v>
      </c>
      <c r="F11">
        <v>75834.398000000001</v>
      </c>
      <c r="G11">
        <v>21.393999999999998</v>
      </c>
    </row>
    <row r="12" spans="1:7" x14ac:dyDescent="0.15">
      <c r="A12" s="141" t="s">
        <v>201</v>
      </c>
      <c r="B12">
        <v>12393.4547</v>
      </c>
      <c r="C12">
        <v>35.935499999999998</v>
      </c>
      <c r="D12">
        <v>36.371899999999997</v>
      </c>
      <c r="E12">
        <v>39.213099999999997</v>
      </c>
      <c r="F12">
        <v>43245.690999999999</v>
      </c>
      <c r="G12">
        <v>19.289000000000001</v>
      </c>
    </row>
    <row r="13" spans="1:7" x14ac:dyDescent="0.15">
      <c r="A13" s="141" t="s">
        <v>202</v>
      </c>
      <c r="B13">
        <v>178731.27160000001</v>
      </c>
      <c r="C13">
        <v>38.624600000000001</v>
      </c>
      <c r="D13">
        <v>45.663600000000002</v>
      </c>
      <c r="E13">
        <v>43.488300000000002</v>
      </c>
      <c r="F13">
        <v>225254.15599999999</v>
      </c>
      <c r="G13">
        <v>35.412999999999997</v>
      </c>
    </row>
    <row r="14" spans="1:7" x14ac:dyDescent="0.15">
      <c r="A14" s="141" t="s">
        <v>203</v>
      </c>
      <c r="B14">
        <v>87221.482099999994</v>
      </c>
      <c r="C14">
        <v>37.688000000000002</v>
      </c>
      <c r="D14">
        <v>44.792900000000003</v>
      </c>
      <c r="E14">
        <v>42.494500000000002</v>
      </c>
      <c r="F14">
        <v>139479.234</v>
      </c>
      <c r="G14">
        <v>27.824999999999999</v>
      </c>
    </row>
    <row r="15" spans="1:7" x14ac:dyDescent="0.15">
      <c r="A15" s="141" t="s">
        <v>204</v>
      </c>
      <c r="B15">
        <v>50211.498899999999</v>
      </c>
      <c r="C15">
        <v>36.772300000000001</v>
      </c>
      <c r="D15">
        <v>43.823500000000003</v>
      </c>
      <c r="E15">
        <v>41.475299999999997</v>
      </c>
      <c r="F15">
        <v>89411.468999999997</v>
      </c>
      <c r="G15">
        <v>24.408000000000001</v>
      </c>
    </row>
    <row r="16" spans="1:7" x14ac:dyDescent="0.15">
      <c r="A16" s="141" t="s">
        <v>205</v>
      </c>
      <c r="B16">
        <v>26556.858899999999</v>
      </c>
      <c r="C16">
        <v>35.277999999999999</v>
      </c>
      <c r="D16">
        <v>42.434199999999997</v>
      </c>
      <c r="E16">
        <v>40.212000000000003</v>
      </c>
      <c r="F16">
        <v>54063.012000000002</v>
      </c>
      <c r="G16">
        <v>21.119</v>
      </c>
    </row>
    <row r="17" spans="1:7" x14ac:dyDescent="0.15">
      <c r="A17" s="141" t="s">
        <v>94</v>
      </c>
      <c r="B17">
        <v>68145.206300000005</v>
      </c>
      <c r="C17">
        <v>39.584200000000003</v>
      </c>
      <c r="D17">
        <v>40.530099999999997</v>
      </c>
      <c r="E17">
        <v>43.541400000000003</v>
      </c>
      <c r="F17">
        <v>98717.031000000003</v>
      </c>
      <c r="G17">
        <v>17.108000000000001</v>
      </c>
    </row>
    <row r="18" spans="1:7" x14ac:dyDescent="0.15">
      <c r="A18" s="141" t="s">
        <v>95</v>
      </c>
      <c r="B18">
        <v>40656.685700000002</v>
      </c>
      <c r="C18">
        <v>37.9497</v>
      </c>
      <c r="D18">
        <v>39.5685</v>
      </c>
      <c r="E18">
        <v>42.1601</v>
      </c>
      <c r="F18">
        <v>74263.202999999994</v>
      </c>
      <c r="G18">
        <v>14.513999999999999</v>
      </c>
    </row>
    <row r="19" spans="1:7" x14ac:dyDescent="0.15">
      <c r="A19" s="141" t="s">
        <v>96</v>
      </c>
      <c r="B19">
        <v>23422.1587</v>
      </c>
      <c r="C19">
        <v>36.0366</v>
      </c>
      <c r="D19">
        <v>38.718000000000004</v>
      </c>
      <c r="E19">
        <v>40.772300000000001</v>
      </c>
      <c r="F19">
        <v>55046.358999999997</v>
      </c>
      <c r="G19">
        <v>12.247</v>
      </c>
    </row>
    <row r="20" spans="1:7" x14ac:dyDescent="0.15">
      <c r="A20" s="141" t="s">
        <v>97</v>
      </c>
      <c r="B20">
        <v>11937.263499999999</v>
      </c>
      <c r="C20">
        <v>33.559600000000003</v>
      </c>
      <c r="D20">
        <v>37.5291</v>
      </c>
      <c r="E20">
        <v>38.927399999999999</v>
      </c>
      <c r="F20">
        <v>36464.633000000002</v>
      </c>
      <c r="G20">
        <v>10.34</v>
      </c>
    </row>
    <row r="21" spans="1:7" x14ac:dyDescent="0.15">
      <c r="A21" s="141" t="s">
        <v>98</v>
      </c>
      <c r="B21">
        <v>42866.1397</v>
      </c>
      <c r="C21">
        <v>40.217799999999997</v>
      </c>
      <c r="D21">
        <v>44.216799999999999</v>
      </c>
      <c r="E21">
        <v>45.6892</v>
      </c>
      <c r="F21">
        <v>85631.539000000004</v>
      </c>
      <c r="G21">
        <v>14.79</v>
      </c>
    </row>
    <row r="22" spans="1:7" x14ac:dyDescent="0.15">
      <c r="A22" s="141" t="s">
        <v>99</v>
      </c>
      <c r="B22">
        <v>23329.047600000002</v>
      </c>
      <c r="C22">
        <v>38.747300000000003</v>
      </c>
      <c r="D22">
        <v>43.260800000000003</v>
      </c>
      <c r="E22">
        <v>44.24</v>
      </c>
      <c r="F22">
        <v>59761.644999999997</v>
      </c>
      <c r="G22">
        <v>12.68</v>
      </c>
    </row>
    <row r="23" spans="1:7" x14ac:dyDescent="0.15">
      <c r="A23" s="141" t="s">
        <v>100</v>
      </c>
      <c r="B23">
        <v>13127.2</v>
      </c>
      <c r="C23">
        <v>37.303400000000003</v>
      </c>
      <c r="D23">
        <v>42.1843</v>
      </c>
      <c r="E23">
        <v>42.680999999999997</v>
      </c>
      <c r="F23">
        <v>40143.184000000001</v>
      </c>
      <c r="G23">
        <v>10.76</v>
      </c>
    </row>
    <row r="24" spans="1:7" x14ac:dyDescent="0.15">
      <c r="A24" s="141" t="s">
        <v>101</v>
      </c>
      <c r="B24">
        <v>7008.4444000000003</v>
      </c>
      <c r="C24">
        <v>35.383400000000002</v>
      </c>
      <c r="D24">
        <v>40.682099999999998</v>
      </c>
      <c r="E24">
        <v>40.6584</v>
      </c>
      <c r="F24">
        <v>24685.824000000001</v>
      </c>
      <c r="G24">
        <v>9.4109999999999996</v>
      </c>
    </row>
    <row r="25" spans="1:7" x14ac:dyDescent="0.15">
      <c r="A25" s="141" t="s">
        <v>206</v>
      </c>
      <c r="B25">
        <v>65342.995199999998</v>
      </c>
      <c r="C25">
        <v>41.7637</v>
      </c>
      <c r="D25">
        <v>44.456600000000002</v>
      </c>
      <c r="E25">
        <v>45.168999999999997</v>
      </c>
      <c r="F25">
        <v>103639.109</v>
      </c>
      <c r="G25">
        <v>18.094000000000001</v>
      </c>
    </row>
    <row r="26" spans="1:7" x14ac:dyDescent="0.15">
      <c r="A26" s="141" t="s">
        <v>207</v>
      </c>
      <c r="B26">
        <v>42100.703999999998</v>
      </c>
      <c r="C26">
        <v>39.957099999999997</v>
      </c>
      <c r="D26">
        <v>43.034700000000001</v>
      </c>
      <c r="E26">
        <v>43.925400000000003</v>
      </c>
      <c r="F26">
        <v>77848.398000000001</v>
      </c>
      <c r="G26">
        <v>15.554</v>
      </c>
    </row>
    <row r="27" spans="1:7" x14ac:dyDescent="0.15">
      <c r="A27" s="141" t="s">
        <v>208</v>
      </c>
      <c r="B27">
        <v>24764.7808</v>
      </c>
      <c r="C27">
        <v>37.729999999999997</v>
      </c>
      <c r="D27">
        <v>41.726300000000002</v>
      </c>
      <c r="E27">
        <v>42.641100000000002</v>
      </c>
      <c r="F27">
        <v>55477</v>
      </c>
      <c r="G27">
        <v>13.475</v>
      </c>
    </row>
    <row r="28" spans="1:7" x14ac:dyDescent="0.15">
      <c r="A28" s="141" t="s">
        <v>209</v>
      </c>
      <c r="B28">
        <v>12509.376</v>
      </c>
      <c r="C28">
        <v>35.034100000000002</v>
      </c>
      <c r="D28">
        <v>40.157600000000002</v>
      </c>
      <c r="E28">
        <v>41.0137</v>
      </c>
      <c r="F28">
        <v>35310.879000000001</v>
      </c>
      <c r="G28">
        <v>11.57</v>
      </c>
    </row>
    <row r="29" spans="1:7" x14ac:dyDescent="0.15">
      <c r="A29" s="141" t="s">
        <v>210</v>
      </c>
      <c r="B29">
        <v>39885.868799999997</v>
      </c>
      <c r="C29">
        <v>44.966799999999999</v>
      </c>
      <c r="D29">
        <v>47.611699999999999</v>
      </c>
      <c r="E29">
        <v>48.335799999999999</v>
      </c>
      <c r="F29">
        <v>70184.491999999998</v>
      </c>
      <c r="G29">
        <v>16.216000000000001</v>
      </c>
    </row>
    <row r="30" spans="1:7" x14ac:dyDescent="0.15">
      <c r="A30" s="141" t="s">
        <v>211</v>
      </c>
      <c r="B30">
        <v>26300.729599999999</v>
      </c>
      <c r="C30">
        <v>42.801400000000001</v>
      </c>
      <c r="D30">
        <v>46.006599999999999</v>
      </c>
      <c r="E30">
        <v>46.540500000000002</v>
      </c>
      <c r="F30">
        <v>55786.550999999999</v>
      </c>
      <c r="G30">
        <v>14.141999999999999</v>
      </c>
    </row>
    <row r="31" spans="1:7" x14ac:dyDescent="0.15">
      <c r="A31" s="141" t="s">
        <v>212</v>
      </c>
      <c r="B31">
        <v>15577.062400000001</v>
      </c>
      <c r="C31">
        <v>40.109099999999998</v>
      </c>
      <c r="D31">
        <v>44.475200000000001</v>
      </c>
      <c r="E31">
        <v>44.719700000000003</v>
      </c>
      <c r="F31">
        <v>41442.487999999998</v>
      </c>
      <c r="G31">
        <v>12.381</v>
      </c>
    </row>
    <row r="32" spans="1:7" x14ac:dyDescent="0.15">
      <c r="A32" s="141" t="s">
        <v>213</v>
      </c>
      <c r="B32">
        <v>8128.1535999999996</v>
      </c>
      <c r="C32">
        <v>37.033099999999997</v>
      </c>
      <c r="D32">
        <v>42.467399999999998</v>
      </c>
      <c r="E32">
        <v>42.491999999999997</v>
      </c>
      <c r="F32">
        <v>26897.469000000001</v>
      </c>
      <c r="G32">
        <v>10.721</v>
      </c>
    </row>
    <row r="33" spans="1:7" x14ac:dyDescent="0.15">
      <c r="A33" s="141" t="s">
        <v>102</v>
      </c>
      <c r="B33">
        <v>54311.891199999998</v>
      </c>
      <c r="C33">
        <v>41.7911</v>
      </c>
      <c r="D33">
        <v>46.079099999999997</v>
      </c>
      <c r="E33">
        <v>46.3795</v>
      </c>
      <c r="F33">
        <v>58784.023000000001</v>
      </c>
      <c r="G33">
        <v>10.516999999999999</v>
      </c>
    </row>
    <row r="34" spans="1:7" x14ac:dyDescent="0.15">
      <c r="A34" s="141" t="s">
        <v>103</v>
      </c>
      <c r="B34">
        <v>37097.670400000003</v>
      </c>
      <c r="C34">
        <v>38.857799999999997</v>
      </c>
      <c r="D34">
        <v>44.326300000000003</v>
      </c>
      <c r="E34">
        <v>44.656300000000002</v>
      </c>
      <c r="F34">
        <v>51100.828000000001</v>
      </c>
      <c r="G34">
        <v>9.2539999999999996</v>
      </c>
    </row>
    <row r="35" spans="1:7" x14ac:dyDescent="0.15">
      <c r="A35" s="141" t="s">
        <v>104</v>
      </c>
      <c r="B35">
        <v>22070.272000000001</v>
      </c>
      <c r="C35">
        <v>35.467799999999997</v>
      </c>
      <c r="D35">
        <v>42.880400000000002</v>
      </c>
      <c r="E35">
        <v>43.21</v>
      </c>
      <c r="F35">
        <v>41073.366999999998</v>
      </c>
      <c r="G35">
        <v>7.8789999999999996</v>
      </c>
    </row>
    <row r="36" spans="1:7" x14ac:dyDescent="0.15">
      <c r="A36" s="141" t="s">
        <v>105</v>
      </c>
      <c r="B36">
        <v>10883.468800000001</v>
      </c>
      <c r="C36">
        <v>31.8308</v>
      </c>
      <c r="D36">
        <v>41.508099999999999</v>
      </c>
      <c r="E36">
        <v>41.683300000000003</v>
      </c>
      <c r="F36">
        <v>29329.526999999998</v>
      </c>
      <c r="G36">
        <v>6.3209999999999997</v>
      </c>
    </row>
    <row r="37" spans="1:7" x14ac:dyDescent="0.15">
      <c r="A37" s="141" t="s">
        <v>106</v>
      </c>
      <c r="B37">
        <v>20345.894400000001</v>
      </c>
      <c r="C37">
        <v>42.721299999999999</v>
      </c>
      <c r="D37">
        <v>45.483499999999999</v>
      </c>
      <c r="E37">
        <v>47.045699999999997</v>
      </c>
      <c r="F37">
        <v>38531.980000000003</v>
      </c>
      <c r="G37">
        <v>7.1289999999999996</v>
      </c>
    </row>
    <row r="38" spans="1:7" x14ac:dyDescent="0.15">
      <c r="A38" s="141" t="s">
        <v>107</v>
      </c>
      <c r="B38">
        <v>11544.6976</v>
      </c>
      <c r="C38">
        <v>40.692</v>
      </c>
      <c r="D38">
        <v>44.566499999999998</v>
      </c>
      <c r="E38">
        <v>45.411900000000003</v>
      </c>
      <c r="F38">
        <v>28542.171999999999</v>
      </c>
      <c r="G38">
        <v>6.0720000000000001</v>
      </c>
    </row>
    <row r="39" spans="1:7" x14ac:dyDescent="0.15">
      <c r="A39" s="141" t="s">
        <v>108</v>
      </c>
      <c r="B39">
        <v>6390.5856000000003</v>
      </c>
      <c r="C39">
        <v>38.687199999999997</v>
      </c>
      <c r="D39">
        <v>43.623100000000001</v>
      </c>
      <c r="E39">
        <v>43.628900000000002</v>
      </c>
      <c r="F39">
        <v>19606.063999999998</v>
      </c>
      <c r="G39">
        <v>5.2750000000000004</v>
      </c>
    </row>
    <row r="40" spans="1:7" x14ac:dyDescent="0.15">
      <c r="A40" s="141" t="s">
        <v>109</v>
      </c>
      <c r="B40">
        <v>3257.3760000000002</v>
      </c>
      <c r="C40">
        <v>36.308300000000003</v>
      </c>
      <c r="D40">
        <v>42.318100000000001</v>
      </c>
      <c r="E40">
        <v>41.470599999999997</v>
      </c>
      <c r="F40">
        <v>11801.094999999999</v>
      </c>
      <c r="G40">
        <v>4.5389999999999997</v>
      </c>
    </row>
    <row r="41" spans="1:7" x14ac:dyDescent="0.15">
      <c r="A41" s="141" t="s">
        <v>110</v>
      </c>
      <c r="B41">
        <v>15254.316800000001</v>
      </c>
      <c r="C41">
        <v>44.251600000000003</v>
      </c>
      <c r="D41">
        <v>47.072600000000001</v>
      </c>
      <c r="E41">
        <v>47.968499999999999</v>
      </c>
      <c r="F41">
        <v>30670.511999999999</v>
      </c>
      <c r="G41">
        <v>6.7850000000000001</v>
      </c>
    </row>
    <row r="42" spans="1:7" x14ac:dyDescent="0.15">
      <c r="A42" s="141" t="s">
        <v>111</v>
      </c>
      <c r="B42">
        <v>10340.563200000001</v>
      </c>
      <c r="C42">
        <v>42.521999999999998</v>
      </c>
      <c r="D42">
        <v>45.932099999999998</v>
      </c>
      <c r="E42">
        <v>46.647500000000001</v>
      </c>
      <c r="F42">
        <v>24111.567999999999</v>
      </c>
      <c r="G42">
        <v>6.1420000000000003</v>
      </c>
    </row>
    <row r="43" spans="1:7" x14ac:dyDescent="0.15">
      <c r="A43" s="141" t="s">
        <v>112</v>
      </c>
      <c r="B43">
        <v>6521.3440000000001</v>
      </c>
      <c r="C43">
        <v>40.183799999999998</v>
      </c>
      <c r="D43">
        <v>44.602200000000003</v>
      </c>
      <c r="E43">
        <v>45.1096</v>
      </c>
      <c r="F43">
        <v>17714.098000000002</v>
      </c>
      <c r="G43">
        <v>5.5419999999999998</v>
      </c>
    </row>
    <row r="44" spans="1:7" x14ac:dyDescent="0.15">
      <c r="A44" s="141" t="s">
        <v>113</v>
      </c>
      <c r="B44">
        <v>3780.0511999999999</v>
      </c>
      <c r="C44">
        <v>37.201799999999999</v>
      </c>
      <c r="D44">
        <v>42.876100000000001</v>
      </c>
      <c r="E44">
        <v>43.076500000000003</v>
      </c>
      <c r="F44">
        <v>12141.807000000001</v>
      </c>
      <c r="G44">
        <v>4.851</v>
      </c>
    </row>
    <row r="45" spans="1:7" x14ac:dyDescent="0.15">
      <c r="A45" s="141" t="s">
        <v>114</v>
      </c>
      <c r="B45">
        <v>16541.024000000001</v>
      </c>
      <c r="C45">
        <v>44.197899999999997</v>
      </c>
      <c r="D45">
        <v>48.792700000000004</v>
      </c>
      <c r="E45">
        <v>48.464700000000001</v>
      </c>
      <c r="F45">
        <v>31023.046999999999</v>
      </c>
      <c r="G45">
        <v>6.47</v>
      </c>
    </row>
    <row r="46" spans="1:7" x14ac:dyDescent="0.15">
      <c r="A46" s="141" t="s">
        <v>115</v>
      </c>
      <c r="B46">
        <v>11481.785599999999</v>
      </c>
      <c r="C46">
        <v>42.458399999999997</v>
      </c>
      <c r="D46">
        <v>47.803199999999997</v>
      </c>
      <c r="E46">
        <v>46.982100000000003</v>
      </c>
      <c r="F46">
        <v>24503.879000000001</v>
      </c>
      <c r="G46">
        <v>5.7409999999999997</v>
      </c>
    </row>
    <row r="47" spans="1:7" x14ac:dyDescent="0.15">
      <c r="A47" s="141" t="s">
        <v>116</v>
      </c>
      <c r="B47">
        <v>7469.8047999999999</v>
      </c>
      <c r="C47">
        <v>40.0837</v>
      </c>
      <c r="D47">
        <v>46.613700000000001</v>
      </c>
      <c r="E47">
        <v>45.299399999999999</v>
      </c>
      <c r="F47">
        <v>18666.256000000001</v>
      </c>
      <c r="G47">
        <v>5.165</v>
      </c>
    </row>
    <row r="48" spans="1:7" x14ac:dyDescent="0.15">
      <c r="A48" s="141" t="s">
        <v>117</v>
      </c>
      <c r="B48">
        <v>4347.5328</v>
      </c>
      <c r="C48">
        <v>36.869</v>
      </c>
      <c r="D48">
        <v>44.725700000000003</v>
      </c>
      <c r="E48">
        <v>43.040999999999997</v>
      </c>
      <c r="F48">
        <v>13199.904</v>
      </c>
      <c r="G48">
        <v>4.6050000000000004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14763.407999999999</v>
      </c>
      <c r="C73">
        <v>40.089300000000001</v>
      </c>
      <c r="D73">
        <v>49.062399999999997</v>
      </c>
      <c r="E73">
        <v>47.046599999999998</v>
      </c>
      <c r="F73">
        <v>409211.99300000002</v>
      </c>
      <c r="G73">
        <v>61.777000000000001</v>
      </c>
    </row>
    <row r="74" spans="1:7" x14ac:dyDescent="0.15">
      <c r="A74" s="141" t="s">
        <v>223</v>
      </c>
      <c r="B74">
        <v>6742.152</v>
      </c>
      <c r="C74">
        <v>39.597700000000003</v>
      </c>
      <c r="D74">
        <v>48.465000000000003</v>
      </c>
      <c r="E74">
        <v>46.137799999999999</v>
      </c>
      <c r="F74">
        <v>223129.375</v>
      </c>
      <c r="G74">
        <v>55.51</v>
      </c>
    </row>
    <row r="75" spans="1:7" x14ac:dyDescent="0.15">
      <c r="A75" s="141" t="s">
        <v>224</v>
      </c>
      <c r="B75">
        <v>3661.2</v>
      </c>
      <c r="C75">
        <v>38.757899999999999</v>
      </c>
      <c r="D75">
        <v>47.614699999999999</v>
      </c>
      <c r="E75">
        <v>44.914700000000003</v>
      </c>
      <c r="F75">
        <v>111845.818</v>
      </c>
      <c r="G75">
        <v>51.188000000000002</v>
      </c>
    </row>
    <row r="76" spans="1:7" x14ac:dyDescent="0.15">
      <c r="A76" s="141" t="s">
        <v>225</v>
      </c>
      <c r="B76">
        <v>1935.9280000000001</v>
      </c>
      <c r="C76">
        <v>37.2669</v>
      </c>
      <c r="D76">
        <v>46.255899999999997</v>
      </c>
      <c r="E76">
        <v>43.153500000000001</v>
      </c>
      <c r="F76">
        <v>57260.671000000002</v>
      </c>
      <c r="G76">
        <v>47.86</v>
      </c>
    </row>
    <row r="77" spans="1:7" x14ac:dyDescent="0.15">
      <c r="A77" s="141" t="s">
        <v>226</v>
      </c>
      <c r="B77">
        <v>76259.063999999998</v>
      </c>
      <c r="C77">
        <v>41.668399999999998</v>
      </c>
      <c r="D77">
        <v>36.490900000000003</v>
      </c>
      <c r="E77">
        <v>37.620699999999999</v>
      </c>
      <c r="F77">
        <v>746346.91799999995</v>
      </c>
      <c r="G77">
        <v>71.685000000000002</v>
      </c>
    </row>
    <row r="78" spans="1:7" x14ac:dyDescent="0.15">
      <c r="A78" s="141" t="s">
        <v>227</v>
      </c>
      <c r="B78">
        <v>39371.923999999999</v>
      </c>
      <c r="C78">
        <v>39.066099999999999</v>
      </c>
      <c r="D78">
        <v>34.557499999999997</v>
      </c>
      <c r="E78">
        <v>35.960500000000003</v>
      </c>
      <c r="F78">
        <v>500546.14899999998</v>
      </c>
      <c r="G78">
        <v>62.603999999999999</v>
      </c>
    </row>
    <row r="79" spans="1:7" x14ac:dyDescent="0.15">
      <c r="A79" s="141" t="s">
        <v>228</v>
      </c>
      <c r="B79">
        <v>18909.2</v>
      </c>
      <c r="C79">
        <v>36.162399999999998</v>
      </c>
      <c r="D79">
        <v>32.9208</v>
      </c>
      <c r="E79">
        <v>34.591299999999997</v>
      </c>
      <c r="F79">
        <v>312293.31599999999</v>
      </c>
      <c r="G79">
        <v>57.136000000000003</v>
      </c>
    </row>
    <row r="80" spans="1:7" x14ac:dyDescent="0.15">
      <c r="A80" s="141" t="s">
        <v>229</v>
      </c>
      <c r="B80">
        <v>7794.5280000000002</v>
      </c>
      <c r="C80">
        <v>33.096699999999998</v>
      </c>
      <c r="D80">
        <v>31.262499999999999</v>
      </c>
      <c r="E80">
        <v>33.161900000000003</v>
      </c>
      <c r="F80">
        <v>177246.62400000001</v>
      </c>
      <c r="G80">
        <v>53.593000000000004</v>
      </c>
    </row>
    <row r="81" spans="1:7" x14ac:dyDescent="0.15">
      <c r="A81" s="141" t="s">
        <v>230</v>
      </c>
      <c r="B81">
        <v>38316.627999999997</v>
      </c>
      <c r="C81">
        <v>38.3215</v>
      </c>
      <c r="D81">
        <v>40.5062</v>
      </c>
      <c r="E81">
        <v>41.562199999999997</v>
      </c>
      <c r="F81">
        <v>435904.26</v>
      </c>
      <c r="G81">
        <v>38.677</v>
      </c>
    </row>
    <row r="82" spans="1:7" x14ac:dyDescent="0.15">
      <c r="A82" s="141" t="s">
        <v>231</v>
      </c>
      <c r="B82">
        <v>18782.304</v>
      </c>
      <c r="C82">
        <v>37.213900000000002</v>
      </c>
      <c r="D82">
        <v>37.963700000000003</v>
      </c>
      <c r="E82">
        <v>40.341999999999999</v>
      </c>
      <c r="F82">
        <v>262920.484</v>
      </c>
      <c r="G82">
        <v>32.591000000000001</v>
      </c>
    </row>
    <row r="83" spans="1:7" x14ac:dyDescent="0.15">
      <c r="A83" s="141" t="s">
        <v>232</v>
      </c>
      <c r="B83">
        <v>9297.36</v>
      </c>
      <c r="C83">
        <v>35.853099999999998</v>
      </c>
      <c r="D83">
        <v>35.748100000000001</v>
      </c>
      <c r="E83">
        <v>39.033000000000001</v>
      </c>
      <c r="F83">
        <v>158449.26800000001</v>
      </c>
      <c r="G83">
        <v>29.099</v>
      </c>
    </row>
    <row r="84" spans="1:7" x14ac:dyDescent="0.15">
      <c r="A84" s="141" t="s">
        <v>233</v>
      </c>
      <c r="B84">
        <v>4706.5280000000002</v>
      </c>
      <c r="C84">
        <v>34.017699999999998</v>
      </c>
      <c r="D84">
        <v>33.844099999999997</v>
      </c>
      <c r="E84">
        <v>37.481499999999997</v>
      </c>
      <c r="F84">
        <v>91143.89</v>
      </c>
      <c r="G84">
        <v>27.064</v>
      </c>
    </row>
    <row r="85" spans="1:7" x14ac:dyDescent="0.15">
      <c r="A85" s="141" t="s">
        <v>234</v>
      </c>
      <c r="B85">
        <v>26744.02</v>
      </c>
      <c r="C85">
        <v>37.641500000000001</v>
      </c>
      <c r="D85">
        <v>45.340699999999998</v>
      </c>
      <c r="E85">
        <v>43.0276</v>
      </c>
      <c r="F85">
        <v>584860.17599999998</v>
      </c>
      <c r="G85">
        <v>68.665999999999997</v>
      </c>
    </row>
    <row r="86" spans="1:7" x14ac:dyDescent="0.15">
      <c r="A86" s="141" t="s">
        <v>235</v>
      </c>
      <c r="B86">
        <v>9177.2559999999994</v>
      </c>
      <c r="C86">
        <v>37.090800000000002</v>
      </c>
      <c r="D86">
        <v>44.7547</v>
      </c>
      <c r="E86">
        <v>42.399500000000003</v>
      </c>
      <c r="F86">
        <v>315085.70600000001</v>
      </c>
      <c r="G86">
        <v>58.667999999999999</v>
      </c>
    </row>
    <row r="87" spans="1:7" x14ac:dyDescent="0.15">
      <c r="A87" s="141" t="s">
        <v>236</v>
      </c>
      <c r="B87">
        <v>4542.576</v>
      </c>
      <c r="C87">
        <v>36.246299999999998</v>
      </c>
      <c r="D87">
        <v>43.987499999999997</v>
      </c>
      <c r="E87">
        <v>41.611499999999999</v>
      </c>
      <c r="F87">
        <v>159293.90599999999</v>
      </c>
      <c r="G87">
        <v>49.045999999999999</v>
      </c>
    </row>
    <row r="88" spans="1:7" x14ac:dyDescent="0.15">
      <c r="A88" s="141" t="s">
        <v>237</v>
      </c>
      <c r="B88">
        <v>2200.288</v>
      </c>
      <c r="C88">
        <v>34.799199999999999</v>
      </c>
      <c r="D88">
        <v>42.677999999999997</v>
      </c>
      <c r="E88">
        <v>40.433100000000003</v>
      </c>
      <c r="F88">
        <v>77179.528000000006</v>
      </c>
      <c r="G88">
        <v>41.500999999999998</v>
      </c>
    </row>
    <row r="89" spans="1:7" x14ac:dyDescent="0.15">
      <c r="A89" s="141" t="s">
        <v>118</v>
      </c>
      <c r="B89">
        <v>9844.6759999999995</v>
      </c>
      <c r="C89">
        <v>38.017699999999998</v>
      </c>
      <c r="D89">
        <v>39.849800000000002</v>
      </c>
      <c r="E89">
        <v>43.371600000000001</v>
      </c>
      <c r="F89">
        <v>131397.492</v>
      </c>
      <c r="G89">
        <v>14.269</v>
      </c>
    </row>
    <row r="90" spans="1:7" x14ac:dyDescent="0.15">
      <c r="A90" s="141" t="s">
        <v>119</v>
      </c>
      <c r="B90">
        <v>4577.9960000000001</v>
      </c>
      <c r="C90">
        <v>36.927700000000002</v>
      </c>
      <c r="D90">
        <v>39.351199999999999</v>
      </c>
      <c r="E90">
        <v>42.241799999999998</v>
      </c>
      <c r="F90">
        <v>79621.123000000007</v>
      </c>
      <c r="G90">
        <v>12.17</v>
      </c>
    </row>
    <row r="91" spans="1:7" x14ac:dyDescent="0.15">
      <c r="A91" s="141" t="s">
        <v>120</v>
      </c>
      <c r="B91">
        <v>2330.8200000000002</v>
      </c>
      <c r="C91">
        <v>35.383299999999998</v>
      </c>
      <c r="D91">
        <v>38.738799999999998</v>
      </c>
      <c r="E91">
        <v>40.959800000000001</v>
      </c>
      <c r="F91">
        <v>46743.637999999999</v>
      </c>
      <c r="G91">
        <v>10.298999999999999</v>
      </c>
    </row>
    <row r="92" spans="1:7" x14ac:dyDescent="0.15">
      <c r="A92" s="141" t="s">
        <v>121</v>
      </c>
      <c r="B92">
        <v>1115.3520000000001</v>
      </c>
      <c r="C92">
        <v>33.19</v>
      </c>
      <c r="D92">
        <v>37.696599999999997</v>
      </c>
      <c r="E92">
        <v>39.2089</v>
      </c>
      <c r="F92">
        <v>25187.357</v>
      </c>
      <c r="G92">
        <v>9.1440000000000001</v>
      </c>
    </row>
    <row r="93" spans="1:7" x14ac:dyDescent="0.15">
      <c r="A93" s="141" t="s">
        <v>122</v>
      </c>
      <c r="B93">
        <v>8681.732</v>
      </c>
      <c r="C93">
        <v>38.9527</v>
      </c>
      <c r="D93">
        <v>44.057099999999998</v>
      </c>
      <c r="E93">
        <v>45.224200000000003</v>
      </c>
      <c r="F93">
        <v>140585.25399999999</v>
      </c>
      <c r="G93">
        <v>15.052</v>
      </c>
    </row>
    <row r="94" spans="1:7" x14ac:dyDescent="0.15">
      <c r="A94" s="141" t="s">
        <v>123</v>
      </c>
      <c r="B94">
        <v>4333.5519999999997</v>
      </c>
      <c r="C94">
        <v>37.9238</v>
      </c>
      <c r="D94">
        <v>43.206899999999997</v>
      </c>
      <c r="E94">
        <v>43.7624</v>
      </c>
      <c r="F94">
        <v>86237.284</v>
      </c>
      <c r="G94">
        <v>13.066000000000001</v>
      </c>
    </row>
    <row r="95" spans="1:7" x14ac:dyDescent="0.15">
      <c r="A95" s="141" t="s">
        <v>124</v>
      </c>
      <c r="B95">
        <v>2209.8200000000002</v>
      </c>
      <c r="C95">
        <v>36.4313</v>
      </c>
      <c r="D95">
        <v>42.2012</v>
      </c>
      <c r="E95">
        <v>42.212299999999999</v>
      </c>
      <c r="F95">
        <v>48061.915000000001</v>
      </c>
      <c r="G95">
        <v>11.381</v>
      </c>
    </row>
    <row r="96" spans="1:7" x14ac:dyDescent="0.15">
      <c r="A96" s="141" t="s">
        <v>125</v>
      </c>
      <c r="B96">
        <v>1085.9480000000001</v>
      </c>
      <c r="C96">
        <v>34.369900000000001</v>
      </c>
      <c r="D96">
        <v>40.806199999999997</v>
      </c>
      <c r="E96">
        <v>40.295699999999997</v>
      </c>
      <c r="F96">
        <v>25569.367999999999</v>
      </c>
      <c r="G96">
        <v>9.74</v>
      </c>
    </row>
    <row r="97" spans="1:7" x14ac:dyDescent="0.15">
      <c r="A97" s="141" t="s">
        <v>238</v>
      </c>
      <c r="B97">
        <v>6800.92</v>
      </c>
      <c r="C97">
        <v>39.707900000000002</v>
      </c>
      <c r="D97">
        <v>43.904499999999999</v>
      </c>
      <c r="E97">
        <v>45.047899999999998</v>
      </c>
      <c r="F97">
        <v>127670.23</v>
      </c>
      <c r="G97">
        <v>15.195</v>
      </c>
    </row>
    <row r="98" spans="1:7" x14ac:dyDescent="0.15">
      <c r="A98" s="141" t="s">
        <v>239</v>
      </c>
      <c r="B98">
        <v>3230.7</v>
      </c>
      <c r="C98">
        <v>38.563000000000002</v>
      </c>
      <c r="D98">
        <v>43.1477</v>
      </c>
      <c r="E98">
        <v>44.365200000000002</v>
      </c>
      <c r="F98">
        <v>75861.043999999994</v>
      </c>
      <c r="G98">
        <v>13.015000000000001</v>
      </c>
    </row>
    <row r="99" spans="1:7" x14ac:dyDescent="0.15">
      <c r="A99" s="141" t="s">
        <v>240</v>
      </c>
      <c r="B99">
        <v>1555.912</v>
      </c>
      <c r="C99">
        <v>36.895099999999999</v>
      </c>
      <c r="D99">
        <v>42.293199999999999</v>
      </c>
      <c r="E99">
        <v>43.479199999999999</v>
      </c>
      <c r="F99">
        <v>41067.341999999997</v>
      </c>
      <c r="G99">
        <v>11.558999999999999</v>
      </c>
    </row>
    <row r="100" spans="1:7" x14ac:dyDescent="0.15">
      <c r="A100" s="141" t="s">
        <v>241</v>
      </c>
      <c r="B100">
        <v>702.90800000000002</v>
      </c>
      <c r="C100">
        <v>34.664200000000001</v>
      </c>
      <c r="D100">
        <v>40.995899999999999</v>
      </c>
      <c r="E100">
        <v>42.131700000000002</v>
      </c>
      <c r="F100">
        <v>20884.992999999999</v>
      </c>
      <c r="G100">
        <v>10.273</v>
      </c>
    </row>
    <row r="101" spans="1:7" x14ac:dyDescent="0.15">
      <c r="A101" s="141" t="s">
        <v>242</v>
      </c>
      <c r="B101">
        <v>5630.64</v>
      </c>
      <c r="C101">
        <v>44.932899999999997</v>
      </c>
      <c r="D101">
        <v>47.741199999999999</v>
      </c>
      <c r="E101">
        <v>48.540799999999997</v>
      </c>
      <c r="F101">
        <v>96874.032000000007</v>
      </c>
      <c r="G101">
        <v>15.03</v>
      </c>
    </row>
    <row r="102" spans="1:7" x14ac:dyDescent="0.15">
      <c r="A102" s="141" t="s">
        <v>243</v>
      </c>
      <c r="B102">
        <v>3453.0520000000001</v>
      </c>
      <c r="C102">
        <v>42.690100000000001</v>
      </c>
      <c r="D102">
        <v>46.180599999999998</v>
      </c>
      <c r="E102">
        <v>46.751600000000003</v>
      </c>
      <c r="F102">
        <v>66425.034</v>
      </c>
      <c r="G102">
        <v>13.865</v>
      </c>
    </row>
    <row r="103" spans="1:7" x14ac:dyDescent="0.15">
      <c r="A103" s="141" t="s">
        <v>244</v>
      </c>
      <c r="B103">
        <v>1931.944</v>
      </c>
      <c r="C103">
        <v>39.8782</v>
      </c>
      <c r="D103">
        <v>44.638800000000003</v>
      </c>
      <c r="E103">
        <v>44.979100000000003</v>
      </c>
      <c r="F103">
        <v>41385.440999999999</v>
      </c>
      <c r="G103">
        <v>12.087999999999999</v>
      </c>
    </row>
    <row r="104" spans="1:7" x14ac:dyDescent="0.15">
      <c r="A104" s="141" t="s">
        <v>245</v>
      </c>
      <c r="B104">
        <v>985.77200000000005</v>
      </c>
      <c r="C104">
        <v>36.700600000000001</v>
      </c>
      <c r="D104">
        <v>42.816800000000001</v>
      </c>
      <c r="E104">
        <v>42.8962</v>
      </c>
      <c r="F104">
        <v>23169.525000000001</v>
      </c>
      <c r="G104">
        <v>10.326000000000001</v>
      </c>
    </row>
    <row r="105" spans="1:7" x14ac:dyDescent="0.15">
      <c r="A105" s="141" t="s">
        <v>126</v>
      </c>
      <c r="B105">
        <v>4138.4319999999998</v>
      </c>
      <c r="C105">
        <v>38.619799999999998</v>
      </c>
      <c r="D105">
        <v>46.238199999999999</v>
      </c>
      <c r="E105">
        <v>46.437199999999997</v>
      </c>
      <c r="F105">
        <v>62257.900999999998</v>
      </c>
      <c r="G105">
        <v>6.4640000000000004</v>
      </c>
    </row>
    <row r="106" spans="1:7" x14ac:dyDescent="0.15">
      <c r="A106" s="141" t="s">
        <v>127</v>
      </c>
      <c r="B106">
        <v>1802.72</v>
      </c>
      <c r="C106">
        <v>37.117199999999997</v>
      </c>
      <c r="D106">
        <v>45.167000000000002</v>
      </c>
      <c r="E106">
        <v>45.365200000000002</v>
      </c>
      <c r="F106">
        <v>33192.322999999997</v>
      </c>
      <c r="G106">
        <v>5.18</v>
      </c>
    </row>
    <row r="107" spans="1:7" x14ac:dyDescent="0.15">
      <c r="A107" s="141" t="s">
        <v>128</v>
      </c>
      <c r="B107">
        <v>848.88800000000003</v>
      </c>
      <c r="C107">
        <v>35.169400000000003</v>
      </c>
      <c r="D107">
        <v>43.891199999999998</v>
      </c>
      <c r="E107">
        <v>44.170400000000001</v>
      </c>
      <c r="F107">
        <v>18329.906999999999</v>
      </c>
      <c r="G107">
        <v>4.45</v>
      </c>
    </row>
    <row r="108" spans="1:7" x14ac:dyDescent="0.15">
      <c r="A108" s="141" t="s">
        <v>129</v>
      </c>
      <c r="B108">
        <v>402.17200000000003</v>
      </c>
      <c r="C108">
        <v>32.494399999999999</v>
      </c>
      <c r="D108">
        <v>42.176699999999997</v>
      </c>
      <c r="E108">
        <v>42.419600000000003</v>
      </c>
      <c r="F108">
        <v>9405.93</v>
      </c>
      <c r="G108">
        <v>3.847</v>
      </c>
    </row>
    <row r="109" spans="1:7" x14ac:dyDescent="0.15">
      <c r="A109" s="141" t="s">
        <v>130</v>
      </c>
      <c r="B109">
        <v>2461.5079999999998</v>
      </c>
      <c r="C109">
        <v>40.6524</v>
      </c>
      <c r="D109">
        <v>46.1462</v>
      </c>
      <c r="E109">
        <v>47.343200000000003</v>
      </c>
      <c r="F109">
        <v>49315.383000000002</v>
      </c>
      <c r="G109">
        <v>6.4139999999999997</v>
      </c>
    </row>
    <row r="110" spans="1:7" x14ac:dyDescent="0.15">
      <c r="A110" s="141" t="s">
        <v>131</v>
      </c>
      <c r="B110">
        <v>1112.212</v>
      </c>
      <c r="C110">
        <v>39.526699999999998</v>
      </c>
      <c r="D110">
        <v>45.580599999999997</v>
      </c>
      <c r="E110">
        <v>46.042200000000001</v>
      </c>
      <c r="F110">
        <v>27249.044000000002</v>
      </c>
      <c r="G110">
        <v>5.54</v>
      </c>
    </row>
    <row r="111" spans="1:7" x14ac:dyDescent="0.15">
      <c r="A111" s="141" t="s">
        <v>132</v>
      </c>
      <c r="B111">
        <v>525.67600000000004</v>
      </c>
      <c r="C111">
        <v>37.983499999999999</v>
      </c>
      <c r="D111">
        <v>44.839799999999997</v>
      </c>
      <c r="E111">
        <v>44.5533</v>
      </c>
      <c r="F111">
        <v>14042.074000000001</v>
      </c>
      <c r="G111">
        <v>4.7220000000000004</v>
      </c>
    </row>
    <row r="112" spans="1:7" x14ac:dyDescent="0.15">
      <c r="A112" s="141" t="s">
        <v>133</v>
      </c>
      <c r="B112">
        <v>238.37200000000001</v>
      </c>
      <c r="C112">
        <v>35.9026</v>
      </c>
      <c r="D112">
        <v>43.616100000000003</v>
      </c>
      <c r="E112">
        <v>42.4711</v>
      </c>
      <c r="F112">
        <v>6858.2420000000002</v>
      </c>
      <c r="G112">
        <v>4.0289999999999999</v>
      </c>
    </row>
    <row r="113" spans="1:7" x14ac:dyDescent="0.15">
      <c r="A113" s="141" t="s">
        <v>134</v>
      </c>
      <c r="B113">
        <v>942.22799999999995</v>
      </c>
      <c r="C113">
        <v>43.558599999999998</v>
      </c>
      <c r="D113">
        <v>47.289900000000003</v>
      </c>
      <c r="E113">
        <v>48.281300000000002</v>
      </c>
      <c r="F113">
        <v>21496.638999999999</v>
      </c>
      <c r="G113">
        <v>4.6749999999999998</v>
      </c>
    </row>
    <row r="114" spans="1:7" x14ac:dyDescent="0.15">
      <c r="A114" s="141" t="s">
        <v>135</v>
      </c>
      <c r="B114">
        <v>516.41600000000005</v>
      </c>
      <c r="C114">
        <v>42.304600000000001</v>
      </c>
      <c r="D114">
        <v>46.505899999999997</v>
      </c>
      <c r="E114">
        <v>47.3</v>
      </c>
      <c r="F114">
        <v>12244.812</v>
      </c>
      <c r="G114">
        <v>4.3339999999999996</v>
      </c>
    </row>
    <row r="115" spans="1:7" x14ac:dyDescent="0.15">
      <c r="A115" s="141" t="s">
        <v>136</v>
      </c>
      <c r="B115">
        <v>295.61200000000002</v>
      </c>
      <c r="C115">
        <v>40.546199999999999</v>
      </c>
      <c r="D115">
        <v>45.524500000000003</v>
      </c>
      <c r="E115">
        <v>46.107900000000001</v>
      </c>
      <c r="F115">
        <v>6916.0249999999996</v>
      </c>
      <c r="G115">
        <v>4.3639999999999999</v>
      </c>
    </row>
    <row r="116" spans="1:7" x14ac:dyDescent="0.15">
      <c r="A116" s="141" t="s">
        <v>137</v>
      </c>
      <c r="B116">
        <v>165.3</v>
      </c>
      <c r="C116">
        <v>38.006300000000003</v>
      </c>
      <c r="D116">
        <v>43.829700000000003</v>
      </c>
      <c r="E116">
        <v>44.186300000000003</v>
      </c>
      <c r="F116">
        <v>4097.2079999999996</v>
      </c>
      <c r="G116">
        <v>4.2160000000000002</v>
      </c>
    </row>
    <row r="117" spans="1:7" x14ac:dyDescent="0.15">
      <c r="A117" s="141" t="s">
        <v>138</v>
      </c>
      <c r="B117">
        <v>1314.42</v>
      </c>
      <c r="C117">
        <v>42.926600000000001</v>
      </c>
      <c r="D117">
        <v>49.058700000000002</v>
      </c>
      <c r="E117">
        <v>48.747799999999998</v>
      </c>
      <c r="F117">
        <v>24796.679</v>
      </c>
      <c r="G117">
        <v>4.6790000000000003</v>
      </c>
    </row>
    <row r="118" spans="1:7" x14ac:dyDescent="0.15">
      <c r="A118" s="141" t="s">
        <v>139</v>
      </c>
      <c r="B118">
        <v>711.84799999999996</v>
      </c>
      <c r="C118">
        <v>41.689300000000003</v>
      </c>
      <c r="D118">
        <v>48.258400000000002</v>
      </c>
      <c r="E118">
        <v>47.74</v>
      </c>
      <c r="F118">
        <v>14464.296</v>
      </c>
      <c r="G118">
        <v>4.3079999999999998</v>
      </c>
    </row>
    <row r="119" spans="1:7" x14ac:dyDescent="0.15">
      <c r="A119" s="141" t="s">
        <v>140</v>
      </c>
      <c r="B119">
        <v>404.79199999999997</v>
      </c>
      <c r="C119">
        <v>39.8538</v>
      </c>
      <c r="D119">
        <v>47.148899999999998</v>
      </c>
      <c r="E119">
        <v>46.288499999999999</v>
      </c>
      <c r="F119">
        <v>8338.6740000000009</v>
      </c>
      <c r="G119">
        <v>4.0609999999999999</v>
      </c>
    </row>
    <row r="120" spans="1:7" x14ac:dyDescent="0.15">
      <c r="A120" s="141" t="s">
        <v>141</v>
      </c>
      <c r="B120">
        <v>225.93199999999999</v>
      </c>
      <c r="C120">
        <v>37.163400000000003</v>
      </c>
      <c r="D120">
        <v>45.773499999999999</v>
      </c>
      <c r="E120">
        <v>44.056100000000001</v>
      </c>
      <c r="F120">
        <v>4773.866</v>
      </c>
      <c r="G120">
        <v>3.9740000000000002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16800.727999999999</v>
      </c>
      <c r="C145">
        <v>40.163800000000002</v>
      </c>
      <c r="D145">
        <v>48.757199999999997</v>
      </c>
      <c r="E145">
        <v>46.677900000000001</v>
      </c>
      <c r="F145">
        <v>229756.56200000001</v>
      </c>
      <c r="G145">
        <v>30.146999999999998</v>
      </c>
    </row>
    <row r="146" spans="1:7" x14ac:dyDescent="0.15">
      <c r="A146" s="141" t="s">
        <v>255</v>
      </c>
      <c r="B146">
        <v>8418.1440000000002</v>
      </c>
      <c r="C146">
        <v>39.5563</v>
      </c>
      <c r="D146">
        <v>47.9377</v>
      </c>
      <c r="E146">
        <v>45.532499999999999</v>
      </c>
      <c r="F146">
        <v>131292.516</v>
      </c>
      <c r="G146">
        <v>27.898</v>
      </c>
    </row>
    <row r="147" spans="1:7" x14ac:dyDescent="0.15">
      <c r="A147" s="141" t="s">
        <v>256</v>
      </c>
      <c r="B147">
        <v>4599.76</v>
      </c>
      <c r="C147">
        <v>38.561700000000002</v>
      </c>
      <c r="D147">
        <v>46.8902</v>
      </c>
      <c r="E147">
        <v>44.153399999999998</v>
      </c>
      <c r="F147">
        <v>69134.445000000007</v>
      </c>
      <c r="G147">
        <v>23.032</v>
      </c>
    </row>
    <row r="148" spans="1:7" x14ac:dyDescent="0.15">
      <c r="A148" s="141" t="s">
        <v>257</v>
      </c>
      <c r="B148">
        <v>2495.7759999999998</v>
      </c>
      <c r="C148">
        <v>37.010899999999999</v>
      </c>
      <c r="D148">
        <v>45.453499999999998</v>
      </c>
      <c r="E148">
        <v>42.488500000000002</v>
      </c>
      <c r="F148">
        <v>35502.675999999999</v>
      </c>
      <c r="G148">
        <v>19.975000000000001</v>
      </c>
    </row>
    <row r="149" spans="1:7" x14ac:dyDescent="0.15">
      <c r="A149" s="141" t="s">
        <v>258</v>
      </c>
      <c r="B149">
        <v>91793.728000000003</v>
      </c>
      <c r="C149">
        <v>41.755600000000001</v>
      </c>
      <c r="D149">
        <v>36.713799999999999</v>
      </c>
      <c r="E149">
        <v>37.714500000000001</v>
      </c>
      <c r="F149">
        <v>402711.53100000002</v>
      </c>
      <c r="G149">
        <v>33.384</v>
      </c>
    </row>
    <row r="150" spans="1:7" x14ac:dyDescent="0.15">
      <c r="A150" s="141" t="s">
        <v>259</v>
      </c>
      <c r="B150">
        <v>46961.735999999997</v>
      </c>
      <c r="C150">
        <v>38.959899999999998</v>
      </c>
      <c r="D150">
        <v>34.424399999999999</v>
      </c>
      <c r="E150">
        <v>35.789900000000003</v>
      </c>
      <c r="F150">
        <v>277529.09399999998</v>
      </c>
      <c r="G150">
        <v>28.081</v>
      </c>
    </row>
    <row r="151" spans="1:7" x14ac:dyDescent="0.15">
      <c r="A151" s="141" t="s">
        <v>260</v>
      </c>
      <c r="B151">
        <v>21795.151999999998</v>
      </c>
      <c r="C151">
        <v>35.851900000000001</v>
      </c>
      <c r="D151">
        <v>32.499899999999997</v>
      </c>
      <c r="E151">
        <v>34.174999999999997</v>
      </c>
      <c r="F151">
        <v>182894.18799999999</v>
      </c>
      <c r="G151">
        <v>24.035</v>
      </c>
    </row>
    <row r="152" spans="1:7" x14ac:dyDescent="0.15">
      <c r="A152" s="141" t="s">
        <v>261</v>
      </c>
      <c r="B152">
        <v>9183.6720000000005</v>
      </c>
      <c r="C152">
        <v>32.822299999999998</v>
      </c>
      <c r="D152">
        <v>30.793500000000002</v>
      </c>
      <c r="E152">
        <v>32.807299999999998</v>
      </c>
      <c r="F152">
        <v>103319.289</v>
      </c>
      <c r="G152">
        <v>20.585000000000001</v>
      </c>
    </row>
    <row r="153" spans="1:7" x14ac:dyDescent="0.15">
      <c r="A153" s="141" t="s">
        <v>262</v>
      </c>
      <c r="B153">
        <v>46670.584000000003</v>
      </c>
      <c r="C153">
        <v>38.933199999999999</v>
      </c>
      <c r="D153">
        <v>41.298999999999999</v>
      </c>
      <c r="E153">
        <v>41.524799999999999</v>
      </c>
      <c r="F153">
        <v>220292.65599999999</v>
      </c>
      <c r="G153">
        <v>18.834</v>
      </c>
    </row>
    <row r="154" spans="1:7" x14ac:dyDescent="0.15">
      <c r="A154" s="141" t="s">
        <v>263</v>
      </c>
      <c r="B154">
        <v>22977.288</v>
      </c>
      <c r="C154">
        <v>37.563800000000001</v>
      </c>
      <c r="D154">
        <v>38.728499999999997</v>
      </c>
      <c r="E154">
        <v>40.136200000000002</v>
      </c>
      <c r="F154">
        <v>134547.70300000001</v>
      </c>
      <c r="G154">
        <v>15.339</v>
      </c>
    </row>
    <row r="155" spans="1:7" x14ac:dyDescent="0.15">
      <c r="A155" s="141" t="s">
        <v>264</v>
      </c>
      <c r="B155">
        <v>11945.72</v>
      </c>
      <c r="C155">
        <v>36.014400000000002</v>
      </c>
      <c r="D155">
        <v>36.494100000000003</v>
      </c>
      <c r="E155">
        <v>38.707500000000003</v>
      </c>
      <c r="F155">
        <v>84300.741999999998</v>
      </c>
      <c r="G155">
        <v>12.946999999999999</v>
      </c>
    </row>
    <row r="156" spans="1:7" x14ac:dyDescent="0.15">
      <c r="A156" s="141" t="s">
        <v>265</v>
      </c>
      <c r="B156">
        <v>5886.8720000000003</v>
      </c>
      <c r="C156">
        <v>34.104599999999998</v>
      </c>
      <c r="D156">
        <v>34.057299999999998</v>
      </c>
      <c r="E156">
        <v>36.954599999999999</v>
      </c>
      <c r="F156">
        <v>50096.108999999997</v>
      </c>
      <c r="G156">
        <v>11.718999999999999</v>
      </c>
    </row>
    <row r="157" spans="1:7" x14ac:dyDescent="0.15">
      <c r="A157" s="141" t="s">
        <v>266</v>
      </c>
      <c r="B157">
        <v>24349.439999999999</v>
      </c>
      <c r="C157">
        <v>37.537700000000001</v>
      </c>
      <c r="D157">
        <v>45.0259</v>
      </c>
      <c r="E157">
        <v>42.779000000000003</v>
      </c>
      <c r="F157">
        <v>314787.81199999998</v>
      </c>
      <c r="G157">
        <v>30.283999999999999</v>
      </c>
    </row>
    <row r="158" spans="1:7" x14ac:dyDescent="0.15">
      <c r="A158" s="141" t="s">
        <v>267</v>
      </c>
      <c r="B158">
        <v>10282.208000000001</v>
      </c>
      <c r="C158">
        <v>36.9009</v>
      </c>
      <c r="D158">
        <v>44.352600000000002</v>
      </c>
      <c r="E158">
        <v>42.046399999999998</v>
      </c>
      <c r="F158">
        <v>172358.891</v>
      </c>
      <c r="G158">
        <v>25.085000000000001</v>
      </c>
    </row>
    <row r="159" spans="1:7" x14ac:dyDescent="0.15">
      <c r="A159" s="141" t="s">
        <v>268</v>
      </c>
      <c r="B159">
        <v>5160.8559999999998</v>
      </c>
      <c r="C159">
        <v>35.883699999999997</v>
      </c>
      <c r="D159">
        <v>43.427100000000003</v>
      </c>
      <c r="E159">
        <v>41.083500000000001</v>
      </c>
      <c r="F159">
        <v>94259.781000000003</v>
      </c>
      <c r="G159">
        <v>21.087</v>
      </c>
    </row>
    <row r="160" spans="1:7" x14ac:dyDescent="0.15">
      <c r="A160" s="141" t="s">
        <v>269</v>
      </c>
      <c r="B160">
        <v>2569.96</v>
      </c>
      <c r="C160">
        <v>34.305500000000002</v>
      </c>
      <c r="D160">
        <v>42.134399999999999</v>
      </c>
      <c r="E160">
        <v>39.943300000000001</v>
      </c>
      <c r="F160">
        <v>47258.887000000002</v>
      </c>
      <c r="G160">
        <v>16.516999999999999</v>
      </c>
    </row>
    <row r="161" spans="1:7" x14ac:dyDescent="0.15">
      <c r="A161" s="141" t="s">
        <v>142</v>
      </c>
      <c r="B161">
        <v>8039.9759999999997</v>
      </c>
      <c r="C161">
        <v>38.011200000000002</v>
      </c>
      <c r="D161">
        <v>39.738300000000002</v>
      </c>
      <c r="E161">
        <v>42.842700000000001</v>
      </c>
      <c r="F161">
        <v>355752</v>
      </c>
      <c r="G161">
        <v>27.469000000000001</v>
      </c>
    </row>
    <row r="162" spans="1:7" x14ac:dyDescent="0.15">
      <c r="A162" s="141" t="s">
        <v>143</v>
      </c>
      <c r="B162">
        <v>3824.2303999999999</v>
      </c>
      <c r="C162">
        <v>36.673099999999998</v>
      </c>
      <c r="D162">
        <v>39.110999999999997</v>
      </c>
      <c r="E162">
        <v>41.689399999999999</v>
      </c>
      <c r="F162">
        <v>222317.71900000001</v>
      </c>
      <c r="G162">
        <v>22.550999999999998</v>
      </c>
    </row>
    <row r="163" spans="1:7" x14ac:dyDescent="0.15">
      <c r="A163" s="141" t="s">
        <v>144</v>
      </c>
      <c r="B163">
        <v>1876.3456000000001</v>
      </c>
      <c r="C163">
        <v>34.838299999999997</v>
      </c>
      <c r="D163">
        <v>38.301000000000002</v>
      </c>
      <c r="E163">
        <v>40.186199999999999</v>
      </c>
      <c r="F163">
        <v>136231.016</v>
      </c>
      <c r="G163">
        <v>18.277999999999999</v>
      </c>
    </row>
    <row r="164" spans="1:7" x14ac:dyDescent="0.15">
      <c r="A164" s="141" t="s">
        <v>145</v>
      </c>
      <c r="B164">
        <v>898.83360000000005</v>
      </c>
      <c r="C164">
        <v>32.534999999999997</v>
      </c>
      <c r="D164">
        <v>37.257899999999999</v>
      </c>
      <c r="E164">
        <v>38.508000000000003</v>
      </c>
      <c r="F164">
        <v>77306.422000000006</v>
      </c>
      <c r="G164">
        <v>14.599</v>
      </c>
    </row>
    <row r="165" spans="1:7" x14ac:dyDescent="0.15">
      <c r="A165" s="141" t="s">
        <v>146</v>
      </c>
      <c r="B165">
        <v>9378.9567999999999</v>
      </c>
      <c r="C165">
        <v>38.738999999999997</v>
      </c>
      <c r="D165">
        <v>43.691099999999999</v>
      </c>
      <c r="E165">
        <v>44.6389</v>
      </c>
      <c r="F165">
        <v>389342</v>
      </c>
      <c r="G165">
        <v>33.520000000000003</v>
      </c>
    </row>
    <row r="166" spans="1:7" x14ac:dyDescent="0.15">
      <c r="A166" s="141" t="s">
        <v>147</v>
      </c>
      <c r="B166">
        <v>4792.84</v>
      </c>
      <c r="C166">
        <v>37.513399999999997</v>
      </c>
      <c r="D166">
        <v>42.715699999999998</v>
      </c>
      <c r="E166">
        <v>43.136000000000003</v>
      </c>
      <c r="F166">
        <v>245365.56200000001</v>
      </c>
      <c r="G166">
        <v>29.132000000000001</v>
      </c>
    </row>
    <row r="167" spans="1:7" x14ac:dyDescent="0.15">
      <c r="A167" s="141" t="s">
        <v>148</v>
      </c>
      <c r="B167">
        <v>2441.6608000000001</v>
      </c>
      <c r="C167">
        <v>35.833399999999997</v>
      </c>
      <c r="D167">
        <v>41.480400000000003</v>
      </c>
      <c r="E167">
        <v>41.3949</v>
      </c>
      <c r="F167">
        <v>145108.609</v>
      </c>
      <c r="G167">
        <v>23.88</v>
      </c>
    </row>
    <row r="168" spans="1:7" x14ac:dyDescent="0.15">
      <c r="A168" s="141" t="s">
        <v>149</v>
      </c>
      <c r="B168">
        <v>1215.0192</v>
      </c>
      <c r="C168">
        <v>33.751199999999997</v>
      </c>
      <c r="D168">
        <v>40.075000000000003</v>
      </c>
      <c r="E168">
        <v>39.457700000000003</v>
      </c>
      <c r="F168">
        <v>80965.906000000003</v>
      </c>
      <c r="G168">
        <v>19.882999999999999</v>
      </c>
    </row>
    <row r="169" spans="1:7" x14ac:dyDescent="0.15">
      <c r="A169" s="141" t="s">
        <v>270</v>
      </c>
      <c r="B169">
        <v>6406.8015999999998</v>
      </c>
      <c r="C169">
        <v>39.8367</v>
      </c>
      <c r="D169">
        <v>43.800800000000002</v>
      </c>
      <c r="E169">
        <v>44.497999999999998</v>
      </c>
      <c r="F169">
        <v>354205.40600000002</v>
      </c>
      <c r="G169">
        <v>34.718000000000004</v>
      </c>
    </row>
    <row r="170" spans="1:7" x14ac:dyDescent="0.15">
      <c r="A170" s="141" t="s">
        <v>271</v>
      </c>
      <c r="B170">
        <v>3059.96</v>
      </c>
      <c r="C170">
        <v>38.539200000000001</v>
      </c>
      <c r="D170">
        <v>42.923999999999999</v>
      </c>
      <c r="E170">
        <v>43.644599999999997</v>
      </c>
      <c r="F170">
        <v>207189.93799999999</v>
      </c>
      <c r="G170">
        <v>27.558</v>
      </c>
    </row>
    <row r="171" spans="1:7" x14ac:dyDescent="0.15">
      <c r="A171" s="141" t="s">
        <v>272</v>
      </c>
      <c r="B171">
        <v>1476.2672</v>
      </c>
      <c r="C171">
        <v>36.7239</v>
      </c>
      <c r="D171">
        <v>41.8048</v>
      </c>
      <c r="E171">
        <v>42.381100000000004</v>
      </c>
      <c r="F171">
        <v>115936.117</v>
      </c>
      <c r="G171">
        <v>22.943999999999999</v>
      </c>
    </row>
    <row r="172" spans="1:7" x14ac:dyDescent="0.15">
      <c r="A172" s="141" t="s">
        <v>273</v>
      </c>
      <c r="B172">
        <v>694.14559999999994</v>
      </c>
      <c r="C172">
        <v>34.430700000000002</v>
      </c>
      <c r="D172">
        <v>40.651000000000003</v>
      </c>
      <c r="E172">
        <v>40.988500000000002</v>
      </c>
      <c r="F172">
        <v>61882.296999999999</v>
      </c>
      <c r="G172">
        <v>18.803000000000001</v>
      </c>
    </row>
    <row r="173" spans="1:7" x14ac:dyDescent="0.15">
      <c r="A173" s="141" t="s">
        <v>274</v>
      </c>
      <c r="B173">
        <v>6793.9920000000002</v>
      </c>
      <c r="C173">
        <v>43.3842</v>
      </c>
      <c r="D173">
        <v>46.746200000000002</v>
      </c>
      <c r="E173">
        <v>47.341999999999999</v>
      </c>
      <c r="F173">
        <v>294661.03100000002</v>
      </c>
      <c r="G173">
        <v>35.531999999999996</v>
      </c>
    </row>
    <row r="174" spans="1:7" x14ac:dyDescent="0.15">
      <c r="A174" s="141" t="s">
        <v>275</v>
      </c>
      <c r="B174">
        <v>4147.8559999999998</v>
      </c>
      <c r="C174">
        <v>41.066099999999999</v>
      </c>
      <c r="D174">
        <v>45.288400000000003</v>
      </c>
      <c r="E174">
        <v>45.682499999999997</v>
      </c>
      <c r="F174">
        <v>207449.81200000001</v>
      </c>
      <c r="G174">
        <v>31.486999999999998</v>
      </c>
    </row>
    <row r="175" spans="1:7" x14ac:dyDescent="0.15">
      <c r="A175" s="141" t="s">
        <v>276</v>
      </c>
      <c r="B175">
        <v>2298.3247999999999</v>
      </c>
      <c r="C175">
        <v>38.274700000000003</v>
      </c>
      <c r="D175">
        <v>43.639299999999999</v>
      </c>
      <c r="E175">
        <v>43.821800000000003</v>
      </c>
      <c r="F175">
        <v>131817.42199999999</v>
      </c>
      <c r="G175">
        <v>26.427</v>
      </c>
    </row>
    <row r="176" spans="1:7" x14ac:dyDescent="0.15">
      <c r="A176" s="141" t="s">
        <v>277</v>
      </c>
      <c r="B176">
        <v>1199.6864</v>
      </c>
      <c r="C176">
        <v>35.324399999999997</v>
      </c>
      <c r="D176">
        <v>42.023000000000003</v>
      </c>
      <c r="E176">
        <v>41.935400000000001</v>
      </c>
      <c r="F176">
        <v>76698.695000000007</v>
      </c>
      <c r="G176">
        <v>21.387</v>
      </c>
    </row>
    <row r="177" spans="1:7" x14ac:dyDescent="0.15">
      <c r="A177" s="141" t="s">
        <v>150</v>
      </c>
      <c r="B177" s="71">
        <v>4754.4639999999999</v>
      </c>
      <c r="C177" s="71">
        <v>38.467199999999998</v>
      </c>
      <c r="D177" s="71">
        <v>45.532400000000003</v>
      </c>
      <c r="E177" s="71">
        <v>45.736699999999999</v>
      </c>
      <c r="F177" s="71">
        <v>203766.75</v>
      </c>
      <c r="G177" s="71">
        <v>15.43</v>
      </c>
    </row>
    <row r="178" spans="1:7" x14ac:dyDescent="0.15">
      <c r="A178" s="141" t="s">
        <v>151</v>
      </c>
      <c r="B178" s="71">
        <v>1665.4464</v>
      </c>
      <c r="C178" s="71">
        <v>36.471600000000002</v>
      </c>
      <c r="D178" s="71">
        <v>44.544600000000003</v>
      </c>
      <c r="E178" s="71">
        <v>44.715699999999998</v>
      </c>
      <c r="F178" s="71">
        <v>103608.18</v>
      </c>
      <c r="G178" s="71">
        <v>10.654</v>
      </c>
    </row>
    <row r="179" spans="1:7" x14ac:dyDescent="0.15">
      <c r="A179" s="141" t="s">
        <v>152</v>
      </c>
      <c r="B179" s="71">
        <v>657.73119999999994</v>
      </c>
      <c r="C179" s="71">
        <v>34.0182</v>
      </c>
      <c r="D179" s="71">
        <v>43.2057</v>
      </c>
      <c r="E179" s="71">
        <v>43.359200000000001</v>
      </c>
      <c r="F179" s="71">
        <v>58884.891000000003</v>
      </c>
      <c r="G179" s="71">
        <v>8.4039999999999999</v>
      </c>
    </row>
    <row r="180" spans="1:7" x14ac:dyDescent="0.15">
      <c r="A180" s="141" t="s">
        <v>153</v>
      </c>
      <c r="B180" s="71">
        <v>274.48480000000001</v>
      </c>
      <c r="C180" s="71">
        <v>30.979800000000001</v>
      </c>
      <c r="D180" s="71">
        <v>41.982500000000002</v>
      </c>
      <c r="E180" s="71">
        <v>41.9895</v>
      </c>
      <c r="F180" s="71">
        <v>33943.163999999997</v>
      </c>
      <c r="G180" s="71">
        <v>6.681</v>
      </c>
    </row>
    <row r="181" spans="1:7" x14ac:dyDescent="0.15">
      <c r="A181" s="141" t="s">
        <v>154</v>
      </c>
      <c r="B181" s="71">
        <v>3856.8928000000001</v>
      </c>
      <c r="C181" s="71">
        <v>40.522599999999997</v>
      </c>
      <c r="D181" s="71">
        <v>45.274700000000003</v>
      </c>
      <c r="E181" s="71">
        <v>46.122300000000003</v>
      </c>
      <c r="F181" s="71">
        <v>173502.57800000001</v>
      </c>
      <c r="G181" s="71">
        <v>16.489000000000001</v>
      </c>
    </row>
    <row r="182" spans="1:7" x14ac:dyDescent="0.15">
      <c r="A182" s="141" t="s">
        <v>155</v>
      </c>
      <c r="B182" s="71">
        <v>1752.1264000000001</v>
      </c>
      <c r="C182" s="71">
        <v>38.9011</v>
      </c>
      <c r="D182" s="71">
        <v>44.465800000000002</v>
      </c>
      <c r="E182" s="71">
        <v>44.581899999999997</v>
      </c>
      <c r="F182" s="71">
        <v>101839.32</v>
      </c>
      <c r="G182" s="71">
        <v>12.795999999999999</v>
      </c>
    </row>
    <row r="183" spans="1:7" x14ac:dyDescent="0.15">
      <c r="A183" s="141" t="s">
        <v>156</v>
      </c>
      <c r="B183" s="71">
        <v>838.48800000000006</v>
      </c>
      <c r="C183" s="71">
        <v>36.964300000000001</v>
      </c>
      <c r="D183" s="71">
        <v>43.447099999999999</v>
      </c>
      <c r="E183" s="71">
        <v>42.7881</v>
      </c>
      <c r="F183" s="71">
        <v>57598.605000000003</v>
      </c>
      <c r="G183" s="71">
        <v>10.502000000000001</v>
      </c>
    </row>
    <row r="184" spans="1:7" x14ac:dyDescent="0.15">
      <c r="A184" s="141" t="s">
        <v>157</v>
      </c>
      <c r="B184" s="71">
        <v>393.952</v>
      </c>
      <c r="C184" s="71">
        <v>34.745800000000003</v>
      </c>
      <c r="D184" s="71">
        <v>42.188699999999997</v>
      </c>
      <c r="E184" s="71">
        <v>40.735500000000002</v>
      </c>
      <c r="F184" s="71">
        <v>30166.134999999998</v>
      </c>
      <c r="G184" s="71">
        <v>8.4760000000000009</v>
      </c>
    </row>
    <row r="185" spans="1:7" x14ac:dyDescent="0.15">
      <c r="A185" s="141" t="s">
        <v>158</v>
      </c>
      <c r="B185" s="71">
        <v>958.8528</v>
      </c>
      <c r="C185" s="71">
        <v>42.993099999999998</v>
      </c>
      <c r="D185" s="71">
        <v>46.756900000000002</v>
      </c>
      <c r="E185" s="71">
        <v>47.552700000000002</v>
      </c>
      <c r="F185" s="71">
        <v>69353.312000000005</v>
      </c>
      <c r="G185" s="71">
        <v>8.8089999999999993</v>
      </c>
    </row>
    <row r="186" spans="1:7" x14ac:dyDescent="0.15">
      <c r="A186" s="141" t="s">
        <v>159</v>
      </c>
      <c r="B186" s="71">
        <v>490.2944</v>
      </c>
      <c r="C186" s="71">
        <v>41.365400000000001</v>
      </c>
      <c r="D186" s="71">
        <v>45.930100000000003</v>
      </c>
      <c r="E186" s="71">
        <v>46.506599999999999</v>
      </c>
      <c r="F186" s="71">
        <v>40887.379000000001</v>
      </c>
      <c r="G186" s="71">
        <v>6.7</v>
      </c>
    </row>
    <row r="187" spans="1:7" x14ac:dyDescent="0.15">
      <c r="A187" s="141" t="s">
        <v>160</v>
      </c>
      <c r="B187" s="71">
        <v>261.99680000000001</v>
      </c>
      <c r="C187" s="71">
        <v>39.198399999999999</v>
      </c>
      <c r="D187" s="71">
        <v>44.691200000000002</v>
      </c>
      <c r="E187" s="71">
        <v>45.051299999999998</v>
      </c>
      <c r="F187" s="71">
        <v>23309.241999999998</v>
      </c>
      <c r="G187" s="71">
        <v>5.6120000000000001</v>
      </c>
    </row>
    <row r="188" spans="1:7" x14ac:dyDescent="0.15">
      <c r="A188" s="141" t="s">
        <v>161</v>
      </c>
      <c r="B188" s="71">
        <v>142.51840000000001</v>
      </c>
      <c r="C188" s="71">
        <v>36.456200000000003</v>
      </c>
      <c r="D188" s="71">
        <v>43.139299999999999</v>
      </c>
      <c r="E188" s="71">
        <v>43.2943</v>
      </c>
      <c r="F188" s="71">
        <v>13757.093999999999</v>
      </c>
      <c r="G188" s="71">
        <v>5.4260000000000002</v>
      </c>
    </row>
    <row r="189" spans="1:7" x14ac:dyDescent="0.15">
      <c r="A189" s="141" t="s">
        <v>162</v>
      </c>
      <c r="B189" s="71">
        <v>1336.0496000000001</v>
      </c>
      <c r="C189" s="71">
        <v>42.7179</v>
      </c>
      <c r="D189" s="71">
        <v>48.601199999999999</v>
      </c>
      <c r="E189" s="71">
        <v>47.652000000000001</v>
      </c>
      <c r="F189" s="71">
        <v>76027.398000000001</v>
      </c>
      <c r="G189" s="71">
        <v>9.4659999999999993</v>
      </c>
    </row>
    <row r="190" spans="1:7" x14ac:dyDescent="0.15">
      <c r="A190" s="141" t="s">
        <v>163</v>
      </c>
      <c r="B190" s="71">
        <v>650.54079999999999</v>
      </c>
      <c r="C190" s="71">
        <v>41.020200000000003</v>
      </c>
      <c r="D190" s="71">
        <v>47.7761</v>
      </c>
      <c r="E190" s="71">
        <v>46.840800000000002</v>
      </c>
      <c r="F190" s="71">
        <v>44266.464999999997</v>
      </c>
      <c r="G190" s="71">
        <v>7.0350000000000001</v>
      </c>
    </row>
    <row r="191" spans="1:7" x14ac:dyDescent="0.15">
      <c r="A191" s="141" t="s">
        <v>164</v>
      </c>
      <c r="B191" s="71">
        <v>346.31200000000001</v>
      </c>
      <c r="C191" s="71">
        <v>38.745100000000001</v>
      </c>
      <c r="D191" s="71">
        <v>46.601199999999999</v>
      </c>
      <c r="E191" s="71">
        <v>45.368400000000001</v>
      </c>
      <c r="F191" s="71">
        <v>25582.936000000002</v>
      </c>
      <c r="G191" s="71">
        <v>6.226</v>
      </c>
    </row>
    <row r="192" spans="1:7" x14ac:dyDescent="0.15">
      <c r="A192" s="141" t="s">
        <v>165</v>
      </c>
      <c r="B192" s="71">
        <v>189.2</v>
      </c>
      <c r="C192" s="71">
        <v>35.730200000000004</v>
      </c>
      <c r="D192" s="71">
        <v>44.9694</v>
      </c>
      <c r="E192" s="71">
        <v>43.404000000000003</v>
      </c>
      <c r="F192" s="71">
        <v>15830.376</v>
      </c>
      <c r="G192" s="71">
        <v>5.8540000000000001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390</v>
      </c>
    </row>
    <row r="274" spans="1:1" x14ac:dyDescent="0.15">
      <c r="A274" s="141" t="s">
        <v>391</v>
      </c>
    </row>
    <row r="275" spans="1:1" x14ac:dyDescent="0.15">
      <c r="A275" s="141" t="s">
        <v>392</v>
      </c>
    </row>
    <row r="276" spans="1:1" x14ac:dyDescent="0.15">
      <c r="A276" s="141" t="s">
        <v>393</v>
      </c>
    </row>
    <row r="277" spans="1:1" x14ac:dyDescent="0.15">
      <c r="A277" s="141" t="s">
        <v>394</v>
      </c>
    </row>
    <row r="278" spans="1:1" x14ac:dyDescent="0.15">
      <c r="A278" s="141" t="s">
        <v>395</v>
      </c>
    </row>
    <row r="279" spans="1:1" x14ac:dyDescent="0.15">
      <c r="A279" s="141" t="s">
        <v>396</v>
      </c>
    </row>
    <row r="280" spans="1:1" x14ac:dyDescent="0.15">
      <c r="A280" s="141" t="s">
        <v>397</v>
      </c>
    </row>
    <row r="281" spans="1:1" x14ac:dyDescent="0.15">
      <c r="A281" s="141" t="s">
        <v>398</v>
      </c>
    </row>
    <row r="282" spans="1:1" x14ac:dyDescent="0.15">
      <c r="A282" s="141" t="s">
        <v>399</v>
      </c>
    </row>
    <row r="283" spans="1:1" x14ac:dyDescent="0.15">
      <c r="A283" s="141" t="s">
        <v>400</v>
      </c>
    </row>
    <row r="284" spans="1:1" x14ac:dyDescent="0.15">
      <c r="A284" s="141" t="s">
        <v>401</v>
      </c>
    </row>
    <row r="285" spans="1:1" x14ac:dyDescent="0.15">
      <c r="A285" s="141" t="s">
        <v>402</v>
      </c>
    </row>
    <row r="286" spans="1:1" x14ac:dyDescent="0.15">
      <c r="A286" s="141" t="s">
        <v>403</v>
      </c>
    </row>
    <row r="287" spans="1:1" x14ac:dyDescent="0.15">
      <c r="A287" s="141" t="s">
        <v>404</v>
      </c>
    </row>
    <row r="288" spans="1:1" x14ac:dyDescent="0.1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李俊儒</cp:lastModifiedBy>
  <dcterms:created xsi:type="dcterms:W3CDTF">2011-06-30T00:09:01Z</dcterms:created>
  <dcterms:modified xsi:type="dcterms:W3CDTF">2021-05-27T06:22:06Z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