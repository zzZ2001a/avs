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futl\work\ByteDance\Test_Try\软件维护报告\M6739\"/>
    </mc:Choice>
  </mc:AlternateContent>
  <xr:revisionPtr revIDLastSave="0" documentId="13_ncr:1_{624EB06B-763A-4EEA-A626-3A89402DC84C}" xr6:coauthVersionLast="47" xr6:coauthVersionMax="47" xr10:uidLastSave="{00000000-0000-0000-0000-000000000000}"/>
  <bookViews>
    <workbookView xWindow="-108" yWindow="-108" windowWidth="23256" windowHeight="12576" tabRatio="884" activeTab="1" xr2:uid="{00000000-000D-0000-FFFF-FFFF00000000}"/>
  </bookViews>
  <sheets>
    <sheet name="Summary_SEQ" sheetId="30" r:id="rId1"/>
    <sheet name="Summary" sheetId="9" r:id="rId2"/>
    <sheet name="Plot" sheetId="10" r:id="rId3"/>
    <sheet name="AI-10" sheetId="27" r:id="rId4"/>
    <sheet name="RA-10" sheetId="20" r:id="rId5"/>
    <sheet name="LDB-10" sheetId="25" r:id="rId6"/>
    <sheet name="LDP-10" sheetId="29" r:id="rId7"/>
    <sheet name="Reference" sheetId="17" r:id="rId8"/>
    <sheet name="Test" sheetId="18" r:id="rId9"/>
  </sheets>
  <functionGroups builtInGroupCount="19"/>
  <definedNames>
    <definedName name="_xlnm._FilterDatabase" localSheetId="2" hidden="1">Plot!$A$1:$B$2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" i="9" l="1"/>
  <c r="L4" i="25" l="1"/>
  <c r="M4" i="25"/>
  <c r="N4" i="25"/>
  <c r="O4" i="25"/>
  <c r="P4" i="25"/>
  <c r="Q4" i="25"/>
  <c r="L5" i="25"/>
  <c r="M5" i="25"/>
  <c r="N5" i="25"/>
  <c r="O5" i="25"/>
  <c r="P5" i="25"/>
  <c r="Q5" i="25"/>
  <c r="L6" i="25"/>
  <c r="M6" i="25"/>
  <c r="N6" i="25"/>
  <c r="O6" i="25"/>
  <c r="P6" i="25"/>
  <c r="Q6" i="25"/>
  <c r="L7" i="25"/>
  <c r="M7" i="25"/>
  <c r="N7" i="25"/>
  <c r="O7" i="25"/>
  <c r="P7" i="25"/>
  <c r="Q7" i="25"/>
  <c r="L8" i="25"/>
  <c r="M8" i="25"/>
  <c r="N8" i="25"/>
  <c r="O8" i="25"/>
  <c r="P8" i="25"/>
  <c r="Q8" i="25"/>
  <c r="L9" i="25"/>
  <c r="M9" i="25"/>
  <c r="N9" i="25"/>
  <c r="O9" i="25"/>
  <c r="P9" i="25"/>
  <c r="Q9" i="25"/>
  <c r="L10" i="25"/>
  <c r="M10" i="25"/>
  <c r="N10" i="25"/>
  <c r="O10" i="25"/>
  <c r="P10" i="25"/>
  <c r="Q10" i="25"/>
  <c r="L11" i="25"/>
  <c r="M11" i="25"/>
  <c r="N11" i="25"/>
  <c r="O11" i="25"/>
  <c r="P11" i="25"/>
  <c r="Q11" i="25"/>
  <c r="L12" i="25"/>
  <c r="M12" i="25"/>
  <c r="N12" i="25"/>
  <c r="O12" i="25"/>
  <c r="P12" i="25"/>
  <c r="Q12" i="25"/>
  <c r="L13" i="25"/>
  <c r="M13" i="25"/>
  <c r="N13" i="25"/>
  <c r="O13" i="25"/>
  <c r="P13" i="25"/>
  <c r="Q13" i="25"/>
  <c r="L14" i="25"/>
  <c r="M14" i="25"/>
  <c r="N14" i="25"/>
  <c r="O14" i="25"/>
  <c r="P14" i="25"/>
  <c r="Q14" i="25"/>
  <c r="L15" i="25"/>
  <c r="M15" i="25"/>
  <c r="N15" i="25"/>
  <c r="O15" i="25"/>
  <c r="P15" i="25"/>
  <c r="Q15" i="25"/>
  <c r="L16" i="25"/>
  <c r="M16" i="25"/>
  <c r="N16" i="25"/>
  <c r="O16" i="25"/>
  <c r="P16" i="25"/>
  <c r="Q16" i="25"/>
  <c r="L17" i="25"/>
  <c r="M17" i="25"/>
  <c r="N17" i="25"/>
  <c r="O17" i="25"/>
  <c r="P17" i="25"/>
  <c r="Q17" i="25"/>
  <c r="L18" i="25"/>
  <c r="M18" i="25"/>
  <c r="N18" i="25"/>
  <c r="O18" i="25"/>
  <c r="P18" i="25"/>
  <c r="Q18" i="25"/>
  <c r="L19" i="25"/>
  <c r="M19" i="25"/>
  <c r="N19" i="25"/>
  <c r="O19" i="25"/>
  <c r="P19" i="25"/>
  <c r="Q19" i="25"/>
  <c r="L20" i="25"/>
  <c r="M20" i="25"/>
  <c r="N20" i="25"/>
  <c r="O20" i="25"/>
  <c r="P20" i="25"/>
  <c r="Q20" i="25"/>
  <c r="L21" i="25"/>
  <c r="M21" i="25"/>
  <c r="N21" i="25"/>
  <c r="O21" i="25"/>
  <c r="P21" i="25"/>
  <c r="Q21" i="25"/>
  <c r="L22" i="25"/>
  <c r="M22" i="25"/>
  <c r="N22" i="25"/>
  <c r="O22" i="25"/>
  <c r="P22" i="25"/>
  <c r="Q22" i="25"/>
  <c r="L23" i="25"/>
  <c r="M23" i="25"/>
  <c r="N23" i="25"/>
  <c r="O23" i="25"/>
  <c r="P23" i="25"/>
  <c r="Q23" i="25"/>
  <c r="L24" i="25"/>
  <c r="M24" i="25"/>
  <c r="N24" i="25"/>
  <c r="O24" i="25"/>
  <c r="P24" i="25"/>
  <c r="Q24" i="25"/>
  <c r="L25" i="25"/>
  <c r="M25" i="25"/>
  <c r="N25" i="25"/>
  <c r="O25" i="25"/>
  <c r="P25" i="25"/>
  <c r="Q25" i="25"/>
  <c r="L26" i="25"/>
  <c r="M26" i="25"/>
  <c r="N26" i="25"/>
  <c r="O26" i="25"/>
  <c r="P26" i="25"/>
  <c r="Q26" i="25"/>
  <c r="L27" i="25"/>
  <c r="M27" i="25"/>
  <c r="N27" i="25"/>
  <c r="O27" i="25"/>
  <c r="P27" i="25"/>
  <c r="Q27" i="25"/>
  <c r="L28" i="25"/>
  <c r="M28" i="25"/>
  <c r="N28" i="25"/>
  <c r="O28" i="25"/>
  <c r="P28" i="25"/>
  <c r="Q28" i="25"/>
  <c r="L29" i="25"/>
  <c r="M29" i="25"/>
  <c r="N29" i="25"/>
  <c r="O29" i="25"/>
  <c r="P29" i="25"/>
  <c r="Q29" i="25"/>
  <c r="L30" i="25"/>
  <c r="M30" i="25"/>
  <c r="N30" i="25"/>
  <c r="O30" i="25"/>
  <c r="P30" i="25"/>
  <c r="Q30" i="25"/>
  <c r="L31" i="25"/>
  <c r="M31" i="25"/>
  <c r="N31" i="25"/>
  <c r="O31" i="25"/>
  <c r="P31" i="25"/>
  <c r="Q31" i="25"/>
  <c r="L32" i="25"/>
  <c r="M32" i="25"/>
  <c r="N32" i="25"/>
  <c r="O32" i="25"/>
  <c r="P32" i="25"/>
  <c r="Q32" i="25"/>
  <c r="L33" i="25"/>
  <c r="M33" i="25"/>
  <c r="N33" i="25"/>
  <c r="O33" i="25"/>
  <c r="P33" i="25"/>
  <c r="Q33" i="25"/>
  <c r="L34" i="25"/>
  <c r="M34" i="25"/>
  <c r="N34" i="25"/>
  <c r="O34" i="25"/>
  <c r="P34" i="25"/>
  <c r="Q34" i="25"/>
  <c r="L35" i="25"/>
  <c r="M35" i="25"/>
  <c r="N35" i="25"/>
  <c r="O35" i="25"/>
  <c r="P35" i="25"/>
  <c r="Q35" i="25"/>
  <c r="L36" i="25"/>
  <c r="M36" i="25"/>
  <c r="N36" i="25"/>
  <c r="O36" i="25"/>
  <c r="P36" i="25"/>
  <c r="Q36" i="25"/>
  <c r="L37" i="25"/>
  <c r="M37" i="25"/>
  <c r="N37" i="25"/>
  <c r="O37" i="25"/>
  <c r="P37" i="25"/>
  <c r="Q37" i="25"/>
  <c r="L38" i="25"/>
  <c r="M38" i="25"/>
  <c r="N38" i="25"/>
  <c r="O38" i="25"/>
  <c r="P38" i="25"/>
  <c r="Q38" i="25"/>
  <c r="L39" i="25"/>
  <c r="M39" i="25"/>
  <c r="N39" i="25"/>
  <c r="O39" i="25"/>
  <c r="P39" i="25"/>
  <c r="Q39" i="25"/>
  <c r="L40" i="25"/>
  <c r="M40" i="25"/>
  <c r="N40" i="25"/>
  <c r="O40" i="25"/>
  <c r="P40" i="25"/>
  <c r="Q40" i="25"/>
  <c r="L41" i="25"/>
  <c r="M41" i="25"/>
  <c r="N41" i="25"/>
  <c r="O41" i="25"/>
  <c r="P41" i="25"/>
  <c r="Q41" i="25"/>
  <c r="L42" i="25"/>
  <c r="M42" i="25"/>
  <c r="N42" i="25"/>
  <c r="O42" i="25"/>
  <c r="P42" i="25"/>
  <c r="Q42" i="25"/>
  <c r="L43" i="25"/>
  <c r="M43" i="25"/>
  <c r="N43" i="25"/>
  <c r="O43" i="25"/>
  <c r="P43" i="25"/>
  <c r="Q43" i="25"/>
  <c r="L44" i="25"/>
  <c r="M44" i="25"/>
  <c r="N44" i="25"/>
  <c r="O44" i="25"/>
  <c r="P44" i="25"/>
  <c r="Q44" i="25"/>
  <c r="L45" i="25"/>
  <c r="M45" i="25"/>
  <c r="N45" i="25"/>
  <c r="O45" i="25"/>
  <c r="P45" i="25"/>
  <c r="Q45" i="25"/>
  <c r="L46" i="25"/>
  <c r="M46" i="25"/>
  <c r="N46" i="25"/>
  <c r="O46" i="25"/>
  <c r="P46" i="25"/>
  <c r="Q46" i="25"/>
  <c r="L47" i="25"/>
  <c r="M47" i="25"/>
  <c r="N47" i="25"/>
  <c r="O47" i="25"/>
  <c r="P47" i="25"/>
  <c r="Q47" i="25"/>
  <c r="L48" i="25"/>
  <c r="M48" i="25"/>
  <c r="N48" i="25"/>
  <c r="O48" i="25"/>
  <c r="P48" i="25"/>
  <c r="Q48" i="25"/>
  <c r="L49" i="25"/>
  <c r="M49" i="25"/>
  <c r="N49" i="25"/>
  <c r="O49" i="25"/>
  <c r="P49" i="25"/>
  <c r="Q49" i="25"/>
  <c r="L50" i="25"/>
  <c r="M50" i="25"/>
  <c r="N50" i="25"/>
  <c r="O50" i="25"/>
  <c r="P50" i="25"/>
  <c r="Q50" i="25"/>
  <c r="M3" i="25"/>
  <c r="N3" i="25"/>
  <c r="O3" i="25"/>
  <c r="P3" i="25"/>
  <c r="Q3" i="25"/>
  <c r="L3" i="25"/>
  <c r="L4" i="20"/>
  <c r="M4" i="20"/>
  <c r="N4" i="20"/>
  <c r="O4" i="20"/>
  <c r="P4" i="20"/>
  <c r="Q4" i="20"/>
  <c r="L5" i="20"/>
  <c r="M5" i="20"/>
  <c r="N5" i="20"/>
  <c r="O5" i="20"/>
  <c r="P5" i="20"/>
  <c r="Q5" i="20"/>
  <c r="L6" i="20"/>
  <c r="M6" i="20"/>
  <c r="N6" i="20"/>
  <c r="O6" i="20"/>
  <c r="P6" i="20"/>
  <c r="Q6" i="20"/>
  <c r="L7" i="20"/>
  <c r="M7" i="20"/>
  <c r="N7" i="20"/>
  <c r="O7" i="20"/>
  <c r="P7" i="20"/>
  <c r="Q7" i="20"/>
  <c r="L8" i="20"/>
  <c r="M8" i="20"/>
  <c r="N8" i="20"/>
  <c r="O8" i="20"/>
  <c r="P8" i="20"/>
  <c r="Q8" i="20"/>
  <c r="L9" i="20"/>
  <c r="M9" i="20"/>
  <c r="N9" i="20"/>
  <c r="O9" i="20"/>
  <c r="P9" i="20"/>
  <c r="Q9" i="20"/>
  <c r="L10" i="20"/>
  <c r="M10" i="20"/>
  <c r="N10" i="20"/>
  <c r="O10" i="20"/>
  <c r="P10" i="20"/>
  <c r="Q10" i="20"/>
  <c r="L11" i="20"/>
  <c r="M11" i="20"/>
  <c r="N11" i="20"/>
  <c r="O11" i="20"/>
  <c r="P11" i="20"/>
  <c r="Q11" i="20"/>
  <c r="L12" i="20"/>
  <c r="M12" i="20"/>
  <c r="N12" i="20"/>
  <c r="O12" i="20"/>
  <c r="P12" i="20"/>
  <c r="Q12" i="20"/>
  <c r="L13" i="20"/>
  <c r="M13" i="20"/>
  <c r="N13" i="20"/>
  <c r="O13" i="20"/>
  <c r="P13" i="20"/>
  <c r="Q13" i="20"/>
  <c r="L14" i="20"/>
  <c r="M14" i="20"/>
  <c r="N14" i="20"/>
  <c r="O14" i="20"/>
  <c r="P14" i="20"/>
  <c r="Q14" i="20"/>
  <c r="L15" i="20"/>
  <c r="M15" i="20"/>
  <c r="N15" i="20"/>
  <c r="O15" i="20"/>
  <c r="P15" i="20"/>
  <c r="Q15" i="20"/>
  <c r="L16" i="20"/>
  <c r="M16" i="20"/>
  <c r="N16" i="20"/>
  <c r="O16" i="20"/>
  <c r="P16" i="20"/>
  <c r="Q16" i="20"/>
  <c r="L17" i="20"/>
  <c r="M17" i="20"/>
  <c r="N17" i="20"/>
  <c r="O17" i="20"/>
  <c r="P17" i="20"/>
  <c r="Q17" i="20"/>
  <c r="L18" i="20"/>
  <c r="M18" i="20"/>
  <c r="N18" i="20"/>
  <c r="O18" i="20"/>
  <c r="P18" i="20"/>
  <c r="Q18" i="20"/>
  <c r="L19" i="20"/>
  <c r="M19" i="20"/>
  <c r="N19" i="20"/>
  <c r="O19" i="20"/>
  <c r="P19" i="20"/>
  <c r="Q19" i="20"/>
  <c r="L20" i="20"/>
  <c r="M20" i="20"/>
  <c r="N20" i="20"/>
  <c r="O20" i="20"/>
  <c r="P20" i="20"/>
  <c r="Q20" i="20"/>
  <c r="L21" i="20"/>
  <c r="M21" i="20"/>
  <c r="N21" i="20"/>
  <c r="O21" i="20"/>
  <c r="P21" i="20"/>
  <c r="Q21" i="20"/>
  <c r="L22" i="20"/>
  <c r="M22" i="20"/>
  <c r="N22" i="20"/>
  <c r="O22" i="20"/>
  <c r="P22" i="20"/>
  <c r="Q22" i="20"/>
  <c r="L23" i="20"/>
  <c r="M23" i="20"/>
  <c r="N23" i="20"/>
  <c r="O23" i="20"/>
  <c r="P23" i="20"/>
  <c r="Q23" i="20"/>
  <c r="L24" i="20"/>
  <c r="M24" i="20"/>
  <c r="N24" i="20"/>
  <c r="O24" i="20"/>
  <c r="P24" i="20"/>
  <c r="Q24" i="20"/>
  <c r="L25" i="20"/>
  <c r="M25" i="20"/>
  <c r="N25" i="20"/>
  <c r="O25" i="20"/>
  <c r="P25" i="20"/>
  <c r="Q25" i="20"/>
  <c r="L26" i="20"/>
  <c r="M26" i="20"/>
  <c r="N26" i="20"/>
  <c r="O26" i="20"/>
  <c r="P26" i="20"/>
  <c r="Q26" i="20"/>
  <c r="L27" i="20"/>
  <c r="M27" i="20"/>
  <c r="N27" i="20"/>
  <c r="O27" i="20"/>
  <c r="P27" i="20"/>
  <c r="Q27" i="20"/>
  <c r="L28" i="20"/>
  <c r="M28" i="20"/>
  <c r="N28" i="20"/>
  <c r="O28" i="20"/>
  <c r="P28" i="20"/>
  <c r="Q28" i="20"/>
  <c r="L29" i="20"/>
  <c r="M29" i="20"/>
  <c r="N29" i="20"/>
  <c r="O29" i="20"/>
  <c r="P29" i="20"/>
  <c r="Q29" i="20"/>
  <c r="L30" i="20"/>
  <c r="M30" i="20"/>
  <c r="N30" i="20"/>
  <c r="O30" i="20"/>
  <c r="P30" i="20"/>
  <c r="Q30" i="20"/>
  <c r="L31" i="20"/>
  <c r="M31" i="20"/>
  <c r="N31" i="20"/>
  <c r="O31" i="20"/>
  <c r="P31" i="20"/>
  <c r="Q31" i="20"/>
  <c r="L32" i="20"/>
  <c r="M32" i="20"/>
  <c r="N32" i="20"/>
  <c r="O32" i="20"/>
  <c r="P32" i="20"/>
  <c r="Q32" i="20"/>
  <c r="L33" i="20"/>
  <c r="M33" i="20"/>
  <c r="N33" i="20"/>
  <c r="O33" i="20"/>
  <c r="P33" i="20"/>
  <c r="Q33" i="20"/>
  <c r="L34" i="20"/>
  <c r="M34" i="20"/>
  <c r="N34" i="20"/>
  <c r="O34" i="20"/>
  <c r="P34" i="20"/>
  <c r="Q34" i="20"/>
  <c r="L35" i="20"/>
  <c r="M35" i="20"/>
  <c r="N35" i="20"/>
  <c r="O35" i="20"/>
  <c r="P35" i="20"/>
  <c r="Q35" i="20"/>
  <c r="L36" i="20"/>
  <c r="M36" i="20"/>
  <c r="N36" i="20"/>
  <c r="O36" i="20"/>
  <c r="P36" i="20"/>
  <c r="Q36" i="20"/>
  <c r="L37" i="20"/>
  <c r="M37" i="20"/>
  <c r="N37" i="20"/>
  <c r="O37" i="20"/>
  <c r="P37" i="20"/>
  <c r="Q37" i="20"/>
  <c r="L38" i="20"/>
  <c r="M38" i="20"/>
  <c r="N38" i="20"/>
  <c r="O38" i="20"/>
  <c r="P38" i="20"/>
  <c r="Q38" i="20"/>
  <c r="L39" i="20"/>
  <c r="M39" i="20"/>
  <c r="N39" i="20"/>
  <c r="O39" i="20"/>
  <c r="P39" i="20"/>
  <c r="Q39" i="20"/>
  <c r="L40" i="20"/>
  <c r="M40" i="20"/>
  <c r="N40" i="20"/>
  <c r="O40" i="20"/>
  <c r="P40" i="20"/>
  <c r="Q40" i="20"/>
  <c r="L41" i="20"/>
  <c r="M41" i="20"/>
  <c r="N41" i="20"/>
  <c r="O41" i="20"/>
  <c r="P41" i="20"/>
  <c r="Q41" i="20"/>
  <c r="L42" i="20"/>
  <c r="M42" i="20"/>
  <c r="N42" i="20"/>
  <c r="O42" i="20"/>
  <c r="P42" i="20"/>
  <c r="Q42" i="20"/>
  <c r="L43" i="20"/>
  <c r="M43" i="20"/>
  <c r="N43" i="20"/>
  <c r="O43" i="20"/>
  <c r="P43" i="20"/>
  <c r="Q43" i="20"/>
  <c r="L44" i="20"/>
  <c r="M44" i="20"/>
  <c r="N44" i="20"/>
  <c r="O44" i="20"/>
  <c r="P44" i="20"/>
  <c r="Q44" i="20"/>
  <c r="L45" i="20"/>
  <c r="M45" i="20"/>
  <c r="N45" i="20"/>
  <c r="O45" i="20"/>
  <c r="P45" i="20"/>
  <c r="Q45" i="20"/>
  <c r="L46" i="20"/>
  <c r="M46" i="20"/>
  <c r="N46" i="20"/>
  <c r="O46" i="20"/>
  <c r="P46" i="20"/>
  <c r="Q46" i="20"/>
  <c r="L47" i="20"/>
  <c r="M47" i="20"/>
  <c r="N47" i="20"/>
  <c r="O47" i="20"/>
  <c r="P47" i="20"/>
  <c r="Q47" i="20"/>
  <c r="L48" i="20"/>
  <c r="M48" i="20"/>
  <c r="N48" i="20"/>
  <c r="O48" i="20"/>
  <c r="P48" i="20"/>
  <c r="Q48" i="20"/>
  <c r="L49" i="20"/>
  <c r="M49" i="20"/>
  <c r="N49" i="20"/>
  <c r="O49" i="20"/>
  <c r="P49" i="20"/>
  <c r="Q49" i="20"/>
  <c r="L50" i="20"/>
  <c r="M50" i="20"/>
  <c r="N50" i="20"/>
  <c r="O50" i="20"/>
  <c r="P50" i="20"/>
  <c r="Q50" i="20"/>
  <c r="M3" i="20"/>
  <c r="N3" i="20"/>
  <c r="O3" i="20"/>
  <c r="P3" i="20"/>
  <c r="Q3" i="20"/>
  <c r="L3" i="20"/>
  <c r="L4" i="27"/>
  <c r="M4" i="27"/>
  <c r="N4" i="27"/>
  <c r="O4" i="27"/>
  <c r="P4" i="27"/>
  <c r="Q4" i="27"/>
  <c r="L5" i="27"/>
  <c r="M5" i="27"/>
  <c r="N5" i="27"/>
  <c r="O5" i="27"/>
  <c r="P5" i="27"/>
  <c r="Q5" i="27"/>
  <c r="L6" i="27"/>
  <c r="M6" i="27"/>
  <c r="N6" i="27"/>
  <c r="O6" i="27"/>
  <c r="P6" i="27"/>
  <c r="Q6" i="27"/>
  <c r="L7" i="27"/>
  <c r="M7" i="27"/>
  <c r="N7" i="27"/>
  <c r="O7" i="27"/>
  <c r="P7" i="27"/>
  <c r="Q7" i="27"/>
  <c r="L8" i="27"/>
  <c r="M8" i="27"/>
  <c r="N8" i="27"/>
  <c r="O8" i="27"/>
  <c r="P8" i="27"/>
  <c r="Q8" i="27"/>
  <c r="L9" i="27"/>
  <c r="M9" i="27"/>
  <c r="N9" i="27"/>
  <c r="O9" i="27"/>
  <c r="P9" i="27"/>
  <c r="Q9" i="27"/>
  <c r="L10" i="27"/>
  <c r="M10" i="27"/>
  <c r="N10" i="27"/>
  <c r="O10" i="27"/>
  <c r="P10" i="27"/>
  <c r="Q10" i="27"/>
  <c r="L11" i="27"/>
  <c r="M11" i="27"/>
  <c r="N11" i="27"/>
  <c r="O11" i="27"/>
  <c r="P11" i="27"/>
  <c r="Q11" i="27"/>
  <c r="L12" i="27"/>
  <c r="M12" i="27"/>
  <c r="N12" i="27"/>
  <c r="O12" i="27"/>
  <c r="P12" i="27"/>
  <c r="Q12" i="27"/>
  <c r="L13" i="27"/>
  <c r="M13" i="27"/>
  <c r="N13" i="27"/>
  <c r="O13" i="27"/>
  <c r="P13" i="27"/>
  <c r="Q13" i="27"/>
  <c r="L14" i="27"/>
  <c r="M14" i="27"/>
  <c r="N14" i="27"/>
  <c r="O14" i="27"/>
  <c r="P14" i="27"/>
  <c r="Q14" i="27"/>
  <c r="L15" i="27"/>
  <c r="M15" i="27"/>
  <c r="N15" i="27"/>
  <c r="O15" i="27"/>
  <c r="P15" i="27"/>
  <c r="Q15" i="27"/>
  <c r="L16" i="27"/>
  <c r="M16" i="27"/>
  <c r="N16" i="27"/>
  <c r="O16" i="27"/>
  <c r="P16" i="27"/>
  <c r="Q16" i="27"/>
  <c r="L17" i="27"/>
  <c r="M17" i="27"/>
  <c r="N17" i="27"/>
  <c r="O17" i="27"/>
  <c r="P17" i="27"/>
  <c r="Q17" i="27"/>
  <c r="L18" i="27"/>
  <c r="M18" i="27"/>
  <c r="N18" i="27"/>
  <c r="O18" i="27"/>
  <c r="P18" i="27"/>
  <c r="Q18" i="27"/>
  <c r="L19" i="27"/>
  <c r="M19" i="27"/>
  <c r="N19" i="27"/>
  <c r="O19" i="27"/>
  <c r="P19" i="27"/>
  <c r="Q19" i="27"/>
  <c r="L20" i="27"/>
  <c r="M20" i="27"/>
  <c r="N20" i="27"/>
  <c r="O20" i="27"/>
  <c r="P20" i="27"/>
  <c r="Q20" i="27"/>
  <c r="L21" i="27"/>
  <c r="M21" i="27"/>
  <c r="N21" i="27"/>
  <c r="O21" i="27"/>
  <c r="P21" i="27"/>
  <c r="Q21" i="27"/>
  <c r="L22" i="27"/>
  <c r="M22" i="27"/>
  <c r="N22" i="27"/>
  <c r="O22" i="27"/>
  <c r="P22" i="27"/>
  <c r="Q22" i="27"/>
  <c r="L23" i="27"/>
  <c r="M23" i="27"/>
  <c r="N23" i="27"/>
  <c r="O23" i="27"/>
  <c r="P23" i="27"/>
  <c r="Q23" i="27"/>
  <c r="L24" i="27"/>
  <c r="M24" i="27"/>
  <c r="N24" i="27"/>
  <c r="O24" i="27"/>
  <c r="P24" i="27"/>
  <c r="Q24" i="27"/>
  <c r="L25" i="27"/>
  <c r="M25" i="27"/>
  <c r="N25" i="27"/>
  <c r="O25" i="27"/>
  <c r="P25" i="27"/>
  <c r="Q25" i="27"/>
  <c r="L26" i="27"/>
  <c r="M26" i="27"/>
  <c r="N26" i="27"/>
  <c r="O26" i="27"/>
  <c r="P26" i="27"/>
  <c r="Q26" i="27"/>
  <c r="L27" i="27"/>
  <c r="M27" i="27"/>
  <c r="N27" i="27"/>
  <c r="O27" i="27"/>
  <c r="P27" i="27"/>
  <c r="Q27" i="27"/>
  <c r="L28" i="27"/>
  <c r="M28" i="27"/>
  <c r="N28" i="27"/>
  <c r="O28" i="27"/>
  <c r="P28" i="27"/>
  <c r="Q28" i="27"/>
  <c r="L29" i="27"/>
  <c r="M29" i="27"/>
  <c r="N29" i="27"/>
  <c r="O29" i="27"/>
  <c r="P29" i="27"/>
  <c r="Q29" i="27"/>
  <c r="L30" i="27"/>
  <c r="M30" i="27"/>
  <c r="N30" i="27"/>
  <c r="O30" i="27"/>
  <c r="P30" i="27"/>
  <c r="Q30" i="27"/>
  <c r="L31" i="27"/>
  <c r="M31" i="27"/>
  <c r="N31" i="27"/>
  <c r="O31" i="27"/>
  <c r="P31" i="27"/>
  <c r="Q31" i="27"/>
  <c r="L32" i="27"/>
  <c r="M32" i="27"/>
  <c r="N32" i="27"/>
  <c r="O32" i="27"/>
  <c r="P32" i="27"/>
  <c r="Q32" i="27"/>
  <c r="L33" i="27"/>
  <c r="M33" i="27"/>
  <c r="N33" i="27"/>
  <c r="O33" i="27"/>
  <c r="P33" i="27"/>
  <c r="Q33" i="27"/>
  <c r="L34" i="27"/>
  <c r="M34" i="27"/>
  <c r="N34" i="27"/>
  <c r="O34" i="27"/>
  <c r="P34" i="27"/>
  <c r="Q34" i="27"/>
  <c r="L35" i="27"/>
  <c r="M35" i="27"/>
  <c r="N35" i="27"/>
  <c r="O35" i="27"/>
  <c r="P35" i="27"/>
  <c r="Q35" i="27"/>
  <c r="L36" i="27"/>
  <c r="M36" i="27"/>
  <c r="N36" i="27"/>
  <c r="O36" i="27"/>
  <c r="P36" i="27"/>
  <c r="Q36" i="27"/>
  <c r="L37" i="27"/>
  <c r="M37" i="27"/>
  <c r="N37" i="27"/>
  <c r="O37" i="27"/>
  <c r="P37" i="27"/>
  <c r="Q37" i="27"/>
  <c r="L38" i="27"/>
  <c r="M38" i="27"/>
  <c r="N38" i="27"/>
  <c r="O38" i="27"/>
  <c r="P38" i="27"/>
  <c r="Q38" i="27"/>
  <c r="L39" i="27"/>
  <c r="M39" i="27"/>
  <c r="N39" i="27"/>
  <c r="O39" i="27"/>
  <c r="P39" i="27"/>
  <c r="Q39" i="27"/>
  <c r="L40" i="27"/>
  <c r="M40" i="27"/>
  <c r="N40" i="27"/>
  <c r="O40" i="27"/>
  <c r="P40" i="27"/>
  <c r="Q40" i="27"/>
  <c r="L41" i="27"/>
  <c r="M41" i="27"/>
  <c r="N41" i="27"/>
  <c r="O41" i="27"/>
  <c r="P41" i="27"/>
  <c r="Q41" i="27"/>
  <c r="L42" i="27"/>
  <c r="M42" i="27"/>
  <c r="N42" i="27"/>
  <c r="O42" i="27"/>
  <c r="P42" i="27"/>
  <c r="Q42" i="27"/>
  <c r="L43" i="27"/>
  <c r="M43" i="27"/>
  <c r="N43" i="27"/>
  <c r="O43" i="27"/>
  <c r="P43" i="27"/>
  <c r="Q43" i="27"/>
  <c r="L44" i="27"/>
  <c r="M44" i="27"/>
  <c r="N44" i="27"/>
  <c r="O44" i="27"/>
  <c r="P44" i="27"/>
  <c r="Q44" i="27"/>
  <c r="L45" i="27"/>
  <c r="M45" i="27"/>
  <c r="N45" i="27"/>
  <c r="O45" i="27"/>
  <c r="P45" i="27"/>
  <c r="Q45" i="27"/>
  <c r="L46" i="27"/>
  <c r="M46" i="27"/>
  <c r="N46" i="27"/>
  <c r="O46" i="27"/>
  <c r="P46" i="27"/>
  <c r="Q46" i="27"/>
  <c r="L47" i="27"/>
  <c r="M47" i="27"/>
  <c r="N47" i="27"/>
  <c r="O47" i="27"/>
  <c r="P47" i="27"/>
  <c r="Q47" i="27"/>
  <c r="L48" i="27"/>
  <c r="M48" i="27"/>
  <c r="N48" i="27"/>
  <c r="O48" i="27"/>
  <c r="P48" i="27"/>
  <c r="Q48" i="27"/>
  <c r="L49" i="27"/>
  <c r="M49" i="27"/>
  <c r="N49" i="27"/>
  <c r="O49" i="27"/>
  <c r="P49" i="27"/>
  <c r="Q49" i="27"/>
  <c r="L50" i="27"/>
  <c r="M50" i="27"/>
  <c r="N50" i="27"/>
  <c r="O50" i="27"/>
  <c r="P50" i="27"/>
  <c r="Q50" i="27"/>
  <c r="M3" i="27"/>
  <c r="N3" i="27"/>
  <c r="O3" i="27"/>
  <c r="P3" i="27"/>
  <c r="Q3" i="27"/>
  <c r="L3" i="27"/>
  <c r="L51" i="25" l="1"/>
  <c r="L51" i="20"/>
  <c r="L51" i="27"/>
  <c r="C3" i="9" l="1"/>
  <c r="B50" i="30" l="1"/>
  <c r="B49" i="30"/>
  <c r="B48" i="30"/>
  <c r="B47" i="30"/>
  <c r="I50" i="30"/>
  <c r="I49" i="30"/>
  <c r="I48" i="30"/>
  <c r="I47" i="30"/>
  <c r="I22" i="30"/>
  <c r="I21" i="30"/>
  <c r="I20" i="30"/>
  <c r="I19" i="30"/>
  <c r="B22" i="30"/>
  <c r="B21" i="30"/>
  <c r="B20" i="30"/>
  <c r="B19" i="30"/>
  <c r="Q74" i="29"/>
  <c r="I74" i="29"/>
  <c r="P74" i="29"/>
  <c r="O74" i="29"/>
  <c r="N74" i="29"/>
  <c r="M74" i="29"/>
  <c r="L74" i="29"/>
  <c r="H74" i="29"/>
  <c r="J74" i="29" s="1"/>
  <c r="G74" i="29"/>
  <c r="F74" i="29"/>
  <c r="E74" i="29"/>
  <c r="D74" i="29"/>
  <c r="Q73" i="29"/>
  <c r="P73" i="29"/>
  <c r="R73" i="29" s="1"/>
  <c r="O73" i="29"/>
  <c r="N73" i="29"/>
  <c r="M73" i="29"/>
  <c r="L73" i="29"/>
  <c r="I73" i="29"/>
  <c r="H73" i="29"/>
  <c r="J73" i="29" s="1"/>
  <c r="G73" i="29"/>
  <c r="F73" i="29"/>
  <c r="E73" i="29"/>
  <c r="D73" i="29"/>
  <c r="Q72" i="29"/>
  <c r="I72" i="29"/>
  <c r="P72" i="29"/>
  <c r="R72" i="29" s="1"/>
  <c r="H72" i="29"/>
  <c r="J72" i="29" s="1"/>
  <c r="O72" i="29"/>
  <c r="N72" i="29"/>
  <c r="M72" i="29"/>
  <c r="L72" i="29"/>
  <c r="G72" i="29"/>
  <c r="F72" i="29"/>
  <c r="E72" i="29"/>
  <c r="D72" i="29"/>
  <c r="Q71" i="29"/>
  <c r="P71" i="29"/>
  <c r="R71" i="29" s="1"/>
  <c r="O71" i="29"/>
  <c r="N71" i="29"/>
  <c r="M71" i="29"/>
  <c r="L71" i="29"/>
  <c r="I71" i="29"/>
  <c r="H71" i="29"/>
  <c r="J71" i="29" s="1"/>
  <c r="G71" i="29"/>
  <c r="F71" i="29"/>
  <c r="E71" i="29"/>
  <c r="D71" i="29"/>
  <c r="Q70" i="29"/>
  <c r="I70" i="29"/>
  <c r="P70" i="29"/>
  <c r="R70" i="29" s="1"/>
  <c r="O70" i="29"/>
  <c r="N70" i="29"/>
  <c r="M70" i="29"/>
  <c r="L70" i="29"/>
  <c r="H70" i="29"/>
  <c r="J70" i="29" s="1"/>
  <c r="G70" i="29"/>
  <c r="F70" i="29"/>
  <c r="E70" i="29"/>
  <c r="D70" i="29"/>
  <c r="Q69" i="29"/>
  <c r="I69" i="29"/>
  <c r="P69" i="29"/>
  <c r="R69" i="29" s="1"/>
  <c r="O69" i="29"/>
  <c r="N69" i="29"/>
  <c r="M69" i="29"/>
  <c r="L69" i="29"/>
  <c r="H69" i="29"/>
  <c r="J69" i="29" s="1"/>
  <c r="G69" i="29"/>
  <c r="F69" i="29"/>
  <c r="E69" i="29"/>
  <c r="D69" i="29"/>
  <c r="Q68" i="29"/>
  <c r="P68" i="29"/>
  <c r="O68" i="29"/>
  <c r="N68" i="29"/>
  <c r="M68" i="29"/>
  <c r="L68" i="29"/>
  <c r="I68" i="29"/>
  <c r="H68" i="29"/>
  <c r="J68" i="29" s="1"/>
  <c r="G68" i="29"/>
  <c r="F68" i="29"/>
  <c r="E68" i="29"/>
  <c r="D68" i="29"/>
  <c r="Q67" i="29"/>
  <c r="I67" i="29"/>
  <c r="P67" i="29"/>
  <c r="R67" i="29" s="1"/>
  <c r="O67" i="29"/>
  <c r="N67" i="29"/>
  <c r="M67" i="29"/>
  <c r="L67" i="29"/>
  <c r="H67" i="29"/>
  <c r="J67" i="29" s="1"/>
  <c r="G67" i="29"/>
  <c r="F67" i="29"/>
  <c r="E67" i="29"/>
  <c r="D67" i="29"/>
  <c r="Q66" i="29"/>
  <c r="P66" i="29"/>
  <c r="R66" i="29" s="1"/>
  <c r="O66" i="29"/>
  <c r="N66" i="29"/>
  <c r="M66" i="29"/>
  <c r="L66" i="29"/>
  <c r="I66" i="29"/>
  <c r="H66" i="29"/>
  <c r="J66" i="29" s="1"/>
  <c r="G66" i="29"/>
  <c r="F66" i="29"/>
  <c r="E66" i="29"/>
  <c r="D66" i="29"/>
  <c r="Q65" i="29"/>
  <c r="I65" i="29"/>
  <c r="P65" i="29"/>
  <c r="R65" i="29" s="1"/>
  <c r="O65" i="29"/>
  <c r="N65" i="29"/>
  <c r="M65" i="29"/>
  <c r="L65" i="29"/>
  <c r="H65" i="29"/>
  <c r="J65" i="29" s="1"/>
  <c r="G65" i="29"/>
  <c r="F65" i="29"/>
  <c r="E65" i="29"/>
  <c r="D65" i="29"/>
  <c r="Q64" i="29"/>
  <c r="P64" i="29"/>
  <c r="R64" i="29" s="1"/>
  <c r="O64" i="29"/>
  <c r="N64" i="29"/>
  <c r="M64" i="29"/>
  <c r="L64" i="29"/>
  <c r="I64" i="29"/>
  <c r="H64" i="29"/>
  <c r="J64" i="29" s="1"/>
  <c r="G64" i="29"/>
  <c r="F64" i="29"/>
  <c r="E64" i="29"/>
  <c r="D64" i="29"/>
  <c r="Q63" i="29"/>
  <c r="I63" i="29"/>
  <c r="P63" i="29"/>
  <c r="H63" i="29"/>
  <c r="J63" i="29" s="1"/>
  <c r="O63" i="29"/>
  <c r="N63" i="29"/>
  <c r="M63" i="29"/>
  <c r="L63" i="29"/>
  <c r="G63" i="29"/>
  <c r="F63" i="29"/>
  <c r="E63" i="29"/>
  <c r="D63" i="29"/>
  <c r="Q62" i="29"/>
  <c r="P62" i="29"/>
  <c r="R62" i="29" s="1"/>
  <c r="O62" i="29"/>
  <c r="N62" i="29"/>
  <c r="M62" i="29"/>
  <c r="L62" i="29"/>
  <c r="I62" i="29"/>
  <c r="H62" i="29"/>
  <c r="J62" i="29" s="1"/>
  <c r="G62" i="29"/>
  <c r="F62" i="29"/>
  <c r="E62" i="29"/>
  <c r="D62" i="29"/>
  <c r="Q61" i="29"/>
  <c r="P61" i="29"/>
  <c r="R61" i="29" s="1"/>
  <c r="O61" i="29"/>
  <c r="N61" i="29"/>
  <c r="M61" i="29"/>
  <c r="L61" i="29"/>
  <c r="I61" i="29"/>
  <c r="H61" i="29"/>
  <c r="J61" i="29" s="1"/>
  <c r="G61" i="29"/>
  <c r="F61" i="29"/>
  <c r="E61" i="29"/>
  <c r="D61" i="29"/>
  <c r="Q60" i="29"/>
  <c r="I60" i="29"/>
  <c r="P60" i="29"/>
  <c r="O60" i="29"/>
  <c r="N60" i="29"/>
  <c r="M60" i="29"/>
  <c r="L60" i="29"/>
  <c r="H60" i="29"/>
  <c r="J60" i="29" s="1"/>
  <c r="G60" i="29"/>
  <c r="F60" i="29"/>
  <c r="E60" i="29"/>
  <c r="D60" i="29"/>
  <c r="Q59" i="29"/>
  <c r="P59" i="29"/>
  <c r="R59" i="29" s="1"/>
  <c r="O59" i="29"/>
  <c r="N59" i="29"/>
  <c r="M59" i="29"/>
  <c r="L59" i="29"/>
  <c r="I59" i="29"/>
  <c r="T59" i="29" s="1"/>
  <c r="T79" i="29" s="1"/>
  <c r="N28" i="30" s="1"/>
  <c r="H59" i="29"/>
  <c r="J59" i="29" s="1"/>
  <c r="G59" i="29"/>
  <c r="F59" i="29"/>
  <c r="E59" i="29"/>
  <c r="D59" i="29"/>
  <c r="D4" i="29"/>
  <c r="E4" i="29"/>
  <c r="F4" i="29"/>
  <c r="G4" i="29"/>
  <c r="H4" i="29"/>
  <c r="J4" i="29" s="1"/>
  <c r="I4" i="29"/>
  <c r="L4" i="29"/>
  <c r="M4" i="29"/>
  <c r="N4" i="29"/>
  <c r="O4" i="29"/>
  <c r="P4" i="29"/>
  <c r="R4" i="29" s="1"/>
  <c r="Q4" i="29"/>
  <c r="D5" i="29"/>
  <c r="E5" i="29"/>
  <c r="F5" i="29"/>
  <c r="G5" i="29"/>
  <c r="H5" i="29"/>
  <c r="J5" i="29" s="1"/>
  <c r="I5" i="29"/>
  <c r="I3" i="29"/>
  <c r="I6" i="29"/>
  <c r="I7" i="29"/>
  <c r="I8" i="29"/>
  <c r="I9" i="29"/>
  <c r="I10" i="29"/>
  <c r="I11" i="29"/>
  <c r="I12" i="29"/>
  <c r="I13" i="29"/>
  <c r="I14" i="29"/>
  <c r="I15" i="29"/>
  <c r="I16" i="29"/>
  <c r="I17" i="29"/>
  <c r="I18" i="29"/>
  <c r="L5" i="29"/>
  <c r="M5" i="29"/>
  <c r="N5" i="29"/>
  <c r="O5" i="29"/>
  <c r="P5" i="29"/>
  <c r="Q5" i="29"/>
  <c r="D6" i="29"/>
  <c r="E6" i="29"/>
  <c r="F6" i="29"/>
  <c r="G6" i="29"/>
  <c r="H6" i="29"/>
  <c r="J6" i="29" s="1"/>
  <c r="L6" i="29"/>
  <c r="M6" i="29"/>
  <c r="N6" i="29"/>
  <c r="O6" i="29"/>
  <c r="P6" i="29"/>
  <c r="R6" i="29" s="1"/>
  <c r="Q6" i="29"/>
  <c r="D7" i="29"/>
  <c r="E7" i="29"/>
  <c r="F7" i="29"/>
  <c r="G7" i="29"/>
  <c r="H7" i="29"/>
  <c r="J7" i="29" s="1"/>
  <c r="L7" i="29"/>
  <c r="M7" i="29"/>
  <c r="N7" i="29"/>
  <c r="O7" i="29"/>
  <c r="P7" i="29"/>
  <c r="R7" i="29" s="1"/>
  <c r="Q7" i="29"/>
  <c r="D8" i="29"/>
  <c r="E8" i="29"/>
  <c r="F8" i="29"/>
  <c r="G8" i="29"/>
  <c r="H8" i="29"/>
  <c r="J8" i="29" s="1"/>
  <c r="L8" i="29"/>
  <c r="M8" i="29"/>
  <c r="N8" i="29"/>
  <c r="O8" i="29"/>
  <c r="P8" i="29"/>
  <c r="Q8" i="29"/>
  <c r="D9" i="29"/>
  <c r="E9" i="29"/>
  <c r="F9" i="29"/>
  <c r="G9" i="29"/>
  <c r="H9" i="29"/>
  <c r="J9" i="29" s="1"/>
  <c r="L9" i="29"/>
  <c r="M9" i="29"/>
  <c r="N9" i="29"/>
  <c r="O9" i="29"/>
  <c r="P9" i="29"/>
  <c r="R9" i="29" s="1"/>
  <c r="Q9" i="29"/>
  <c r="D10" i="29"/>
  <c r="E10" i="29"/>
  <c r="F10" i="29"/>
  <c r="G10" i="29"/>
  <c r="H10" i="29"/>
  <c r="J10" i="29" s="1"/>
  <c r="Q10" i="29"/>
  <c r="L10" i="29"/>
  <c r="M10" i="29"/>
  <c r="N10" i="29"/>
  <c r="O10" i="29"/>
  <c r="P10" i="29"/>
  <c r="R10" i="29" s="1"/>
  <c r="D11" i="29"/>
  <c r="E11" i="29"/>
  <c r="F11" i="29"/>
  <c r="G11" i="29"/>
  <c r="H11" i="29"/>
  <c r="J11" i="29" s="1"/>
  <c r="L11" i="29"/>
  <c r="M11" i="29"/>
  <c r="N11" i="29"/>
  <c r="O11" i="29"/>
  <c r="P11" i="29"/>
  <c r="R11" i="29" s="1"/>
  <c r="Q11" i="29"/>
  <c r="D12" i="29"/>
  <c r="E12" i="29"/>
  <c r="F12" i="29"/>
  <c r="G12" i="29"/>
  <c r="H12" i="29"/>
  <c r="J12" i="29" s="1"/>
  <c r="L12" i="29"/>
  <c r="M12" i="29"/>
  <c r="N12" i="29"/>
  <c r="O12" i="29"/>
  <c r="P12" i="29"/>
  <c r="R12" i="29" s="1"/>
  <c r="Q12" i="29"/>
  <c r="D13" i="29"/>
  <c r="E13" i="29"/>
  <c r="F13" i="29"/>
  <c r="G13" i="29"/>
  <c r="H13" i="29"/>
  <c r="J13" i="29" s="1"/>
  <c r="L13" i="29"/>
  <c r="M13" i="29"/>
  <c r="N13" i="29"/>
  <c r="O13" i="29"/>
  <c r="P13" i="29"/>
  <c r="Q13" i="29"/>
  <c r="D14" i="29"/>
  <c r="E14" i="29"/>
  <c r="F14" i="29"/>
  <c r="G14" i="29"/>
  <c r="H14" i="29"/>
  <c r="J14" i="29" s="1"/>
  <c r="L14" i="29"/>
  <c r="M14" i="29"/>
  <c r="N14" i="29"/>
  <c r="O14" i="29"/>
  <c r="P14" i="29"/>
  <c r="R14" i="29" s="1"/>
  <c r="Q14" i="29"/>
  <c r="D15" i="29"/>
  <c r="E15" i="29"/>
  <c r="F15" i="29"/>
  <c r="G15" i="29"/>
  <c r="H15" i="29"/>
  <c r="J15" i="29" s="1"/>
  <c r="L15" i="29"/>
  <c r="M15" i="29"/>
  <c r="N15" i="29"/>
  <c r="O15" i="29"/>
  <c r="P15" i="29"/>
  <c r="Q15" i="29"/>
  <c r="D16" i="29"/>
  <c r="E16" i="29"/>
  <c r="F16" i="29"/>
  <c r="G16" i="29"/>
  <c r="H16" i="29"/>
  <c r="J16" i="29" s="1"/>
  <c r="L16" i="29"/>
  <c r="M16" i="29"/>
  <c r="N16" i="29"/>
  <c r="O16" i="29"/>
  <c r="P16" i="29"/>
  <c r="R16" i="29" s="1"/>
  <c r="Q16" i="29"/>
  <c r="D17" i="29"/>
  <c r="E17" i="29"/>
  <c r="F17" i="29"/>
  <c r="G17" i="29"/>
  <c r="H17" i="29"/>
  <c r="J17" i="29" s="1"/>
  <c r="L17" i="29"/>
  <c r="M17" i="29"/>
  <c r="N17" i="29"/>
  <c r="O17" i="29"/>
  <c r="P17" i="29"/>
  <c r="R17" i="29" s="1"/>
  <c r="Q17" i="29"/>
  <c r="D18" i="29"/>
  <c r="E18" i="29"/>
  <c r="F18" i="29"/>
  <c r="G18" i="29"/>
  <c r="H18" i="29"/>
  <c r="J18" i="29" s="1"/>
  <c r="L18" i="29"/>
  <c r="M18" i="29"/>
  <c r="N18" i="29"/>
  <c r="O18" i="29"/>
  <c r="P18" i="29"/>
  <c r="Q18" i="29"/>
  <c r="D19" i="29"/>
  <c r="E19" i="29"/>
  <c r="F19" i="29"/>
  <c r="G19" i="29"/>
  <c r="H19" i="29"/>
  <c r="J19" i="29" s="1"/>
  <c r="I19" i="29"/>
  <c r="L19" i="29"/>
  <c r="M19" i="29"/>
  <c r="N19" i="29"/>
  <c r="O19" i="29"/>
  <c r="P19" i="29"/>
  <c r="R19" i="29" s="1"/>
  <c r="Q19" i="29"/>
  <c r="D20" i="29"/>
  <c r="E20" i="29"/>
  <c r="F20" i="29"/>
  <c r="G20" i="29"/>
  <c r="H20" i="29"/>
  <c r="J20" i="29" s="1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L20" i="29"/>
  <c r="M20" i="29"/>
  <c r="N20" i="29"/>
  <c r="O20" i="29"/>
  <c r="P20" i="29"/>
  <c r="R20" i="29" s="1"/>
  <c r="Q20" i="29"/>
  <c r="D21" i="29"/>
  <c r="E21" i="29"/>
  <c r="F21" i="29"/>
  <c r="G21" i="29"/>
  <c r="H21" i="29"/>
  <c r="J21" i="29" s="1"/>
  <c r="L21" i="29"/>
  <c r="M21" i="29"/>
  <c r="N21" i="29"/>
  <c r="O21" i="29"/>
  <c r="P21" i="29"/>
  <c r="Q21" i="29"/>
  <c r="D22" i="29"/>
  <c r="E22" i="29"/>
  <c r="F22" i="29"/>
  <c r="G22" i="29"/>
  <c r="H22" i="29"/>
  <c r="J22" i="29" s="1"/>
  <c r="L22" i="29"/>
  <c r="M22" i="29"/>
  <c r="N22" i="29"/>
  <c r="O22" i="29"/>
  <c r="P22" i="29"/>
  <c r="Q22" i="29"/>
  <c r="D23" i="29"/>
  <c r="E23" i="29"/>
  <c r="F23" i="29"/>
  <c r="G23" i="29"/>
  <c r="H23" i="29"/>
  <c r="J23" i="29" s="1"/>
  <c r="L23" i="29"/>
  <c r="M23" i="29"/>
  <c r="N23" i="29"/>
  <c r="O23" i="29"/>
  <c r="P23" i="29"/>
  <c r="Q23" i="29"/>
  <c r="D24" i="29"/>
  <c r="E24" i="29"/>
  <c r="F24" i="29"/>
  <c r="G24" i="29"/>
  <c r="H24" i="29"/>
  <c r="J24" i="29" s="1"/>
  <c r="Q24" i="29"/>
  <c r="L24" i="29"/>
  <c r="M24" i="29"/>
  <c r="N24" i="29"/>
  <c r="O24" i="29"/>
  <c r="P24" i="29"/>
  <c r="R24" i="29" s="1"/>
  <c r="D25" i="29"/>
  <c r="E25" i="29"/>
  <c r="F25" i="29"/>
  <c r="G25" i="29"/>
  <c r="H25" i="29"/>
  <c r="J25" i="29" s="1"/>
  <c r="L25" i="29"/>
  <c r="M25" i="29"/>
  <c r="N25" i="29"/>
  <c r="O25" i="29"/>
  <c r="P25" i="29"/>
  <c r="Q25" i="29"/>
  <c r="D26" i="29"/>
  <c r="E26" i="29"/>
  <c r="F26" i="29"/>
  <c r="G26" i="29"/>
  <c r="H26" i="29"/>
  <c r="J26" i="29" s="1"/>
  <c r="P26" i="29"/>
  <c r="L26" i="29"/>
  <c r="M26" i="29"/>
  <c r="N26" i="29"/>
  <c r="O26" i="29"/>
  <c r="Q26" i="29"/>
  <c r="D27" i="29"/>
  <c r="E27" i="29"/>
  <c r="F27" i="29"/>
  <c r="G27" i="29"/>
  <c r="H27" i="29"/>
  <c r="J27" i="29" s="1"/>
  <c r="L27" i="29"/>
  <c r="M27" i="29"/>
  <c r="N27" i="29"/>
  <c r="O27" i="29"/>
  <c r="P27" i="29"/>
  <c r="R27" i="29" s="1"/>
  <c r="Q27" i="29"/>
  <c r="D28" i="29"/>
  <c r="E28" i="29"/>
  <c r="F28" i="29"/>
  <c r="G28" i="29"/>
  <c r="H28" i="29"/>
  <c r="J28" i="29" s="1"/>
  <c r="L28" i="29"/>
  <c r="M28" i="29"/>
  <c r="N28" i="29"/>
  <c r="O28" i="29"/>
  <c r="P28" i="29"/>
  <c r="R28" i="29" s="1"/>
  <c r="Q28" i="29"/>
  <c r="D29" i="29"/>
  <c r="E29" i="29"/>
  <c r="F29" i="29"/>
  <c r="G29" i="29"/>
  <c r="H29" i="29"/>
  <c r="J29" i="29" s="1"/>
  <c r="L29" i="29"/>
  <c r="M29" i="29"/>
  <c r="N29" i="29"/>
  <c r="O29" i="29"/>
  <c r="P29" i="29"/>
  <c r="Q29" i="29"/>
  <c r="D30" i="29"/>
  <c r="E30" i="29"/>
  <c r="F30" i="29"/>
  <c r="G30" i="29"/>
  <c r="H30" i="29"/>
  <c r="J30" i="29" s="1"/>
  <c r="L30" i="29"/>
  <c r="M30" i="29"/>
  <c r="N30" i="29"/>
  <c r="O30" i="29"/>
  <c r="P30" i="29"/>
  <c r="R30" i="29" s="1"/>
  <c r="Q30" i="29"/>
  <c r="D31" i="29"/>
  <c r="E31" i="29"/>
  <c r="F31" i="29"/>
  <c r="G31" i="29"/>
  <c r="H31" i="29"/>
  <c r="L31" i="29"/>
  <c r="M31" i="29"/>
  <c r="N31" i="29"/>
  <c r="O31" i="29"/>
  <c r="P31" i="29"/>
  <c r="R31" i="29" s="1"/>
  <c r="Q31" i="29"/>
  <c r="D32" i="29"/>
  <c r="E32" i="29"/>
  <c r="F32" i="29"/>
  <c r="G32" i="29"/>
  <c r="H32" i="29"/>
  <c r="J32" i="29" s="1"/>
  <c r="Q32" i="29"/>
  <c r="L32" i="29"/>
  <c r="M32" i="29"/>
  <c r="N32" i="29"/>
  <c r="O32" i="29"/>
  <c r="P32" i="29"/>
  <c r="R32" i="29" s="1"/>
  <c r="D33" i="29"/>
  <c r="E33" i="29"/>
  <c r="F33" i="29"/>
  <c r="G33" i="29"/>
  <c r="H33" i="29"/>
  <c r="J33" i="29" s="1"/>
  <c r="L33" i="29"/>
  <c r="M33" i="29"/>
  <c r="N33" i="29"/>
  <c r="O33" i="29"/>
  <c r="P33" i="29"/>
  <c r="R33" i="29" s="1"/>
  <c r="Q33" i="29"/>
  <c r="D34" i="29"/>
  <c r="E34" i="29"/>
  <c r="F34" i="29"/>
  <c r="G34" i="29"/>
  <c r="H34" i="29"/>
  <c r="J34" i="29" s="1"/>
  <c r="L34" i="29"/>
  <c r="M34" i="29"/>
  <c r="N34" i="29"/>
  <c r="O34" i="29"/>
  <c r="P34" i="29"/>
  <c r="R34" i="29" s="1"/>
  <c r="Q34" i="29"/>
  <c r="D35" i="29"/>
  <c r="E35" i="29"/>
  <c r="F35" i="29"/>
  <c r="G35" i="29"/>
  <c r="H35" i="29"/>
  <c r="J35" i="29" s="1"/>
  <c r="I35" i="29"/>
  <c r="L35" i="29"/>
  <c r="M35" i="29"/>
  <c r="N35" i="29"/>
  <c r="O35" i="29"/>
  <c r="P35" i="29"/>
  <c r="R35" i="29" s="1"/>
  <c r="Q35" i="29"/>
  <c r="D36" i="29"/>
  <c r="E36" i="29"/>
  <c r="F36" i="29"/>
  <c r="G36" i="29"/>
  <c r="H36" i="29"/>
  <c r="J36" i="29" s="1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L36" i="29"/>
  <c r="M36" i="29"/>
  <c r="N36" i="29"/>
  <c r="O36" i="29"/>
  <c r="P36" i="29"/>
  <c r="Q36" i="29"/>
  <c r="D37" i="29"/>
  <c r="E37" i="29"/>
  <c r="F37" i="29"/>
  <c r="G37" i="29"/>
  <c r="H37" i="29"/>
  <c r="J37" i="29" s="1"/>
  <c r="Q37" i="29"/>
  <c r="L37" i="29"/>
  <c r="M37" i="29"/>
  <c r="N37" i="29"/>
  <c r="O37" i="29"/>
  <c r="P37" i="29"/>
  <c r="R37" i="29" s="1"/>
  <c r="D38" i="29"/>
  <c r="E38" i="29"/>
  <c r="F38" i="29"/>
  <c r="G38" i="29"/>
  <c r="H38" i="29"/>
  <c r="J38" i="29" s="1"/>
  <c r="L38" i="29"/>
  <c r="M38" i="29"/>
  <c r="N38" i="29"/>
  <c r="O38" i="29"/>
  <c r="P38" i="29"/>
  <c r="R38" i="29" s="1"/>
  <c r="Q38" i="29"/>
  <c r="D39" i="29"/>
  <c r="E39" i="29"/>
  <c r="F39" i="29"/>
  <c r="G39" i="29"/>
  <c r="H39" i="29"/>
  <c r="J39" i="29" s="1"/>
  <c r="L39" i="29"/>
  <c r="M39" i="29"/>
  <c r="N39" i="29"/>
  <c r="O39" i="29"/>
  <c r="P39" i="29"/>
  <c r="R39" i="29" s="1"/>
  <c r="Q39" i="29"/>
  <c r="D40" i="29"/>
  <c r="E40" i="29"/>
  <c r="F40" i="29"/>
  <c r="G40" i="29"/>
  <c r="H40" i="29"/>
  <c r="J40" i="29" s="1"/>
  <c r="L40" i="29"/>
  <c r="M40" i="29"/>
  <c r="N40" i="29"/>
  <c r="O40" i="29"/>
  <c r="P40" i="29"/>
  <c r="Q40" i="29"/>
  <c r="D41" i="29"/>
  <c r="E41" i="29"/>
  <c r="F41" i="29"/>
  <c r="G41" i="29"/>
  <c r="H41" i="29"/>
  <c r="J41" i="29" s="1"/>
  <c r="Q41" i="29"/>
  <c r="L41" i="29"/>
  <c r="M41" i="29"/>
  <c r="N41" i="29"/>
  <c r="O41" i="29"/>
  <c r="P41" i="29"/>
  <c r="D42" i="29"/>
  <c r="E42" i="29"/>
  <c r="F42" i="29"/>
  <c r="G42" i="29"/>
  <c r="H42" i="29"/>
  <c r="J42" i="29" s="1"/>
  <c r="L42" i="29"/>
  <c r="M42" i="29"/>
  <c r="N42" i="29"/>
  <c r="O42" i="29"/>
  <c r="P42" i="29"/>
  <c r="R42" i="29" s="1"/>
  <c r="Q42" i="29"/>
  <c r="D43" i="29"/>
  <c r="E43" i="29"/>
  <c r="F43" i="29"/>
  <c r="G43" i="29"/>
  <c r="H43" i="29"/>
  <c r="J43" i="29" s="1"/>
  <c r="Q43" i="29"/>
  <c r="L43" i="29"/>
  <c r="M43" i="29"/>
  <c r="N43" i="29"/>
  <c r="O43" i="29"/>
  <c r="P43" i="29"/>
  <c r="D44" i="29"/>
  <c r="E44" i="29"/>
  <c r="F44" i="29"/>
  <c r="G44" i="29"/>
  <c r="H44" i="29"/>
  <c r="J44" i="29" s="1"/>
  <c r="L44" i="29"/>
  <c r="M44" i="29"/>
  <c r="N44" i="29"/>
  <c r="O44" i="29"/>
  <c r="P44" i="29"/>
  <c r="Q44" i="29"/>
  <c r="D45" i="29"/>
  <c r="E45" i="29"/>
  <c r="F45" i="29"/>
  <c r="G45" i="29"/>
  <c r="H45" i="29"/>
  <c r="J45" i="29" s="1"/>
  <c r="P45" i="29"/>
  <c r="R45" i="29" s="1"/>
  <c r="L45" i="29"/>
  <c r="M45" i="29"/>
  <c r="N45" i="29"/>
  <c r="O45" i="29"/>
  <c r="Q45" i="29"/>
  <c r="D46" i="29"/>
  <c r="E46" i="29"/>
  <c r="F46" i="29"/>
  <c r="G46" i="29"/>
  <c r="H46" i="29"/>
  <c r="J46" i="29" s="1"/>
  <c r="L46" i="29"/>
  <c r="M46" i="29"/>
  <c r="N46" i="29"/>
  <c r="O46" i="29"/>
  <c r="P46" i="29"/>
  <c r="Q46" i="29"/>
  <c r="D47" i="29"/>
  <c r="E47" i="29"/>
  <c r="F47" i="29"/>
  <c r="G47" i="29"/>
  <c r="H47" i="29"/>
  <c r="J47" i="29" s="1"/>
  <c r="L47" i="29"/>
  <c r="M47" i="29"/>
  <c r="N47" i="29"/>
  <c r="O47" i="29"/>
  <c r="P47" i="29"/>
  <c r="Q47" i="29"/>
  <c r="D48" i="29"/>
  <c r="E48" i="29"/>
  <c r="F48" i="29"/>
  <c r="G48" i="29"/>
  <c r="H48" i="29"/>
  <c r="P48" i="29"/>
  <c r="R48" i="29" s="1"/>
  <c r="L48" i="29"/>
  <c r="M48" i="29"/>
  <c r="N48" i="29"/>
  <c r="O48" i="29"/>
  <c r="Q48" i="29"/>
  <c r="D49" i="29"/>
  <c r="E49" i="29"/>
  <c r="F49" i="29"/>
  <c r="G49" i="29"/>
  <c r="H49" i="29"/>
  <c r="J49" i="29" s="1"/>
  <c r="L49" i="29"/>
  <c r="M49" i="29"/>
  <c r="N49" i="29"/>
  <c r="O49" i="29"/>
  <c r="P49" i="29"/>
  <c r="R49" i="29" s="1"/>
  <c r="Q49" i="29"/>
  <c r="D50" i="29"/>
  <c r="E50" i="29"/>
  <c r="F50" i="29"/>
  <c r="G50" i="29"/>
  <c r="H50" i="29"/>
  <c r="J50" i="29" s="1"/>
  <c r="L50" i="29"/>
  <c r="M50" i="29"/>
  <c r="N50" i="29"/>
  <c r="O50" i="29"/>
  <c r="P50" i="29"/>
  <c r="R50" i="29" s="1"/>
  <c r="Q50" i="29"/>
  <c r="D51" i="29"/>
  <c r="E51" i="29"/>
  <c r="F51" i="29"/>
  <c r="G51" i="29"/>
  <c r="H51" i="29"/>
  <c r="J51" i="29" s="1"/>
  <c r="I51" i="29"/>
  <c r="L51" i="29"/>
  <c r="M51" i="29"/>
  <c r="N51" i="29"/>
  <c r="O51" i="29"/>
  <c r="P51" i="29"/>
  <c r="R51" i="29" s="1"/>
  <c r="Q51" i="29"/>
  <c r="D52" i="29"/>
  <c r="E52" i="29"/>
  <c r="F52" i="29"/>
  <c r="G52" i="29"/>
  <c r="H52" i="29"/>
  <c r="J52" i="29" s="1"/>
  <c r="I52" i="29"/>
  <c r="L52" i="29"/>
  <c r="M52" i="29"/>
  <c r="N52" i="29"/>
  <c r="O52" i="29"/>
  <c r="P52" i="29"/>
  <c r="R52" i="29" s="1"/>
  <c r="Q52" i="29"/>
  <c r="D53" i="29"/>
  <c r="E53" i="29"/>
  <c r="F53" i="29"/>
  <c r="G53" i="29"/>
  <c r="H53" i="29"/>
  <c r="J53" i="29" s="1"/>
  <c r="I53" i="29"/>
  <c r="L53" i="29"/>
  <c r="M53" i="29"/>
  <c r="N53" i="29"/>
  <c r="O53" i="29"/>
  <c r="P53" i="29"/>
  <c r="Q53" i="29"/>
  <c r="D54" i="29"/>
  <c r="E54" i="29"/>
  <c r="F54" i="29"/>
  <c r="G54" i="29"/>
  <c r="H54" i="29"/>
  <c r="J54" i="29" s="1"/>
  <c r="I54" i="29"/>
  <c r="L54" i="29"/>
  <c r="M54" i="29"/>
  <c r="N54" i="29"/>
  <c r="O54" i="29"/>
  <c r="P54" i="29"/>
  <c r="Q54" i="29"/>
  <c r="D55" i="29"/>
  <c r="E55" i="29"/>
  <c r="F55" i="29"/>
  <c r="G55" i="29"/>
  <c r="H55" i="29"/>
  <c r="J55" i="29" s="1"/>
  <c r="I55" i="29"/>
  <c r="L55" i="29"/>
  <c r="M55" i="29"/>
  <c r="N55" i="29"/>
  <c r="O55" i="29"/>
  <c r="P55" i="29"/>
  <c r="Q55" i="29"/>
  <c r="D56" i="29"/>
  <c r="E56" i="29"/>
  <c r="F56" i="29"/>
  <c r="G56" i="29"/>
  <c r="H56" i="29"/>
  <c r="J56" i="29" s="1"/>
  <c r="I56" i="29"/>
  <c r="L56" i="29"/>
  <c r="M56" i="29"/>
  <c r="N56" i="29"/>
  <c r="O56" i="29"/>
  <c r="P56" i="29"/>
  <c r="R56" i="29" s="1"/>
  <c r="Q56" i="29"/>
  <c r="D57" i="29"/>
  <c r="E57" i="29"/>
  <c r="F57" i="29"/>
  <c r="G57" i="29"/>
  <c r="H57" i="29"/>
  <c r="J57" i="29" s="1"/>
  <c r="I57" i="29"/>
  <c r="L57" i="29"/>
  <c r="M57" i="29"/>
  <c r="N57" i="29"/>
  <c r="O57" i="29"/>
  <c r="P57" i="29"/>
  <c r="R57" i="29" s="1"/>
  <c r="Q57" i="29"/>
  <c r="D58" i="29"/>
  <c r="E58" i="29"/>
  <c r="F58" i="29"/>
  <c r="G58" i="29"/>
  <c r="H58" i="29"/>
  <c r="J58" i="29" s="1"/>
  <c r="I58" i="29"/>
  <c r="L58" i="29"/>
  <c r="M58" i="29"/>
  <c r="N58" i="29"/>
  <c r="O58" i="29"/>
  <c r="P58" i="29"/>
  <c r="R58" i="29" s="1"/>
  <c r="Q58" i="29"/>
  <c r="Q3" i="29"/>
  <c r="P3" i="29"/>
  <c r="R3" i="29" s="1"/>
  <c r="O3" i="29"/>
  <c r="N3" i="29"/>
  <c r="M3" i="29"/>
  <c r="L3" i="29"/>
  <c r="H3" i="29"/>
  <c r="J3" i="29" s="1"/>
  <c r="G3" i="29"/>
  <c r="F3" i="29"/>
  <c r="E3" i="29"/>
  <c r="D3" i="29"/>
  <c r="Q74" i="25"/>
  <c r="I74" i="25"/>
  <c r="P74" i="25"/>
  <c r="R74" i="25" s="1"/>
  <c r="O74" i="25"/>
  <c r="N74" i="25"/>
  <c r="M74" i="25"/>
  <c r="L74" i="25"/>
  <c r="H74" i="25"/>
  <c r="J74" i="25" s="1"/>
  <c r="G74" i="25"/>
  <c r="F74" i="25"/>
  <c r="E74" i="25"/>
  <c r="D74" i="25"/>
  <c r="Q73" i="25"/>
  <c r="I73" i="25"/>
  <c r="P73" i="25"/>
  <c r="O73" i="25"/>
  <c r="N73" i="25"/>
  <c r="M73" i="25"/>
  <c r="L73" i="25"/>
  <c r="H73" i="25"/>
  <c r="J73" i="25" s="1"/>
  <c r="G73" i="25"/>
  <c r="F73" i="25"/>
  <c r="E73" i="25"/>
  <c r="D73" i="25"/>
  <c r="Q72" i="25"/>
  <c r="P72" i="25"/>
  <c r="R72" i="25" s="1"/>
  <c r="O72" i="25"/>
  <c r="N72" i="25"/>
  <c r="M72" i="25"/>
  <c r="L72" i="25"/>
  <c r="I72" i="25"/>
  <c r="H72" i="25"/>
  <c r="J72" i="25" s="1"/>
  <c r="G72" i="25"/>
  <c r="F72" i="25"/>
  <c r="E72" i="25"/>
  <c r="D72" i="25"/>
  <c r="Q71" i="25"/>
  <c r="I71" i="25"/>
  <c r="P71" i="25"/>
  <c r="R71" i="25" s="1"/>
  <c r="O71" i="25"/>
  <c r="N71" i="25"/>
  <c r="M71" i="25"/>
  <c r="L71" i="25"/>
  <c r="H71" i="25"/>
  <c r="J71" i="25" s="1"/>
  <c r="G71" i="25"/>
  <c r="F71" i="25"/>
  <c r="E71" i="25"/>
  <c r="D71" i="25"/>
  <c r="Q70" i="25"/>
  <c r="I70" i="25"/>
  <c r="P70" i="25"/>
  <c r="R70" i="25" s="1"/>
  <c r="O70" i="25"/>
  <c r="N70" i="25"/>
  <c r="M70" i="25"/>
  <c r="L70" i="25"/>
  <c r="H70" i="25"/>
  <c r="J70" i="25" s="1"/>
  <c r="G70" i="25"/>
  <c r="F70" i="25"/>
  <c r="E70" i="25"/>
  <c r="D70" i="25"/>
  <c r="Q69" i="25"/>
  <c r="I69" i="25"/>
  <c r="P69" i="25"/>
  <c r="R69" i="25" s="1"/>
  <c r="O69" i="25"/>
  <c r="N69" i="25"/>
  <c r="M69" i="25"/>
  <c r="L69" i="25"/>
  <c r="H69" i="25"/>
  <c r="J69" i="25" s="1"/>
  <c r="G69" i="25"/>
  <c r="F69" i="25"/>
  <c r="E69" i="25"/>
  <c r="D69" i="25"/>
  <c r="Q68" i="25"/>
  <c r="I68" i="25"/>
  <c r="P68" i="25"/>
  <c r="O68" i="25"/>
  <c r="N68" i="25"/>
  <c r="M68" i="25"/>
  <c r="L68" i="25"/>
  <c r="H68" i="25"/>
  <c r="J68" i="25" s="1"/>
  <c r="G68" i="25"/>
  <c r="F68" i="25"/>
  <c r="E68" i="25"/>
  <c r="D68" i="25"/>
  <c r="Q67" i="25"/>
  <c r="P67" i="25"/>
  <c r="O67" i="25"/>
  <c r="N67" i="25"/>
  <c r="M67" i="25"/>
  <c r="L67" i="25"/>
  <c r="I67" i="25"/>
  <c r="H67" i="25"/>
  <c r="J67" i="25" s="1"/>
  <c r="G67" i="25"/>
  <c r="F67" i="25"/>
  <c r="E67" i="25"/>
  <c r="D67" i="25"/>
  <c r="Q66" i="25"/>
  <c r="I66" i="25"/>
  <c r="P66" i="25"/>
  <c r="R66" i="25" s="1"/>
  <c r="O66" i="25"/>
  <c r="N66" i="25"/>
  <c r="M66" i="25"/>
  <c r="L66" i="25"/>
  <c r="H66" i="25"/>
  <c r="J66" i="25" s="1"/>
  <c r="G66" i="25"/>
  <c r="F66" i="25"/>
  <c r="E66" i="25"/>
  <c r="D66" i="25"/>
  <c r="Q65" i="25"/>
  <c r="P65" i="25"/>
  <c r="O65" i="25"/>
  <c r="N65" i="25"/>
  <c r="M65" i="25"/>
  <c r="L65" i="25"/>
  <c r="I65" i="25"/>
  <c r="H65" i="25"/>
  <c r="J65" i="25" s="1"/>
  <c r="G65" i="25"/>
  <c r="F65" i="25"/>
  <c r="E65" i="25"/>
  <c r="D65" i="25"/>
  <c r="Q64" i="25"/>
  <c r="I64" i="25"/>
  <c r="P64" i="25"/>
  <c r="O64" i="25"/>
  <c r="N64" i="25"/>
  <c r="M64" i="25"/>
  <c r="L64" i="25"/>
  <c r="H64" i="25"/>
  <c r="J64" i="25" s="1"/>
  <c r="G64" i="25"/>
  <c r="F64" i="25"/>
  <c r="E64" i="25"/>
  <c r="D64" i="25"/>
  <c r="Q63" i="25"/>
  <c r="I63" i="25"/>
  <c r="P63" i="25"/>
  <c r="R63" i="25" s="1"/>
  <c r="O63" i="25"/>
  <c r="N63" i="25"/>
  <c r="M63" i="25"/>
  <c r="L63" i="25"/>
  <c r="H63" i="25"/>
  <c r="J63" i="25" s="1"/>
  <c r="G63" i="25"/>
  <c r="F63" i="25"/>
  <c r="E63" i="25"/>
  <c r="D63" i="25"/>
  <c r="Q62" i="25"/>
  <c r="I62" i="25"/>
  <c r="P62" i="25"/>
  <c r="R62" i="25" s="1"/>
  <c r="O62" i="25"/>
  <c r="N62" i="25"/>
  <c r="M62" i="25"/>
  <c r="L62" i="25"/>
  <c r="H62" i="25"/>
  <c r="J62" i="25" s="1"/>
  <c r="G62" i="25"/>
  <c r="F62" i="25"/>
  <c r="E62" i="25"/>
  <c r="D62" i="25"/>
  <c r="Q61" i="25"/>
  <c r="I61" i="25"/>
  <c r="P61" i="25"/>
  <c r="R61" i="25" s="1"/>
  <c r="O61" i="25"/>
  <c r="N61" i="25"/>
  <c r="M61" i="25"/>
  <c r="L61" i="25"/>
  <c r="H61" i="25"/>
  <c r="J61" i="25" s="1"/>
  <c r="G61" i="25"/>
  <c r="F61" i="25"/>
  <c r="E61" i="25"/>
  <c r="D61" i="25"/>
  <c r="Q60" i="25"/>
  <c r="P60" i="25"/>
  <c r="O60" i="25"/>
  <c r="N60" i="25"/>
  <c r="M60" i="25"/>
  <c r="L60" i="25"/>
  <c r="I60" i="25"/>
  <c r="I59" i="25"/>
  <c r="H60" i="25"/>
  <c r="J60" i="25" s="1"/>
  <c r="G60" i="25"/>
  <c r="F60" i="25"/>
  <c r="E60" i="25"/>
  <c r="D60" i="25"/>
  <c r="Q59" i="25"/>
  <c r="P59" i="25"/>
  <c r="O59" i="25"/>
  <c r="N59" i="25"/>
  <c r="M59" i="25"/>
  <c r="L59" i="25"/>
  <c r="H59" i="25"/>
  <c r="J59" i="25" s="1"/>
  <c r="G59" i="25"/>
  <c r="F59" i="25"/>
  <c r="E59" i="25"/>
  <c r="D59" i="25"/>
  <c r="I4" i="25"/>
  <c r="R6" i="25"/>
  <c r="H7" i="25"/>
  <c r="J7" i="25" s="1"/>
  <c r="H8" i="25"/>
  <c r="J8" i="25" s="1"/>
  <c r="R9" i="25"/>
  <c r="I9" i="25"/>
  <c r="T9" i="25" s="1"/>
  <c r="R10" i="25"/>
  <c r="I10" i="25"/>
  <c r="R11" i="25"/>
  <c r="I11" i="25"/>
  <c r="R12" i="25"/>
  <c r="R13" i="25"/>
  <c r="I13" i="25"/>
  <c r="R14" i="25"/>
  <c r="I14" i="25"/>
  <c r="I15" i="25"/>
  <c r="R16" i="25"/>
  <c r="I16" i="25"/>
  <c r="R17" i="25"/>
  <c r="I17" i="25"/>
  <c r="R19" i="25"/>
  <c r="H19" i="25"/>
  <c r="J19" i="25" s="1"/>
  <c r="R20" i="25"/>
  <c r="I20" i="25"/>
  <c r="H21" i="25"/>
  <c r="J21" i="25" s="1"/>
  <c r="I21" i="25"/>
  <c r="R22" i="25"/>
  <c r="I22" i="25"/>
  <c r="R23" i="25"/>
  <c r="H24" i="25"/>
  <c r="J24" i="25" s="1"/>
  <c r="I24" i="25"/>
  <c r="H25" i="25"/>
  <c r="J25" i="25" s="1"/>
  <c r="I25" i="25"/>
  <c r="R26" i="25"/>
  <c r="I26" i="25"/>
  <c r="R27" i="25"/>
  <c r="R28" i="25"/>
  <c r="I28" i="25"/>
  <c r="R29" i="25"/>
  <c r="I29" i="25"/>
  <c r="R30" i="25"/>
  <c r="I30" i="25"/>
  <c r="I31" i="25"/>
  <c r="R33" i="25"/>
  <c r="I33" i="25"/>
  <c r="R34" i="25"/>
  <c r="H34" i="25"/>
  <c r="J34" i="25" s="1"/>
  <c r="R35" i="25"/>
  <c r="R36" i="25"/>
  <c r="I36" i="25"/>
  <c r="R37" i="25"/>
  <c r="I37" i="25"/>
  <c r="R38" i="25"/>
  <c r="I38" i="25"/>
  <c r="I39" i="25"/>
  <c r="R40" i="25"/>
  <c r="R41" i="25"/>
  <c r="H42" i="25"/>
  <c r="J42" i="25" s="1"/>
  <c r="I42" i="25"/>
  <c r="R43" i="25"/>
  <c r="H43" i="25"/>
  <c r="J43" i="25" s="1"/>
  <c r="I43" i="25"/>
  <c r="R44" i="25"/>
  <c r="I44" i="25"/>
  <c r="I45" i="25"/>
  <c r="R46" i="25"/>
  <c r="R47" i="25"/>
  <c r="I47" i="25"/>
  <c r="R48" i="25"/>
  <c r="H48" i="25"/>
  <c r="J48" i="25" s="1"/>
  <c r="I48" i="25"/>
  <c r="R49" i="25"/>
  <c r="I49" i="25"/>
  <c r="R50" i="25"/>
  <c r="I50" i="25"/>
  <c r="M51" i="25"/>
  <c r="N51" i="25"/>
  <c r="O51" i="25"/>
  <c r="P51" i="25"/>
  <c r="Q51" i="25"/>
  <c r="L52" i="25"/>
  <c r="M52" i="25"/>
  <c r="N52" i="25"/>
  <c r="O52" i="25"/>
  <c r="P52" i="25"/>
  <c r="Q52" i="25"/>
  <c r="I52" i="25"/>
  <c r="L53" i="25"/>
  <c r="M53" i="25"/>
  <c r="N53" i="25"/>
  <c r="O53" i="25"/>
  <c r="P53" i="25"/>
  <c r="R53" i="25" s="1"/>
  <c r="Q53" i="25"/>
  <c r="L54" i="25"/>
  <c r="M54" i="25"/>
  <c r="N54" i="25"/>
  <c r="O54" i="25"/>
  <c r="P54" i="25"/>
  <c r="R54" i="25" s="1"/>
  <c r="Q54" i="25"/>
  <c r="I54" i="25"/>
  <c r="L55" i="25"/>
  <c r="M55" i="25"/>
  <c r="N55" i="25"/>
  <c r="O55" i="25"/>
  <c r="P55" i="25"/>
  <c r="R55" i="25" s="1"/>
  <c r="Q55" i="25"/>
  <c r="I55" i="25"/>
  <c r="L56" i="25"/>
  <c r="M56" i="25"/>
  <c r="N56" i="25"/>
  <c r="O56" i="25"/>
  <c r="P56" i="25"/>
  <c r="R56" i="25" s="1"/>
  <c r="Q56" i="25"/>
  <c r="L57" i="25"/>
  <c r="M57" i="25"/>
  <c r="N57" i="25"/>
  <c r="O57" i="25"/>
  <c r="P57" i="25"/>
  <c r="R57" i="25" s="1"/>
  <c r="H57" i="25"/>
  <c r="J57" i="25" s="1"/>
  <c r="Q57" i="25"/>
  <c r="L58" i="25"/>
  <c r="M58" i="25"/>
  <c r="N58" i="25"/>
  <c r="O58" i="25"/>
  <c r="P58" i="25"/>
  <c r="Q58" i="25"/>
  <c r="I58" i="25"/>
  <c r="D4" i="25"/>
  <c r="E4" i="25"/>
  <c r="F4" i="25"/>
  <c r="G4" i="25"/>
  <c r="H4" i="25"/>
  <c r="J4" i="25" s="1"/>
  <c r="D5" i="25"/>
  <c r="E5" i="25"/>
  <c r="F5" i="25"/>
  <c r="G5" i="25"/>
  <c r="H5" i="25"/>
  <c r="J5" i="25" s="1"/>
  <c r="I5" i="25"/>
  <c r="I3" i="25"/>
  <c r="I6" i="25"/>
  <c r="I7" i="25"/>
  <c r="I8" i="25"/>
  <c r="I12" i="25"/>
  <c r="I18" i="25"/>
  <c r="I19" i="25"/>
  <c r="I23" i="25"/>
  <c r="I27" i="25"/>
  <c r="I32" i="25"/>
  <c r="I34" i="25"/>
  <c r="T34" i="25" s="1"/>
  <c r="I35" i="25"/>
  <c r="I40" i="25"/>
  <c r="I41" i="25"/>
  <c r="I46" i="25"/>
  <c r="I51" i="25"/>
  <c r="I53" i="25"/>
  <c r="I56" i="25"/>
  <c r="I57" i="25"/>
  <c r="D6" i="25"/>
  <c r="E6" i="25"/>
  <c r="F6" i="25"/>
  <c r="G6" i="25"/>
  <c r="H6" i="25"/>
  <c r="J6" i="25" s="1"/>
  <c r="D7" i="25"/>
  <c r="E7" i="25"/>
  <c r="F7" i="25"/>
  <c r="G7" i="25"/>
  <c r="D8" i="25"/>
  <c r="E8" i="25"/>
  <c r="F8" i="25"/>
  <c r="G8" i="25"/>
  <c r="D9" i="25"/>
  <c r="E9" i="25"/>
  <c r="F9" i="25"/>
  <c r="G9" i="25"/>
  <c r="H9" i="25"/>
  <c r="J9" i="25" s="1"/>
  <c r="D10" i="25"/>
  <c r="E10" i="25"/>
  <c r="F10" i="25"/>
  <c r="G10" i="25"/>
  <c r="H10" i="25"/>
  <c r="D11" i="25"/>
  <c r="E11" i="25"/>
  <c r="F11" i="25"/>
  <c r="G11" i="25"/>
  <c r="H11" i="25"/>
  <c r="J11" i="25" s="1"/>
  <c r="D12" i="25"/>
  <c r="E12" i="25"/>
  <c r="F12" i="25"/>
  <c r="G12" i="25"/>
  <c r="H12" i="25"/>
  <c r="J12" i="25" s="1"/>
  <c r="D13" i="25"/>
  <c r="E13" i="25"/>
  <c r="F13" i="25"/>
  <c r="G13" i="25"/>
  <c r="H13" i="25"/>
  <c r="J13" i="25" s="1"/>
  <c r="D14" i="25"/>
  <c r="E14" i="25"/>
  <c r="F14" i="25"/>
  <c r="G14" i="25"/>
  <c r="H14" i="25"/>
  <c r="J14" i="25" s="1"/>
  <c r="D15" i="25"/>
  <c r="E15" i="25"/>
  <c r="F15" i="25"/>
  <c r="G15" i="25"/>
  <c r="H15" i="25"/>
  <c r="J15" i="25" s="1"/>
  <c r="D16" i="25"/>
  <c r="E16" i="25"/>
  <c r="F16" i="25"/>
  <c r="G16" i="25"/>
  <c r="H16" i="25"/>
  <c r="J16" i="25" s="1"/>
  <c r="D17" i="25"/>
  <c r="E17" i="25"/>
  <c r="F17" i="25"/>
  <c r="G17" i="25"/>
  <c r="H17" i="25"/>
  <c r="J17" i="25" s="1"/>
  <c r="D18" i="25"/>
  <c r="E18" i="25"/>
  <c r="F18" i="25"/>
  <c r="G18" i="25"/>
  <c r="H18" i="25"/>
  <c r="J18" i="25" s="1"/>
  <c r="D19" i="25"/>
  <c r="E19" i="25"/>
  <c r="F19" i="25"/>
  <c r="G19" i="25"/>
  <c r="D20" i="25"/>
  <c r="E20" i="25"/>
  <c r="F20" i="25"/>
  <c r="G20" i="25"/>
  <c r="H20" i="25"/>
  <c r="J20" i="25" s="1"/>
  <c r="D21" i="25"/>
  <c r="E21" i="25"/>
  <c r="F21" i="25"/>
  <c r="G21" i="25"/>
  <c r="D22" i="25"/>
  <c r="E22" i="25"/>
  <c r="F22" i="25"/>
  <c r="G22" i="25"/>
  <c r="H22" i="25"/>
  <c r="J22" i="25" s="1"/>
  <c r="D23" i="25"/>
  <c r="E23" i="25"/>
  <c r="F23" i="25"/>
  <c r="G23" i="25"/>
  <c r="H23" i="25"/>
  <c r="J23" i="25" s="1"/>
  <c r="D24" i="25"/>
  <c r="E24" i="25"/>
  <c r="F24" i="25"/>
  <c r="G24" i="25"/>
  <c r="D25" i="25"/>
  <c r="E25" i="25"/>
  <c r="F25" i="25"/>
  <c r="G25" i="25"/>
  <c r="D26" i="25"/>
  <c r="E26" i="25"/>
  <c r="F26" i="25"/>
  <c r="G26" i="25"/>
  <c r="H26" i="25"/>
  <c r="J26" i="25" s="1"/>
  <c r="D27" i="25"/>
  <c r="E27" i="25"/>
  <c r="F27" i="25"/>
  <c r="G27" i="25"/>
  <c r="H27" i="25"/>
  <c r="J27" i="25" s="1"/>
  <c r="D28" i="25"/>
  <c r="E28" i="25"/>
  <c r="F28" i="25"/>
  <c r="G28" i="25"/>
  <c r="H28" i="25"/>
  <c r="J28" i="25" s="1"/>
  <c r="D29" i="25"/>
  <c r="E29" i="25"/>
  <c r="F29" i="25"/>
  <c r="G29" i="25"/>
  <c r="H29" i="25"/>
  <c r="J29" i="25" s="1"/>
  <c r="D30" i="25"/>
  <c r="E30" i="25"/>
  <c r="F30" i="25"/>
  <c r="G30" i="25"/>
  <c r="H30" i="25"/>
  <c r="J30" i="25" s="1"/>
  <c r="D31" i="25"/>
  <c r="E31" i="25"/>
  <c r="F31" i="25"/>
  <c r="G31" i="25"/>
  <c r="H31" i="25"/>
  <c r="J31" i="25" s="1"/>
  <c r="D32" i="25"/>
  <c r="E32" i="25"/>
  <c r="F32" i="25"/>
  <c r="G32" i="25"/>
  <c r="H32" i="25"/>
  <c r="J32" i="25" s="1"/>
  <c r="D33" i="25"/>
  <c r="E33" i="25"/>
  <c r="F33" i="25"/>
  <c r="G33" i="25"/>
  <c r="H33" i="25"/>
  <c r="J33" i="25" s="1"/>
  <c r="D34" i="25"/>
  <c r="E34" i="25"/>
  <c r="F34" i="25"/>
  <c r="G34" i="25"/>
  <c r="D35" i="25"/>
  <c r="E35" i="25"/>
  <c r="F35" i="25"/>
  <c r="G35" i="25"/>
  <c r="H35" i="25"/>
  <c r="J35" i="25" s="1"/>
  <c r="D36" i="25"/>
  <c r="E36" i="25"/>
  <c r="F36" i="25"/>
  <c r="G36" i="25"/>
  <c r="H36" i="25"/>
  <c r="J36" i="25" s="1"/>
  <c r="D37" i="25"/>
  <c r="E37" i="25"/>
  <c r="F37" i="25"/>
  <c r="G37" i="25"/>
  <c r="H37" i="25"/>
  <c r="J37" i="25" s="1"/>
  <c r="D38" i="25"/>
  <c r="E38" i="25"/>
  <c r="F38" i="25"/>
  <c r="G38" i="25"/>
  <c r="H38" i="25"/>
  <c r="J38" i="25" s="1"/>
  <c r="D39" i="25"/>
  <c r="E39" i="25"/>
  <c r="F39" i="25"/>
  <c r="G39" i="25"/>
  <c r="H39" i="25"/>
  <c r="J39" i="25" s="1"/>
  <c r="D40" i="25"/>
  <c r="E40" i="25"/>
  <c r="F40" i="25"/>
  <c r="G40" i="25"/>
  <c r="H40" i="25"/>
  <c r="J40" i="25" s="1"/>
  <c r="D41" i="25"/>
  <c r="E41" i="25"/>
  <c r="F41" i="25"/>
  <c r="G41" i="25"/>
  <c r="H41" i="25"/>
  <c r="J41" i="25" s="1"/>
  <c r="D42" i="25"/>
  <c r="E42" i="25"/>
  <c r="F42" i="25"/>
  <c r="G42" i="25"/>
  <c r="D43" i="25"/>
  <c r="E43" i="25"/>
  <c r="F43" i="25"/>
  <c r="G43" i="25"/>
  <c r="D44" i="25"/>
  <c r="E44" i="25"/>
  <c r="F44" i="25"/>
  <c r="G44" i="25"/>
  <c r="H44" i="25"/>
  <c r="J44" i="25" s="1"/>
  <c r="D45" i="25"/>
  <c r="E45" i="25"/>
  <c r="F45" i="25"/>
  <c r="G45" i="25"/>
  <c r="H45" i="25"/>
  <c r="J45" i="25" s="1"/>
  <c r="D46" i="25"/>
  <c r="E46" i="25"/>
  <c r="F46" i="25"/>
  <c r="G46" i="25"/>
  <c r="H46" i="25"/>
  <c r="J46" i="25" s="1"/>
  <c r="D47" i="25"/>
  <c r="E47" i="25"/>
  <c r="F47" i="25"/>
  <c r="G47" i="25"/>
  <c r="H47" i="25"/>
  <c r="J47" i="25" s="1"/>
  <c r="D48" i="25"/>
  <c r="E48" i="25"/>
  <c r="F48" i="25"/>
  <c r="G48" i="25"/>
  <c r="D49" i="25"/>
  <c r="E49" i="25"/>
  <c r="F49" i="25"/>
  <c r="G49" i="25"/>
  <c r="H49" i="25"/>
  <c r="J49" i="25" s="1"/>
  <c r="D50" i="25"/>
  <c r="E50" i="25"/>
  <c r="F50" i="25"/>
  <c r="G50" i="25"/>
  <c r="H50" i="25"/>
  <c r="J50" i="25" s="1"/>
  <c r="D51" i="25"/>
  <c r="E51" i="25"/>
  <c r="F51" i="25"/>
  <c r="G51" i="25"/>
  <c r="H51" i="25"/>
  <c r="J51" i="25" s="1"/>
  <c r="D52" i="25"/>
  <c r="E52" i="25"/>
  <c r="F52" i="25"/>
  <c r="G52" i="25"/>
  <c r="H52" i="25"/>
  <c r="J52" i="25" s="1"/>
  <c r="D53" i="25"/>
  <c r="E53" i="25"/>
  <c r="F53" i="25"/>
  <c r="G53" i="25"/>
  <c r="H53" i="25"/>
  <c r="J53" i="25" s="1"/>
  <c r="D54" i="25"/>
  <c r="E54" i="25"/>
  <c r="F54" i="25"/>
  <c r="G54" i="25"/>
  <c r="H54" i="25"/>
  <c r="J54" i="25" s="1"/>
  <c r="D55" i="25"/>
  <c r="E55" i="25"/>
  <c r="F55" i="25"/>
  <c r="G55" i="25"/>
  <c r="H55" i="25"/>
  <c r="J55" i="25" s="1"/>
  <c r="D56" i="25"/>
  <c r="E56" i="25"/>
  <c r="F56" i="25"/>
  <c r="G56" i="25"/>
  <c r="H56" i="25"/>
  <c r="J56" i="25" s="1"/>
  <c r="D57" i="25"/>
  <c r="E57" i="25"/>
  <c r="F57" i="25"/>
  <c r="G57" i="25"/>
  <c r="D58" i="25"/>
  <c r="E58" i="25"/>
  <c r="F58" i="25"/>
  <c r="G58" i="25"/>
  <c r="H58" i="25"/>
  <c r="J58" i="25" s="1"/>
  <c r="R3" i="25"/>
  <c r="H3" i="25"/>
  <c r="J3" i="25" s="1"/>
  <c r="G3" i="25"/>
  <c r="F3" i="25"/>
  <c r="E3" i="25"/>
  <c r="D3" i="25"/>
  <c r="Q74" i="20"/>
  <c r="P74" i="20"/>
  <c r="R74" i="20" s="1"/>
  <c r="O74" i="20"/>
  <c r="N74" i="20"/>
  <c r="M74" i="20"/>
  <c r="L74" i="20"/>
  <c r="I74" i="20"/>
  <c r="H74" i="20"/>
  <c r="J74" i="20" s="1"/>
  <c r="G74" i="20"/>
  <c r="F74" i="20"/>
  <c r="E74" i="20"/>
  <c r="D74" i="20"/>
  <c r="Q73" i="20"/>
  <c r="I73" i="20"/>
  <c r="P73" i="20"/>
  <c r="H73" i="20"/>
  <c r="J73" i="20" s="1"/>
  <c r="O73" i="20"/>
  <c r="N73" i="20"/>
  <c r="M73" i="20"/>
  <c r="L73" i="20"/>
  <c r="G73" i="20"/>
  <c r="F73" i="20"/>
  <c r="E73" i="20"/>
  <c r="D73" i="20"/>
  <c r="Q72" i="20"/>
  <c r="P72" i="20"/>
  <c r="R72" i="20" s="1"/>
  <c r="O72" i="20"/>
  <c r="N72" i="20"/>
  <c r="M72" i="20"/>
  <c r="L72" i="20"/>
  <c r="I72" i="20"/>
  <c r="H72" i="20"/>
  <c r="J72" i="20" s="1"/>
  <c r="G72" i="20"/>
  <c r="F72" i="20"/>
  <c r="E72" i="20"/>
  <c r="D72" i="20"/>
  <c r="Q71" i="20"/>
  <c r="I71" i="20"/>
  <c r="P71" i="20"/>
  <c r="R71" i="20" s="1"/>
  <c r="O71" i="20"/>
  <c r="N71" i="20"/>
  <c r="M71" i="20"/>
  <c r="L71" i="20"/>
  <c r="H71" i="20"/>
  <c r="J71" i="20" s="1"/>
  <c r="G71" i="20"/>
  <c r="F71" i="20"/>
  <c r="E71" i="20"/>
  <c r="D71" i="20"/>
  <c r="Q70" i="20"/>
  <c r="I70" i="20"/>
  <c r="P70" i="20"/>
  <c r="O70" i="20"/>
  <c r="N70" i="20"/>
  <c r="M70" i="20"/>
  <c r="L70" i="20"/>
  <c r="H70" i="20"/>
  <c r="J70" i="20" s="1"/>
  <c r="G70" i="20"/>
  <c r="F70" i="20"/>
  <c r="E70" i="20"/>
  <c r="D70" i="20"/>
  <c r="Q69" i="20"/>
  <c r="P69" i="20"/>
  <c r="R69" i="20" s="1"/>
  <c r="O69" i="20"/>
  <c r="N69" i="20"/>
  <c r="M69" i="20"/>
  <c r="L69" i="20"/>
  <c r="I69" i="20"/>
  <c r="H69" i="20"/>
  <c r="J69" i="20" s="1"/>
  <c r="G69" i="20"/>
  <c r="F69" i="20"/>
  <c r="E69" i="20"/>
  <c r="D69" i="20"/>
  <c r="Q68" i="20"/>
  <c r="I68" i="20"/>
  <c r="P68" i="20"/>
  <c r="R68" i="20" s="1"/>
  <c r="H68" i="20"/>
  <c r="O68" i="20"/>
  <c r="N68" i="20"/>
  <c r="M68" i="20"/>
  <c r="L68" i="20"/>
  <c r="G68" i="20"/>
  <c r="F68" i="20"/>
  <c r="E68" i="20"/>
  <c r="D68" i="20"/>
  <c r="Q67" i="20"/>
  <c r="I67" i="20"/>
  <c r="P67" i="20"/>
  <c r="O67" i="20"/>
  <c r="N67" i="20"/>
  <c r="M67" i="20"/>
  <c r="L67" i="20"/>
  <c r="H67" i="20"/>
  <c r="J67" i="20" s="1"/>
  <c r="G67" i="20"/>
  <c r="F67" i="20"/>
  <c r="E67" i="20"/>
  <c r="D67" i="20"/>
  <c r="Q66" i="20"/>
  <c r="I66" i="20"/>
  <c r="P66" i="20"/>
  <c r="O66" i="20"/>
  <c r="N66" i="20"/>
  <c r="M66" i="20"/>
  <c r="L66" i="20"/>
  <c r="H66" i="20"/>
  <c r="J66" i="20" s="1"/>
  <c r="G66" i="20"/>
  <c r="F66" i="20"/>
  <c r="E66" i="20"/>
  <c r="D66" i="20"/>
  <c r="Q65" i="20"/>
  <c r="P65" i="20"/>
  <c r="R65" i="20" s="1"/>
  <c r="O65" i="20"/>
  <c r="N65" i="20"/>
  <c r="M65" i="20"/>
  <c r="L65" i="20"/>
  <c r="I65" i="20"/>
  <c r="H65" i="20"/>
  <c r="J65" i="20" s="1"/>
  <c r="G65" i="20"/>
  <c r="F65" i="20"/>
  <c r="E65" i="20"/>
  <c r="D65" i="20"/>
  <c r="Q64" i="20"/>
  <c r="P64" i="20"/>
  <c r="O64" i="20"/>
  <c r="N64" i="20"/>
  <c r="M64" i="20"/>
  <c r="L64" i="20"/>
  <c r="I64" i="20"/>
  <c r="H64" i="20"/>
  <c r="J64" i="20" s="1"/>
  <c r="G64" i="20"/>
  <c r="F64" i="20"/>
  <c r="E64" i="20"/>
  <c r="D64" i="20"/>
  <c r="Q63" i="20"/>
  <c r="I63" i="20"/>
  <c r="P63" i="20"/>
  <c r="O63" i="20"/>
  <c r="N63" i="20"/>
  <c r="M63" i="20"/>
  <c r="L63" i="20"/>
  <c r="H63" i="20"/>
  <c r="J63" i="20" s="1"/>
  <c r="G63" i="20"/>
  <c r="F63" i="20"/>
  <c r="E63" i="20"/>
  <c r="D63" i="20"/>
  <c r="Q62" i="20"/>
  <c r="P62" i="20"/>
  <c r="O62" i="20"/>
  <c r="N62" i="20"/>
  <c r="M62" i="20"/>
  <c r="L62" i="20"/>
  <c r="I62" i="20"/>
  <c r="H62" i="20"/>
  <c r="J62" i="20" s="1"/>
  <c r="G62" i="20"/>
  <c r="F62" i="20"/>
  <c r="E62" i="20"/>
  <c r="D62" i="20"/>
  <c r="Q61" i="20"/>
  <c r="P61" i="20"/>
  <c r="O61" i="20"/>
  <c r="N61" i="20"/>
  <c r="M61" i="20"/>
  <c r="L61" i="20"/>
  <c r="I61" i="20"/>
  <c r="H61" i="20"/>
  <c r="J61" i="20" s="1"/>
  <c r="G61" i="20"/>
  <c r="F61" i="20"/>
  <c r="E61" i="20"/>
  <c r="D61" i="20"/>
  <c r="Q60" i="20"/>
  <c r="P60" i="20"/>
  <c r="R60" i="20" s="1"/>
  <c r="O60" i="20"/>
  <c r="N60" i="20"/>
  <c r="M60" i="20"/>
  <c r="L60" i="20"/>
  <c r="I60" i="20"/>
  <c r="H60" i="20"/>
  <c r="J60" i="20" s="1"/>
  <c r="G60" i="20"/>
  <c r="F60" i="20"/>
  <c r="E60" i="20"/>
  <c r="D60" i="20"/>
  <c r="Q59" i="20"/>
  <c r="I59" i="20"/>
  <c r="P59" i="20"/>
  <c r="R59" i="20" s="1"/>
  <c r="O59" i="20"/>
  <c r="N59" i="20"/>
  <c r="M59" i="20"/>
  <c r="L59" i="20"/>
  <c r="H59" i="20"/>
  <c r="J59" i="20" s="1"/>
  <c r="G59" i="20"/>
  <c r="F59" i="20"/>
  <c r="E59" i="20"/>
  <c r="D59" i="20"/>
  <c r="H3" i="20"/>
  <c r="J3" i="20" s="1"/>
  <c r="I5" i="20"/>
  <c r="R6" i="20"/>
  <c r="R7" i="20"/>
  <c r="I8" i="20"/>
  <c r="R9" i="20"/>
  <c r="R10" i="20"/>
  <c r="I11" i="20"/>
  <c r="R13" i="20"/>
  <c r="H13" i="20"/>
  <c r="J13" i="20" s="1"/>
  <c r="I13" i="20"/>
  <c r="R15" i="20"/>
  <c r="R16" i="20"/>
  <c r="H16" i="20"/>
  <c r="J16" i="20" s="1"/>
  <c r="R17" i="20"/>
  <c r="R18" i="20"/>
  <c r="R19" i="20"/>
  <c r="H19" i="20"/>
  <c r="J19" i="20" s="1"/>
  <c r="I19" i="20"/>
  <c r="R22" i="20"/>
  <c r="I22" i="20"/>
  <c r="R23" i="20"/>
  <c r="R24" i="20"/>
  <c r="I25" i="20"/>
  <c r="R27" i="20"/>
  <c r="H27" i="20"/>
  <c r="J27" i="20" s="1"/>
  <c r="R28" i="20"/>
  <c r="I28" i="20"/>
  <c r="R29" i="20"/>
  <c r="I30" i="20"/>
  <c r="I31" i="20"/>
  <c r="R32" i="20"/>
  <c r="I33" i="20"/>
  <c r="R34" i="20"/>
  <c r="R35" i="20"/>
  <c r="R37" i="20"/>
  <c r="R38" i="20"/>
  <c r="I38" i="20"/>
  <c r="R39" i="20"/>
  <c r="I41" i="20"/>
  <c r="R42" i="20"/>
  <c r="I44" i="20"/>
  <c r="R45" i="20"/>
  <c r="I45" i="20"/>
  <c r="R46" i="20"/>
  <c r="H46" i="20"/>
  <c r="J46" i="20" s="1"/>
  <c r="R47" i="20"/>
  <c r="I47" i="20"/>
  <c r="H48" i="20"/>
  <c r="J48" i="20" s="1"/>
  <c r="R49" i="20"/>
  <c r="I49" i="20"/>
  <c r="I50" i="20"/>
  <c r="M51" i="20"/>
  <c r="N51" i="20"/>
  <c r="O51" i="20"/>
  <c r="P51" i="20"/>
  <c r="R51" i="20" s="1"/>
  <c r="Q51" i="20"/>
  <c r="M52" i="20"/>
  <c r="N52" i="20"/>
  <c r="O52" i="20"/>
  <c r="P52" i="20"/>
  <c r="Q52" i="20"/>
  <c r="I52" i="20"/>
  <c r="M53" i="20"/>
  <c r="N53" i="20"/>
  <c r="O53" i="20"/>
  <c r="P53" i="20"/>
  <c r="R53" i="20" s="1"/>
  <c r="Q53" i="20"/>
  <c r="M54" i="20"/>
  <c r="N54" i="20"/>
  <c r="O54" i="20"/>
  <c r="P54" i="20"/>
  <c r="R54" i="20" s="1"/>
  <c r="Q54" i="20"/>
  <c r="M55" i="20"/>
  <c r="N55" i="20"/>
  <c r="O55" i="20"/>
  <c r="P55" i="20"/>
  <c r="R55" i="20" s="1"/>
  <c r="Q55" i="20"/>
  <c r="I55" i="20"/>
  <c r="M56" i="20"/>
  <c r="N56" i="20"/>
  <c r="O56" i="20"/>
  <c r="P56" i="20"/>
  <c r="R56" i="20" s="1"/>
  <c r="Q56" i="20"/>
  <c r="M57" i="20"/>
  <c r="N57" i="20"/>
  <c r="O57" i="20"/>
  <c r="P57" i="20"/>
  <c r="R57" i="20" s="1"/>
  <c r="Q57" i="20"/>
  <c r="M58" i="20"/>
  <c r="N58" i="20"/>
  <c r="O58" i="20"/>
  <c r="P58" i="20"/>
  <c r="Q58" i="20"/>
  <c r="L52" i="20"/>
  <c r="L53" i="20"/>
  <c r="L54" i="20"/>
  <c r="L55" i="20"/>
  <c r="L56" i="20"/>
  <c r="L57" i="20"/>
  <c r="L58" i="20"/>
  <c r="E3" i="20"/>
  <c r="F3" i="20"/>
  <c r="G3" i="20"/>
  <c r="I3" i="20"/>
  <c r="E4" i="20"/>
  <c r="F4" i="20"/>
  <c r="G4" i="20"/>
  <c r="H4" i="20"/>
  <c r="J4" i="20" s="1"/>
  <c r="I4" i="20"/>
  <c r="E5" i="20"/>
  <c r="F5" i="20"/>
  <c r="G5" i="20"/>
  <c r="H5" i="20"/>
  <c r="J5" i="20" s="1"/>
  <c r="I6" i="20"/>
  <c r="I7" i="20"/>
  <c r="I9" i="20"/>
  <c r="I10" i="20"/>
  <c r="I12" i="20"/>
  <c r="I14" i="20"/>
  <c r="I15" i="20"/>
  <c r="I16" i="20"/>
  <c r="I17" i="20"/>
  <c r="I18" i="20"/>
  <c r="E6" i="20"/>
  <c r="F6" i="20"/>
  <c r="G6" i="20"/>
  <c r="H6" i="20"/>
  <c r="J6" i="20" s="1"/>
  <c r="E7" i="20"/>
  <c r="F7" i="20"/>
  <c r="G7" i="20"/>
  <c r="H7" i="20"/>
  <c r="S7" i="20" s="1"/>
  <c r="E8" i="20"/>
  <c r="F8" i="20"/>
  <c r="G8" i="20"/>
  <c r="H8" i="20"/>
  <c r="J8" i="20" s="1"/>
  <c r="E9" i="20"/>
  <c r="F9" i="20"/>
  <c r="G9" i="20"/>
  <c r="H9" i="20"/>
  <c r="J9" i="20" s="1"/>
  <c r="E10" i="20"/>
  <c r="F10" i="20"/>
  <c r="G10" i="20"/>
  <c r="H10" i="20"/>
  <c r="J10" i="20" s="1"/>
  <c r="E11" i="20"/>
  <c r="F11" i="20"/>
  <c r="G11" i="20"/>
  <c r="H11" i="20"/>
  <c r="J11" i="20" s="1"/>
  <c r="E12" i="20"/>
  <c r="F12" i="20"/>
  <c r="G12" i="20"/>
  <c r="H12" i="20"/>
  <c r="J12" i="20" s="1"/>
  <c r="I20" i="20"/>
  <c r="I21" i="20"/>
  <c r="I23" i="20"/>
  <c r="I24" i="20"/>
  <c r="I26" i="20"/>
  <c r="I27" i="20"/>
  <c r="I29" i="20"/>
  <c r="I32" i="20"/>
  <c r="I34" i="20"/>
  <c r="I35" i="20"/>
  <c r="I36" i="20"/>
  <c r="I37" i="20"/>
  <c r="I39" i="20"/>
  <c r="I40" i="20"/>
  <c r="I42" i="20"/>
  <c r="I43" i="20"/>
  <c r="I46" i="20"/>
  <c r="I48" i="20"/>
  <c r="E13" i="20"/>
  <c r="F13" i="20"/>
  <c r="G13" i="20"/>
  <c r="E14" i="20"/>
  <c r="F14" i="20"/>
  <c r="G14" i="20"/>
  <c r="H14" i="20"/>
  <c r="J14" i="20" s="1"/>
  <c r="E15" i="20"/>
  <c r="F15" i="20"/>
  <c r="G15" i="20"/>
  <c r="H15" i="20"/>
  <c r="J15" i="20" s="1"/>
  <c r="E16" i="20"/>
  <c r="F16" i="20"/>
  <c r="G16" i="20"/>
  <c r="E17" i="20"/>
  <c r="F17" i="20"/>
  <c r="G17" i="20"/>
  <c r="H17" i="20"/>
  <c r="J17" i="20" s="1"/>
  <c r="E18" i="20"/>
  <c r="F18" i="20"/>
  <c r="G18" i="20"/>
  <c r="H18" i="20"/>
  <c r="J18" i="20" s="1"/>
  <c r="E19" i="20"/>
  <c r="F19" i="20"/>
  <c r="G19" i="20"/>
  <c r="H20" i="20"/>
  <c r="J20" i="20" s="1"/>
  <c r="H21" i="20"/>
  <c r="J21" i="20" s="1"/>
  <c r="H22" i="20"/>
  <c r="J22" i="20" s="1"/>
  <c r="H23" i="20"/>
  <c r="J23" i="20" s="1"/>
  <c r="H24" i="20"/>
  <c r="J24" i="20" s="1"/>
  <c r="H25" i="20"/>
  <c r="J25" i="20" s="1"/>
  <c r="H26" i="20"/>
  <c r="J26" i="20" s="1"/>
  <c r="H28" i="20"/>
  <c r="J28" i="20" s="1"/>
  <c r="H29" i="20"/>
  <c r="J29" i="20" s="1"/>
  <c r="H30" i="20"/>
  <c r="J30" i="20" s="1"/>
  <c r="H31" i="20"/>
  <c r="J31" i="20" s="1"/>
  <c r="H32" i="20"/>
  <c r="J32" i="20" s="1"/>
  <c r="H33" i="20"/>
  <c r="J33" i="20" s="1"/>
  <c r="H34" i="20"/>
  <c r="J34" i="20" s="1"/>
  <c r="E20" i="20"/>
  <c r="F20" i="20"/>
  <c r="G20" i="20"/>
  <c r="E21" i="20"/>
  <c r="F21" i="20"/>
  <c r="G21" i="20"/>
  <c r="E22" i="20"/>
  <c r="F22" i="20"/>
  <c r="G22" i="20"/>
  <c r="E23" i="20"/>
  <c r="F23" i="20"/>
  <c r="G23" i="20"/>
  <c r="E24" i="20"/>
  <c r="F24" i="20"/>
  <c r="G24" i="20"/>
  <c r="E25" i="20"/>
  <c r="F25" i="20"/>
  <c r="G25" i="20"/>
  <c r="E26" i="20"/>
  <c r="F26" i="20"/>
  <c r="G26" i="20"/>
  <c r="E27" i="20"/>
  <c r="F27" i="20"/>
  <c r="G27" i="20"/>
  <c r="E28" i="20"/>
  <c r="F28" i="20"/>
  <c r="G28" i="20"/>
  <c r="E29" i="20"/>
  <c r="F29" i="20"/>
  <c r="G29" i="20"/>
  <c r="E30" i="20"/>
  <c r="F30" i="20"/>
  <c r="G30" i="20"/>
  <c r="E31" i="20"/>
  <c r="F31" i="20"/>
  <c r="G31" i="20"/>
  <c r="E32" i="20"/>
  <c r="F32" i="20"/>
  <c r="G32" i="20"/>
  <c r="E33" i="20"/>
  <c r="F33" i="20"/>
  <c r="G33" i="20"/>
  <c r="E34" i="20"/>
  <c r="F34" i="20"/>
  <c r="G34" i="20"/>
  <c r="E35" i="20"/>
  <c r="F35" i="20"/>
  <c r="G35" i="20"/>
  <c r="H35" i="20"/>
  <c r="J35" i="20" s="1"/>
  <c r="E36" i="20"/>
  <c r="F36" i="20"/>
  <c r="G36" i="20"/>
  <c r="H36" i="20"/>
  <c r="J36" i="20" s="1"/>
  <c r="E37" i="20"/>
  <c r="F37" i="20"/>
  <c r="G37" i="20"/>
  <c r="H37" i="20"/>
  <c r="E38" i="20"/>
  <c r="F38" i="20"/>
  <c r="G38" i="20"/>
  <c r="H38" i="20"/>
  <c r="J38" i="20" s="1"/>
  <c r="E39" i="20"/>
  <c r="F39" i="20"/>
  <c r="G39" i="20"/>
  <c r="H39" i="20"/>
  <c r="J39" i="20" s="1"/>
  <c r="E40" i="20"/>
  <c r="F40" i="20"/>
  <c r="G40" i="20"/>
  <c r="H40" i="20"/>
  <c r="J40" i="20" s="1"/>
  <c r="E41" i="20"/>
  <c r="F41" i="20"/>
  <c r="G41" i="20"/>
  <c r="H41" i="20"/>
  <c r="J41" i="20" s="1"/>
  <c r="E42" i="20"/>
  <c r="F42" i="20"/>
  <c r="G42" i="20"/>
  <c r="H42" i="20"/>
  <c r="J42" i="20" s="1"/>
  <c r="E43" i="20"/>
  <c r="F43" i="20"/>
  <c r="G43" i="20"/>
  <c r="H43" i="20"/>
  <c r="J43" i="20" s="1"/>
  <c r="E44" i="20"/>
  <c r="F44" i="20"/>
  <c r="G44" i="20"/>
  <c r="H44" i="20"/>
  <c r="J44" i="20" s="1"/>
  <c r="E45" i="20"/>
  <c r="F45" i="20"/>
  <c r="G45" i="20"/>
  <c r="H45" i="20"/>
  <c r="J45" i="20" s="1"/>
  <c r="E46" i="20"/>
  <c r="F46" i="20"/>
  <c r="G46" i="20"/>
  <c r="E47" i="20"/>
  <c r="F47" i="20"/>
  <c r="G47" i="20"/>
  <c r="H47" i="20"/>
  <c r="J47" i="20" s="1"/>
  <c r="E48" i="20"/>
  <c r="F48" i="20"/>
  <c r="G48" i="20"/>
  <c r="E49" i="20"/>
  <c r="F49" i="20"/>
  <c r="G49" i="20"/>
  <c r="H49" i="20"/>
  <c r="J49" i="20" s="1"/>
  <c r="E50" i="20"/>
  <c r="F50" i="20"/>
  <c r="G50" i="20"/>
  <c r="H50" i="20"/>
  <c r="J50" i="20" s="1"/>
  <c r="E51" i="20"/>
  <c r="F51" i="20"/>
  <c r="G51" i="20"/>
  <c r="H51" i="20"/>
  <c r="J51" i="20" s="1"/>
  <c r="I51" i="20"/>
  <c r="E52" i="20"/>
  <c r="F52" i="20"/>
  <c r="G52" i="20"/>
  <c r="H52" i="20"/>
  <c r="J52" i="20" s="1"/>
  <c r="E53" i="20"/>
  <c r="F53" i="20"/>
  <c r="G53" i="20"/>
  <c r="H53" i="20"/>
  <c r="I53" i="20"/>
  <c r="I54" i="20"/>
  <c r="I56" i="20"/>
  <c r="I57" i="20"/>
  <c r="I58" i="20"/>
  <c r="E54" i="20"/>
  <c r="F54" i="20"/>
  <c r="G54" i="20"/>
  <c r="H54" i="20"/>
  <c r="J54" i="20" s="1"/>
  <c r="E55" i="20"/>
  <c r="F55" i="20"/>
  <c r="G55" i="20"/>
  <c r="H55" i="20"/>
  <c r="J55" i="20" s="1"/>
  <c r="E56" i="20"/>
  <c r="F56" i="20"/>
  <c r="G56" i="20"/>
  <c r="H56" i="20"/>
  <c r="J56" i="20" s="1"/>
  <c r="E57" i="20"/>
  <c r="F57" i="20"/>
  <c r="G57" i="20"/>
  <c r="H57" i="20"/>
  <c r="J57" i="20" s="1"/>
  <c r="E58" i="20"/>
  <c r="F58" i="20"/>
  <c r="G58" i="20"/>
  <c r="H58" i="20"/>
  <c r="J58" i="20" s="1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3" i="20"/>
  <c r="Q74" i="27"/>
  <c r="P74" i="27"/>
  <c r="H74" i="27"/>
  <c r="J74" i="27" s="1"/>
  <c r="O74" i="27"/>
  <c r="N74" i="27"/>
  <c r="M74" i="27"/>
  <c r="L74" i="27"/>
  <c r="I74" i="27"/>
  <c r="G74" i="27"/>
  <c r="F74" i="27"/>
  <c r="E74" i="27"/>
  <c r="D74" i="27"/>
  <c r="Q73" i="27"/>
  <c r="P73" i="27"/>
  <c r="R73" i="27" s="1"/>
  <c r="O73" i="27"/>
  <c r="N73" i="27"/>
  <c r="M73" i="27"/>
  <c r="L73" i="27"/>
  <c r="I73" i="27"/>
  <c r="H73" i="27"/>
  <c r="J73" i="27" s="1"/>
  <c r="G73" i="27"/>
  <c r="F73" i="27"/>
  <c r="E73" i="27"/>
  <c r="D73" i="27"/>
  <c r="Q72" i="27"/>
  <c r="I72" i="27"/>
  <c r="P72" i="27"/>
  <c r="R72" i="27" s="1"/>
  <c r="O72" i="27"/>
  <c r="N72" i="27"/>
  <c r="M72" i="27"/>
  <c r="L72" i="27"/>
  <c r="H72" i="27"/>
  <c r="J72" i="27" s="1"/>
  <c r="G72" i="27"/>
  <c r="F72" i="27"/>
  <c r="E72" i="27"/>
  <c r="D72" i="27"/>
  <c r="Q71" i="27"/>
  <c r="P71" i="27"/>
  <c r="O71" i="27"/>
  <c r="N71" i="27"/>
  <c r="M71" i="27"/>
  <c r="L71" i="27"/>
  <c r="I71" i="27"/>
  <c r="H71" i="27"/>
  <c r="J71" i="27" s="1"/>
  <c r="G71" i="27"/>
  <c r="F71" i="27"/>
  <c r="E71" i="27"/>
  <c r="D71" i="27"/>
  <c r="Q70" i="27"/>
  <c r="P70" i="27"/>
  <c r="H70" i="27"/>
  <c r="J70" i="27" s="1"/>
  <c r="O70" i="27"/>
  <c r="N70" i="27"/>
  <c r="M70" i="27"/>
  <c r="L70" i="27"/>
  <c r="I70" i="27"/>
  <c r="G70" i="27"/>
  <c r="F70" i="27"/>
  <c r="E70" i="27"/>
  <c r="D70" i="27"/>
  <c r="Q69" i="27"/>
  <c r="P69" i="27"/>
  <c r="O69" i="27"/>
  <c r="N69" i="27"/>
  <c r="M69" i="27"/>
  <c r="L69" i="27"/>
  <c r="I69" i="27"/>
  <c r="H69" i="27"/>
  <c r="J69" i="27" s="1"/>
  <c r="G69" i="27"/>
  <c r="F69" i="27"/>
  <c r="E69" i="27"/>
  <c r="D69" i="27"/>
  <c r="Q68" i="27"/>
  <c r="I68" i="27"/>
  <c r="P68" i="27"/>
  <c r="O68" i="27"/>
  <c r="N68" i="27"/>
  <c r="M68" i="27"/>
  <c r="L68" i="27"/>
  <c r="H68" i="27"/>
  <c r="J68" i="27" s="1"/>
  <c r="G68" i="27"/>
  <c r="F68" i="27"/>
  <c r="E68" i="27"/>
  <c r="D68" i="27"/>
  <c r="Q67" i="27"/>
  <c r="I67" i="27"/>
  <c r="P67" i="27"/>
  <c r="O67" i="27"/>
  <c r="N67" i="27"/>
  <c r="M67" i="27"/>
  <c r="L67" i="27"/>
  <c r="H67" i="27"/>
  <c r="J67" i="27" s="1"/>
  <c r="G67" i="27"/>
  <c r="F67" i="27"/>
  <c r="E67" i="27"/>
  <c r="D67" i="27"/>
  <c r="Q66" i="27"/>
  <c r="I66" i="27"/>
  <c r="P66" i="27"/>
  <c r="R66" i="27" s="1"/>
  <c r="O66" i="27"/>
  <c r="N66" i="27"/>
  <c r="M66" i="27"/>
  <c r="L66" i="27"/>
  <c r="H66" i="27"/>
  <c r="J66" i="27" s="1"/>
  <c r="G66" i="27"/>
  <c r="F66" i="27"/>
  <c r="E66" i="27"/>
  <c r="D66" i="27"/>
  <c r="Q65" i="27"/>
  <c r="I65" i="27"/>
  <c r="P65" i="27"/>
  <c r="O65" i="27"/>
  <c r="N65" i="27"/>
  <c r="M65" i="27"/>
  <c r="L65" i="27"/>
  <c r="H65" i="27"/>
  <c r="J65" i="27" s="1"/>
  <c r="G65" i="27"/>
  <c r="F65" i="27"/>
  <c r="E65" i="27"/>
  <c r="D65" i="27"/>
  <c r="Q64" i="27"/>
  <c r="P64" i="27"/>
  <c r="H64" i="27"/>
  <c r="J64" i="27" s="1"/>
  <c r="O64" i="27"/>
  <c r="N64" i="27"/>
  <c r="M64" i="27"/>
  <c r="L64" i="27"/>
  <c r="I64" i="27"/>
  <c r="G64" i="27"/>
  <c r="F64" i="27"/>
  <c r="E64" i="27"/>
  <c r="D64" i="27"/>
  <c r="Q63" i="27"/>
  <c r="I63" i="27"/>
  <c r="P63" i="27"/>
  <c r="R63" i="27" s="1"/>
  <c r="O63" i="27"/>
  <c r="N63" i="27"/>
  <c r="M63" i="27"/>
  <c r="L63" i="27"/>
  <c r="H63" i="27"/>
  <c r="J63" i="27" s="1"/>
  <c r="G63" i="27"/>
  <c r="F63" i="27"/>
  <c r="E63" i="27"/>
  <c r="D63" i="27"/>
  <c r="Q62" i="27"/>
  <c r="I62" i="27"/>
  <c r="P62" i="27"/>
  <c r="R62" i="27" s="1"/>
  <c r="O62" i="27"/>
  <c r="N62" i="27"/>
  <c r="M62" i="27"/>
  <c r="L62" i="27"/>
  <c r="H62" i="27"/>
  <c r="J62" i="27" s="1"/>
  <c r="G62" i="27"/>
  <c r="F62" i="27"/>
  <c r="E62" i="27"/>
  <c r="D62" i="27"/>
  <c r="Q61" i="27"/>
  <c r="P61" i="27"/>
  <c r="R61" i="27" s="1"/>
  <c r="O61" i="27"/>
  <c r="N61" i="27"/>
  <c r="M61" i="27"/>
  <c r="L61" i="27"/>
  <c r="I61" i="27"/>
  <c r="H61" i="27"/>
  <c r="J61" i="27" s="1"/>
  <c r="G61" i="27"/>
  <c r="F61" i="27"/>
  <c r="E61" i="27"/>
  <c r="D61" i="27"/>
  <c r="Q60" i="27"/>
  <c r="P60" i="27"/>
  <c r="R60" i="27" s="1"/>
  <c r="O60" i="27"/>
  <c r="N60" i="27"/>
  <c r="M60" i="27"/>
  <c r="L60" i="27"/>
  <c r="I60" i="27"/>
  <c r="H60" i="27"/>
  <c r="G60" i="27"/>
  <c r="F60" i="27"/>
  <c r="E60" i="27"/>
  <c r="D60" i="27"/>
  <c r="Q59" i="27"/>
  <c r="P59" i="27"/>
  <c r="O59" i="27"/>
  <c r="N59" i="27"/>
  <c r="M59" i="27"/>
  <c r="L59" i="27"/>
  <c r="I59" i="27"/>
  <c r="H59" i="27"/>
  <c r="J59" i="27" s="1"/>
  <c r="G59" i="27"/>
  <c r="F59" i="27"/>
  <c r="E59" i="27"/>
  <c r="D59" i="27"/>
  <c r="I46" i="30"/>
  <c r="I45" i="30"/>
  <c r="I44" i="30"/>
  <c r="I43" i="30"/>
  <c r="I42" i="30"/>
  <c r="I41" i="30"/>
  <c r="I40" i="30"/>
  <c r="I39" i="30"/>
  <c r="I38" i="30"/>
  <c r="I37" i="30"/>
  <c r="I36" i="30"/>
  <c r="I35" i="30"/>
  <c r="I34" i="30"/>
  <c r="I33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I18" i="30"/>
  <c r="I17" i="30"/>
  <c r="I16" i="30"/>
  <c r="I15" i="30"/>
  <c r="I14" i="30"/>
  <c r="I13" i="30"/>
  <c r="I12" i="30"/>
  <c r="I11" i="30"/>
  <c r="I10" i="30"/>
  <c r="I9" i="30"/>
  <c r="I8" i="30"/>
  <c r="I7" i="30"/>
  <c r="I6" i="30"/>
  <c r="I5" i="30"/>
  <c r="B18" i="30"/>
  <c r="B17" i="30"/>
  <c r="B16" i="30"/>
  <c r="B15" i="30"/>
  <c r="B14" i="30"/>
  <c r="B13" i="30"/>
  <c r="B12" i="30"/>
  <c r="B11" i="30"/>
  <c r="B10" i="30"/>
  <c r="B9" i="30"/>
  <c r="B8" i="30"/>
  <c r="B7" i="30"/>
  <c r="B6" i="30"/>
  <c r="B5" i="30"/>
  <c r="I3" i="27"/>
  <c r="H3" i="27"/>
  <c r="J3" i="27" s="1"/>
  <c r="Q55" i="27"/>
  <c r="P55" i="27"/>
  <c r="R55" i="27" s="1"/>
  <c r="O55" i="27"/>
  <c r="O56" i="27"/>
  <c r="O57" i="27"/>
  <c r="O58" i="27"/>
  <c r="N55" i="27"/>
  <c r="N56" i="27"/>
  <c r="N57" i="27"/>
  <c r="N58" i="27"/>
  <c r="M55" i="27"/>
  <c r="M56" i="27"/>
  <c r="M57" i="27"/>
  <c r="M58" i="27"/>
  <c r="Q51" i="27"/>
  <c r="P51" i="27"/>
  <c r="O51" i="27"/>
  <c r="O52" i="27"/>
  <c r="O53" i="27"/>
  <c r="O54" i="27"/>
  <c r="N51" i="27"/>
  <c r="N52" i="27"/>
  <c r="N53" i="27"/>
  <c r="N54" i="27"/>
  <c r="M51" i="27"/>
  <c r="M52" i="27"/>
  <c r="M53" i="27"/>
  <c r="M54" i="27"/>
  <c r="I47" i="27"/>
  <c r="R47" i="27"/>
  <c r="I43" i="27"/>
  <c r="I39" i="27"/>
  <c r="I35" i="27"/>
  <c r="R35" i="27"/>
  <c r="I27" i="27"/>
  <c r="R27" i="27"/>
  <c r="I23" i="27"/>
  <c r="H19" i="27"/>
  <c r="J19" i="27" s="1"/>
  <c r="R15" i="27"/>
  <c r="H11" i="27"/>
  <c r="J11" i="27" s="1"/>
  <c r="I7" i="27"/>
  <c r="R7" i="27"/>
  <c r="C3" i="30"/>
  <c r="J3" i="30"/>
  <c r="J31" i="30"/>
  <c r="C31" i="30"/>
  <c r="AB4" i="10"/>
  <c r="AB5" i="10" s="1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Q58" i="27"/>
  <c r="I58" i="27"/>
  <c r="P58" i="27"/>
  <c r="H58" i="27"/>
  <c r="J58" i="27" s="1"/>
  <c r="L58" i="27"/>
  <c r="G58" i="27"/>
  <c r="F58" i="27"/>
  <c r="E58" i="27"/>
  <c r="D58" i="27"/>
  <c r="Q57" i="27"/>
  <c r="P57" i="27"/>
  <c r="R57" i="27" s="1"/>
  <c r="I57" i="27"/>
  <c r="H57" i="27"/>
  <c r="J57" i="27" s="1"/>
  <c r="L57" i="27"/>
  <c r="G57" i="27"/>
  <c r="F57" i="27"/>
  <c r="E57" i="27"/>
  <c r="D57" i="27"/>
  <c r="Q56" i="27"/>
  <c r="I56" i="27"/>
  <c r="P56" i="27"/>
  <c r="H56" i="27"/>
  <c r="J56" i="27" s="1"/>
  <c r="L56" i="27"/>
  <c r="G56" i="27"/>
  <c r="F56" i="27"/>
  <c r="E56" i="27"/>
  <c r="D56" i="27"/>
  <c r="L55" i="27"/>
  <c r="D55" i="27"/>
  <c r="G55" i="27"/>
  <c r="F55" i="27"/>
  <c r="E55" i="27"/>
  <c r="I55" i="27"/>
  <c r="H55" i="27"/>
  <c r="J55" i="27" s="1"/>
  <c r="Q54" i="27"/>
  <c r="I54" i="27"/>
  <c r="P54" i="27"/>
  <c r="H54" i="27"/>
  <c r="J54" i="27" s="1"/>
  <c r="L54" i="27"/>
  <c r="G54" i="27"/>
  <c r="F54" i="27"/>
  <c r="E54" i="27"/>
  <c r="D54" i="27"/>
  <c r="Q53" i="27"/>
  <c r="I53" i="27"/>
  <c r="P53" i="27"/>
  <c r="R53" i="27" s="1"/>
  <c r="H53" i="27"/>
  <c r="J53" i="27" s="1"/>
  <c r="L53" i="27"/>
  <c r="G53" i="27"/>
  <c r="F53" i="27"/>
  <c r="E53" i="27"/>
  <c r="D53" i="27"/>
  <c r="Q52" i="27"/>
  <c r="P52" i="27"/>
  <c r="I52" i="27"/>
  <c r="H52" i="27"/>
  <c r="J52" i="27" s="1"/>
  <c r="H51" i="27"/>
  <c r="J51" i="27" s="1"/>
  <c r="L52" i="27"/>
  <c r="G52" i="27"/>
  <c r="F52" i="27"/>
  <c r="E52" i="27"/>
  <c r="D52" i="27"/>
  <c r="D51" i="27"/>
  <c r="G51" i="27"/>
  <c r="F51" i="27"/>
  <c r="E51" i="27"/>
  <c r="I51" i="27"/>
  <c r="I50" i="27"/>
  <c r="R50" i="27"/>
  <c r="H50" i="27"/>
  <c r="J50" i="27" s="1"/>
  <c r="G50" i="27"/>
  <c r="F50" i="27"/>
  <c r="E50" i="27"/>
  <c r="D50" i="27"/>
  <c r="I49" i="27"/>
  <c r="R49" i="27"/>
  <c r="H49" i="27"/>
  <c r="J49" i="27" s="1"/>
  <c r="G49" i="27"/>
  <c r="F49" i="27"/>
  <c r="E49" i="27"/>
  <c r="D49" i="27"/>
  <c r="I48" i="27"/>
  <c r="H48" i="27"/>
  <c r="J48" i="27" s="1"/>
  <c r="G48" i="27"/>
  <c r="F48" i="27"/>
  <c r="E48" i="27"/>
  <c r="D48" i="27"/>
  <c r="D47" i="27"/>
  <c r="G47" i="27"/>
  <c r="F47" i="27"/>
  <c r="E47" i="27"/>
  <c r="H47" i="27"/>
  <c r="J47" i="27" s="1"/>
  <c r="I46" i="27"/>
  <c r="H46" i="27"/>
  <c r="J46" i="27" s="1"/>
  <c r="G46" i="27"/>
  <c r="F46" i="27"/>
  <c r="E46" i="27"/>
  <c r="D46" i="27"/>
  <c r="I45" i="27"/>
  <c r="R45" i="27"/>
  <c r="H45" i="27"/>
  <c r="J45" i="27" s="1"/>
  <c r="G45" i="27"/>
  <c r="F45" i="27"/>
  <c r="E45" i="27"/>
  <c r="D45" i="27"/>
  <c r="I44" i="27"/>
  <c r="H44" i="27"/>
  <c r="J44" i="27" s="1"/>
  <c r="G44" i="27"/>
  <c r="F44" i="27"/>
  <c r="E44" i="27"/>
  <c r="D44" i="27"/>
  <c r="D43" i="27"/>
  <c r="G43" i="27"/>
  <c r="F43" i="27"/>
  <c r="E43" i="27"/>
  <c r="H43" i="27"/>
  <c r="J43" i="27" s="1"/>
  <c r="R42" i="27"/>
  <c r="I42" i="27"/>
  <c r="H42" i="27"/>
  <c r="J42" i="27" s="1"/>
  <c r="G42" i="27"/>
  <c r="F42" i="27"/>
  <c r="E42" i="27"/>
  <c r="D42" i="27"/>
  <c r="I41" i="27"/>
  <c r="H41" i="27"/>
  <c r="J41" i="27" s="1"/>
  <c r="G41" i="27"/>
  <c r="F41" i="27"/>
  <c r="E41" i="27"/>
  <c r="D41" i="27"/>
  <c r="I40" i="27"/>
  <c r="H40" i="27"/>
  <c r="J40" i="27" s="1"/>
  <c r="G40" i="27"/>
  <c r="F40" i="27"/>
  <c r="E40" i="27"/>
  <c r="D40" i="27"/>
  <c r="D39" i="27"/>
  <c r="G39" i="27"/>
  <c r="F39" i="27"/>
  <c r="E39" i="27"/>
  <c r="H39" i="27"/>
  <c r="J39" i="27" s="1"/>
  <c r="R38" i="27"/>
  <c r="I38" i="27"/>
  <c r="T38" i="27" s="1"/>
  <c r="H38" i="27"/>
  <c r="J38" i="27" s="1"/>
  <c r="G38" i="27"/>
  <c r="F38" i="27"/>
  <c r="E38" i="27"/>
  <c r="D38" i="27"/>
  <c r="I37" i="27"/>
  <c r="H37" i="27"/>
  <c r="J37" i="27" s="1"/>
  <c r="G37" i="27"/>
  <c r="F37" i="27"/>
  <c r="E37" i="27"/>
  <c r="D37" i="27"/>
  <c r="H36" i="27"/>
  <c r="J36" i="27" s="1"/>
  <c r="I36" i="27"/>
  <c r="G36" i="27"/>
  <c r="F36" i="27"/>
  <c r="E36" i="27"/>
  <c r="D36" i="27"/>
  <c r="D35" i="27"/>
  <c r="G35" i="27"/>
  <c r="F35" i="27"/>
  <c r="E35" i="27"/>
  <c r="H35" i="27"/>
  <c r="J35" i="27" s="1"/>
  <c r="I34" i="27"/>
  <c r="H34" i="27"/>
  <c r="J34" i="27" s="1"/>
  <c r="G34" i="27"/>
  <c r="F34" i="27"/>
  <c r="E34" i="27"/>
  <c r="D34" i="27"/>
  <c r="I33" i="27"/>
  <c r="H33" i="27"/>
  <c r="J33" i="27" s="1"/>
  <c r="G33" i="27"/>
  <c r="F33" i="27"/>
  <c r="E33" i="27"/>
  <c r="D33" i="27"/>
  <c r="I32" i="27"/>
  <c r="H32" i="27"/>
  <c r="J32" i="27" s="1"/>
  <c r="G32" i="27"/>
  <c r="F32" i="27"/>
  <c r="E32" i="27"/>
  <c r="D32" i="27"/>
  <c r="D31" i="27"/>
  <c r="G31" i="27"/>
  <c r="F31" i="27"/>
  <c r="E31" i="27"/>
  <c r="I31" i="27"/>
  <c r="H31" i="27"/>
  <c r="J31" i="27" s="1"/>
  <c r="I30" i="27"/>
  <c r="R30" i="27"/>
  <c r="H30" i="27"/>
  <c r="J30" i="27" s="1"/>
  <c r="G30" i="27"/>
  <c r="F30" i="27"/>
  <c r="E30" i="27"/>
  <c r="D30" i="27"/>
  <c r="I29" i="27"/>
  <c r="R29" i="27"/>
  <c r="H29" i="27"/>
  <c r="J29" i="27" s="1"/>
  <c r="G29" i="27"/>
  <c r="F29" i="27"/>
  <c r="E29" i="27"/>
  <c r="D29" i="27"/>
  <c r="I28" i="27"/>
  <c r="H28" i="27"/>
  <c r="J28" i="27" s="1"/>
  <c r="G28" i="27"/>
  <c r="F28" i="27"/>
  <c r="E28" i="27"/>
  <c r="D28" i="27"/>
  <c r="D27" i="27"/>
  <c r="G27" i="27"/>
  <c r="F27" i="27"/>
  <c r="E27" i="27"/>
  <c r="H27" i="27"/>
  <c r="J27" i="27" s="1"/>
  <c r="H26" i="27"/>
  <c r="J26" i="27" s="1"/>
  <c r="I26" i="27"/>
  <c r="G26" i="27"/>
  <c r="F26" i="27"/>
  <c r="E26" i="27"/>
  <c r="D26" i="27"/>
  <c r="I25" i="27"/>
  <c r="T25" i="27" s="1"/>
  <c r="R25" i="27"/>
  <c r="H25" i="27"/>
  <c r="J25" i="27" s="1"/>
  <c r="G25" i="27"/>
  <c r="F25" i="27"/>
  <c r="E25" i="27"/>
  <c r="D25" i="27"/>
  <c r="I24" i="27"/>
  <c r="H24" i="27"/>
  <c r="J24" i="27" s="1"/>
  <c r="G24" i="27"/>
  <c r="F24" i="27"/>
  <c r="E24" i="27"/>
  <c r="D24" i="27"/>
  <c r="D23" i="27"/>
  <c r="G23" i="27"/>
  <c r="F23" i="27"/>
  <c r="E23" i="27"/>
  <c r="H23" i="27"/>
  <c r="J23" i="27" s="1"/>
  <c r="R22" i="27"/>
  <c r="I22" i="27"/>
  <c r="I19" i="27"/>
  <c r="I20" i="27"/>
  <c r="I21" i="27"/>
  <c r="H22" i="27"/>
  <c r="J22" i="27" s="1"/>
  <c r="G22" i="27"/>
  <c r="F22" i="27"/>
  <c r="E22" i="27"/>
  <c r="D22" i="27"/>
  <c r="H21" i="27"/>
  <c r="J21" i="27" s="1"/>
  <c r="G21" i="27"/>
  <c r="F21" i="27"/>
  <c r="E21" i="27"/>
  <c r="D21" i="27"/>
  <c r="R20" i="27"/>
  <c r="H20" i="27"/>
  <c r="J20" i="27" s="1"/>
  <c r="G20" i="27"/>
  <c r="F20" i="27"/>
  <c r="E20" i="27"/>
  <c r="D20" i="27"/>
  <c r="D19" i="27"/>
  <c r="G19" i="27"/>
  <c r="F19" i="27"/>
  <c r="E19" i="27"/>
  <c r="I18" i="27"/>
  <c r="H18" i="27"/>
  <c r="J18" i="27" s="1"/>
  <c r="G18" i="27"/>
  <c r="F18" i="27"/>
  <c r="E18" i="27"/>
  <c r="D18" i="27"/>
  <c r="I17" i="27"/>
  <c r="H17" i="27"/>
  <c r="J17" i="27" s="1"/>
  <c r="G17" i="27"/>
  <c r="F17" i="27"/>
  <c r="E17" i="27"/>
  <c r="D17" i="27"/>
  <c r="I16" i="27"/>
  <c r="H16" i="27"/>
  <c r="J16" i="27" s="1"/>
  <c r="G16" i="27"/>
  <c r="F16" i="27"/>
  <c r="E16" i="27"/>
  <c r="D16" i="27"/>
  <c r="D15" i="27"/>
  <c r="G15" i="27"/>
  <c r="F15" i="27"/>
  <c r="E15" i="27"/>
  <c r="I15" i="27"/>
  <c r="H15" i="27"/>
  <c r="J15" i="27" s="1"/>
  <c r="D3" i="27"/>
  <c r="E3" i="27"/>
  <c r="F3" i="27"/>
  <c r="G3" i="27"/>
  <c r="I10" i="27"/>
  <c r="I13" i="27"/>
  <c r="H4" i="27"/>
  <c r="J4" i="27" s="1"/>
  <c r="R5" i="27"/>
  <c r="R6" i="27"/>
  <c r="R8" i="27"/>
  <c r="R9" i="27"/>
  <c r="R10" i="27"/>
  <c r="R14" i="27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H5" i="27"/>
  <c r="J5" i="27" s="1"/>
  <c r="H6" i="27"/>
  <c r="J6" i="27" s="1"/>
  <c r="H7" i="27"/>
  <c r="J7" i="27" s="1"/>
  <c r="H8" i="27"/>
  <c r="J8" i="27" s="1"/>
  <c r="H9" i="27"/>
  <c r="J9" i="27" s="1"/>
  <c r="H10" i="27"/>
  <c r="J10" i="27" s="1"/>
  <c r="H12" i="27"/>
  <c r="J12" i="27" s="1"/>
  <c r="H13" i="27"/>
  <c r="J13" i="27" s="1"/>
  <c r="H14" i="27"/>
  <c r="J14" i="27" s="1"/>
  <c r="I4" i="27"/>
  <c r="I5" i="27"/>
  <c r="I6" i="27"/>
  <c r="I8" i="27"/>
  <c r="I9" i="27"/>
  <c r="I11" i="27"/>
  <c r="I12" i="27"/>
  <c r="I14" i="27"/>
  <c r="C33" i="9"/>
  <c r="C23" i="9"/>
  <c r="AD8" i="10"/>
  <c r="J53" i="20"/>
  <c r="J48" i="29"/>
  <c r="S31" i="29"/>
  <c r="M12" i="30" s="1"/>
  <c r="J31" i="29"/>
  <c r="J10" i="25"/>
  <c r="R25" i="29"/>
  <c r="V23" i="29"/>
  <c r="Y39" i="29"/>
  <c r="X67" i="25"/>
  <c r="Z15" i="29"/>
  <c r="Y27" i="29"/>
  <c r="Y67" i="25"/>
  <c r="X3" i="29"/>
  <c r="V19" i="29"/>
  <c r="Y47" i="29"/>
  <c r="V71" i="25"/>
  <c r="AA47" i="29"/>
  <c r="Y23" i="29"/>
  <c r="Z63" i="25"/>
  <c r="AA51" i="25"/>
  <c r="Y71" i="29"/>
  <c r="W47" i="29"/>
  <c r="AA3" i="29"/>
  <c r="Z35" i="29"/>
  <c r="Y27" i="20"/>
  <c r="V3" i="20"/>
  <c r="X19" i="27"/>
  <c r="AA27" i="20"/>
  <c r="X55" i="20"/>
  <c r="X3" i="20"/>
  <c r="Y7" i="27"/>
  <c r="V27" i="20"/>
  <c r="X67" i="27"/>
  <c r="W15" i="20"/>
  <c r="V23" i="27"/>
  <c r="V35" i="27"/>
  <c r="Z27" i="20"/>
  <c r="X43" i="27"/>
  <c r="V47" i="27"/>
  <c r="Y63" i="27"/>
  <c r="Y31" i="20"/>
  <c r="AA47" i="27"/>
  <c r="X35" i="20"/>
  <c r="AA59" i="20"/>
  <c r="W3" i="20"/>
  <c r="Y3" i="27"/>
  <c r="Z71" i="20"/>
  <c r="W67" i="27"/>
  <c r="V55" i="20"/>
  <c r="Z67" i="20"/>
  <c r="W55" i="27"/>
  <c r="AA51" i="20"/>
  <c r="V27" i="29"/>
  <c r="Z71" i="25"/>
  <c r="V67" i="25"/>
  <c r="X59" i="25"/>
  <c r="Z19" i="29"/>
  <c r="Y59" i="29"/>
  <c r="V47" i="29"/>
  <c r="W23" i="29"/>
  <c r="Y35" i="29"/>
  <c r="V43" i="29"/>
  <c r="X31" i="29"/>
  <c r="Z31" i="29"/>
  <c r="Y59" i="25"/>
  <c r="V63" i="25"/>
  <c r="W3" i="29"/>
  <c r="X15" i="29"/>
  <c r="X59" i="29"/>
  <c r="X43" i="20"/>
  <c r="W7" i="20"/>
  <c r="X71" i="27"/>
  <c r="Z7" i="27"/>
  <c r="V3" i="27"/>
  <c r="Z7" i="20"/>
  <c r="X71" i="20"/>
  <c r="AA11" i="27"/>
  <c r="W39" i="20"/>
  <c r="X27" i="27"/>
  <c r="V63" i="29"/>
  <c r="AA63" i="25"/>
  <c r="V31" i="29"/>
  <c r="X27" i="29"/>
  <c r="V59" i="29"/>
  <c r="Y7" i="29"/>
  <c r="W67" i="25"/>
  <c r="W63" i="25"/>
  <c r="AA43" i="29"/>
  <c r="V11" i="29"/>
  <c r="Z67" i="25"/>
  <c r="W51" i="25"/>
  <c r="AA19" i="29"/>
  <c r="Z39" i="29"/>
  <c r="V3" i="29"/>
  <c r="AA11" i="29"/>
  <c r="V7" i="29"/>
  <c r="Y67" i="29"/>
  <c r="V55" i="25"/>
  <c r="Y43" i="20"/>
  <c r="AA7" i="27"/>
  <c r="V19" i="27"/>
  <c r="Z11" i="20"/>
  <c r="W71" i="20"/>
  <c r="AA27" i="27"/>
  <c r="X67" i="20"/>
  <c r="Y39" i="20"/>
  <c r="V7" i="27"/>
  <c r="Z19" i="20"/>
  <c r="Y11" i="20"/>
  <c r="V71" i="20"/>
  <c r="Y7" i="20"/>
  <c r="X63" i="27"/>
  <c r="AA15" i="27"/>
  <c r="W67" i="20"/>
  <c r="X35" i="27"/>
  <c r="AA71" i="27"/>
  <c r="AA51" i="27"/>
  <c r="W63" i="27"/>
  <c r="AA47" i="20"/>
  <c r="V63" i="27"/>
  <c r="Y15" i="27"/>
  <c r="Z23" i="20"/>
  <c r="X23" i="27"/>
  <c r="AA39" i="27"/>
  <c r="AA55" i="20"/>
  <c r="Z51" i="27"/>
  <c r="V23" i="20"/>
  <c r="V27" i="27"/>
  <c r="X51" i="27"/>
  <c r="AA71" i="20"/>
  <c r="AA7" i="20"/>
  <c r="W71" i="29"/>
  <c r="AA15" i="20"/>
  <c r="X31" i="20"/>
  <c r="W47" i="27"/>
  <c r="Z3" i="27"/>
  <c r="W59" i="27"/>
  <c r="AA43" i="20"/>
  <c r="Y63" i="29"/>
  <c r="AA67" i="29"/>
  <c r="AA59" i="29"/>
  <c r="Y55" i="25"/>
  <c r="Y63" i="25"/>
  <c r="W31" i="29"/>
  <c r="Y43" i="29"/>
  <c r="V15" i="29"/>
  <c r="V59" i="25"/>
  <c r="Z67" i="29"/>
  <c r="Y3" i="29"/>
  <c r="X35" i="29"/>
  <c r="V51" i="29"/>
  <c r="Y11" i="29"/>
  <c r="X71" i="29"/>
  <c r="Z71" i="29"/>
  <c r="AA51" i="29"/>
  <c r="Y55" i="29"/>
  <c r="Y19" i="20"/>
  <c r="Y55" i="20"/>
  <c r="W43" i="20"/>
  <c r="W23" i="27"/>
  <c r="Z39" i="20"/>
  <c r="Z59" i="27"/>
  <c r="V11" i="20"/>
  <c r="V39" i="20"/>
  <c r="Y31" i="27"/>
  <c r="V43" i="20"/>
  <c r="AA39" i="20"/>
  <c r="Y39" i="27"/>
  <c r="Z15" i="20"/>
  <c r="Z31" i="27"/>
  <c r="X19" i="20"/>
  <c r="Z51" i="20"/>
  <c r="X31" i="27"/>
  <c r="Z47" i="20"/>
  <c r="X27" i="20"/>
  <c r="V71" i="27"/>
  <c r="Y11" i="27"/>
  <c r="X23" i="29"/>
  <c r="V51" i="20"/>
  <c r="V19" i="20"/>
  <c r="X23" i="20"/>
  <c r="W19" i="27"/>
  <c r="V67" i="27"/>
  <c r="Y47" i="20"/>
  <c r="Y51" i="27"/>
  <c r="W47" i="20"/>
  <c r="Z67" i="27"/>
  <c r="Y51" i="25"/>
  <c r="AA35" i="29"/>
  <c r="W59" i="29"/>
  <c r="Z11" i="29"/>
  <c r="X39" i="29"/>
  <c r="W35" i="29"/>
  <c r="X51" i="25"/>
  <c r="X47" i="29"/>
  <c r="W51" i="29"/>
  <c r="Z7" i="29"/>
  <c r="Z55" i="29"/>
  <c r="W11" i="29"/>
  <c r="V35" i="29"/>
  <c r="W63" i="29"/>
  <c r="X63" i="29"/>
  <c r="AA63" i="29"/>
  <c r="Y19" i="29"/>
  <c r="X51" i="29"/>
  <c r="Z43" i="20"/>
  <c r="Z23" i="27"/>
  <c r="V43" i="27"/>
  <c r="W27" i="27"/>
  <c r="Z31" i="20"/>
  <c r="V11" i="27"/>
  <c r="Y3" i="20"/>
  <c r="X47" i="20"/>
  <c r="Z55" i="20"/>
  <c r="Y15" i="20"/>
  <c r="V7" i="20"/>
  <c r="W23" i="20"/>
  <c r="W39" i="27"/>
  <c r="Y23" i="20"/>
  <c r="AA31" i="27"/>
  <c r="Y51" i="20"/>
  <c r="W55" i="20"/>
  <c r="AA35" i="20"/>
  <c r="W7" i="27"/>
  <c r="W63" i="20"/>
  <c r="AA35" i="27"/>
  <c r="Z39" i="27"/>
  <c r="X59" i="27"/>
  <c r="V31" i="20"/>
  <c r="AA43" i="27"/>
  <c r="Z43" i="27"/>
  <c r="Z3" i="20"/>
  <c r="Z59" i="20"/>
  <c r="V59" i="27"/>
  <c r="W35" i="20"/>
  <c r="X11" i="27"/>
  <c r="X63" i="25"/>
  <c r="Z63" i="29"/>
  <c r="W19" i="29"/>
  <c r="Y31" i="29"/>
  <c r="Z47" i="29"/>
  <c r="AA31" i="29"/>
  <c r="W67" i="29"/>
  <c r="V71" i="29"/>
  <c r="Y51" i="29"/>
  <c r="Z59" i="29"/>
  <c r="W15" i="29"/>
  <c r="W7" i="29"/>
  <c r="V55" i="29"/>
  <c r="AA23" i="29"/>
  <c r="X11" i="29"/>
  <c r="AA11" i="20"/>
  <c r="X11" i="20"/>
  <c r="X59" i="20"/>
  <c r="X7" i="27"/>
  <c r="W31" i="27"/>
  <c r="W15" i="27"/>
  <c r="Z71" i="27"/>
  <c r="Z35" i="20"/>
  <c r="AA19" i="20"/>
  <c r="Z15" i="27"/>
  <c r="Y47" i="27"/>
  <c r="X7" i="20"/>
  <c r="V51" i="25"/>
  <c r="Z51" i="29"/>
  <c r="Z27" i="29"/>
  <c r="Z51" i="25"/>
  <c r="X55" i="29"/>
  <c r="AA59" i="25"/>
  <c r="X43" i="29"/>
  <c r="W39" i="29"/>
  <c r="Z3" i="29"/>
  <c r="X55" i="25"/>
  <c r="V39" i="29"/>
  <c r="AA27" i="29"/>
  <c r="Z23" i="29"/>
  <c r="X7" i="29"/>
  <c r="V67" i="29"/>
  <c r="W55" i="25"/>
  <c r="AA15" i="29"/>
  <c r="X19" i="29"/>
  <c r="Z59" i="25"/>
  <c r="X39" i="20"/>
  <c r="V15" i="27"/>
  <c r="Y27" i="27"/>
  <c r="V31" i="27"/>
  <c r="Y59" i="20"/>
  <c r="X3" i="27"/>
  <c r="AA23" i="20"/>
  <c r="Y59" i="27"/>
  <c r="W27" i="20"/>
  <c r="AA59" i="27"/>
  <c r="W35" i="27"/>
  <c r="W71" i="27"/>
  <c r="Z47" i="27"/>
  <c r="Y55" i="27"/>
  <c r="Z35" i="27"/>
  <c r="W31" i="20"/>
  <c r="Z11" i="27"/>
  <c r="AA19" i="27"/>
  <c r="AA63" i="27"/>
  <c r="V51" i="27"/>
  <c r="Y67" i="27"/>
  <c r="X63" i="20"/>
  <c r="W51" i="20"/>
  <c r="W43" i="27"/>
  <c r="AA31" i="20"/>
  <c r="AA63" i="20"/>
  <c r="Y71" i="27"/>
  <c r="X15" i="20"/>
  <c r="Y19" i="27"/>
  <c r="W51" i="27"/>
  <c r="AA67" i="20"/>
  <c r="W11" i="27"/>
  <c r="AA71" i="29"/>
  <c r="W43" i="29"/>
  <c r="Y71" i="25"/>
  <c r="AA71" i="25"/>
  <c r="X67" i="29"/>
  <c r="W55" i="29"/>
  <c r="Y15" i="29"/>
  <c r="AA39" i="29"/>
  <c r="X71" i="25"/>
  <c r="W27" i="29"/>
  <c r="Z55" i="25"/>
  <c r="W59" i="25"/>
  <c r="AA67" i="25"/>
  <c r="AA55" i="29"/>
  <c r="W71" i="25"/>
  <c r="Z43" i="29"/>
  <c r="AA7" i="29"/>
  <c r="AA55" i="25"/>
  <c r="X51" i="20"/>
  <c r="Y67" i="20"/>
  <c r="Z63" i="20"/>
  <c r="W19" i="20"/>
  <c r="V63" i="20"/>
  <c r="Y35" i="27"/>
  <c r="X15" i="27"/>
  <c r="AA67" i="27"/>
  <c r="Y43" i="27"/>
  <c r="V67" i="20"/>
  <c r="X39" i="27"/>
  <c r="Y71" i="20"/>
  <c r="W3" i="27"/>
  <c r="V15" i="20"/>
  <c r="Z19" i="27"/>
  <c r="V59" i="20"/>
  <c r="AA55" i="27"/>
  <c r="W11" i="20"/>
  <c r="Y23" i="27"/>
  <c r="Z27" i="27"/>
  <c r="V47" i="20"/>
  <c r="X55" i="27"/>
  <c r="V55" i="27"/>
  <c r="Z63" i="27"/>
  <c r="X47" i="27"/>
  <c r="W59" i="20"/>
  <c r="V39" i="27"/>
  <c r="Z55" i="27"/>
  <c r="Y63" i="20"/>
  <c r="AA23" i="27"/>
  <c r="AA3" i="20"/>
  <c r="V35" i="20"/>
  <c r="AA3" i="27"/>
  <c r="Y35" i="20"/>
  <c r="Z27" i="25"/>
  <c r="V3" i="25"/>
  <c r="W3" i="25"/>
  <c r="Z39" i="25"/>
  <c r="Z19" i="25"/>
  <c r="AA7" i="25"/>
  <c r="AA3" i="25"/>
  <c r="X7" i="25"/>
  <c r="W19" i="25"/>
  <c r="Z15" i="25"/>
  <c r="W47" i="25"/>
  <c r="X43" i="25"/>
  <c r="V39" i="25"/>
  <c r="X15" i="25"/>
  <c r="X23" i="25"/>
  <c r="Y27" i="25"/>
  <c r="Y23" i="25"/>
  <c r="V23" i="25"/>
  <c r="V7" i="25"/>
  <c r="W23" i="25"/>
  <c r="Z35" i="25"/>
  <c r="AA43" i="25"/>
  <c r="V27" i="25"/>
  <c r="W35" i="25"/>
  <c r="Z23" i="25"/>
  <c r="X11" i="25"/>
  <c r="AA19" i="25"/>
  <c r="Y43" i="25"/>
  <c r="V11" i="25"/>
  <c r="AA15" i="25"/>
  <c r="Z7" i="25"/>
  <c r="Z11" i="25"/>
  <c r="W27" i="25"/>
  <c r="AA47" i="25"/>
  <c r="Z43" i="25"/>
  <c r="X35" i="25"/>
  <c r="X47" i="25"/>
  <c r="Y7" i="25"/>
  <c r="AA27" i="25"/>
  <c r="AA11" i="25"/>
  <c r="V43" i="25"/>
  <c r="V19" i="25"/>
  <c r="Y15" i="25"/>
  <c r="AA31" i="25"/>
  <c r="Y31" i="25"/>
  <c r="AA35" i="25"/>
  <c r="Y39" i="25"/>
  <c r="Z47" i="25"/>
  <c r="X19" i="25"/>
  <c r="X39" i="25"/>
  <c r="W39" i="25"/>
  <c r="AA23" i="25"/>
  <c r="X31" i="25"/>
  <c r="V15" i="25"/>
  <c r="W7" i="25"/>
  <c r="Y35" i="25"/>
  <c r="AA39" i="25"/>
  <c r="V47" i="25"/>
  <c r="X3" i="25"/>
  <c r="Y3" i="25"/>
  <c r="Y11" i="25"/>
  <c r="V35" i="25"/>
  <c r="W11" i="25"/>
  <c r="Y19" i="25"/>
  <c r="W15" i="25"/>
  <c r="Z3" i="25"/>
  <c r="Y47" i="25"/>
  <c r="W43" i="25"/>
  <c r="V31" i="25"/>
  <c r="Z31" i="25"/>
  <c r="W31" i="25"/>
  <c r="X27" i="25"/>
  <c r="S47" i="25" l="1"/>
  <c r="T57" i="29"/>
  <c r="S53" i="25"/>
  <c r="S62" i="29"/>
  <c r="T3" i="29"/>
  <c r="S50" i="29"/>
  <c r="T50" i="29"/>
  <c r="T57" i="25"/>
  <c r="S48" i="29"/>
  <c r="T54" i="29"/>
  <c r="T48" i="29"/>
  <c r="T18" i="29"/>
  <c r="T4" i="29"/>
  <c r="T51" i="20"/>
  <c r="T78" i="20" s="1"/>
  <c r="G55" i="30" s="1"/>
  <c r="S9" i="29"/>
  <c r="S44" i="25"/>
  <c r="T73" i="29"/>
  <c r="T65" i="29"/>
  <c r="T32" i="29"/>
  <c r="T31" i="29"/>
  <c r="N12" i="30" s="1"/>
  <c r="T61" i="27"/>
  <c r="T60" i="29"/>
  <c r="T31" i="27"/>
  <c r="S27" i="25"/>
  <c r="T15" i="25"/>
  <c r="S55" i="29"/>
  <c r="M18" i="30" s="1"/>
  <c r="S54" i="29"/>
  <c r="T36" i="27"/>
  <c r="T20" i="25"/>
  <c r="T38" i="29"/>
  <c r="T67" i="29"/>
  <c r="N21" i="30" s="1"/>
  <c r="I78" i="25"/>
  <c r="S51" i="25"/>
  <c r="M45" i="30" s="1"/>
  <c r="T6" i="20"/>
  <c r="T34" i="29"/>
  <c r="T17" i="29"/>
  <c r="T16" i="29"/>
  <c r="S48" i="27"/>
  <c r="I78" i="29"/>
  <c r="T23" i="29"/>
  <c r="N10" i="30" s="1"/>
  <c r="T23" i="27"/>
  <c r="I79" i="29"/>
  <c r="S29" i="25"/>
  <c r="T39" i="20"/>
  <c r="T69" i="29"/>
  <c r="T66" i="20"/>
  <c r="T14" i="29"/>
  <c r="T41" i="25"/>
  <c r="S8" i="25"/>
  <c r="T53" i="29"/>
  <c r="S23" i="29"/>
  <c r="M10" i="30" s="1"/>
  <c r="S21" i="29"/>
  <c r="T41" i="27"/>
  <c r="T44" i="25"/>
  <c r="S25" i="25"/>
  <c r="T57" i="20"/>
  <c r="T29" i="20"/>
  <c r="T49" i="25"/>
  <c r="T5" i="29"/>
  <c r="T72" i="29"/>
  <c r="T17" i="27"/>
  <c r="T40" i="27"/>
  <c r="I78" i="20"/>
  <c r="S59" i="25"/>
  <c r="S5" i="29"/>
  <c r="S57" i="20"/>
  <c r="T36" i="29"/>
  <c r="S29" i="29"/>
  <c r="T74" i="29"/>
  <c r="I81" i="29"/>
  <c r="T63" i="29"/>
  <c r="N20" i="30" s="1"/>
  <c r="T52" i="20"/>
  <c r="S63" i="20"/>
  <c r="S39" i="29"/>
  <c r="M14" i="30" s="1"/>
  <c r="T56" i="27"/>
  <c r="T27" i="27"/>
  <c r="T73" i="27"/>
  <c r="T54" i="20"/>
  <c r="T61" i="20"/>
  <c r="T72" i="25"/>
  <c r="S6" i="20"/>
  <c r="S30" i="27"/>
  <c r="S10" i="25"/>
  <c r="T43" i="25"/>
  <c r="T3" i="25"/>
  <c r="T39" i="25"/>
  <c r="S47" i="20"/>
  <c r="T65" i="27"/>
  <c r="R54" i="29"/>
  <c r="T21" i="27"/>
  <c r="S37" i="20"/>
  <c r="T10" i="29"/>
  <c r="T32" i="25"/>
  <c r="T26" i="27"/>
  <c r="T33" i="27"/>
  <c r="T28" i="27"/>
  <c r="T10" i="27"/>
  <c r="T8" i="27"/>
  <c r="T43" i="27"/>
  <c r="T34" i="27"/>
  <c r="T45" i="27"/>
  <c r="S28" i="25"/>
  <c r="S15" i="25"/>
  <c r="T6" i="25"/>
  <c r="S18" i="25"/>
  <c r="S42" i="25"/>
  <c r="T33" i="25"/>
  <c r="S50" i="25"/>
  <c r="T38" i="25"/>
  <c r="T31" i="25"/>
  <c r="T19" i="25"/>
  <c r="T44" i="20"/>
  <c r="T22" i="20"/>
  <c r="T13" i="20"/>
  <c r="J7" i="20"/>
  <c r="J75" i="20" s="1"/>
  <c r="S41" i="20"/>
  <c r="T49" i="20"/>
  <c r="T47" i="20"/>
  <c r="T10" i="20"/>
  <c r="T27" i="20"/>
  <c r="T14" i="20"/>
  <c r="I81" i="20"/>
  <c r="J75" i="29"/>
  <c r="J80" i="29"/>
  <c r="J79" i="29"/>
  <c r="S17" i="27"/>
  <c r="T30" i="27"/>
  <c r="J77" i="27"/>
  <c r="S45" i="27"/>
  <c r="T7" i="27"/>
  <c r="I77" i="20"/>
  <c r="T48" i="20"/>
  <c r="T42" i="20"/>
  <c r="S40" i="20"/>
  <c r="T33" i="20"/>
  <c r="S31" i="20"/>
  <c r="T20" i="20"/>
  <c r="T18" i="20"/>
  <c r="T5" i="20"/>
  <c r="S3" i="20"/>
  <c r="T58" i="25"/>
  <c r="T10" i="25"/>
  <c r="T63" i="25"/>
  <c r="T43" i="29"/>
  <c r="N15" i="30" s="1"/>
  <c r="J37" i="20"/>
  <c r="T12" i="27"/>
  <c r="T22" i="27"/>
  <c r="S46" i="20"/>
  <c r="S33" i="20"/>
  <c r="T9" i="20"/>
  <c r="S58" i="25"/>
  <c r="T56" i="25"/>
  <c r="T8" i="25"/>
  <c r="I76" i="29"/>
  <c r="T61" i="29"/>
  <c r="I77" i="29"/>
  <c r="N19" i="30"/>
  <c r="T26" i="20"/>
  <c r="J78" i="29"/>
  <c r="I75" i="29"/>
  <c r="J81" i="25"/>
  <c r="T44" i="27"/>
  <c r="T47" i="27"/>
  <c r="T58" i="20"/>
  <c r="S66" i="20"/>
  <c r="I81" i="25"/>
  <c r="T42" i="25"/>
  <c r="T28" i="25"/>
  <c r="T25" i="29"/>
  <c r="S56" i="20"/>
  <c r="T32" i="20"/>
  <c r="T30" i="20"/>
  <c r="I76" i="20"/>
  <c r="T64" i="20"/>
  <c r="S67" i="20"/>
  <c r="I76" i="25"/>
  <c r="S52" i="25"/>
  <c r="T11" i="25"/>
  <c r="S36" i="29"/>
  <c r="S25" i="29"/>
  <c r="S20" i="29"/>
  <c r="I80" i="29"/>
  <c r="S58" i="27"/>
  <c r="I77" i="27"/>
  <c r="T26" i="25"/>
  <c r="T16" i="25"/>
  <c r="S40" i="29"/>
  <c r="T30" i="29"/>
  <c r="T27" i="29"/>
  <c r="N11" i="30" s="1"/>
  <c r="S68" i="29"/>
  <c r="T33" i="29"/>
  <c r="S23" i="20"/>
  <c r="T4" i="27"/>
  <c r="T58" i="27"/>
  <c r="T19" i="27"/>
  <c r="T45" i="20"/>
  <c r="S19" i="20"/>
  <c r="J77" i="25"/>
  <c r="S57" i="25"/>
  <c r="T55" i="25"/>
  <c r="N46" i="30" s="1"/>
  <c r="T48" i="25"/>
  <c r="T7" i="25"/>
  <c r="S53" i="29"/>
  <c r="T51" i="29"/>
  <c r="N17" i="30" s="1"/>
  <c r="T45" i="29"/>
  <c r="S44" i="29"/>
  <c r="S18" i="29"/>
  <c r="T9" i="29"/>
  <c r="S4" i="27"/>
  <c r="S34" i="27"/>
  <c r="T54" i="27"/>
  <c r="T73" i="20"/>
  <c r="T36" i="25"/>
  <c r="S47" i="29"/>
  <c r="M16" i="30" s="1"/>
  <c r="S46" i="29"/>
  <c r="T24" i="29"/>
  <c r="T70" i="29"/>
  <c r="T71" i="29"/>
  <c r="N22" i="30" s="1"/>
  <c r="S72" i="29"/>
  <c r="I77" i="25"/>
  <c r="J75" i="25"/>
  <c r="T14" i="27"/>
  <c r="S38" i="27"/>
  <c r="T39" i="27"/>
  <c r="T38" i="20"/>
  <c r="S25" i="20"/>
  <c r="S12" i="20"/>
  <c r="T12" i="25"/>
  <c r="T60" i="25"/>
  <c r="S6" i="29"/>
  <c r="I75" i="27"/>
  <c r="I81" i="27"/>
  <c r="J81" i="27"/>
  <c r="T35" i="27"/>
  <c r="I76" i="27"/>
  <c r="AB20" i="10"/>
  <c r="AC3" i="10"/>
  <c r="I75" i="20"/>
  <c r="I80" i="20"/>
  <c r="S21" i="27"/>
  <c r="T18" i="27"/>
  <c r="S37" i="27"/>
  <c r="J78" i="27"/>
  <c r="J75" i="27"/>
  <c r="J76" i="27"/>
  <c r="I78" i="27"/>
  <c r="I80" i="27"/>
  <c r="J76" i="25"/>
  <c r="T53" i="27"/>
  <c r="Q78" i="27"/>
  <c r="J78" i="25"/>
  <c r="R32" i="27"/>
  <c r="S32" i="27"/>
  <c r="R64" i="27"/>
  <c r="S64" i="27"/>
  <c r="J78" i="20"/>
  <c r="T9" i="27"/>
  <c r="S16" i="27"/>
  <c r="J76" i="29"/>
  <c r="J76" i="20"/>
  <c r="J77" i="29"/>
  <c r="J81" i="29"/>
  <c r="T37" i="20"/>
  <c r="Q78" i="25"/>
  <c r="S48" i="25"/>
  <c r="R25" i="25"/>
  <c r="S45" i="29"/>
  <c r="T28" i="20"/>
  <c r="S26" i="20"/>
  <c r="S24" i="20"/>
  <c r="S3" i="25"/>
  <c r="S56" i="25"/>
  <c r="R51" i="25"/>
  <c r="S35" i="25"/>
  <c r="T17" i="25"/>
  <c r="T14" i="25"/>
  <c r="S74" i="25"/>
  <c r="T41" i="29"/>
  <c r="T19" i="29"/>
  <c r="N9" i="30" s="1"/>
  <c r="R68" i="29"/>
  <c r="S73" i="29"/>
  <c r="T15" i="20"/>
  <c r="I79" i="25"/>
  <c r="I80" i="25"/>
  <c r="S5" i="27"/>
  <c r="T6" i="27"/>
  <c r="T32" i="27"/>
  <c r="T37" i="27"/>
  <c r="S57" i="27"/>
  <c r="T55" i="20"/>
  <c r="G46" i="30" s="1"/>
  <c r="T53" i="20"/>
  <c r="T41" i="20"/>
  <c r="T34" i="20"/>
  <c r="S30" i="20"/>
  <c r="T19" i="20"/>
  <c r="T17" i="20"/>
  <c r="S15" i="20"/>
  <c r="S11" i="20"/>
  <c r="S61" i="20"/>
  <c r="R63" i="20"/>
  <c r="T54" i="25"/>
  <c r="T46" i="25"/>
  <c r="T23" i="25"/>
  <c r="S17" i="25"/>
  <c r="T5" i="25"/>
  <c r="S62" i="25"/>
  <c r="T58" i="29"/>
  <c r="T37" i="29"/>
  <c r="T35" i="29"/>
  <c r="N13" i="30" s="1"/>
  <c r="R18" i="29"/>
  <c r="T68" i="29"/>
  <c r="S69" i="29"/>
  <c r="T5" i="27"/>
  <c r="T16" i="27"/>
  <c r="S20" i="27"/>
  <c r="S41" i="27"/>
  <c r="T42" i="27"/>
  <c r="T52" i="27"/>
  <c r="T57" i="27"/>
  <c r="S7" i="27"/>
  <c r="T51" i="27"/>
  <c r="T78" i="27" s="1"/>
  <c r="G27" i="30" s="1"/>
  <c r="T66" i="27"/>
  <c r="T43" i="20"/>
  <c r="T4" i="20"/>
  <c r="S38" i="25"/>
  <c r="S33" i="25"/>
  <c r="S20" i="25"/>
  <c r="S5" i="25"/>
  <c r="T62" i="25"/>
  <c r="T49" i="29"/>
  <c r="I75" i="25"/>
  <c r="T20" i="27"/>
  <c r="S55" i="20"/>
  <c r="F46" i="30" s="1"/>
  <c r="S43" i="20"/>
  <c r="T36" i="20"/>
  <c r="T23" i="20"/>
  <c r="S21" i="20"/>
  <c r="S54" i="25"/>
  <c r="S31" i="25"/>
  <c r="S26" i="25"/>
  <c r="T18" i="25"/>
  <c r="S58" i="29"/>
  <c r="T47" i="29"/>
  <c r="N16" i="30" s="1"/>
  <c r="S35" i="29"/>
  <c r="M13" i="30" s="1"/>
  <c r="S63" i="29"/>
  <c r="M20" i="30" s="1"/>
  <c r="T55" i="27"/>
  <c r="G18" i="30" s="1"/>
  <c r="S69" i="27"/>
  <c r="S45" i="20"/>
  <c r="T25" i="20"/>
  <c r="T8" i="20"/>
  <c r="S64" i="20"/>
  <c r="R66" i="20"/>
  <c r="T52" i="25"/>
  <c r="T29" i="25"/>
  <c r="T21" i="25"/>
  <c r="R18" i="25"/>
  <c r="R15" i="25"/>
  <c r="T56" i="29"/>
  <c r="S49" i="29"/>
  <c r="R47" i="29"/>
  <c r="T46" i="29"/>
  <c r="T29" i="29"/>
  <c r="T28" i="29"/>
  <c r="S17" i="29"/>
  <c r="S16" i="29"/>
  <c r="T15" i="29"/>
  <c r="N8" i="30" s="1"/>
  <c r="T13" i="29"/>
  <c r="T12" i="29"/>
  <c r="T11" i="29"/>
  <c r="N7" i="30" s="1"/>
  <c r="T62" i="29"/>
  <c r="S22" i="25"/>
  <c r="T46" i="27"/>
  <c r="S27" i="27"/>
  <c r="T70" i="27"/>
  <c r="T74" i="27"/>
  <c r="S8" i="20"/>
  <c r="T55" i="29"/>
  <c r="N18" i="30" s="1"/>
  <c r="T44" i="29"/>
  <c r="T26" i="29"/>
  <c r="J80" i="27"/>
  <c r="S35" i="27"/>
  <c r="T13" i="27"/>
  <c r="S29" i="27"/>
  <c r="R34" i="27"/>
  <c r="S49" i="27"/>
  <c r="T50" i="27"/>
  <c r="S11" i="27"/>
  <c r="S3" i="27"/>
  <c r="T56" i="20"/>
  <c r="T50" i="20"/>
  <c r="T46" i="20"/>
  <c r="T40" i="20"/>
  <c r="T31" i="20"/>
  <c r="S29" i="20"/>
  <c r="T16" i="20"/>
  <c r="S14" i="20"/>
  <c r="T12" i="20"/>
  <c r="R67" i="20"/>
  <c r="S68" i="20"/>
  <c r="T50" i="25"/>
  <c r="T47" i="25"/>
  <c r="T27" i="25"/>
  <c r="T24" i="25"/>
  <c r="T13" i="25"/>
  <c r="T65" i="25"/>
  <c r="T66" i="25"/>
  <c r="R55" i="29"/>
  <c r="R44" i="29"/>
  <c r="S43" i="29"/>
  <c r="M15" i="30" s="1"/>
  <c r="S41" i="29"/>
  <c r="T40" i="29"/>
  <c r="T39" i="29"/>
  <c r="N14" i="30" s="1"/>
  <c r="S28" i="29"/>
  <c r="R23" i="29"/>
  <c r="T22" i="29"/>
  <c r="T21" i="29"/>
  <c r="T20" i="29"/>
  <c r="S11" i="29"/>
  <c r="M7" i="30" s="1"/>
  <c r="T8" i="29"/>
  <c r="T7" i="29"/>
  <c r="N6" i="30" s="1"/>
  <c r="T64" i="29"/>
  <c r="S65" i="29"/>
  <c r="T11" i="27"/>
  <c r="S55" i="25"/>
  <c r="M46" i="30" s="1"/>
  <c r="T42" i="29"/>
  <c r="J80" i="25"/>
  <c r="S50" i="27"/>
  <c r="S18" i="27"/>
  <c r="T24" i="27"/>
  <c r="T29" i="27"/>
  <c r="T49" i="27"/>
  <c r="T3" i="27"/>
  <c r="S58" i="20"/>
  <c r="S52" i="20"/>
  <c r="T35" i="20"/>
  <c r="S20" i="20"/>
  <c r="S70" i="20"/>
  <c r="T53" i="25"/>
  <c r="T45" i="25"/>
  <c r="T40" i="25"/>
  <c r="T37" i="25"/>
  <c r="S32" i="25"/>
  <c r="T22" i="25"/>
  <c r="S19" i="25"/>
  <c r="T48" i="27"/>
  <c r="T15" i="27"/>
  <c r="S54" i="20"/>
  <c r="T24" i="20"/>
  <c r="S18" i="20"/>
  <c r="T7" i="20"/>
  <c r="S45" i="25"/>
  <c r="T30" i="25"/>
  <c r="T25" i="25"/>
  <c r="S16" i="25"/>
  <c r="S4" i="25"/>
  <c r="S38" i="29"/>
  <c r="R36" i="29"/>
  <c r="T66" i="29"/>
  <c r="S14" i="29"/>
  <c r="S53" i="20"/>
  <c r="S14" i="25"/>
  <c r="S52" i="29"/>
  <c r="S10" i="20"/>
  <c r="R5" i="29"/>
  <c r="S42" i="29"/>
  <c r="S24" i="29"/>
  <c r="S6" i="25"/>
  <c r="S53" i="27"/>
  <c r="S6" i="27"/>
  <c r="S55" i="27"/>
  <c r="F18" i="30" s="1"/>
  <c r="R29" i="29"/>
  <c r="R3" i="20"/>
  <c r="R63" i="29"/>
  <c r="S14" i="27"/>
  <c r="S47" i="27"/>
  <c r="S51" i="20"/>
  <c r="F45" i="30" s="1"/>
  <c r="S3" i="29"/>
  <c r="M5" i="30" s="1"/>
  <c r="R3" i="27"/>
  <c r="S59" i="29"/>
  <c r="S79" i="29" s="1"/>
  <c r="F40" i="9" s="1"/>
  <c r="R12" i="20"/>
  <c r="R40" i="29"/>
  <c r="S17" i="20"/>
  <c r="R33" i="20"/>
  <c r="R8" i="25"/>
  <c r="R48" i="27"/>
  <c r="R52" i="20"/>
  <c r="R43" i="20"/>
  <c r="S27" i="20"/>
  <c r="R64" i="20"/>
  <c r="S34" i="25"/>
  <c r="R32" i="25"/>
  <c r="R31" i="25"/>
  <c r="R5" i="25"/>
  <c r="R4" i="25"/>
  <c r="R46" i="29"/>
  <c r="S65" i="20"/>
  <c r="T62" i="20"/>
  <c r="T65" i="20"/>
  <c r="S59" i="20"/>
  <c r="T72" i="20"/>
  <c r="S60" i="27"/>
  <c r="S66" i="27"/>
  <c r="T64" i="27"/>
  <c r="S69" i="20"/>
  <c r="J60" i="27"/>
  <c r="J79" i="27" s="1"/>
  <c r="I79" i="27"/>
  <c r="T72" i="27"/>
  <c r="T69" i="27"/>
  <c r="T59" i="27"/>
  <c r="S65" i="27"/>
  <c r="S68" i="27"/>
  <c r="T71" i="27"/>
  <c r="T67" i="27"/>
  <c r="T63" i="27"/>
  <c r="S73" i="27"/>
  <c r="S74" i="20"/>
  <c r="I79" i="20"/>
  <c r="T69" i="20"/>
  <c r="T74" i="20"/>
  <c r="J79" i="25"/>
  <c r="S61" i="25"/>
  <c r="S67" i="25"/>
  <c r="T69" i="25"/>
  <c r="T59" i="25"/>
  <c r="T68" i="25"/>
  <c r="T71" i="25"/>
  <c r="T74" i="25"/>
  <c r="S71" i="25"/>
  <c r="T73" i="25"/>
  <c r="T61" i="25"/>
  <c r="T67" i="25"/>
  <c r="T70" i="25"/>
  <c r="S63" i="25"/>
  <c r="T64" i="25"/>
  <c r="S66" i="25"/>
  <c r="S69" i="25"/>
  <c r="T59" i="20"/>
  <c r="J68" i="20"/>
  <c r="J79" i="20" s="1"/>
  <c r="T71" i="20"/>
  <c r="T68" i="20"/>
  <c r="T67" i="20"/>
  <c r="T70" i="20"/>
  <c r="T63" i="20"/>
  <c r="T60" i="20"/>
  <c r="S72" i="20"/>
  <c r="T62" i="27"/>
  <c r="T68" i="27"/>
  <c r="S63" i="27"/>
  <c r="T60" i="27"/>
  <c r="S72" i="27"/>
  <c r="S62" i="27"/>
  <c r="G19" i="9"/>
  <c r="S12" i="29"/>
  <c r="S66" i="29"/>
  <c r="S57" i="29"/>
  <c r="R52" i="25"/>
  <c r="S61" i="29"/>
  <c r="R43" i="29"/>
  <c r="R20" i="20"/>
  <c r="S42" i="20"/>
  <c r="R16" i="27"/>
  <c r="S38" i="20"/>
  <c r="S15" i="27"/>
  <c r="R42" i="25"/>
  <c r="R41" i="20"/>
  <c r="S10" i="29"/>
  <c r="R68" i="27"/>
  <c r="S60" i="20"/>
  <c r="S8" i="27"/>
  <c r="S27" i="29"/>
  <c r="M11" i="30" s="1"/>
  <c r="S71" i="29"/>
  <c r="M22" i="30" s="1"/>
  <c r="S28" i="20"/>
  <c r="R18" i="27"/>
  <c r="R37" i="27"/>
  <c r="R41" i="27"/>
  <c r="R40" i="20"/>
  <c r="R30" i="20"/>
  <c r="R25" i="20"/>
  <c r="R21" i="20"/>
  <c r="R14" i="20"/>
  <c r="S13" i="20"/>
  <c r="S43" i="25"/>
  <c r="S61" i="27"/>
  <c r="S7" i="29"/>
  <c r="M6" i="30" s="1"/>
  <c r="S70" i="29"/>
  <c r="S37" i="29"/>
  <c r="S22" i="20"/>
  <c r="R69" i="27"/>
  <c r="S33" i="29"/>
  <c r="S32" i="20"/>
  <c r="R41" i="29"/>
  <c r="S39" i="20"/>
  <c r="S72" i="25"/>
  <c r="S34" i="29"/>
  <c r="R58" i="27"/>
  <c r="R65" i="27"/>
  <c r="R58" i="20"/>
  <c r="R31" i="20"/>
  <c r="R26" i="20"/>
  <c r="R59" i="25"/>
  <c r="T75" i="29"/>
  <c r="T80" i="29"/>
  <c r="N5" i="30"/>
  <c r="G40" i="9"/>
  <c r="Q75" i="27"/>
  <c r="R43" i="27"/>
  <c r="S43" i="27"/>
  <c r="S21" i="25"/>
  <c r="R21" i="25"/>
  <c r="S67" i="27"/>
  <c r="R67" i="27"/>
  <c r="R70" i="27"/>
  <c r="S70" i="27"/>
  <c r="R48" i="20"/>
  <c r="S48" i="20"/>
  <c r="R21" i="27"/>
  <c r="R4" i="27"/>
  <c r="Q75" i="29"/>
  <c r="T51" i="25"/>
  <c r="S39" i="27"/>
  <c r="R39" i="27"/>
  <c r="Q78" i="20"/>
  <c r="S70" i="25"/>
  <c r="S25" i="27"/>
  <c r="R21" i="29"/>
  <c r="S32" i="29"/>
  <c r="S31" i="27"/>
  <c r="R31" i="27"/>
  <c r="R50" i="20"/>
  <c r="S50" i="20"/>
  <c r="R53" i="29"/>
  <c r="S9" i="20"/>
  <c r="S9" i="25"/>
  <c r="S42" i="27"/>
  <c r="Q79" i="29"/>
  <c r="S34" i="20"/>
  <c r="S30" i="29"/>
  <c r="R74" i="27"/>
  <c r="S74" i="27"/>
  <c r="S11" i="25"/>
  <c r="Q79" i="27"/>
  <c r="R13" i="29"/>
  <c r="S13" i="29"/>
  <c r="S12" i="25"/>
  <c r="Q80" i="27"/>
  <c r="S41" i="25"/>
  <c r="S13" i="25"/>
  <c r="R11" i="20"/>
  <c r="R11" i="27"/>
  <c r="S19" i="29"/>
  <c r="R65" i="25"/>
  <c r="S65" i="25"/>
  <c r="S36" i="25"/>
  <c r="S9" i="27"/>
  <c r="S4" i="29"/>
  <c r="S56" i="29"/>
  <c r="R17" i="27"/>
  <c r="S71" i="20"/>
  <c r="S40" i="25"/>
  <c r="S22" i="27"/>
  <c r="S37" i="25"/>
  <c r="S46" i="25"/>
  <c r="R28" i="27"/>
  <c r="S28" i="27"/>
  <c r="S16" i="20"/>
  <c r="Q80" i="20"/>
  <c r="R61" i="20"/>
  <c r="R58" i="25"/>
  <c r="R67" i="25"/>
  <c r="S13" i="27"/>
  <c r="R13" i="27"/>
  <c r="R19" i="27"/>
  <c r="S19" i="27"/>
  <c r="R15" i="29"/>
  <c r="S15" i="29"/>
  <c r="M8" i="30" s="1"/>
  <c r="R74" i="29"/>
  <c r="S74" i="29"/>
  <c r="S12" i="27"/>
  <c r="R12" i="27"/>
  <c r="R54" i="27"/>
  <c r="S54" i="27"/>
  <c r="R8" i="29"/>
  <c r="S8" i="29"/>
  <c r="T21" i="20"/>
  <c r="Q76" i="20"/>
  <c r="S64" i="25"/>
  <c r="R64" i="25"/>
  <c r="Q80" i="25"/>
  <c r="T4" i="25"/>
  <c r="Q75" i="25"/>
  <c r="Q81" i="25"/>
  <c r="Q77" i="27"/>
  <c r="R23" i="27"/>
  <c r="S23" i="27"/>
  <c r="R71" i="27"/>
  <c r="S71" i="27"/>
  <c r="Q77" i="25"/>
  <c r="T35" i="25"/>
  <c r="S26" i="29"/>
  <c r="R26" i="29"/>
  <c r="T11" i="20"/>
  <c r="Q75" i="20"/>
  <c r="S73" i="20"/>
  <c r="R73" i="20"/>
  <c r="Q76" i="29"/>
  <c r="T6" i="29"/>
  <c r="Q80" i="29"/>
  <c r="R60" i="29"/>
  <c r="S60" i="29"/>
  <c r="S56" i="27"/>
  <c r="R56" i="27"/>
  <c r="R4" i="20"/>
  <c r="S4" i="20"/>
  <c r="R62" i="20"/>
  <c r="S62" i="20"/>
  <c r="R44" i="20"/>
  <c r="S44" i="20"/>
  <c r="R26" i="27"/>
  <c r="S26" i="27"/>
  <c r="S36" i="27"/>
  <c r="R36" i="27"/>
  <c r="Q77" i="20"/>
  <c r="Q79" i="20"/>
  <c r="R60" i="25"/>
  <c r="S60" i="25"/>
  <c r="S24" i="27"/>
  <c r="R24" i="27"/>
  <c r="R33" i="27"/>
  <c r="S33" i="27"/>
  <c r="R51" i="27"/>
  <c r="S51" i="27"/>
  <c r="R59" i="27"/>
  <c r="S59" i="27"/>
  <c r="Q76" i="27"/>
  <c r="R52" i="27"/>
  <c r="S52" i="27"/>
  <c r="S73" i="25"/>
  <c r="R73" i="25"/>
  <c r="S35" i="20"/>
  <c r="S64" i="29"/>
  <c r="T52" i="29"/>
  <c r="Q78" i="29"/>
  <c r="S30" i="25"/>
  <c r="S24" i="25"/>
  <c r="R24" i="25"/>
  <c r="S68" i="25"/>
  <c r="R68" i="25"/>
  <c r="S49" i="20"/>
  <c r="Q79" i="25"/>
  <c r="R46" i="27"/>
  <c r="S46" i="27"/>
  <c r="R36" i="20"/>
  <c r="S36" i="20"/>
  <c r="S7" i="25"/>
  <c r="R7" i="25"/>
  <c r="R22" i="29"/>
  <c r="S22" i="29"/>
  <c r="S67" i="29"/>
  <c r="M21" i="30" s="1"/>
  <c r="Q81" i="27"/>
  <c r="R8" i="20"/>
  <c r="R45" i="25"/>
  <c r="Q77" i="29"/>
  <c r="S49" i="25"/>
  <c r="R5" i="20"/>
  <c r="S5" i="20"/>
  <c r="R39" i="25"/>
  <c r="S39" i="25"/>
  <c r="Q76" i="25"/>
  <c r="T3" i="20"/>
  <c r="Q81" i="20"/>
  <c r="S23" i="25"/>
  <c r="S51" i="29"/>
  <c r="R44" i="27"/>
  <c r="S44" i="27"/>
  <c r="Q81" i="29"/>
  <c r="S10" i="27"/>
  <c r="R70" i="20"/>
  <c r="R40" i="27"/>
  <c r="S40" i="27"/>
  <c r="D16" i="30"/>
  <c r="K20" i="30"/>
  <c r="L33" i="30"/>
  <c r="X75" i="25"/>
  <c r="X80" i="25"/>
  <c r="D36" i="30"/>
  <c r="C12" i="30"/>
  <c r="Y76" i="29"/>
  <c r="C6" i="30"/>
  <c r="V78" i="29"/>
  <c r="J17" i="30"/>
  <c r="K39" i="30"/>
  <c r="E20" i="30"/>
  <c r="D18" i="30"/>
  <c r="C7" i="30"/>
  <c r="J8" i="30"/>
  <c r="D47" i="30"/>
  <c r="W79" i="20"/>
  <c r="L9" i="30"/>
  <c r="X76" i="29"/>
  <c r="AA76" i="20"/>
  <c r="K35" i="30"/>
  <c r="E50" i="30"/>
  <c r="C37" i="30"/>
  <c r="V76" i="20"/>
  <c r="D42" i="30"/>
  <c r="Z79" i="27"/>
  <c r="Y77" i="25"/>
  <c r="J5" i="30"/>
  <c r="V75" i="29"/>
  <c r="V80" i="29"/>
  <c r="J7" i="30"/>
  <c r="Y77" i="20"/>
  <c r="E12" i="30"/>
  <c r="X76" i="27"/>
  <c r="E9" i="30"/>
  <c r="Z76" i="29"/>
  <c r="L15" i="30"/>
  <c r="Y80" i="29"/>
  <c r="Y75" i="29"/>
  <c r="W75" i="20"/>
  <c r="D33" i="30"/>
  <c r="W80" i="20"/>
  <c r="AA79" i="25"/>
  <c r="J40" i="30"/>
  <c r="K8" i="30"/>
  <c r="X75" i="29"/>
  <c r="X80" i="29"/>
  <c r="L5" i="30"/>
  <c r="J20" i="30"/>
  <c r="E8" i="30"/>
  <c r="Z78" i="27"/>
  <c r="Y75" i="25"/>
  <c r="Y80" i="25"/>
  <c r="C15" i="30"/>
  <c r="Y76" i="25"/>
  <c r="K14" i="30"/>
  <c r="L40" i="30"/>
  <c r="AA79" i="27"/>
  <c r="J16" i="30"/>
  <c r="C39" i="30"/>
  <c r="L38" i="30"/>
  <c r="Z75" i="20"/>
  <c r="Z80" i="20"/>
  <c r="J9" i="30"/>
  <c r="V76" i="29"/>
  <c r="J34" i="30"/>
  <c r="AA80" i="27"/>
  <c r="AA75" i="27"/>
  <c r="E42" i="30"/>
  <c r="D35" i="30"/>
  <c r="K44" i="30"/>
  <c r="Z75" i="29"/>
  <c r="Z80" i="29"/>
  <c r="D48" i="30"/>
  <c r="Y78" i="25"/>
  <c r="J45" i="30"/>
  <c r="V78" i="25"/>
  <c r="Y76" i="27"/>
  <c r="Y78" i="20"/>
  <c r="AA80" i="29"/>
  <c r="AA75" i="29"/>
  <c r="K40" i="30"/>
  <c r="K47" i="30"/>
  <c r="W79" i="25"/>
  <c r="D6" i="30"/>
  <c r="C36" i="30"/>
  <c r="C41" i="30"/>
  <c r="V77" i="20"/>
  <c r="K12" i="30"/>
  <c r="AA78" i="29"/>
  <c r="E41" i="30"/>
  <c r="X77" i="20"/>
  <c r="J43" i="30"/>
  <c r="D39" i="30"/>
  <c r="Z76" i="25"/>
  <c r="L20" i="30"/>
  <c r="Y76" i="20"/>
  <c r="C35" i="30"/>
  <c r="C50" i="30"/>
  <c r="X77" i="29"/>
  <c r="L13" i="30"/>
  <c r="X79" i="20"/>
  <c r="E47" i="30"/>
  <c r="E18" i="30"/>
  <c r="D43" i="30"/>
  <c r="V79" i="29"/>
  <c r="J19" i="30"/>
  <c r="D10" i="30"/>
  <c r="J12" i="30"/>
  <c r="E15" i="30"/>
  <c r="D37" i="30"/>
  <c r="W76" i="20"/>
  <c r="D45" i="30"/>
  <c r="W78" i="20"/>
  <c r="Z76" i="27"/>
  <c r="D38" i="30"/>
  <c r="L12" i="30"/>
  <c r="AA76" i="29"/>
  <c r="E13" i="30"/>
  <c r="X77" i="27"/>
  <c r="J42" i="30"/>
  <c r="L48" i="30"/>
  <c r="C45" i="30"/>
  <c r="V78" i="20"/>
  <c r="J6" i="30"/>
  <c r="AA80" i="20"/>
  <c r="AA75" i="20"/>
  <c r="K18" i="30"/>
  <c r="Z77" i="20"/>
  <c r="AA77" i="29"/>
  <c r="K36" i="30"/>
  <c r="J15" i="30"/>
  <c r="Y77" i="29"/>
  <c r="E19" i="30"/>
  <c r="X79" i="27"/>
  <c r="V77" i="29"/>
  <c r="J13" i="30"/>
  <c r="E10" i="30"/>
  <c r="AA77" i="27"/>
  <c r="K11" i="30"/>
  <c r="L39" i="30"/>
  <c r="E7" i="30"/>
  <c r="AA78" i="20"/>
  <c r="L43" i="30"/>
  <c r="L50" i="30"/>
  <c r="D12" i="30"/>
  <c r="K6" i="30"/>
  <c r="E35" i="30"/>
  <c r="C20" i="30"/>
  <c r="K16" i="30"/>
  <c r="Y80" i="27"/>
  <c r="Y75" i="27"/>
  <c r="L11" i="30"/>
  <c r="E44" i="30"/>
  <c r="K22" i="30"/>
  <c r="J46" i="30"/>
  <c r="L44" i="30"/>
  <c r="E36" i="30"/>
  <c r="W78" i="27"/>
  <c r="D17" i="30"/>
  <c r="V79" i="27"/>
  <c r="C19" i="30"/>
  <c r="C47" i="30"/>
  <c r="V79" i="20"/>
  <c r="J14" i="30"/>
  <c r="K45" i="30"/>
  <c r="W78" i="25"/>
  <c r="D49" i="30"/>
  <c r="D14" i="30"/>
  <c r="K46" i="30"/>
  <c r="C8" i="30"/>
  <c r="Z79" i="25"/>
  <c r="D11" i="30"/>
  <c r="K50" i="30"/>
  <c r="J38" i="30"/>
  <c r="AA76" i="27"/>
  <c r="E14" i="30"/>
  <c r="K48" i="30"/>
  <c r="Z79" i="20"/>
  <c r="J39" i="30"/>
  <c r="K21" i="30"/>
  <c r="L49" i="30"/>
  <c r="L46" i="30"/>
  <c r="Y78" i="27"/>
  <c r="Z78" i="29"/>
  <c r="D13" i="30"/>
  <c r="W77" i="27"/>
  <c r="W78" i="29"/>
  <c r="K17" i="30"/>
  <c r="J10" i="30"/>
  <c r="L14" i="30"/>
  <c r="C48" i="30"/>
  <c r="K38" i="30"/>
  <c r="C13" i="30"/>
  <c r="V77" i="27"/>
  <c r="L19" i="30"/>
  <c r="X79" i="29"/>
  <c r="D50" i="30"/>
  <c r="D40" i="30"/>
  <c r="C16" i="30"/>
  <c r="AA80" i="25"/>
  <c r="AA75" i="25"/>
  <c r="L42" i="30"/>
  <c r="Y77" i="27"/>
  <c r="E6" i="30"/>
  <c r="D19" i="30"/>
  <c r="W79" i="27"/>
  <c r="K7" i="30"/>
  <c r="L22" i="30"/>
  <c r="Z78" i="25"/>
  <c r="C9" i="30"/>
  <c r="V76" i="27"/>
  <c r="C44" i="30"/>
  <c r="X77" i="25"/>
  <c r="L41" i="30"/>
  <c r="C22" i="30"/>
  <c r="Y79" i="20"/>
  <c r="AA76" i="25"/>
  <c r="V80" i="20"/>
  <c r="V75" i="20"/>
  <c r="C33" i="30"/>
  <c r="C34" i="30"/>
  <c r="Y79" i="25"/>
  <c r="K43" i="30"/>
  <c r="K10" i="30"/>
  <c r="Z75" i="25"/>
  <c r="Z80" i="25"/>
  <c r="E38" i="30"/>
  <c r="J44" i="30"/>
  <c r="C11" i="30"/>
  <c r="L37" i="30"/>
  <c r="X76" i="25"/>
  <c r="D22" i="30"/>
  <c r="W80" i="29"/>
  <c r="W75" i="29"/>
  <c r="K5" i="30"/>
  <c r="J21" i="30"/>
  <c r="D9" i="30"/>
  <c r="W76" i="27"/>
  <c r="E46" i="30"/>
  <c r="J22" i="30"/>
  <c r="K15" i="30"/>
  <c r="J37" i="30"/>
  <c r="V76" i="25"/>
  <c r="E21" i="30"/>
  <c r="Z77" i="29"/>
  <c r="Z77" i="27"/>
  <c r="E22" i="30"/>
  <c r="Z77" i="25"/>
  <c r="J49" i="30"/>
  <c r="L47" i="30"/>
  <c r="X79" i="25"/>
  <c r="Y80" i="20"/>
  <c r="Y75" i="20"/>
  <c r="J48" i="30"/>
  <c r="D21" i="30"/>
  <c r="E37" i="30"/>
  <c r="X76" i="20"/>
  <c r="W80" i="25"/>
  <c r="W75" i="25"/>
  <c r="K33" i="30"/>
  <c r="E39" i="30"/>
  <c r="C17" i="30"/>
  <c r="V78" i="27"/>
  <c r="C38" i="30"/>
  <c r="X78" i="25"/>
  <c r="L45" i="30"/>
  <c r="L16" i="30"/>
  <c r="X78" i="20"/>
  <c r="E45" i="30"/>
  <c r="AA78" i="25"/>
  <c r="Z79" i="29"/>
  <c r="K42" i="30"/>
  <c r="J35" i="30"/>
  <c r="E40" i="30"/>
  <c r="V80" i="25"/>
  <c r="V75" i="25"/>
  <c r="J33" i="30"/>
  <c r="E16" i="30"/>
  <c r="D41" i="30"/>
  <c r="W77" i="20"/>
  <c r="L17" i="30"/>
  <c r="X78" i="29"/>
  <c r="K9" i="30"/>
  <c r="W76" i="29"/>
  <c r="E11" i="30"/>
  <c r="J11" i="30"/>
  <c r="AA78" i="27"/>
  <c r="J18" i="30"/>
  <c r="W79" i="29"/>
  <c r="K19" i="30"/>
  <c r="E49" i="30"/>
  <c r="C40" i="30"/>
  <c r="AA79" i="29"/>
  <c r="E48" i="30"/>
  <c r="L7" i="30"/>
  <c r="W80" i="27"/>
  <c r="D5" i="30"/>
  <c r="W75" i="27"/>
  <c r="Y79" i="29"/>
  <c r="D8" i="30"/>
  <c r="D7" i="30"/>
  <c r="D44" i="30"/>
  <c r="C21" i="30"/>
  <c r="D15" i="30"/>
  <c r="J41" i="30"/>
  <c r="V77" i="25"/>
  <c r="L36" i="30"/>
  <c r="L6" i="30"/>
  <c r="C14" i="30"/>
  <c r="D46" i="30"/>
  <c r="C49" i="30"/>
  <c r="L10" i="30"/>
  <c r="K37" i="30"/>
  <c r="W76" i="25"/>
  <c r="Y78" i="29"/>
  <c r="W77" i="25"/>
  <c r="K41" i="30"/>
  <c r="C43" i="30"/>
  <c r="X75" i="20"/>
  <c r="X80" i="20"/>
  <c r="E33" i="30"/>
  <c r="C46" i="30"/>
  <c r="AA79" i="20"/>
  <c r="E17" i="30"/>
  <c r="X78" i="27"/>
  <c r="Z78" i="20"/>
  <c r="Z75" i="27"/>
  <c r="Z80" i="27"/>
  <c r="L8" i="30"/>
  <c r="Z76" i="20"/>
  <c r="V80" i="27"/>
  <c r="V75" i="27"/>
  <c r="C5" i="30"/>
  <c r="Y79" i="27"/>
  <c r="E5" i="30"/>
  <c r="X80" i="27"/>
  <c r="X75" i="27"/>
  <c r="E43" i="30"/>
  <c r="J50" i="30"/>
  <c r="AA77" i="25"/>
  <c r="K34" i="30"/>
  <c r="AA77" i="20"/>
  <c r="D20" i="30"/>
  <c r="L34" i="30"/>
  <c r="C42" i="30"/>
  <c r="C10" i="30"/>
  <c r="L18" i="30"/>
  <c r="L35" i="30"/>
  <c r="D34" i="30"/>
  <c r="K49" i="30"/>
  <c r="E34" i="30"/>
  <c r="J36" i="30"/>
  <c r="C18" i="30"/>
  <c r="L21" i="30"/>
  <c r="J47" i="30"/>
  <c r="V79" i="25"/>
  <c r="K13" i="30"/>
  <c r="W77" i="29"/>
  <c r="S78" i="25" l="1"/>
  <c r="M55" i="30" s="1"/>
  <c r="F48" i="30"/>
  <c r="Q82" i="20"/>
  <c r="G45" i="30"/>
  <c r="F49" i="30"/>
  <c r="Q82" i="29"/>
  <c r="M44" i="30"/>
  <c r="T76" i="29"/>
  <c r="N24" i="30" s="1"/>
  <c r="N42" i="30"/>
  <c r="N48" i="30"/>
  <c r="N43" i="30"/>
  <c r="G13" i="30"/>
  <c r="G39" i="30"/>
  <c r="S77" i="29"/>
  <c r="F37" i="9" s="1"/>
  <c r="M28" i="30"/>
  <c r="G42" i="30"/>
  <c r="N36" i="30"/>
  <c r="M19" i="30"/>
  <c r="M36" i="30"/>
  <c r="N34" i="30"/>
  <c r="N40" i="30"/>
  <c r="G7" i="30"/>
  <c r="G14" i="30"/>
  <c r="F8" i="30"/>
  <c r="G5" i="30"/>
  <c r="G15" i="30"/>
  <c r="N37" i="30"/>
  <c r="G11" i="30"/>
  <c r="S80" i="29"/>
  <c r="F38" i="9" s="1"/>
  <c r="S75" i="29"/>
  <c r="F35" i="9" s="1"/>
  <c r="R76" i="20"/>
  <c r="G6" i="30"/>
  <c r="N39" i="30"/>
  <c r="N44" i="30"/>
  <c r="G9" i="30"/>
  <c r="G16" i="30"/>
  <c r="G12" i="30"/>
  <c r="T76" i="27"/>
  <c r="G6" i="9" s="1"/>
  <c r="F16" i="30"/>
  <c r="Q82" i="25"/>
  <c r="N33" i="30"/>
  <c r="M43" i="30"/>
  <c r="M33" i="30"/>
  <c r="N35" i="30"/>
  <c r="M39" i="30"/>
  <c r="G36" i="30"/>
  <c r="T77" i="20"/>
  <c r="G17" i="9" s="1"/>
  <c r="G43" i="30"/>
  <c r="J81" i="20"/>
  <c r="G40" i="30"/>
  <c r="G44" i="30"/>
  <c r="Q82" i="27"/>
  <c r="T77" i="29"/>
  <c r="N25" i="30" s="1"/>
  <c r="N38" i="30"/>
  <c r="T78" i="29"/>
  <c r="G39" i="9" s="1"/>
  <c r="F38" i="30"/>
  <c r="J80" i="20"/>
  <c r="J77" i="20"/>
  <c r="G34" i="30"/>
  <c r="F13" i="30"/>
  <c r="T75" i="27"/>
  <c r="G5" i="9" s="1"/>
  <c r="T80" i="27"/>
  <c r="G26" i="30" s="1"/>
  <c r="G35" i="30"/>
  <c r="G38" i="30"/>
  <c r="F37" i="30"/>
  <c r="G41" i="30"/>
  <c r="F35" i="30"/>
  <c r="F43" i="30"/>
  <c r="R78" i="29"/>
  <c r="T77" i="27"/>
  <c r="G25" i="30" s="1"/>
  <c r="G10" i="30"/>
  <c r="G17" i="30"/>
  <c r="S78" i="20"/>
  <c r="F55" i="30" s="1"/>
  <c r="AC4" i="10"/>
  <c r="G8" i="30"/>
  <c r="T76" i="25"/>
  <c r="G26" i="9" s="1"/>
  <c r="F36" i="30"/>
  <c r="M37" i="30"/>
  <c r="F5" i="30"/>
  <c r="T76" i="20"/>
  <c r="G52" i="30" s="1"/>
  <c r="F11" i="30"/>
  <c r="G20" i="30"/>
  <c r="M47" i="30"/>
  <c r="F20" i="30"/>
  <c r="M40" i="30"/>
  <c r="R78" i="20"/>
  <c r="N47" i="30"/>
  <c r="G19" i="30"/>
  <c r="F50" i="30"/>
  <c r="G37" i="30"/>
  <c r="G48" i="30"/>
  <c r="R77" i="29"/>
  <c r="G49" i="30"/>
  <c r="M41" i="30"/>
  <c r="F39" i="30"/>
  <c r="F47" i="30"/>
  <c r="T75" i="25"/>
  <c r="N51" i="30" s="1"/>
  <c r="F34" i="30"/>
  <c r="S75" i="27"/>
  <c r="F5" i="9" s="1"/>
  <c r="T79" i="25"/>
  <c r="G30" i="9" s="1"/>
  <c r="F42" i="30"/>
  <c r="R78" i="25"/>
  <c r="M49" i="30"/>
  <c r="G22" i="30"/>
  <c r="F21" i="30"/>
  <c r="T79" i="27"/>
  <c r="G10" i="9" s="1"/>
  <c r="M48" i="30"/>
  <c r="N49" i="30"/>
  <c r="S79" i="25"/>
  <c r="M56" i="30" s="1"/>
  <c r="S79" i="20"/>
  <c r="G50" i="30"/>
  <c r="T79" i="20"/>
  <c r="G20" i="9" s="1"/>
  <c r="G47" i="30"/>
  <c r="F22" i="30"/>
  <c r="G21" i="30"/>
  <c r="M50" i="30"/>
  <c r="N50" i="30"/>
  <c r="F15" i="30"/>
  <c r="S76" i="20"/>
  <c r="F16" i="9" s="1"/>
  <c r="F40" i="30"/>
  <c r="F19" i="9"/>
  <c r="M34" i="30"/>
  <c r="R79" i="27"/>
  <c r="R75" i="29"/>
  <c r="G9" i="9"/>
  <c r="R76" i="29"/>
  <c r="R76" i="25"/>
  <c r="R77" i="20"/>
  <c r="R79" i="29"/>
  <c r="T78" i="25"/>
  <c r="N45" i="30"/>
  <c r="S80" i="27"/>
  <c r="F8" i="9" s="1"/>
  <c r="R80" i="27"/>
  <c r="F7" i="30"/>
  <c r="M9" i="30"/>
  <c r="S76" i="29"/>
  <c r="R81" i="29"/>
  <c r="R82" i="29" s="1"/>
  <c r="R80" i="29"/>
  <c r="R75" i="27"/>
  <c r="M35" i="30"/>
  <c r="R77" i="27"/>
  <c r="R81" i="27"/>
  <c r="R82" i="27" s="1"/>
  <c r="F44" i="30"/>
  <c r="M42" i="30"/>
  <c r="R79" i="25"/>
  <c r="G35" i="9"/>
  <c r="N23" i="30"/>
  <c r="F10" i="30"/>
  <c r="F14" i="30"/>
  <c r="M38" i="30"/>
  <c r="R77" i="25"/>
  <c r="F12" i="30"/>
  <c r="G38" i="9"/>
  <c r="N26" i="30"/>
  <c r="S77" i="27"/>
  <c r="S76" i="25"/>
  <c r="S80" i="25"/>
  <c r="F41" i="30"/>
  <c r="S77" i="20"/>
  <c r="S76" i="27"/>
  <c r="F9" i="30"/>
  <c r="R78" i="27"/>
  <c r="S80" i="20"/>
  <c r="F33" i="30"/>
  <c r="S75" i="20"/>
  <c r="F6" i="30"/>
  <c r="R75" i="25"/>
  <c r="R81" i="25"/>
  <c r="R82" i="25" s="1"/>
  <c r="M17" i="30"/>
  <c r="S78" i="29"/>
  <c r="N41" i="30"/>
  <c r="T77" i="25"/>
  <c r="S79" i="27"/>
  <c r="F19" i="30"/>
  <c r="S77" i="25"/>
  <c r="S78" i="27"/>
  <c r="F17" i="30"/>
  <c r="S75" i="25"/>
  <c r="R79" i="20"/>
  <c r="T80" i="25"/>
  <c r="R76" i="27"/>
  <c r="T80" i="20"/>
  <c r="T75" i="20"/>
  <c r="G33" i="30"/>
  <c r="R80" i="25"/>
  <c r="R80" i="20"/>
  <c r="R81" i="20"/>
  <c r="R75" i="20"/>
  <c r="D6" i="9"/>
  <c r="D24" i="30"/>
  <c r="K55" i="30"/>
  <c r="D29" i="9"/>
  <c r="K24" i="30"/>
  <c r="D36" i="9"/>
  <c r="C35" i="9"/>
  <c r="J23" i="30"/>
  <c r="E37" i="9"/>
  <c r="L25" i="30"/>
  <c r="D5" i="9"/>
  <c r="D23" i="30"/>
  <c r="L26" i="30"/>
  <c r="E38" i="9"/>
  <c r="L53" i="30"/>
  <c r="E27" i="9"/>
  <c r="K53" i="30"/>
  <c r="D27" i="9"/>
  <c r="E55" i="30"/>
  <c r="E19" i="9"/>
  <c r="C28" i="9"/>
  <c r="J54" i="30"/>
  <c r="J52" i="30"/>
  <c r="C26" i="9"/>
  <c r="C55" i="30"/>
  <c r="C19" i="9"/>
  <c r="C27" i="9"/>
  <c r="J53" i="30"/>
  <c r="D25" i="30"/>
  <c r="D7" i="9"/>
  <c r="E25" i="9"/>
  <c r="L51" i="30"/>
  <c r="E23" i="30"/>
  <c r="E5" i="9"/>
  <c r="D40" i="9"/>
  <c r="K28" i="30"/>
  <c r="L55" i="30"/>
  <c r="E29" i="9"/>
  <c r="E16" i="9"/>
  <c r="E52" i="30"/>
  <c r="D38" i="9"/>
  <c r="K26" i="30"/>
  <c r="D19" i="9"/>
  <c r="D55" i="30"/>
  <c r="J28" i="30"/>
  <c r="C40" i="9"/>
  <c r="D18" i="9"/>
  <c r="D54" i="30"/>
  <c r="E6" i="9"/>
  <c r="E24" i="30"/>
  <c r="K25" i="30"/>
  <c r="D37" i="9"/>
  <c r="D28" i="30"/>
  <c r="D10" i="9"/>
  <c r="D9" i="9"/>
  <c r="D27" i="30"/>
  <c r="E28" i="30"/>
  <c r="E10" i="9"/>
  <c r="E9" i="9"/>
  <c r="E27" i="30"/>
  <c r="E56" i="30"/>
  <c r="E20" i="9"/>
  <c r="E35" i="9"/>
  <c r="L23" i="30"/>
  <c r="C38" i="9"/>
  <c r="J26" i="30"/>
  <c r="J56" i="30"/>
  <c r="C30" i="9"/>
  <c r="J51" i="30"/>
  <c r="C25" i="9"/>
  <c r="L28" i="30"/>
  <c r="E40" i="9"/>
  <c r="J55" i="30"/>
  <c r="C29" i="9"/>
  <c r="K51" i="30"/>
  <c r="D25" i="9"/>
  <c r="C24" i="30"/>
  <c r="C6" i="9"/>
  <c r="D39" i="9"/>
  <c r="K27" i="30"/>
  <c r="C20" i="9"/>
  <c r="C56" i="30"/>
  <c r="D30" i="9"/>
  <c r="K56" i="30"/>
  <c r="K54" i="30"/>
  <c r="D28" i="9"/>
  <c r="C54" i="30"/>
  <c r="C18" i="9"/>
  <c r="C7" i="9"/>
  <c r="C25" i="30"/>
  <c r="E26" i="30"/>
  <c r="E8" i="9"/>
  <c r="E18" i="9"/>
  <c r="E54" i="30"/>
  <c r="D8" i="9"/>
  <c r="D26" i="30"/>
  <c r="D53" i="30"/>
  <c r="D17" i="9"/>
  <c r="C10" i="9"/>
  <c r="C28" i="30"/>
  <c r="C36" i="9"/>
  <c r="J24" i="30"/>
  <c r="D56" i="30"/>
  <c r="D20" i="9"/>
  <c r="J27" i="30"/>
  <c r="C39" i="9"/>
  <c r="C23" i="30"/>
  <c r="C5" i="9"/>
  <c r="C8" i="9"/>
  <c r="C26" i="30"/>
  <c r="E30" i="9"/>
  <c r="L56" i="30"/>
  <c r="C15" i="9"/>
  <c r="C51" i="30"/>
  <c r="E53" i="30"/>
  <c r="E17" i="9"/>
  <c r="E28" i="9"/>
  <c r="L54" i="30"/>
  <c r="K52" i="30"/>
  <c r="D26" i="9"/>
  <c r="L27" i="30"/>
  <c r="E39" i="9"/>
  <c r="K23" i="30"/>
  <c r="D35" i="9"/>
  <c r="L24" i="30"/>
  <c r="E36" i="9"/>
  <c r="E51" i="30"/>
  <c r="E15" i="9"/>
  <c r="C27" i="30"/>
  <c r="C9" i="9"/>
  <c r="L52" i="30"/>
  <c r="E26" i="9"/>
  <c r="C37" i="9"/>
  <c r="J25" i="30"/>
  <c r="E25" i="30"/>
  <c r="E7" i="9"/>
  <c r="D16" i="9"/>
  <c r="D52" i="30"/>
  <c r="C17" i="9"/>
  <c r="C53" i="30"/>
  <c r="D15" i="9"/>
  <c r="D51" i="30"/>
  <c r="C16" i="9"/>
  <c r="C52" i="30"/>
  <c r="AP3" i="10"/>
  <c r="AL3" i="10"/>
  <c r="AG3" i="10"/>
  <c r="AF3" i="10"/>
  <c r="AD3" i="10"/>
  <c r="AK3" i="10"/>
  <c r="AN3" i="10"/>
  <c r="AQ3" i="10"/>
  <c r="AI3" i="10"/>
  <c r="AE3" i="10"/>
  <c r="AJ3" i="10"/>
  <c r="AO3" i="10"/>
  <c r="F29" i="9" l="1"/>
  <c r="G36" i="9"/>
  <c r="M25" i="30"/>
  <c r="G53" i="30"/>
  <c r="M23" i="30"/>
  <c r="G28" i="30"/>
  <c r="G7" i="9"/>
  <c r="M26" i="30"/>
  <c r="G25" i="9"/>
  <c r="G23" i="30"/>
  <c r="G16" i="9"/>
  <c r="G24" i="30"/>
  <c r="G8" i="9"/>
  <c r="R82" i="20"/>
  <c r="N27" i="30"/>
  <c r="F23" i="30"/>
  <c r="G37" i="9"/>
  <c r="N52" i="30"/>
  <c r="AC5" i="10"/>
  <c r="N56" i="30"/>
  <c r="F30" i="9"/>
  <c r="G56" i="30"/>
  <c r="F56" i="30"/>
  <c r="F20" i="9"/>
  <c r="F52" i="30"/>
  <c r="G29" i="9"/>
  <c r="N55" i="30"/>
  <c r="F26" i="30"/>
  <c r="M24" i="30"/>
  <c r="F36" i="9"/>
  <c r="M51" i="30"/>
  <c r="F25" i="9"/>
  <c r="M52" i="30"/>
  <c r="F26" i="9"/>
  <c r="F25" i="30"/>
  <c r="F7" i="9"/>
  <c r="F27" i="30"/>
  <c r="F9" i="9"/>
  <c r="G51" i="30"/>
  <c r="G15" i="9"/>
  <c r="F51" i="30"/>
  <c r="F15" i="9"/>
  <c r="G18" i="9"/>
  <c r="G54" i="30"/>
  <c r="F39" i="9"/>
  <c r="M27" i="30"/>
  <c r="N54" i="30"/>
  <c r="G28" i="9"/>
  <c r="F24" i="30"/>
  <c r="F6" i="9"/>
  <c r="F10" i="9"/>
  <c r="F28" i="30"/>
  <c r="N53" i="30"/>
  <c r="G27" i="9"/>
  <c r="F17" i="9"/>
  <c r="F53" i="30"/>
  <c r="F18" i="9"/>
  <c r="F54" i="30"/>
  <c r="F27" i="9"/>
  <c r="M53" i="30"/>
  <c r="M54" i="30"/>
  <c r="F28" i="9"/>
  <c r="AJ4" i="10"/>
  <c r="AI4" i="10"/>
  <c r="AG4" i="10"/>
  <c r="AF4" i="10"/>
  <c r="AQ4" i="10"/>
  <c r="AL4" i="10"/>
  <c r="AO4" i="10"/>
  <c r="AN4" i="10"/>
  <c r="AD4" i="10"/>
  <c r="AP4" i="10"/>
  <c r="AK4" i="10"/>
  <c r="AE4" i="10"/>
  <c r="AC6" i="10" l="1"/>
  <c r="AE6" i="10"/>
  <c r="AI6" i="10"/>
  <c r="AL6" i="10"/>
  <c r="AD6" i="10"/>
  <c r="AJ5" i="10"/>
  <c r="AG6" i="10"/>
  <c r="AJ6" i="10"/>
  <c r="AP5" i="10"/>
  <c r="AO5" i="10"/>
  <c r="AK6" i="10"/>
  <c r="AP6" i="10"/>
  <c r="AN6" i="10"/>
  <c r="AK5" i="10"/>
  <c r="AE5" i="10"/>
  <c r="AQ6" i="10"/>
  <c r="AD5" i="10"/>
  <c r="AG5" i="10"/>
  <c r="AI5" i="10"/>
  <c r="AN5" i="10"/>
  <c r="AF6" i="10"/>
  <c r="AL5" i="10"/>
  <c r="AF5" i="10"/>
  <c r="AO6" i="10"/>
  <c r="AQ5" i="10"/>
  <c r="AE13" i="10" l="1"/>
  <c r="AE16" i="10" s="1"/>
  <c r="AE12" i="10"/>
  <c r="AE15" i="10" s="1"/>
  <c r="AF12" i="10"/>
  <c r="AF15" i="10" s="1"/>
  <c r="AF13" i="10"/>
  <c r="AF16" i="10" s="1"/>
  <c r="AG12" i="10"/>
  <c r="AG15" i="10" s="1"/>
  <c r="AG13" i="10"/>
  <c r="AG16" i="10" s="1"/>
  <c r="AD13" i="10"/>
  <c r="AD16" i="10" s="1"/>
  <c r="AD12" i="10"/>
  <c r="AD15" i="10" s="1"/>
</calcChain>
</file>

<file path=xl/sharedStrings.xml><?xml version="1.0" encoding="utf-8"?>
<sst xmlns="http://schemas.openxmlformats.org/spreadsheetml/2006/main" count="1550" uniqueCount="697">
  <si>
    <t>QPISlice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</si>
  <si>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</si>
  <si>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</si>
  <si>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</si>
  <si>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</si>
  <si>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</si>
  <si>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</si>
  <si>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</si>
  <si>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</si>
  <si>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</si>
  <si>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</si>
  <si>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</si>
  <si>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</si>
  <si>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</si>
  <si>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</si>
  <si>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</si>
  <si>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</si>
  <si>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</si>
  <si>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</si>
  <si>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</si>
  <si>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</si>
  <si>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</si>
  <si>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</si>
  <si>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</si>
  <si>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</si>
  <si>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</si>
  <si>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</si>
  <si>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</si>
  <si>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</si>
  <si>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Line 3 - Reference2</t>
  </si>
  <si>
    <t>Enc</t>
  </si>
  <si>
    <t>Dec</t>
  </si>
  <si>
    <t>EncT</t>
  </si>
  <si>
    <t>DecT</t>
  </si>
  <si>
    <t>4K</t>
  </si>
  <si>
    <t>EncR</t>
  </si>
  <si>
    <t>DecR</t>
  </si>
  <si>
    <t xml:space="preserve">Overall </t>
  </si>
  <si>
    <t>AI-10</t>
  </si>
  <si>
    <t>RA-10</t>
  </si>
  <si>
    <t>LDB-10</t>
  </si>
  <si>
    <t>LDP-10</t>
  </si>
  <si>
    <t>RitualDance</t>
  </si>
  <si>
    <t>MarketPlace</t>
  </si>
  <si>
    <t>Campfire</t>
  </si>
  <si>
    <t>ParkRunning3</t>
    <phoneticPr fontId="9" type="noConversion"/>
  </si>
  <si>
    <t>通甲</t>
    <phoneticPr fontId="9" type="noConversion"/>
  </si>
  <si>
    <t>通乙</t>
    <phoneticPr fontId="9" type="noConversion"/>
  </si>
  <si>
    <t>1080p</t>
    <phoneticPr fontId="9" type="noConversion"/>
  </si>
  <si>
    <t>Cactus</t>
    <phoneticPr fontId="9" type="noConversion"/>
  </si>
  <si>
    <t>BasketballDrive</t>
    <phoneticPr fontId="9" type="noConversion"/>
  </si>
  <si>
    <t>通丙</t>
    <phoneticPr fontId="9" type="noConversion"/>
  </si>
  <si>
    <t>720p</t>
    <phoneticPr fontId="9" type="noConversion"/>
  </si>
  <si>
    <t>City</t>
    <phoneticPr fontId="9" type="noConversion"/>
  </si>
  <si>
    <t>Crew</t>
    <phoneticPr fontId="9" type="noConversion"/>
  </si>
  <si>
    <t>vidyo1</t>
    <phoneticPr fontId="9" type="noConversion"/>
  </si>
  <si>
    <t>vidyo3</t>
    <phoneticPr fontId="9" type="noConversion"/>
  </si>
  <si>
    <t>特甲</t>
    <phoneticPr fontId="9" type="noConversion"/>
  </si>
  <si>
    <t>MetroEntrance</t>
    <phoneticPr fontId="9" type="noConversion"/>
  </si>
  <si>
    <t>NightTraffic3</t>
    <phoneticPr fontId="9" type="noConversion"/>
  </si>
  <si>
    <t>All Intra</t>
    <phoneticPr fontId="1" type="noConversion"/>
  </si>
  <si>
    <t xml:space="preserve">Random Access </t>
    <phoneticPr fontId="1" type="noConversion"/>
  </si>
  <si>
    <t>Low delay B</t>
    <phoneticPr fontId="1" type="noConversion"/>
  </si>
  <si>
    <t xml:space="preserve">Low delay P </t>
    <phoneticPr fontId="1" type="noConversion"/>
  </si>
  <si>
    <t>ParkRunning3</t>
    <phoneticPr fontId="1" type="noConversion"/>
  </si>
  <si>
    <t>Campfire</t>
    <phoneticPr fontId="2" type="noConversion"/>
  </si>
  <si>
    <t>Cactus</t>
    <phoneticPr fontId="1" type="noConversion"/>
  </si>
  <si>
    <t>BasketballDrive</t>
    <phoneticPr fontId="2" type="noConversion"/>
  </si>
  <si>
    <t>MarketPlace</t>
    <phoneticPr fontId="1" type="noConversion"/>
  </si>
  <si>
    <t>RitualDance</t>
    <phoneticPr fontId="1" type="noConversion"/>
  </si>
  <si>
    <t>City</t>
    <phoneticPr fontId="1" type="noConversion"/>
  </si>
  <si>
    <t>Crew</t>
    <phoneticPr fontId="1" type="noConversion"/>
  </si>
  <si>
    <t>Vidyo1</t>
    <phoneticPr fontId="1" type="noConversion"/>
  </si>
  <si>
    <t>Vidyo3</t>
    <phoneticPr fontId="1" type="noConversion"/>
  </si>
  <si>
    <t xml:space="preserve">All Intra Main10 </t>
  </si>
  <si>
    <t xml:space="preserve">Low delay P Main10 </t>
  </si>
  <si>
    <t>Random Access Main 10</t>
  </si>
  <si>
    <t xml:space="preserve">Low delay B Main10 </t>
  </si>
  <si>
    <t>通甲</t>
    <phoneticPr fontId="9" type="noConversion"/>
  </si>
  <si>
    <t>通乙</t>
    <phoneticPr fontId="9" type="noConversion"/>
  </si>
  <si>
    <t>通丙</t>
    <phoneticPr fontId="9" type="noConversion"/>
  </si>
  <si>
    <t>Tango2</t>
  </si>
  <si>
    <t>DaylightRoad2</t>
  </si>
  <si>
    <t>BasketballPass</t>
  </si>
  <si>
    <t>BQSquare</t>
  </si>
  <si>
    <t>BlowingBubbles</t>
  </si>
  <si>
    <t>RaceHorses</t>
  </si>
  <si>
    <t>ClassD</t>
    <phoneticPr fontId="9" type="noConversion"/>
  </si>
  <si>
    <t>ClassD</t>
    <phoneticPr fontId="9" type="noConversion"/>
  </si>
  <si>
    <r>
      <rPr>
        <b/>
        <sz val="9"/>
        <color indexed="8"/>
        <rFont val="宋体"/>
        <family val="3"/>
        <charset val="134"/>
      </rPr>
      <t>特甲</t>
    </r>
    <r>
      <rPr>
        <b/>
        <sz val="9"/>
        <color indexed="8"/>
        <rFont val="Arial"/>
        <family val="2"/>
      </rPr>
      <t xml:space="preserve"> (Optional)</t>
    </r>
    <phoneticPr fontId="9" type="noConversion"/>
  </si>
  <si>
    <r>
      <rPr>
        <sz val="9"/>
        <color indexed="8"/>
        <rFont val="宋体"/>
        <family val="3"/>
        <charset val="134"/>
      </rPr>
      <t>特甲</t>
    </r>
    <r>
      <rPr>
        <sz val="9"/>
        <color indexed="8"/>
        <rFont val="Arial"/>
        <family val="2"/>
      </rPr>
      <t>(Optional)</t>
    </r>
    <phoneticPr fontId="9" type="noConversion"/>
  </si>
  <si>
    <r>
      <rPr>
        <sz val="9"/>
        <color indexed="8"/>
        <rFont val="宋体"/>
        <family val="3"/>
        <charset val="134"/>
      </rPr>
      <t>通乙</t>
    </r>
    <r>
      <rPr>
        <sz val="9"/>
        <color indexed="8"/>
        <rFont val="Arial"/>
        <family val="2"/>
      </rPr>
      <t>1080P</t>
    </r>
    <phoneticPr fontId="1" type="noConversion"/>
  </si>
  <si>
    <r>
      <t>通甲</t>
    </r>
    <r>
      <rPr>
        <sz val="9"/>
        <color indexed="8"/>
        <rFont val="Arial"/>
        <family val="2"/>
      </rPr>
      <t>4K</t>
    </r>
    <phoneticPr fontId="1" type="noConversion"/>
  </si>
  <si>
    <r>
      <t>通丙</t>
    </r>
    <r>
      <rPr>
        <sz val="9"/>
        <color indexed="8"/>
        <rFont val="Arial"/>
        <family val="2"/>
      </rPr>
      <t>720P</t>
    </r>
    <phoneticPr fontId="1" type="noConversion"/>
  </si>
  <si>
    <t>AI_Cactus_qp27</t>
  </si>
  <si>
    <t>AI_Cactus_qp32</t>
  </si>
  <si>
    <t>AI_Cactus_qp38</t>
  </si>
  <si>
    <t>AI_Cactus_qp45</t>
  </si>
  <si>
    <t>AI_BasketballDrive_qp27</t>
  </si>
  <si>
    <t>AI_BasketballDrive_qp32</t>
  </si>
  <si>
    <t>AI_BasketballDrive_qp38</t>
  </si>
  <si>
    <t>AI_BasketballDrive_qp45</t>
  </si>
  <si>
    <t>AI_City_qp27</t>
  </si>
  <si>
    <t>AI_City_qp32</t>
  </si>
  <si>
    <t>AI_City_qp38</t>
  </si>
  <si>
    <t>AI_City_qp45</t>
  </si>
  <si>
    <t>AI_Crew_qp27</t>
  </si>
  <si>
    <t>AI_Crew_qp32</t>
  </si>
  <si>
    <t>AI_Crew_qp38</t>
  </si>
  <si>
    <t>AI_Crew_qp45</t>
  </si>
  <si>
    <t>AI_Vidyo1_qp27</t>
  </si>
  <si>
    <t>AI_Vidyo1_qp32</t>
  </si>
  <si>
    <t>AI_Vidyo1_qp38</t>
  </si>
  <si>
    <t>AI_Vidyo1_qp45</t>
  </si>
  <si>
    <t>AI_Vidyo3_qp27</t>
  </si>
  <si>
    <t>AI_Vidyo3_qp32</t>
  </si>
  <si>
    <t>AI_Vidyo3_qp38</t>
  </si>
  <si>
    <t>AI_Vidyo3_qp45</t>
  </si>
  <si>
    <t>RA_Cactus_qp27</t>
  </si>
  <si>
    <t>RA_Cactus_qp32</t>
  </si>
  <si>
    <t>RA_Cactus_qp38</t>
  </si>
  <si>
    <t>RA_Cactus_qp45</t>
  </si>
  <si>
    <t>RA_BasketballDrive_qp27</t>
  </si>
  <si>
    <t>RA_BasketballDrive_qp32</t>
  </si>
  <si>
    <t>RA_BasketballDrive_qp38</t>
  </si>
  <si>
    <t>RA_BasketballDrive_qp45</t>
  </si>
  <si>
    <t>RA_City_qp27</t>
  </si>
  <si>
    <t>RA_City_qp32</t>
  </si>
  <si>
    <t>RA_City_qp38</t>
  </si>
  <si>
    <t>RA_City_qp45</t>
  </si>
  <si>
    <t>RA_Crew_qp27</t>
  </si>
  <si>
    <t>RA_Crew_qp32</t>
  </si>
  <si>
    <t>RA_Crew_qp38</t>
  </si>
  <si>
    <t>RA_Crew_qp45</t>
  </si>
  <si>
    <t>RA_Vidyo1_qp27</t>
  </si>
  <si>
    <t>RA_Vidyo1_qp32</t>
  </si>
  <si>
    <t>RA_Vidyo1_qp38</t>
  </si>
  <si>
    <t>RA_Vidyo1_qp45</t>
  </si>
  <si>
    <t>RA_Vidyo3_qp27</t>
  </si>
  <si>
    <t>RA_Vidyo3_qp32</t>
  </si>
  <si>
    <t>RA_Vidyo3_qp38</t>
  </si>
  <si>
    <t>RA_Vidyo3_qp45</t>
  </si>
  <si>
    <t>LB_Cactus_qp27</t>
  </si>
  <si>
    <t>LB_Cactus_qp32</t>
  </si>
  <si>
    <t>LB_Cactus_qp38</t>
  </si>
  <si>
    <t>LB_Cactus_qp45</t>
  </si>
  <si>
    <t>LB_BasketballDrive_qp27</t>
  </si>
  <si>
    <t>LB_BasketballDrive_qp32</t>
  </si>
  <si>
    <t>LB_BasketballDrive_qp38</t>
  </si>
  <si>
    <t>LB_BasketballDrive_qp45</t>
  </si>
  <si>
    <t>LB_City_qp27</t>
  </si>
  <si>
    <t>LB_City_qp32</t>
  </si>
  <si>
    <t>LB_City_qp38</t>
  </si>
  <si>
    <t>LB_City_qp45</t>
  </si>
  <si>
    <t>LB_Crew_qp27</t>
  </si>
  <si>
    <t>LB_Crew_qp32</t>
  </si>
  <si>
    <t>LB_Crew_qp38</t>
  </si>
  <si>
    <t>LB_Crew_qp45</t>
  </si>
  <si>
    <t>LB_Vidyo1_qp27</t>
  </si>
  <si>
    <t>LB_Vidyo1_qp32</t>
  </si>
  <si>
    <t>LB_Vidyo1_qp38</t>
  </si>
  <si>
    <t>LB_Vidyo1_qp45</t>
  </si>
  <si>
    <t>LB_Vidyo3_qp27</t>
  </si>
  <si>
    <t>LB_Vidyo3_qp32</t>
  </si>
  <si>
    <t>LB_Vidyo3_qp38</t>
  </si>
  <si>
    <t>LB_Vidyo3_qp45</t>
  </si>
  <si>
    <t>LP_Cactus_qp27</t>
  </si>
  <si>
    <t>LP_Cactus_qp32</t>
  </si>
  <si>
    <t>LP_Cactus_qp38</t>
  </si>
  <si>
    <t>LP_Cactus_qp45</t>
  </si>
  <si>
    <t>LP_BasketballDrive_qp27</t>
  </si>
  <si>
    <t>LP_BasketballDrive_qp32</t>
  </si>
  <si>
    <t>LP_BasketballDrive_qp38</t>
  </si>
  <si>
    <t>LP_BasketballDrive_qp45</t>
  </si>
  <si>
    <t>LP_City_qp27</t>
  </si>
  <si>
    <t>LP_City_qp32</t>
  </si>
  <si>
    <t>LP_City_qp38</t>
  </si>
  <si>
    <t>LP_City_qp45</t>
  </si>
  <si>
    <t>LP_Crew_qp27</t>
  </si>
  <si>
    <t>LP_Crew_qp32</t>
  </si>
  <si>
    <t>LP_Crew_qp38</t>
  </si>
  <si>
    <t>LP_Crew_qp45</t>
  </si>
  <si>
    <t>LP_Vidyo1_qp27</t>
  </si>
  <si>
    <t>LP_Vidyo1_qp32</t>
  </si>
  <si>
    <t>LP_Vidyo1_qp38</t>
  </si>
  <si>
    <t>LP_Vidyo1_qp45</t>
  </si>
  <si>
    <t>LP_Vidyo3_qp27</t>
  </si>
  <si>
    <t>LP_Vidyo3_qp32</t>
  </si>
  <si>
    <t>LP_Vidyo3_qp38</t>
  </si>
  <si>
    <t>LP_Vidyo3_qp45</t>
  </si>
  <si>
    <t>AI_Tango2_qp27</t>
  </si>
  <si>
    <t>AI_Tango2_qp32</t>
  </si>
  <si>
    <t>AI_Tango2_qp38</t>
  </si>
  <si>
    <t>AI_Tango2_qp45</t>
  </si>
  <si>
    <t>AI_ParkRunning3_qp27</t>
  </si>
  <si>
    <t>AI_ParkRunning3_qp32</t>
  </si>
  <si>
    <t>AI_ParkRunning3_qp38</t>
  </si>
  <si>
    <t>AI_ParkRunning3_qp45</t>
  </si>
  <si>
    <t>AI_CampfireParty2_qp27</t>
  </si>
  <si>
    <t>AI_CampfireParty2_qp32</t>
  </si>
  <si>
    <t>AI_CampfireParty2_qp38</t>
  </si>
  <si>
    <t>AI_CampfireParty2_qp45</t>
  </si>
  <si>
    <t>AI_DaylightRoad2_qp27</t>
  </si>
  <si>
    <t>AI_DaylightRoad2_qp32</t>
  </si>
  <si>
    <t>AI_DaylightRoad2_qp38</t>
  </si>
  <si>
    <t>AI_DaylightRoad2_qp45</t>
  </si>
  <si>
    <t>AI_MarketPlace_qp27</t>
  </si>
  <si>
    <t>AI_MarketPlace_qp32</t>
  </si>
  <si>
    <t>AI_MarketPlace_qp38</t>
  </si>
  <si>
    <t>AI_MarketPlace_qp45</t>
  </si>
  <si>
    <t>AI_RitualDance_qp27</t>
  </si>
  <si>
    <t>AI_RitualDance_qp32</t>
  </si>
  <si>
    <t>AI_RitualDance_qp38</t>
  </si>
  <si>
    <t>AI_RitualDance_qp45</t>
  </si>
  <si>
    <t>AI_MetroEntrance_qp27</t>
  </si>
  <si>
    <t>AI_MetroEntrance_qp32</t>
  </si>
  <si>
    <t>AI_MetroEntrance_qp38</t>
  </si>
  <si>
    <t>AI_MetroEntrance_qp45</t>
  </si>
  <si>
    <t>AI_NightTraffic3_qp27</t>
  </si>
  <si>
    <t>AI_NightTraffic3_qp32</t>
  </si>
  <si>
    <t>AI_NightTraffic3_qp38</t>
  </si>
  <si>
    <t>AI_NightTraffic3_qp45</t>
  </si>
  <si>
    <t>RA_Tango2_qp27</t>
  </si>
  <si>
    <t>RA_Tango2_qp32</t>
  </si>
  <si>
    <t>RA_Tango2_qp38</t>
  </si>
  <si>
    <t>RA_Tango2_qp45</t>
  </si>
  <si>
    <t>RA_ParkRunning3_qp27</t>
  </si>
  <si>
    <t>RA_ParkRunning3_qp32</t>
  </si>
  <si>
    <t>RA_ParkRunning3_qp38</t>
  </si>
  <si>
    <t>RA_ParkRunning3_qp45</t>
  </si>
  <si>
    <t>RA_CampfireParty2_qp27</t>
  </si>
  <si>
    <t>RA_CampfireParty2_qp32</t>
  </si>
  <si>
    <t>RA_CampfireParty2_qp38</t>
  </si>
  <si>
    <t>RA_CampfireParty2_qp45</t>
  </si>
  <si>
    <t>RA_DaylightRoad2_qp27</t>
  </si>
  <si>
    <t>RA_DaylightRoad2_qp32</t>
  </si>
  <si>
    <t>RA_DaylightRoad2_qp38</t>
  </si>
  <si>
    <t>RA_DaylightRoad2_qp45</t>
  </si>
  <si>
    <t>RA_MarketPlace_qp27</t>
  </si>
  <si>
    <t>RA_MarketPlace_qp32</t>
  </si>
  <si>
    <t>RA_MarketPlace_qp38</t>
  </si>
  <si>
    <t>RA_MarketPlace_qp45</t>
  </si>
  <si>
    <t>RA_RitualDance_qp27</t>
  </si>
  <si>
    <t>RA_RitualDance_qp32</t>
  </si>
  <si>
    <t>RA_RitualDance_qp38</t>
  </si>
  <si>
    <t>RA_RitualDance_qp45</t>
  </si>
  <si>
    <t>RA_MetroEntrance_qp27</t>
  </si>
  <si>
    <t>RA_MetroEntrance_qp32</t>
  </si>
  <si>
    <t>RA_MetroEntrance_qp38</t>
  </si>
  <si>
    <t>RA_MetroEntrance_qp45</t>
  </si>
  <si>
    <t>RA_NightTraffic3_qp27</t>
  </si>
  <si>
    <t>RA_NightTraffic3_qp32</t>
  </si>
  <si>
    <t>RA_NightTraffic3_qp38</t>
  </si>
  <si>
    <t>RA_NightTraffic3_qp45</t>
  </si>
  <si>
    <t>LB_Tango2_qp27</t>
  </si>
  <si>
    <t>LB_Tango2_qp32</t>
  </si>
  <si>
    <t>LB_Tango2_qp38</t>
  </si>
  <si>
    <t>LB_Tango2_qp45</t>
  </si>
  <si>
    <t>LB_ParkRunning3_qp27</t>
  </si>
  <si>
    <t>LB_ParkRunning3_qp32</t>
  </si>
  <si>
    <t>LB_ParkRunning3_qp38</t>
  </si>
  <si>
    <t>LB_ParkRunning3_qp45</t>
  </si>
  <si>
    <t>LB_CampfireParty2_qp27</t>
  </si>
  <si>
    <t>LB_CampfireParty2_qp32</t>
  </si>
  <si>
    <t>LB_CampfireParty2_qp38</t>
  </si>
  <si>
    <t>LB_CampfireParty2_qp45</t>
  </si>
  <si>
    <t>LB_DaylightRoad2_qp27</t>
  </si>
  <si>
    <t>LB_DaylightRoad2_qp32</t>
  </si>
  <si>
    <t>LB_DaylightRoad2_qp38</t>
  </si>
  <si>
    <t>LB_DaylightRoad2_qp45</t>
  </si>
  <si>
    <t>LB_MarketPlace_qp27</t>
  </si>
  <si>
    <t>LB_MarketPlace_qp32</t>
  </si>
  <si>
    <t>LB_MarketPlace_qp38</t>
  </si>
  <si>
    <t>LB_MarketPlace_qp45</t>
  </si>
  <si>
    <t>LB_RitualDance_qp27</t>
  </si>
  <si>
    <t>LB_RitualDance_qp32</t>
  </si>
  <si>
    <t>LB_RitualDance_qp38</t>
  </si>
  <si>
    <t>LB_RitualDance_qp45</t>
  </si>
  <si>
    <t>LB_MetroEntrance_qp27</t>
  </si>
  <si>
    <t>LB_MetroEntrance_qp32</t>
  </si>
  <si>
    <t>LB_MetroEntrance_qp38</t>
  </si>
  <si>
    <t>LB_MetroEntrance_qp45</t>
  </si>
  <si>
    <t>LB_NightTraffic3_qp27</t>
  </si>
  <si>
    <t>LB_NightTraffic3_qp32</t>
  </si>
  <si>
    <t>LB_NightTraffic3_qp38</t>
  </si>
  <si>
    <t>LB_NightTraffic3_qp45</t>
  </si>
  <si>
    <t>LP_Tango2_qp27</t>
  </si>
  <si>
    <t>LP_Tango2_qp32</t>
  </si>
  <si>
    <t>LP_Tango2_qp38</t>
  </si>
  <si>
    <t>LP_Tango2_qp45</t>
  </si>
  <si>
    <t>LP_ParkRunning3_qp27</t>
  </si>
  <si>
    <t>LP_ParkRunning3_qp32</t>
  </si>
  <si>
    <t>LP_ParkRunning3_qp38</t>
  </si>
  <si>
    <t>LP_ParkRunning3_qp45</t>
  </si>
  <si>
    <t>LP_CampfireParty2_qp27</t>
  </si>
  <si>
    <t>LP_CampfireParty2_qp32</t>
  </si>
  <si>
    <t>LP_CampfireParty2_qp38</t>
  </si>
  <si>
    <t>LP_CampfireParty2_qp45</t>
  </si>
  <si>
    <t>LP_DaylightRoad2_qp27</t>
  </si>
  <si>
    <t>LP_DaylightRoad2_qp32</t>
  </si>
  <si>
    <t>LP_DaylightRoad2_qp38</t>
  </si>
  <si>
    <t>LP_DaylightRoad2_qp45</t>
  </si>
  <si>
    <t>LP_MarketPlace_qp27</t>
  </si>
  <si>
    <t>LP_MarketPlace_qp32</t>
  </si>
  <si>
    <t>LP_MarketPlace_qp38</t>
  </si>
  <si>
    <t>LP_MarketPlace_qp45</t>
  </si>
  <si>
    <t>LP_RitualDance_qp27</t>
  </si>
  <si>
    <t>LP_RitualDance_qp32</t>
  </si>
  <si>
    <t>LP_RitualDance_qp38</t>
  </si>
  <si>
    <t>LP_RitualDance_qp45</t>
  </si>
  <si>
    <t>LP_MetroEntrance_qp27</t>
  </si>
  <si>
    <t>LP_MetroEntrance_qp32</t>
  </si>
  <si>
    <t>LP_MetroEntrance_qp38</t>
  </si>
  <si>
    <t>LP_MetroEntrance_qp45</t>
  </si>
  <si>
    <t>LP_NightTraffic3_qp27</t>
  </si>
  <si>
    <t>LP_NightTraffic3_qp32</t>
  </si>
  <si>
    <t>LP_NightTraffic3_qp38</t>
  </si>
  <si>
    <t>LP_NightTraffic3_qp45</t>
  </si>
  <si>
    <t>AI_FlyingGraphics_qp27</t>
  </si>
  <si>
    <t>AI_FlyingGraphics_qp32</t>
  </si>
  <si>
    <t>AI_FlyingGraphics_qp38</t>
  </si>
  <si>
    <t>AI_FlyingGraphics_qp45</t>
  </si>
  <si>
    <t>AI_Desktop_qp27</t>
  </si>
  <si>
    <t>AI_Desktop_qp32</t>
  </si>
  <si>
    <t>AI_Desktop_qp38</t>
  </si>
  <si>
    <t>AI_Desktop_qp45</t>
  </si>
  <si>
    <t>AI_ArenaOfValor_qp27</t>
  </si>
  <si>
    <t>AI_ArenaOfValor_qp32</t>
  </si>
  <si>
    <t>AI_ArenaOfValor_qp38</t>
  </si>
  <si>
    <t>AI_ArenaOfValor_qp45</t>
  </si>
  <si>
    <t>AI_program_vidyo_qp27</t>
  </si>
  <si>
    <t>AI_program_vidyo_qp32</t>
  </si>
  <si>
    <t>AI_program_vidyo_qp38</t>
  </si>
  <si>
    <t>AI_program_vidyo_qp45</t>
  </si>
  <si>
    <t>RA_FlyingGraphics_qp27</t>
  </si>
  <si>
    <t>RA_FlyingGraphics_qp32</t>
  </si>
  <si>
    <t>RA_FlyingGraphics_qp38</t>
  </si>
  <si>
    <t>RA_FlyingGraphics_qp45</t>
  </si>
  <si>
    <t>RA_Desktop_qp27</t>
  </si>
  <si>
    <t>RA_Desktop_qp32</t>
  </si>
  <si>
    <t>RA_Desktop_qp38</t>
  </si>
  <si>
    <t>RA_Desktop_qp45</t>
  </si>
  <si>
    <t>RA_ArenaOfValor_qp27</t>
  </si>
  <si>
    <t>RA_ArenaOfValor_qp32</t>
  </si>
  <si>
    <t>RA_ArenaOfValor_qp38</t>
  </si>
  <si>
    <t>RA_ArenaOfValor_qp45</t>
  </si>
  <si>
    <t>RA_program_vidyo_qp27</t>
  </si>
  <si>
    <t>RA_program_vidyo_qp32</t>
  </si>
  <si>
    <t>RA_program_vidyo_qp38</t>
  </si>
  <si>
    <t>RA_program_vidyo_qp45</t>
  </si>
  <si>
    <t>LB_FlyingGraphics_qp27</t>
  </si>
  <si>
    <t>LB_FlyingGraphics_qp32</t>
  </si>
  <si>
    <t>LB_FlyingGraphics_qp38</t>
  </si>
  <si>
    <t>LB_FlyingGraphics_qp45</t>
  </si>
  <si>
    <t>LB_Desktop_qp27</t>
  </si>
  <si>
    <t>LB_Desktop_qp32</t>
  </si>
  <si>
    <t>LB_Desktop_qp38</t>
  </si>
  <si>
    <t>LB_Desktop_qp45</t>
  </si>
  <si>
    <t>LB_ArenaOfValor_qp27</t>
  </si>
  <si>
    <t>LB_ArenaOfValor_qp32</t>
  </si>
  <si>
    <t>LB_ArenaOfValor_qp38</t>
  </si>
  <si>
    <t>LB_ArenaOfValor_qp45</t>
  </si>
  <si>
    <t>LB_program_vidyo_qp27</t>
  </si>
  <si>
    <t>LB_program_vidyo_qp32</t>
  </si>
  <si>
    <t>LB_program_vidyo_qp38</t>
  </si>
  <si>
    <t>LB_program_vidyo_qp45</t>
  </si>
  <si>
    <r>
      <rPr>
        <sz val="9"/>
        <color indexed="8"/>
        <rFont val="宋体"/>
        <family val="3"/>
        <charset val="134"/>
      </rPr>
      <t>特乙</t>
    </r>
    <r>
      <rPr>
        <sz val="9"/>
        <color indexed="8"/>
        <rFont val="Arial"/>
        <family val="2"/>
      </rPr>
      <t xml:space="preserve"> (Optional)</t>
    </r>
    <phoneticPr fontId="9" type="noConversion"/>
  </si>
  <si>
    <t>FlyingGraphics</t>
  </si>
  <si>
    <t>Desktop</t>
  </si>
  <si>
    <t>ArenaOfValor</t>
  </si>
  <si>
    <t>program_vidyo</t>
  </si>
  <si>
    <t>特乙</t>
    <phoneticPr fontId="9" type="noConversion"/>
  </si>
  <si>
    <t>SCC</t>
    <phoneticPr fontId="9" type="noConversion"/>
  </si>
  <si>
    <r>
      <t>特乙</t>
    </r>
    <r>
      <rPr>
        <b/>
        <sz val="9"/>
        <color indexed="8"/>
        <rFont val="Arial"/>
        <family val="2"/>
      </rPr>
      <t xml:space="preserve"> (Optional)</t>
    </r>
  </si>
  <si>
    <t>LP_BasketballPass_qp27</t>
  </si>
  <si>
    <t>LP_BasketballPass_qp32</t>
  </si>
  <si>
    <t>LP_BasketballPass_qp38</t>
  </si>
  <si>
    <t>LP_BasketballPass_qp45</t>
  </si>
  <si>
    <t>LP_BQSquare_qp27</t>
  </si>
  <si>
    <t>LP_BQSquare_qp32</t>
  </si>
  <si>
    <t>LP_BQSquare_qp38</t>
  </si>
  <si>
    <t>LP_BQSquare_qp45</t>
  </si>
  <si>
    <t>LP_BlowingBubbles_qp27</t>
  </si>
  <si>
    <t>LP_BlowingBubbles_qp32</t>
  </si>
  <si>
    <t>LP_BlowingBubbles_qp38</t>
  </si>
  <si>
    <t>LP_BlowingBubbles_qp45</t>
  </si>
  <si>
    <t>LP_RaceHorses_qp27</t>
  </si>
  <si>
    <t>LP_RaceHorses_qp32</t>
  </si>
  <si>
    <t>LP_RaceHorses_qp38</t>
  </si>
  <si>
    <t>LP_RaceHorses_qp45</t>
  </si>
  <si>
    <t>LP_FlyingGraphics_qp27</t>
  </si>
  <si>
    <t>LP_FlyingGraphics_qp32</t>
  </si>
  <si>
    <t>LP_FlyingGraphics_qp38</t>
  </si>
  <si>
    <t>LP_FlyingGraphics_qp45</t>
  </si>
  <si>
    <t>LP_Desktop_qp27</t>
  </si>
  <si>
    <t>LP_Desktop_qp32</t>
  </si>
  <si>
    <t>LP_Desktop_qp38</t>
  </si>
  <si>
    <t>LP_Desktop_qp45</t>
  </si>
  <si>
    <t>LP_ArenaOfValor_qp27</t>
  </si>
  <si>
    <t>LP_ArenaOfValor_qp32</t>
  </si>
  <si>
    <t>LP_ArenaOfValor_qp38</t>
  </si>
  <si>
    <t>LP_ArenaOfValor_qp45</t>
  </si>
  <si>
    <t>LP_program_vidyo_qp27</t>
  </si>
  <si>
    <t>LP_program_vidyo_qp32</t>
  </si>
  <si>
    <t>LP_program_vidyo_qp38</t>
  </si>
  <si>
    <t>LP_program_vidyo_qp45</t>
  </si>
  <si>
    <t>RA_all_log/enc_log_City_RA_27_rap1.txt</t>
  </si>
  <si>
    <t>RA_all_log/dec_log_City_RA_27_rap1.txt</t>
  </si>
  <si>
    <t>RA_all_log/enc_log_City_RA_32_rap1.txt</t>
  </si>
  <si>
    <t>RA_all_log/dec_log_City_RA_32_rap1.txt</t>
  </si>
  <si>
    <t>RA_all_log/enc_log_City_RA_38_rap1.txt</t>
  </si>
  <si>
    <t>RA_all_log/dec_log_City_RA_38_rap1.txt</t>
  </si>
  <si>
    <t>RA_all_log/enc_log_City_RA_45_rap1.txt</t>
  </si>
  <si>
    <t>RA_all_log/dec_log_City_RA_45_rap1.txt</t>
  </si>
  <si>
    <t>RA_all_log/enc_log_Crew_RA_27_rap1.txt</t>
  </si>
  <si>
    <t>RA_all_log/dec_log_Crew_RA_27_rap1.txt</t>
  </si>
  <si>
    <t>RA_all_log/enc_log_Crew_RA_32_rap1.txt</t>
  </si>
  <si>
    <t>RA_all_log/dec_log_Crew_RA_32_rap1.txt</t>
  </si>
  <si>
    <t>RA_all_log/enc_log_Crew_RA_38_rap1.txt</t>
  </si>
  <si>
    <t>RA_all_log/dec_log_Crew_RA_38_rap1.txt</t>
  </si>
  <si>
    <t>RA_all_log/enc_log_Crew_RA_45_rap1.txt</t>
  </si>
  <si>
    <t>RA_all_log/dec_log_Crew_RA_45_rap1.txt</t>
  </si>
  <si>
    <t>RA_all_log/enc_log_Vidyo1_RA_27_rap1.txt</t>
  </si>
  <si>
    <t>RA_all_log/dec_log_Vidyo1_RA_27_rap1.txt</t>
  </si>
  <si>
    <t>RA_all_log/enc_log_Vidyo1_RA_32_rap1.txt</t>
  </si>
  <si>
    <t>RA_all_log/dec_log_Vidyo1_RA_32_rap1.txt</t>
  </si>
  <si>
    <t>RA_all_log/enc_log_Vidyo1_RA_38_rap1.txt</t>
  </si>
  <si>
    <t>RA_all_log/dec_log_Vidyo1_RA_38_rap1.txt</t>
  </si>
  <si>
    <t>RA_all_log/enc_log_Vidyo1_RA_45_rap1.txt</t>
  </si>
  <si>
    <t>RA_all_log/dec_log_Vidyo1_RA_45_rap1.txt</t>
  </si>
  <si>
    <t>RA_all_log/enc_log_Vidyo3_RA_27_rap1.txt</t>
  </si>
  <si>
    <t>RA_all_log/dec_log_Vidyo3_RA_27_rap1.txt</t>
  </si>
  <si>
    <t>RA_all_log/enc_log_Vidyo3_RA_32_rap1.txt</t>
  </si>
  <si>
    <t>RA_all_log/dec_log_Vidyo3_RA_32_rap1.txt</t>
  </si>
  <si>
    <t>RA_all_log/enc_log_Vidyo3_RA_38_rap1.txt</t>
  </si>
  <si>
    <t>RA_all_log/dec_log_Vidyo3_RA_38_rap1.txt</t>
  </si>
  <si>
    <t>RA_all_log/enc_log_Vidyo3_RA_45_rap1.txt</t>
  </si>
  <si>
    <t>RA_all_log/dec_log_Vidyo3_RA_45_rap1.txt</t>
  </si>
  <si>
    <t>RA_all_log/enc_log_BasketballDrive_RA_27_rap2.txt</t>
  </si>
  <si>
    <t>RA_all_log/dec_log_BasketballDrive_RA_27_rap2.txt</t>
  </si>
  <si>
    <t>RA_all_log/enc_log_BasketballDrive_RA_32_rap2.txt</t>
  </si>
  <si>
    <t>RA_all_log/dec_log_BasketballDrive_RA_32_rap2.txt</t>
  </si>
  <si>
    <t>RA_all_log/enc_log_BasketballDrive_RA_38_rap2.txt</t>
  </si>
  <si>
    <t>RA_all_log/dec_log_BasketballDrive_RA_38_rap2.txt</t>
  </si>
  <si>
    <t>RA_all_log/enc_log_BasketballDrive_RA_45_rap2.txt</t>
  </si>
  <si>
    <t>RA_all_log/dec_log_BasketballDrive_RA_45_rap2.txt</t>
  </si>
  <si>
    <t>RA_all_log/enc_log_Cactus_RA_27_rap2.txt</t>
  </si>
  <si>
    <t>RA_all_log/dec_log_Cactus_RA_27_rap2.txt</t>
  </si>
  <si>
    <t>RA_all_log/enc_log_Cactus_RA_32_rap2.txt</t>
  </si>
  <si>
    <t>RA_all_log/dec_log_Cactus_RA_32_rap2.txt</t>
  </si>
  <si>
    <t>RA_all_log/enc_log_Cactus_RA_38_rap2.txt</t>
  </si>
  <si>
    <t>RA_all_log/dec_log_Cactus_RA_38_rap2.txt</t>
  </si>
  <si>
    <t>RA_all_log/enc_log_Cactus_RA_45_rap2.txt</t>
  </si>
  <si>
    <t>RA_all_log/dec_log_Cactus_RA_45_rap2.txt</t>
  </si>
  <si>
    <t>RA_all_log/enc_log_MarketPlace_RA_27_rap1.txt</t>
  </si>
  <si>
    <t>RA_all_log/dec_log_MarketPlace_RA_27_rap1.txt</t>
  </si>
  <si>
    <t>RA_all_log/enc_log_MarketPlace_RA_32_rap1.txt</t>
  </si>
  <si>
    <t>RA_all_log/dec_log_MarketPlace_RA_32_rap1.txt</t>
  </si>
  <si>
    <t>RA_all_log/enc_log_MarketPlace_RA_38_rap1.txt</t>
  </si>
  <si>
    <t>RA_all_log/dec_log_MarketPlace_RA_38_rap1.txt</t>
  </si>
  <si>
    <t>RA_all_log/enc_log_MarketPlace_RA_45_rap1.txt</t>
  </si>
  <si>
    <t>RA_all_log/dec_log_MarketPlace_RA_45_rap1.txt</t>
  </si>
  <si>
    <t>RA_all_log/enc_log_RitualDance_RA_27_rap1.txt</t>
  </si>
  <si>
    <t>RA_all_log/dec_log_RitualDance_RA_27_rap1.txt</t>
  </si>
  <si>
    <t>RA_all_log/enc_log_RitualDance_RA_32_rap1.txt</t>
  </si>
  <si>
    <t>RA_all_log/dec_log_RitualDance_RA_32_rap1.txt</t>
  </si>
  <si>
    <t>RA_all_log/enc_log_RitualDance_RA_38_rap1.txt</t>
  </si>
  <si>
    <t>RA_all_log/dec_log_RitualDance_RA_38_rap1.txt</t>
  </si>
  <si>
    <t>RA_all_log/enc_log_RitualDance_RA_45_rap1.txt</t>
  </si>
  <si>
    <t>RA_all_log/dec_log_RitualDance_RA_45_rap1.txt</t>
  </si>
  <si>
    <t>RA_all_log/enc_log_Tango2_RA_27_rap1.txt</t>
  </si>
  <si>
    <t>RA_all_log/dec_log_Tango2_RA_27_rap1.txt</t>
  </si>
  <si>
    <t>RA_all_log/enc_log_Tango2_RA_32_rap1.txt</t>
  </si>
  <si>
    <t>RA_all_log/dec_log_Tango2_RA_32_rap1.txt</t>
  </si>
  <si>
    <t>RA_all_log/enc_log_Tango2_RA_38_rap1.txt</t>
  </si>
  <si>
    <t>RA_all_log/dec_log_Tango2_RA_38_rap1.txt</t>
  </si>
  <si>
    <t>RA_all_log/enc_log_Tango2_RA_45_rap1.txt</t>
  </si>
  <si>
    <t>RA_all_log/dec_log_Tango2_RA_45_rap1.txt</t>
  </si>
  <si>
    <t>RA_all_log/enc_log_Campfire_RA_27_rap1.txt</t>
  </si>
  <si>
    <t>RA_all_log/dec_log_Campfire_RA_27_rap1.txt</t>
  </si>
  <si>
    <t>RA_all_log/enc_log_Campfire_RA_32_rap1.txt</t>
  </si>
  <si>
    <t>RA_all_log/dec_log_Campfire_RA_32_rap1.txt</t>
  </si>
  <si>
    <t>RA_all_log/enc_log_Campfire_RA_38_rap1.txt</t>
  </si>
  <si>
    <t>RA_all_log/dec_log_Campfire_RA_38_rap1.txt</t>
  </si>
  <si>
    <t>RA_all_log/enc_log_Campfire_RA_45_rap1.txt</t>
  </si>
  <si>
    <t>RA_all_log/dec_log_Campfire_RA_45_rap1.txt</t>
  </si>
  <si>
    <t>RA_all_log/enc_log_ParkRunning3_RA_38_rap2.txt</t>
  </si>
  <si>
    <t>RA_all_log/dec_log_ParkRunning3_RA_38_rap2.txt</t>
  </si>
  <si>
    <t>RA_all_log/enc_log_ParkRunning3_RA_45_rap2.txt</t>
  </si>
  <si>
    <t>RA_all_log/dec_log_ParkRunning3_RA_45_rap2.txt</t>
  </si>
  <si>
    <t>RA_all_log/enc_log_DaylightRoad2_RA_32_rap1.txt</t>
  </si>
  <si>
    <t>RA_all_log/dec_log_DaylightRoad2_RA_32_rap1.txt</t>
  </si>
  <si>
    <t>RA_all_log/enc_log_DaylightRoad2_RA_38_rap1.txt</t>
  </si>
  <si>
    <t>RA_all_log/dec_log_DaylightRoad2_RA_38_rap1.txt</t>
  </si>
  <si>
    <t>RA_all_log/enc_log_DaylightRoad2_RA_45_rap1.txt</t>
  </si>
  <si>
    <t>RA_all_log/dec_log_DaylightRoad2_RA_45_rap1.txt</t>
  </si>
  <si>
    <t>HPM12.2</t>
    <phoneticPr fontId="1" type="noConversion"/>
  </si>
  <si>
    <t>AI_all_log/enc_log_City_AI_27_rap0.txt</t>
  </si>
  <si>
    <t>AI_all_log/dec_log_City_AI_27_rap0.txt</t>
  </si>
  <si>
    <t>AI_all_log/enc_log_City_AI_32_rap0.txt</t>
  </si>
  <si>
    <t>AI_all_log/dec_log_City_AI_32_rap0.txt</t>
  </si>
  <si>
    <t>AI_all_log/enc_log_City_AI_38_rap0.txt</t>
  </si>
  <si>
    <t>AI_all_log/dec_log_City_AI_38_rap0.txt</t>
  </si>
  <si>
    <t>AI_all_log/enc_log_City_AI_45_rap0.txt</t>
  </si>
  <si>
    <t>AI_all_log/dec_log_City_AI_45_rap0.txt</t>
  </si>
  <si>
    <t>AI_all_log/enc_log_Crew_AI_27_rap0.txt</t>
  </si>
  <si>
    <t>AI_all_log/dec_log_Crew_AI_27_rap0.txt</t>
  </si>
  <si>
    <t>AI_all_log/enc_log_Crew_AI_32_rap0.txt</t>
  </si>
  <si>
    <t>AI_all_log/dec_log_Crew_AI_32_rap0.txt</t>
  </si>
  <si>
    <t>AI_all_log/enc_log_Crew_AI_38_rap0.txt</t>
  </si>
  <si>
    <t>AI_all_log/dec_log_Crew_AI_38_rap0.txt</t>
  </si>
  <si>
    <t>AI_all_log/enc_log_Crew_AI_45_rap0.txt</t>
  </si>
  <si>
    <t>AI_all_log/dec_log_Crew_AI_45_rap0.txt</t>
  </si>
  <si>
    <t>AI_all_log/enc_log_Vidyo1_AI_27_rap0.txt</t>
  </si>
  <si>
    <t>AI_all_log/dec_log_Vidyo1_AI_27_rap0.txt</t>
  </si>
  <si>
    <t>AI_all_log/enc_log_Vidyo1_AI_32_rap0.txt</t>
  </si>
  <si>
    <t>AI_all_log/dec_log_Vidyo1_AI_32_rap0.txt</t>
  </si>
  <si>
    <t>AI_all_log/enc_log_Vidyo1_AI_38_rap0.txt</t>
  </si>
  <si>
    <t>AI_all_log/dec_log_Vidyo1_AI_38_rap0.txt</t>
  </si>
  <si>
    <t>AI_all_log/enc_log_Vidyo1_AI_45_rap0.txt</t>
  </si>
  <si>
    <t>AI_all_log/dec_log_Vidyo1_AI_45_rap0.txt</t>
  </si>
  <si>
    <t>AI_all_log/enc_log_Vidyo3_AI_27_rap0.txt</t>
  </si>
  <si>
    <t>AI_all_log/dec_log_Vidyo3_AI_27_rap0.txt</t>
  </si>
  <si>
    <t>AI_all_log/enc_log_Vidyo3_AI_32_rap0.txt</t>
  </si>
  <si>
    <t>AI_all_log/dec_log_Vidyo3_AI_32_rap0.txt</t>
  </si>
  <si>
    <t>AI_all_log/enc_log_Vidyo3_AI_38_rap0.txt</t>
  </si>
  <si>
    <t>AI_all_log/dec_log_Vidyo3_AI_38_rap0.txt</t>
  </si>
  <si>
    <t>AI_all_log/enc_log_Vidyo3_AI_45_rap0.txt</t>
  </si>
  <si>
    <t>AI_all_log/dec_log_Vidyo3_AI_45_rap0.txt</t>
  </si>
  <si>
    <t>AI_all_log/enc_log_BasketballDrive_AI_27_rap0.txt</t>
  </si>
  <si>
    <t>AI_all_log/dec_log_BasketballDrive_AI_27_rap0.txt</t>
  </si>
  <si>
    <t>AI_all_log/enc_log_BasketballDrive_AI_32_rap0.txt</t>
  </si>
  <si>
    <t>AI_all_log/dec_log_BasketballDrive_AI_32_rap0.txt</t>
  </si>
  <si>
    <t>AI_all_log/enc_log_BasketballDrive_AI_38_rap0.txt</t>
  </si>
  <si>
    <t>AI_all_log/dec_log_BasketballDrive_AI_38_rap0.txt</t>
  </si>
  <si>
    <t>AI_all_log/enc_log_BasketballDrive_AI_45_rap0.txt</t>
  </si>
  <si>
    <t>AI_all_log/dec_log_BasketballDrive_AI_45_rap0.txt</t>
  </si>
  <si>
    <t>AI_all_log/enc_log_Cactus_AI_27_rap0.txt</t>
  </si>
  <si>
    <t>AI_all_log/dec_log_Cactus_AI_27_rap0.txt</t>
  </si>
  <si>
    <t>AI_all_log/enc_log_Cactus_AI_32_rap0.txt</t>
  </si>
  <si>
    <t>AI_all_log/dec_log_Cactus_AI_32_rap0.txt</t>
  </si>
  <si>
    <t>AI_all_log/enc_log_Cactus_AI_38_rap0.txt</t>
  </si>
  <si>
    <t>AI_all_log/dec_log_Cactus_AI_38_rap0.txt</t>
  </si>
  <si>
    <t>AI_all_log/enc_log_Cactus_AI_45_rap0.txt</t>
  </si>
  <si>
    <t>AI_all_log/dec_log_Cactus_AI_45_rap0.txt</t>
  </si>
  <si>
    <t>AI_all_log/enc_log_MarketPlace_AI_27_rap0.txt</t>
  </si>
  <si>
    <t>AI_all_log/dec_log_MarketPlace_AI_27_rap0.txt</t>
  </si>
  <si>
    <t>AI_all_log/enc_log_MarketPlace_AI_32_rap0.txt</t>
  </si>
  <si>
    <t>AI_all_log/dec_log_MarketPlace_AI_32_rap0.txt</t>
  </si>
  <si>
    <t>AI_all_log/enc_log_MarketPlace_AI_38_rap0.txt</t>
  </si>
  <si>
    <t>AI_all_log/dec_log_MarketPlace_AI_38_rap0.txt</t>
  </si>
  <si>
    <t>AI_all_log/enc_log_MarketPlace_AI_45_rap0.txt</t>
  </si>
  <si>
    <t>AI_all_log/dec_log_MarketPlace_AI_45_rap0.txt</t>
  </si>
  <si>
    <t>AI_all_log/enc_log_RitualDance_AI_27_rap0.txt</t>
  </si>
  <si>
    <t>AI_all_log/dec_log_RitualDance_AI_27_rap0.txt</t>
  </si>
  <si>
    <t>AI_all_log/enc_log_RitualDance_AI_32_rap0.txt</t>
  </si>
  <si>
    <t>AI_all_log/dec_log_RitualDance_AI_32_rap0.txt</t>
  </si>
  <si>
    <t>AI_all_log/enc_log_RitualDance_AI_38_rap0.txt</t>
  </si>
  <si>
    <t>AI_all_log/dec_log_RitualDance_AI_38_rap0.txt</t>
  </si>
  <si>
    <t>AI_all_log/enc_log_RitualDance_AI_45_rap0.txt</t>
  </si>
  <si>
    <t>AI_all_log/dec_log_RitualDance_AI_45_rap0.txt</t>
  </si>
  <si>
    <t>AI_all_log/enc_log_Tango2_AI_27_rap0.txt</t>
  </si>
  <si>
    <t>AI_all_log/dec_log_Tango2_AI_27_rap0.txt</t>
  </si>
  <si>
    <t>AI_all_log/enc_log_Tango2_AI_32_rap0.txt</t>
  </si>
  <si>
    <t>AI_all_log/dec_log_Tango2_AI_32_rap0.txt</t>
  </si>
  <si>
    <t>AI_all_log/enc_log_Tango2_AI_38_rap0.txt</t>
  </si>
  <si>
    <t>AI_all_log/dec_log_Tango2_AI_38_rap0.txt</t>
  </si>
  <si>
    <t>AI_all_log/enc_log_Tango2_AI_45_rap0.txt</t>
  </si>
  <si>
    <t>AI_all_log/dec_log_Tango2_AI_45_rap0.txt</t>
  </si>
  <si>
    <t>AI_all_log/enc_log_Campfire_AI_27_rap0.txt</t>
  </si>
  <si>
    <t>AI_all_log/dec_log_Campfire_AI_27_rap0.txt</t>
  </si>
  <si>
    <t>AI_all_log/enc_log_Campfire_AI_32_rap0.txt</t>
  </si>
  <si>
    <t>AI_all_log/dec_log_Campfire_AI_32_rap0.txt</t>
  </si>
  <si>
    <t>AI_all_log/enc_log_Campfire_AI_38_rap0.txt</t>
  </si>
  <si>
    <t>AI_all_log/dec_log_Campfire_AI_38_rap0.txt</t>
  </si>
  <si>
    <t>AI_all_log/enc_log_Campfire_AI_45_rap0.txt</t>
  </si>
  <si>
    <t>AI_all_log/dec_log_Campfire_AI_45_rap0.txt</t>
  </si>
  <si>
    <t>AI_all_log/enc_log_ParkRunning3_AI_27_rap0.txt</t>
  </si>
  <si>
    <t>AI_all_log/dec_log_ParkRunning3_AI_27_rap0.txt</t>
  </si>
  <si>
    <t>AI_all_log/enc_log_ParkRunning3_AI_32_rap0.txt</t>
  </si>
  <si>
    <t>AI_all_log/dec_log_ParkRunning3_AI_32_rap0.txt</t>
  </si>
  <si>
    <t>AI_all_log/enc_log_ParkRunning3_AI_38_rap0.txt</t>
  </si>
  <si>
    <t>AI_all_log/dec_log_ParkRunning3_AI_38_rap0.txt</t>
  </si>
  <si>
    <t>AI_all_log/enc_log_ParkRunning3_AI_45_rap0.txt</t>
  </si>
  <si>
    <t>AI_all_log/dec_log_ParkRunning3_AI_45_rap0.txt</t>
  </si>
  <si>
    <t>AI_all_log/enc_log_DaylightRoad2_AI_27_rap0.txt</t>
  </si>
  <si>
    <t>AI_all_log/dec_log_DaylightRoad2_AI_27_rap0.txt</t>
  </si>
  <si>
    <t>AI_all_log/enc_log_DaylightRoad2_AI_32_rap0.txt</t>
  </si>
  <si>
    <t>AI_all_log/dec_log_DaylightRoad2_AI_32_rap0.txt</t>
  </si>
  <si>
    <t>AI_all_log/enc_log_DaylightRoad2_AI_38_rap0.txt</t>
  </si>
  <si>
    <t>AI_all_log/dec_log_DaylightRoad2_AI_38_rap0.txt</t>
  </si>
  <si>
    <t>AI_all_log/enc_log_DaylightRoad2_AI_45_rap0.txt</t>
  </si>
  <si>
    <t>AI_all_log/dec_log_DaylightRoad2_AI_45_rap0.txt</t>
  </si>
  <si>
    <t>LD_all_log/enc_log_Tango2_LD_27_rap0.txt</t>
  </si>
  <si>
    <t>LD_all_log/dec_log_Tango2_LD_27_rap0.txt</t>
  </si>
  <si>
    <t>LD_all_log/enc_log_Tango2_LD_32_rap0.txt</t>
  </si>
  <si>
    <t>LD_all_log/dec_log_Tango2_LD_32_rap0.txt</t>
  </si>
  <si>
    <t>LD_all_log/enc_log_Tango2_LD_38_rap0.txt</t>
  </si>
  <si>
    <t>LD_all_log/dec_log_Tango2_LD_38_rap0.txt</t>
  </si>
  <si>
    <t>LD_all_log/enc_log_Tango2_LD_45_rap0.txt</t>
  </si>
  <si>
    <t>LD_all_log/dec_log_Tango2_LD_45_rap0.txt</t>
  </si>
  <si>
    <t>LD_all_log/enc_log_ParkRunning3_LD_27_rap0.txt</t>
  </si>
  <si>
    <t>LD_all_log/dec_log_ParkRunning3_LD_27_rap0.txt</t>
  </si>
  <si>
    <t>LD_all_log/enc_log_ParkRunning3_LD_32_rap0.txt</t>
  </si>
  <si>
    <t>LD_all_log/dec_log_ParkRunning3_LD_32_rap0.txt</t>
  </si>
  <si>
    <t>LD_all_log/enc_log_ParkRunning3_LD_38_rap0.txt</t>
  </si>
  <si>
    <t>LD_all_log/dec_log_ParkRunning3_LD_38_rap0.txt</t>
  </si>
  <si>
    <t>LD_all_log/enc_log_ParkRunning3_LD_45_rap0.txt</t>
  </si>
  <si>
    <t>LD_all_log/dec_log_ParkRunning3_LD_45_rap0.txt</t>
  </si>
  <si>
    <t>LD_all_log/enc_log_Campfire_LD_27_rap0.txt</t>
  </si>
  <si>
    <t>LD_all_log/dec_log_Campfire_LD_27_rap0.txt</t>
  </si>
  <si>
    <t>LD_all_log/enc_log_Campfire_LD_32_rap0.txt</t>
  </si>
  <si>
    <t>LD_all_log/dec_log_Campfire_LD_32_rap0.txt</t>
  </si>
  <si>
    <t>LD_all_log/enc_log_Campfire_LD_38_rap0.txt</t>
  </si>
  <si>
    <t>LD_all_log/dec_log_Campfire_LD_38_rap0.txt</t>
  </si>
  <si>
    <t>LD_all_log/enc_log_Campfire_LD_45_rap0.txt</t>
  </si>
  <si>
    <t>LD_all_log/dec_log_Campfire_LD_45_rap0.txt</t>
  </si>
  <si>
    <t>LD_all_log/enc_log_DaylightRoad2_LD_27_rap0.txt</t>
  </si>
  <si>
    <t>LD_all_log/dec_log_DaylightRoad2_LD_27_rap0.txt</t>
  </si>
  <si>
    <t>LD_all_log/enc_log_DaylightRoad2_LD_32_rap0.txt</t>
  </si>
  <si>
    <t>LD_all_log/dec_log_DaylightRoad2_LD_32_rap0.txt</t>
  </si>
  <si>
    <t>LD_all_log/enc_log_DaylightRoad2_LD_38_rap0.txt</t>
  </si>
  <si>
    <t>LD_all_log/dec_log_DaylightRoad2_LD_38_rap0.txt</t>
  </si>
  <si>
    <t>LD_all_log/enc_log_DaylightRoad2_LD_45_rap0.txt</t>
  </si>
  <si>
    <t>LD_all_log/dec_log_DaylightRoad2_LD_45_rap0.txt</t>
  </si>
  <si>
    <t>LD_all_log/enc_log_Cactus_LD_27_rap0.txt</t>
  </si>
  <si>
    <t>LD_all_log/dec_log_Cactus_LD_27_rap0.txt</t>
  </si>
  <si>
    <t>LD_all_log/enc_log_Cactus_LD_32_rap0.txt</t>
  </si>
  <si>
    <t>LD_all_log/dec_log_Cactus_LD_32_rap0.txt</t>
  </si>
  <si>
    <t>LD_all_log/enc_log_Cactus_LD_38_rap0.txt</t>
  </si>
  <si>
    <t>LD_all_log/dec_log_Cactus_LD_38_rap0.txt</t>
  </si>
  <si>
    <t>LD_all_log/enc_log_Cactus_LD_45_rap0.txt</t>
  </si>
  <si>
    <t>LD_all_log/dec_log_Cactus_LD_45_rap0.txt</t>
  </si>
  <si>
    <t>LD_all_log/enc_log_BasketballDrive_LD_27_rap0.txt</t>
  </si>
  <si>
    <t>LD_all_log/dec_log_BasketballDrive_LD_27_rap0.txt</t>
  </si>
  <si>
    <t>LD_all_log/enc_log_BasketballDrive_LD_32_rap0.txt</t>
  </si>
  <si>
    <t>LD_all_log/dec_log_BasketballDrive_LD_32_rap0.txt</t>
  </si>
  <si>
    <t>LD_all_log/enc_log_BasketballDrive_LD_38_rap0.txt</t>
  </si>
  <si>
    <t>LD_all_log/dec_log_BasketballDrive_LD_38_rap0.txt</t>
  </si>
  <si>
    <t>LD_all_log/enc_log_BasketballDrive_LD_45_rap0.txt</t>
  </si>
  <si>
    <t>LD_all_log/dec_log_BasketballDrive_LD_45_rap0.txt</t>
  </si>
  <si>
    <t>LD_all_log/enc_log_MarketPlace_LD_27_rap0.txt</t>
  </si>
  <si>
    <t>LD_all_log/dec_log_MarketPlace_LD_27_rap0.txt</t>
  </si>
  <si>
    <t>LD_all_log/enc_log_MarketPlace_LD_32_rap0.txt</t>
  </si>
  <si>
    <t>LD_all_log/dec_log_MarketPlace_LD_32_rap0.txt</t>
  </si>
  <si>
    <t>LD_all_log/enc_log_MarketPlace_LD_38_rap0.txt</t>
  </si>
  <si>
    <t>LD_all_log/dec_log_MarketPlace_LD_38_rap0.txt</t>
  </si>
  <si>
    <t>LD_all_log/enc_log_MarketPlace_LD_45_rap0.txt</t>
  </si>
  <si>
    <t>LD_all_log/dec_log_MarketPlace_LD_45_rap0.txt</t>
  </si>
  <si>
    <t>LD_all_log/enc_log_RitualDance_LD_27_rap0.txt</t>
  </si>
  <si>
    <t>LD_all_log/dec_log_RitualDance_LD_27_rap0.txt</t>
  </si>
  <si>
    <t>LD_all_log/enc_log_RitualDance_LD_32_rap0.txt</t>
  </si>
  <si>
    <t>LD_all_log/dec_log_RitualDance_LD_32_rap0.txt</t>
  </si>
  <si>
    <t>LD_all_log/enc_log_RitualDance_LD_38_rap0.txt</t>
  </si>
  <si>
    <t>LD_all_log/dec_log_RitualDance_LD_38_rap0.txt</t>
  </si>
  <si>
    <t>LD_all_log/enc_log_RitualDance_LD_45_rap0.txt</t>
  </si>
  <si>
    <t>LD_all_log/dec_log_RitualDance_LD_45_rap0.txt</t>
  </si>
  <si>
    <t>LD_all_log/enc_log_City_LD_27_rap0.txt</t>
  </si>
  <si>
    <t>LD_all_log/dec_log_City_LD_27_rap0.txt</t>
  </si>
  <si>
    <t>LD_all_log/enc_log_City_LD_32_rap0.txt</t>
  </si>
  <si>
    <t>LD_all_log/dec_log_City_LD_32_rap0.txt</t>
  </si>
  <si>
    <t>LD_all_log/enc_log_City_LD_38_rap0.txt</t>
  </si>
  <si>
    <t>LD_all_log/dec_log_City_LD_38_rap0.txt</t>
  </si>
  <si>
    <t>LD_all_log/enc_log_City_LD_45_rap0.txt</t>
  </si>
  <si>
    <t>LD_all_log/dec_log_City_LD_45_rap0.txt</t>
  </si>
  <si>
    <t>LD_all_log/enc_log_Crew_LD_27_rap0.txt</t>
  </si>
  <si>
    <t>LD_all_log/dec_log_Crew_LD_27_rap0.txt</t>
  </si>
  <si>
    <t>LD_all_log/enc_log_Crew_LD_32_rap0.txt</t>
  </si>
  <si>
    <t>LD_all_log/dec_log_Crew_LD_32_rap0.txt</t>
  </si>
  <si>
    <t>LD_all_log/enc_log_Crew_LD_38_rap0.txt</t>
  </si>
  <si>
    <t>LD_all_log/dec_log_Crew_LD_38_rap0.txt</t>
  </si>
  <si>
    <t>LD_all_log/enc_log_Crew_LD_45_rap0.txt</t>
  </si>
  <si>
    <t>LD_all_log/dec_log_Crew_LD_45_rap0.txt</t>
  </si>
  <si>
    <t>LD_all_log/enc_log_Vidyo1_LD_27_rap0.txt</t>
  </si>
  <si>
    <t>LD_all_log/dec_log_Vidyo1_LD_27_rap0.txt</t>
  </si>
  <si>
    <t>LD_all_log/enc_log_Vidyo1_LD_32_rap0.txt</t>
  </si>
  <si>
    <t>LD_all_log/dec_log_Vidyo1_LD_32_rap0.txt</t>
  </si>
  <si>
    <t>LD_all_log/enc_log_Vidyo1_LD_38_rap0.txt</t>
  </si>
  <si>
    <t>LD_all_log/dec_log_Vidyo1_LD_38_rap0.txt</t>
  </si>
  <si>
    <t>LD_all_log/enc_log_Vidyo1_LD_45_rap0.txt</t>
  </si>
  <si>
    <t>LD_all_log/dec_log_Vidyo1_LD_45_rap0.txt</t>
  </si>
  <si>
    <t>LD_all_log/enc_log_Vidyo3_LD_27_rap0.txt</t>
  </si>
  <si>
    <t>LD_all_log/dec_log_Vidyo3_LD_27_rap0.txt</t>
  </si>
  <si>
    <t>LD_all_log/enc_log_Vidyo3_LD_32_rap0.txt</t>
  </si>
  <si>
    <t>LD_all_log/dec_log_Vidyo3_LD_32_rap0.txt</t>
  </si>
  <si>
    <t>LD_all_log/enc_log_Vidyo3_LD_38_rap0.txt</t>
  </si>
  <si>
    <t>LD_all_log/dec_log_Vidyo3_LD_38_rap0.txt</t>
  </si>
  <si>
    <t>LD_all_log/enc_log_Vidyo3_LD_45_rap0.txt</t>
  </si>
  <si>
    <t>LD_all_log/dec_log_Vidyo3_LD_45_rap0.txt</t>
  </si>
  <si>
    <t>HPM13.0</t>
    <phoneticPr fontId="1" type="noConversion"/>
  </si>
  <si>
    <t>RA_all_log/dec_log_ParkRunning3_RA_27_rap2.txt</t>
  </si>
  <si>
    <t>RA_all_log/enc_log_ParkRunning3_RA_32_rap2.txt</t>
  </si>
  <si>
    <t>RA_all_log/dec_log_ParkRunning3_RA_32_rap2.txt</t>
  </si>
  <si>
    <t>RA_all_log/enc_log_DaylightRoad2_RA_27_rap1.txt</t>
  </si>
  <si>
    <t>RA_all_log/dec_log_DaylightRoad2_RA_27_rap1.txt</t>
  </si>
  <si>
    <t>RA_all_log/enc_log_ParkRunning3_RA_27_rap0.txt</t>
  </si>
  <si>
    <t>RA_all_log/enc_log_ParkRunning3_RA_27_rap2.txt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</si>
</sst>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"/>
  </numFmts>
  <fonts count="14" x14ac:knownFonts="1">
    <font>
      <sz val="12"/>
      <color theme="1"/>
      <name val="宋体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indexed="8"/>
      <name val="Arial"/>
      <family val="3"/>
      <charset val="134"/>
    </font>
    <font>
      <b/>
      <sz val="9"/>
      <color indexed="8"/>
      <name val="宋体"/>
      <family val="3"/>
      <charset val="134"/>
    </font>
    <font>
      <sz val="1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" fillId="0" borderId="0"/>
    <xf numFmtId="0" fontId="13" fillId="0" borderId="0">
      <alignment vertical="center"/>
    </xf>
  </cellStyleXfs>
  <cellXfs count="15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7" fontId="4" fillId="0" borderId="0" xfId="0" applyNumberFormat="1" applyFont="1"/>
    <xf numFmtId="0" fontId="2" fillId="0" borderId="7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6" fillId="0" borderId="0" xfId="0" applyFont="1"/>
    <xf numFmtId="0" fontId="2" fillId="0" borderId="9" xfId="0" applyFont="1" applyFill="1" applyBorder="1"/>
    <xf numFmtId="0" fontId="2" fillId="0" borderId="13" xfId="0" applyFont="1" applyFill="1" applyBorder="1"/>
    <xf numFmtId="0" fontId="2" fillId="0" borderId="9" xfId="0" applyFont="1" applyBorder="1"/>
    <xf numFmtId="0" fontId="2" fillId="0" borderId="13" xfId="0" applyFont="1" applyBorder="1"/>
    <xf numFmtId="0" fontId="2" fillId="0" borderId="5" xfId="0" applyFont="1" applyFill="1" applyBorder="1"/>
    <xf numFmtId="0" fontId="10" fillId="0" borderId="6" xfId="0" applyFont="1" applyBorder="1"/>
    <xf numFmtId="0" fontId="10" fillId="0" borderId="0" xfId="0" applyFont="1"/>
    <xf numFmtId="2" fontId="2" fillId="0" borderId="5" xfId="0" applyNumberFormat="1" applyFont="1" applyBorder="1"/>
    <xf numFmtId="2" fontId="2" fillId="0" borderId="9" xfId="0" applyNumberFormat="1" applyFont="1" applyBorder="1"/>
    <xf numFmtId="2" fontId="2" fillId="0" borderId="13" xfId="0" applyNumberFormat="1" applyFont="1" applyBorder="1"/>
    <xf numFmtId="0" fontId="10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14" xfId="0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0" fontId="2" fillId="0" borderId="0" xfId="6" applyFont="1" applyAlignment="1">
      <alignment horizontal="center" vertical="center"/>
    </xf>
    <xf numFmtId="0" fontId="2" fillId="0" borderId="0" xfId="6" applyFont="1"/>
    <xf numFmtId="0" fontId="3" fillId="0" borderId="0" xfId="6" applyFont="1"/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15" xfId="6" applyFont="1" applyBorder="1" applyAlignment="1">
      <alignment horizontal="center" vertical="center"/>
    </xf>
    <xf numFmtId="0" fontId="2" fillId="0" borderId="16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3" fillId="0" borderId="6" xfId="6" applyFont="1" applyBorder="1" applyAlignment="1">
      <alignment horizontal="left" vertical="center"/>
    </xf>
    <xf numFmtId="10" fontId="2" fillId="0" borderId="3" xfId="6" applyNumberFormat="1" applyFont="1" applyBorder="1" applyAlignment="1">
      <alignment horizontal="center" vertical="center"/>
    </xf>
    <xf numFmtId="10" fontId="2" fillId="0" borderId="4" xfId="6" applyNumberFormat="1" applyFont="1" applyBorder="1" applyAlignment="1">
      <alignment horizontal="center" vertical="center"/>
    </xf>
    <xf numFmtId="10" fontId="2" fillId="0" borderId="17" xfId="6" applyNumberFormat="1" applyFont="1" applyBorder="1" applyAlignment="1">
      <alignment horizontal="center" vertical="center"/>
    </xf>
    <xf numFmtId="9" fontId="2" fillId="0" borderId="4" xfId="6" applyNumberFormat="1" applyFont="1" applyBorder="1" applyAlignment="1">
      <alignment horizontal="center" vertical="center"/>
    </xf>
    <xf numFmtId="9" fontId="2" fillId="0" borderId="5" xfId="6" applyNumberFormat="1" applyFont="1" applyBorder="1" applyAlignment="1">
      <alignment horizontal="center" vertical="center"/>
    </xf>
    <xf numFmtId="0" fontId="3" fillId="0" borderId="7" xfId="6" applyFont="1" applyBorder="1" applyAlignment="1">
      <alignment horizontal="left" vertical="center"/>
    </xf>
    <xf numFmtId="10" fontId="2" fillId="0" borderId="8" xfId="6" applyNumberFormat="1" applyFont="1" applyBorder="1" applyAlignment="1">
      <alignment horizontal="center" vertical="center"/>
    </xf>
    <xf numFmtId="10" fontId="2" fillId="0" borderId="0" xfId="6" applyNumberFormat="1" applyFont="1" applyBorder="1" applyAlignment="1">
      <alignment horizontal="center" vertical="center"/>
    </xf>
    <xf numFmtId="10" fontId="2" fillId="0" borderId="19" xfId="6" applyNumberFormat="1" applyFont="1" applyBorder="1" applyAlignment="1">
      <alignment horizontal="center" vertical="center"/>
    </xf>
    <xf numFmtId="9" fontId="2" fillId="0" borderId="0" xfId="6" applyNumberFormat="1" applyFont="1" applyBorder="1" applyAlignment="1">
      <alignment horizontal="center" vertical="center"/>
    </xf>
    <xf numFmtId="9" fontId="2" fillId="0" borderId="9" xfId="6" applyNumberFormat="1" applyFont="1" applyBorder="1" applyAlignment="1">
      <alignment horizontal="center" vertical="center"/>
    </xf>
    <xf numFmtId="0" fontId="3" fillId="0" borderId="10" xfId="6" applyFont="1" applyBorder="1" applyAlignment="1">
      <alignment horizontal="left" vertical="center"/>
    </xf>
    <xf numFmtId="10" fontId="2" fillId="0" borderId="11" xfId="6" applyNumberFormat="1" applyFont="1" applyBorder="1" applyAlignment="1">
      <alignment horizontal="center" vertical="center"/>
    </xf>
    <xf numFmtId="10" fontId="2" fillId="0" borderId="12" xfId="6" applyNumberFormat="1" applyFont="1" applyBorder="1" applyAlignment="1">
      <alignment horizontal="center" vertical="center"/>
    </xf>
    <xf numFmtId="10" fontId="2" fillId="0" borderId="15" xfId="6" applyNumberFormat="1" applyFont="1" applyBorder="1" applyAlignment="1">
      <alignment horizontal="center" vertical="center"/>
    </xf>
    <xf numFmtId="9" fontId="2" fillId="0" borderId="12" xfId="6" applyNumberFormat="1" applyFont="1" applyBorder="1" applyAlignment="1">
      <alignment horizontal="center" vertical="center"/>
    </xf>
    <xf numFmtId="9" fontId="2" fillId="0" borderId="13" xfId="6" applyNumberFormat="1" applyFont="1" applyBorder="1" applyAlignment="1">
      <alignment horizontal="center" vertical="center"/>
    </xf>
    <xf numFmtId="9" fontId="2" fillId="0" borderId="18" xfId="6" applyNumberFormat="1" applyFont="1" applyBorder="1" applyAlignment="1">
      <alignment horizontal="center" vertical="center"/>
    </xf>
    <xf numFmtId="10" fontId="2" fillId="0" borderId="0" xfId="6" applyNumberFormat="1" applyFont="1" applyBorder="1"/>
    <xf numFmtId="9" fontId="2" fillId="0" borderId="20" xfId="6" applyNumberFormat="1" applyFont="1" applyBorder="1" applyAlignment="1">
      <alignment horizontal="center" vertical="center"/>
    </xf>
    <xf numFmtId="0" fontId="2" fillId="0" borderId="0" xfId="6" applyFont="1" applyBorder="1"/>
    <xf numFmtId="0" fontId="12" fillId="0" borderId="6" xfId="6" applyFont="1" applyBorder="1" applyAlignment="1">
      <alignment horizontal="center" vertical="center"/>
    </xf>
    <xf numFmtId="0" fontId="12" fillId="0" borderId="7" xfId="6" applyFont="1" applyBorder="1" applyAlignment="1">
      <alignment horizontal="center" vertical="center"/>
    </xf>
    <xf numFmtId="9" fontId="2" fillId="0" borderId="14" xfId="6" applyNumberFormat="1" applyFont="1" applyBorder="1" applyAlignment="1">
      <alignment horizontal="center" vertical="center"/>
    </xf>
    <xf numFmtId="9" fontId="2" fillId="0" borderId="24" xfId="6" applyNumberFormat="1" applyFont="1" applyBorder="1" applyAlignment="1">
      <alignment horizontal="center" vertical="center"/>
    </xf>
    <xf numFmtId="10" fontId="2" fillId="0" borderId="23" xfId="6" applyNumberFormat="1" applyFont="1" applyBorder="1" applyAlignment="1">
      <alignment horizontal="center" vertical="center"/>
    </xf>
    <xf numFmtId="10" fontId="2" fillId="0" borderId="2" xfId="6" applyNumberFormat="1" applyFont="1" applyBorder="1" applyAlignment="1">
      <alignment horizontal="center" vertical="center"/>
    </xf>
    <xf numFmtId="10" fontId="2" fillId="0" borderId="1" xfId="6" applyNumberFormat="1" applyFont="1" applyBorder="1" applyAlignment="1">
      <alignment horizontal="center" vertical="center"/>
    </xf>
    <xf numFmtId="0" fontId="3" fillId="0" borderId="21" xfId="6" applyFont="1" applyBorder="1" applyAlignment="1">
      <alignment horizontal="center" vertical="center"/>
    </xf>
    <xf numFmtId="0" fontId="3" fillId="0" borderId="11" xfId="6" applyFont="1" applyBorder="1" applyAlignment="1">
      <alignment horizontal="center" vertical="center"/>
    </xf>
    <xf numFmtId="0" fontId="5" fillId="0" borderId="0" xfId="0" applyFont="1"/>
    <xf numFmtId="0" fontId="3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10" fillId="0" borderId="7" xfId="0" applyFont="1" applyBorder="1"/>
    <xf numFmtId="0" fontId="12" fillId="0" borderId="11" xfId="6" applyFont="1" applyBorder="1" applyAlignment="1">
      <alignment horizontal="center" vertical="center"/>
    </xf>
    <xf numFmtId="176" fontId="2" fillId="4" borderId="8" xfId="0" applyNumberFormat="1" applyFont="1" applyFill="1" applyBorder="1"/>
    <xf numFmtId="176" fontId="2" fillId="4" borderId="0" xfId="0" applyNumberFormat="1" applyFont="1" applyFill="1" applyBorder="1"/>
    <xf numFmtId="0" fontId="3" fillId="0" borderId="3" xfId="6" applyFont="1" applyBorder="1" applyAlignment="1">
      <alignment horizontal="center" vertical="center"/>
    </xf>
    <xf numFmtId="0" fontId="3" fillId="0" borderId="4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8">
    <cellStyle name="百分比" xfId="1" builtinId="5"/>
    <cellStyle name="常规" xfId="0" builtinId="0"/>
    <cellStyle name="常规 2" xfId="6" xr:uid="{00000000-0005-0000-0000-000002000000}"/>
    <cellStyle name="常规 3" xfId="7" xr:uid="{00000000-0005-0000-0000-000003000000}"/>
    <cellStyle name="超链接" xfId="2" builtinId="8" hidden="1"/>
    <cellStyle name="超链接" xfId="4" builtinId="8" hidden="1"/>
    <cellStyle name="已访问的超链接" xfId="3" builtinId="9" hidden="1"/>
    <cellStyle name="已访问的超链接" xfId="5" builtinId="9" hidden="1"/>
  </cellStyles>
  <dxfs count="86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HPM12.2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HPM13.0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1536"/>
        <c:axId val="2145888608"/>
      </c:scatterChart>
      <c:valAx>
        <c:axId val="214588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8608"/>
        <c:crosses val="autoZero"/>
        <c:crossBetween val="midCat"/>
      </c:valAx>
      <c:valAx>
        <c:axId val="214588860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15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HPM12.2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HPM13.0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77184"/>
        <c:axId val="2145875008"/>
      </c:scatterChart>
      <c:valAx>
        <c:axId val="214587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5008"/>
        <c:crosses val="autoZero"/>
        <c:crossBetween val="midCat"/>
      </c:valAx>
      <c:valAx>
        <c:axId val="2145875008"/>
        <c:scaling>
          <c:orientation val="minMax"/>
          <c:max val="41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18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HPM12.2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HPM13.0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2080"/>
        <c:axId val="2145882624"/>
      </c:scatterChart>
      <c:valAx>
        <c:axId val="214588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624"/>
        <c:crosses val="autoZero"/>
        <c:crossBetween val="midCat"/>
      </c:valAx>
      <c:valAx>
        <c:axId val="2145882624"/>
        <c:scaling>
          <c:orientation val="minMax"/>
          <c:max val="43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0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HPM12.2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HPM13.0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9152"/>
        <c:axId val="2145877728"/>
      </c:scatterChart>
      <c:valAx>
        <c:axId val="2145889152"/>
        <c:scaling>
          <c:logBase val="10"/>
          <c:orientation val="minMax"/>
          <c:max val="1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728"/>
        <c:crosses val="autoZero"/>
        <c:crossBetween val="midCat"/>
      </c:valAx>
      <c:valAx>
        <c:axId val="214587772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915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1:O132"/>
  <sheetViews>
    <sheetView zoomScale="85" zoomScaleNormal="85" workbookViewId="0">
      <selection activeCell="U5" sqref="U5"/>
    </sheetView>
  </sheetViews>
  <sheetFormatPr defaultColWidth="10.8984375" defaultRowHeight="11.4" x14ac:dyDescent="0.2"/>
  <cols>
    <col min="1" max="1" width="4.09765625" style="103" customWidth="1"/>
    <col min="2" max="2" width="15.3984375" style="102" bestFit="1" customWidth="1"/>
    <col min="3" max="5" width="7.5" style="102" bestFit="1" customWidth="1"/>
    <col min="6" max="7" width="6.3984375" style="102" bestFit="1" customWidth="1"/>
    <col min="8" max="8" width="4.8984375" style="103" customWidth="1"/>
    <col min="9" max="9" width="15.3984375" style="103" bestFit="1" customWidth="1"/>
    <col min="10" max="12" width="7.5" style="103" bestFit="1" customWidth="1"/>
    <col min="13" max="14" width="6.3984375" style="103" bestFit="1" customWidth="1"/>
    <col min="15" max="16384" width="10.8984375" style="103"/>
  </cols>
  <sheetData>
    <row r="1" spans="2:15" ht="12" thickBot="1" x14ac:dyDescent="0.25"/>
    <row r="2" spans="2:15" ht="12.75" customHeight="1" thickBot="1" x14ac:dyDescent="0.25">
      <c r="C2" s="152" t="s">
        <v>74</v>
      </c>
      <c r="D2" s="153"/>
      <c r="E2" s="153"/>
      <c r="F2" s="153"/>
      <c r="G2" s="154"/>
      <c r="I2" s="102"/>
      <c r="J2" s="152" t="s">
        <v>75</v>
      </c>
      <c r="K2" s="153"/>
      <c r="L2" s="153"/>
      <c r="M2" s="153"/>
      <c r="N2" s="154"/>
    </row>
    <row r="3" spans="2:15" ht="12.75" customHeight="1" x14ac:dyDescent="0.25">
      <c r="C3" s="152" t="str">
        <f>CONCATENATE("Over ", Summary!$J$3)</f>
        <v>Over HPM12.2</v>
      </c>
      <c r="D3" s="153"/>
      <c r="E3" s="153"/>
      <c r="F3" s="153"/>
      <c r="G3" s="154"/>
      <c r="I3" s="102"/>
      <c r="J3" s="152" t="str">
        <f>CONCATENATE("Over ", Summary!$J$3)</f>
        <v>Over HPM12.2</v>
      </c>
      <c r="K3" s="153"/>
      <c r="L3" s="153"/>
      <c r="M3" s="153"/>
      <c r="N3" s="154"/>
      <c r="O3" s="104"/>
    </row>
    <row r="4" spans="2:15" ht="12.75" customHeight="1" thickBot="1" x14ac:dyDescent="0.3">
      <c r="C4" s="105" t="s">
        <v>14</v>
      </c>
      <c r="D4" s="106" t="s">
        <v>15</v>
      </c>
      <c r="E4" s="107" t="s">
        <v>16</v>
      </c>
      <c r="F4" s="108" t="s">
        <v>32</v>
      </c>
      <c r="G4" s="109" t="s">
        <v>33</v>
      </c>
      <c r="I4" s="102"/>
      <c r="J4" s="105" t="s">
        <v>14</v>
      </c>
      <c r="K4" s="106" t="s">
        <v>15</v>
      </c>
      <c r="L4" s="107" t="s">
        <v>16</v>
      </c>
      <c r="M4" s="108" t="s">
        <v>32</v>
      </c>
      <c r="N4" s="109" t="s">
        <v>33</v>
      </c>
      <c r="O4" s="104"/>
    </row>
    <row r="5" spans="2:15" ht="12.75" customHeight="1" x14ac:dyDescent="0.25">
      <c r="B5" s="110" t="str">
        <f>'AI-10'!$B$3</f>
        <v>Tango2</v>
      </c>
      <c r="C5" s="111">
        <f>'AI-10'!$V$3</f>
        <v>0</v>
      </c>
      <c r="D5" s="112">
        <f>'AI-10'!$W$3</f>
        <v>0</v>
      </c>
      <c r="E5" s="113">
        <f>'AI-10'!$X$3</f>
        <v>0</v>
      </c>
      <c r="F5" s="114">
        <f>GEOMEAN('AI-10'!$S$3:'AI-10'!$S$6)</f>
        <v>1.0041905620232796</v>
      </c>
      <c r="G5" s="115">
        <f>GEOMEAN('AI-10'!$T$3:'AI-10'!$T$6)</f>
        <v>1.0071336291221313</v>
      </c>
      <c r="I5" s="110" t="str">
        <f>'AI-10'!$B$3</f>
        <v>Tango2</v>
      </c>
      <c r="J5" s="111" t="e">
        <f>'LDP-10'!$V$3</f>
        <v>#VALUE!</v>
      </c>
      <c r="K5" s="112" t="e">
        <f>'LDP-10'!$W$3</f>
        <v>#VALUE!</v>
      </c>
      <c r="L5" s="113" t="e">
        <f>'LDP-10'!$X$3</f>
        <v>#VALUE!</v>
      </c>
      <c r="M5" s="114" t="e">
        <f>GEOMEAN('LDP-10'!$S$3:'LDP-10'!$S$6)</f>
        <v>#DIV/0!</v>
      </c>
      <c r="N5" s="115" t="e">
        <f>GEOMEAN('LDP-10'!$T$3:'LDP-10'!$T$6)</f>
        <v>#DIV/0!</v>
      </c>
      <c r="O5" s="104"/>
    </row>
    <row r="6" spans="2:15" ht="12.75" customHeight="1" x14ac:dyDescent="0.25">
      <c r="B6" s="116" t="str">
        <f>'AI-10'!$B$7</f>
        <v>ParkRunning3</v>
      </c>
      <c r="C6" s="117">
        <f>'AI-10'!$V$7</f>
        <v>0</v>
      </c>
      <c r="D6" s="118">
        <f>'AI-10'!$W$7</f>
        <v>0</v>
      </c>
      <c r="E6" s="119">
        <f>'AI-10'!$X$7</f>
        <v>0</v>
      </c>
      <c r="F6" s="120">
        <f>GEOMEAN('AI-10'!$S$7:'AI-10'!$S$10)</f>
        <v>1.003290283656852</v>
      </c>
      <c r="G6" s="121">
        <f>GEOMEAN('AI-10'!$T$7:'AI-10'!$T$10)</f>
        <v>0.99799129291090161</v>
      </c>
      <c r="I6" s="116" t="str">
        <f>'AI-10'!$B$7</f>
        <v>ParkRunning3</v>
      </c>
      <c r="J6" s="117" t="e">
        <f>'LDP-10'!$V$7</f>
        <v>#VALUE!</v>
      </c>
      <c r="K6" s="118" t="e">
        <f>'LDP-10'!$W$7</f>
        <v>#VALUE!</v>
      </c>
      <c r="L6" s="119" t="e">
        <f>'LDP-10'!$X$7</f>
        <v>#VALUE!</v>
      </c>
      <c r="M6" s="120" t="e">
        <f>GEOMEAN('LDP-10'!$S$7:'LDP-10'!$S$10)</f>
        <v>#DIV/0!</v>
      </c>
      <c r="N6" s="121" t="e">
        <f>GEOMEAN('LDP-10'!$T$7:'LDP-10'!$T$10)</f>
        <v>#DIV/0!</v>
      </c>
      <c r="O6" s="104"/>
    </row>
    <row r="7" spans="2:15" ht="12.75" customHeight="1" x14ac:dyDescent="0.25">
      <c r="B7" s="116" t="str">
        <f>'AI-10'!$B$11</f>
        <v>Campfire</v>
      </c>
      <c r="C7" s="117">
        <f>'AI-10'!$V$11</f>
        <v>0</v>
      </c>
      <c r="D7" s="118">
        <f>'AI-10'!$W$11</f>
        <v>0</v>
      </c>
      <c r="E7" s="119">
        <f>'AI-10'!$X$11</f>
        <v>0</v>
      </c>
      <c r="F7" s="130">
        <f>GEOMEAN('AI-10'!$S$11:'AI-10'!$S$14)</f>
        <v>1.0179415090588708</v>
      </c>
      <c r="G7" s="121">
        <f>GEOMEAN('AI-10'!$T$11:'AI-10'!$T$14)</f>
        <v>1.0082035241977603</v>
      </c>
      <c r="I7" s="116" t="str">
        <f>'AI-10'!$B$11</f>
        <v>Campfire</v>
      </c>
      <c r="J7" s="117" t="e">
        <f>'LDP-10'!$V$11</f>
        <v>#VALUE!</v>
      </c>
      <c r="K7" s="118" t="e">
        <f>'LDP-10'!$W$11</f>
        <v>#VALUE!</v>
      </c>
      <c r="L7" s="119" t="e">
        <f>'LDP-10'!$X$11</f>
        <v>#VALUE!</v>
      </c>
      <c r="M7" s="130" t="e">
        <f>GEOMEAN('LDP-10'!$S$11:'LDP-10'!$S$14)</f>
        <v>#DIV/0!</v>
      </c>
      <c r="N7" s="121" t="e">
        <f>GEOMEAN('LDP-10'!$T$11:'LDP-10'!$T$14)</f>
        <v>#DIV/0!</v>
      </c>
      <c r="O7" s="104"/>
    </row>
    <row r="8" spans="2:15" ht="12.75" customHeight="1" thickBot="1" x14ac:dyDescent="0.3">
      <c r="B8" s="122" t="str">
        <f>'AI-10'!$B$15</f>
        <v>DaylightRoad2</v>
      </c>
      <c r="C8" s="123">
        <f>'AI-10'!$V$15</f>
        <v>0</v>
      </c>
      <c r="D8" s="124">
        <f>'AI-10'!$W$15</f>
        <v>0</v>
      </c>
      <c r="E8" s="125">
        <f>'AI-10'!$X$15</f>
        <v>0</v>
      </c>
      <c r="F8" s="126">
        <f>GEOMEAN('AI-10'!$S$15:'AI-10'!$S$18)</f>
        <v>1.0033894824542759</v>
      </c>
      <c r="G8" s="127">
        <f>GEOMEAN('AI-10'!$T$15:'AI-10'!$T$18)</f>
        <v>1.0024358321213087</v>
      </c>
      <c r="I8" s="122" t="str">
        <f>'AI-10'!$B$15</f>
        <v>DaylightRoad2</v>
      </c>
      <c r="J8" s="123" t="e">
        <f>'LDP-10'!$V$15</f>
        <v>#VALUE!</v>
      </c>
      <c r="K8" s="124" t="e">
        <f>'LDP-10'!$W$15</f>
        <v>#VALUE!</v>
      </c>
      <c r="L8" s="125" t="e">
        <f>'LDP-10'!$X$15</f>
        <v>#VALUE!</v>
      </c>
      <c r="M8" s="126" t="e">
        <f>GEOMEAN('LDP-10'!$S$15:'LDP-10'!$S$18)</f>
        <v>#DIV/0!</v>
      </c>
      <c r="N8" s="127" t="e">
        <f>GEOMEAN('LDP-10'!$T$15:'LDP-10'!$T$18)</f>
        <v>#DIV/0!</v>
      </c>
      <c r="O8" s="104"/>
    </row>
    <row r="9" spans="2:15" ht="12.75" customHeight="1" x14ac:dyDescent="0.25">
      <c r="B9" s="110" t="str">
        <f>'AI-10'!$B$19</f>
        <v>Cactus</v>
      </c>
      <c r="C9" s="111">
        <f>'AI-10'!$V$19</f>
        <v>0</v>
      </c>
      <c r="D9" s="112">
        <f>'AI-10'!$W$19</f>
        <v>0</v>
      </c>
      <c r="E9" s="113">
        <f>'AI-10'!$X$19</f>
        <v>0</v>
      </c>
      <c r="F9" s="114">
        <f>GEOMEAN('AI-10'!$S$19:'AI-10'!$S$22)</f>
        <v>1.0057774629717637</v>
      </c>
      <c r="G9" s="115">
        <f>GEOMEAN('AI-10'!$T$19:'AI-10'!$T$22)</f>
        <v>1.0189808127136402</v>
      </c>
      <c r="I9" s="110" t="str">
        <f>'AI-10'!$B$19</f>
        <v>Cactus</v>
      </c>
      <c r="J9" s="111" t="e">
        <f>'LDP-10'!$V$19</f>
        <v>#VALUE!</v>
      </c>
      <c r="K9" s="112" t="e">
        <f>'LDP-10'!$W$19</f>
        <v>#VALUE!</v>
      </c>
      <c r="L9" s="113" t="e">
        <f>'LDP-10'!$X$19</f>
        <v>#VALUE!</v>
      </c>
      <c r="M9" s="114" t="e">
        <f>GEOMEAN('LDP-10'!$S$19:'LDP-10'!$S$22)</f>
        <v>#DIV/0!</v>
      </c>
      <c r="N9" s="115" t="e">
        <f>GEOMEAN('LDP-10'!$T$19:'LDP-10'!$T$22)</f>
        <v>#DIV/0!</v>
      </c>
      <c r="O9" s="104"/>
    </row>
    <row r="10" spans="2:15" ht="12.75" customHeight="1" x14ac:dyDescent="0.25">
      <c r="B10" s="116" t="str">
        <f>'AI-10'!$B$23</f>
        <v>BasketballDrive</v>
      </c>
      <c r="C10" s="117">
        <f>'AI-10'!$V$23</f>
        <v>0</v>
      </c>
      <c r="D10" s="118">
        <f>'AI-10'!$W$23</f>
        <v>0</v>
      </c>
      <c r="E10" s="119">
        <f>'AI-10'!$X$23</f>
        <v>0</v>
      </c>
      <c r="F10" s="120">
        <f>GEOMEAN('AI-10'!$S$23:'AI-10'!$S$26)</f>
        <v>1.0103041115260722</v>
      </c>
      <c r="G10" s="121">
        <f>GEOMEAN('AI-10'!$T$23:'AI-10'!$T$26)</f>
        <v>1.0068865090587931</v>
      </c>
      <c r="I10" s="116" t="str">
        <f>'AI-10'!$B$23</f>
        <v>BasketballDrive</v>
      </c>
      <c r="J10" s="117" t="e">
        <f>'LDP-10'!$V$23</f>
        <v>#VALUE!</v>
      </c>
      <c r="K10" s="118" t="e">
        <f>'LDP-10'!$W$23</f>
        <v>#VALUE!</v>
      </c>
      <c r="L10" s="119" t="e">
        <f>'LDP-10'!$X$23</f>
        <v>#VALUE!</v>
      </c>
      <c r="M10" s="120" t="e">
        <f>GEOMEAN('LDP-10'!$S$23:'LDP-10'!$S$26)</f>
        <v>#DIV/0!</v>
      </c>
      <c r="N10" s="121" t="e">
        <f>GEOMEAN('LDP-10'!$T$23:'LDP-10'!$T$26)</f>
        <v>#DIV/0!</v>
      </c>
      <c r="O10" s="104"/>
    </row>
    <row r="11" spans="2:15" ht="12.75" customHeight="1" x14ac:dyDescent="0.25">
      <c r="B11" s="116" t="str">
        <f>'AI-10'!$B$27</f>
        <v>MarketPlace</v>
      </c>
      <c r="C11" s="117">
        <f>'AI-10'!$V$27</f>
        <v>0</v>
      </c>
      <c r="D11" s="118">
        <f>'AI-10'!$W$27</f>
        <v>0</v>
      </c>
      <c r="E11" s="119">
        <f>'AI-10'!$X$27</f>
        <v>0</v>
      </c>
      <c r="F11" s="120">
        <f>GEOMEAN('AI-10'!$S$27:'AI-10'!$S$30)</f>
        <v>0.99864104797248643</v>
      </c>
      <c r="G11" s="121">
        <f>GEOMEAN('AI-10'!$T$27:'AI-10'!$T$30)</f>
        <v>0.999839416836798</v>
      </c>
      <c r="I11" s="116" t="str">
        <f>'AI-10'!$B$27</f>
        <v>MarketPlace</v>
      </c>
      <c r="J11" s="117" t="e">
        <f>'LDP-10'!$V$27</f>
        <v>#VALUE!</v>
      </c>
      <c r="K11" s="118" t="e">
        <f>'LDP-10'!$W$27</f>
        <v>#VALUE!</v>
      </c>
      <c r="L11" s="119" t="e">
        <f>'LDP-10'!$X$27</f>
        <v>#VALUE!</v>
      </c>
      <c r="M11" s="120" t="e">
        <f>GEOMEAN('LDP-10'!$S$27:'LDP-10'!$S$30)</f>
        <v>#DIV/0!</v>
      </c>
      <c r="N11" s="121" t="e">
        <f>GEOMEAN('LDP-10'!$T$27:'LDP-10'!$T$30)</f>
        <v>#DIV/0!</v>
      </c>
      <c r="O11" s="104"/>
    </row>
    <row r="12" spans="2:15" ht="12.75" customHeight="1" thickBot="1" x14ac:dyDescent="0.3">
      <c r="B12" s="122" t="str">
        <f>'AI-10'!$B$31</f>
        <v>RitualDance</v>
      </c>
      <c r="C12" s="123">
        <f>'AI-10'!$V$31</f>
        <v>0</v>
      </c>
      <c r="D12" s="124">
        <f>'AI-10'!$W$31</f>
        <v>0</v>
      </c>
      <c r="E12" s="125">
        <f>'AI-10'!$X$31</f>
        <v>0</v>
      </c>
      <c r="F12" s="126">
        <f>GEOMEAN('AI-10'!$S$31:'AI-10'!$S$34)</f>
        <v>1.0021839537756914</v>
      </c>
      <c r="G12" s="127">
        <f>GEOMEAN('AI-10'!$T$31:'AI-10'!$T$34)</f>
        <v>0.99939342865440739</v>
      </c>
      <c r="I12" s="122" t="str">
        <f>'AI-10'!$B$31</f>
        <v>RitualDance</v>
      </c>
      <c r="J12" s="123" t="e">
        <f>'LDP-10'!$V$31</f>
        <v>#VALUE!</v>
      </c>
      <c r="K12" s="124" t="e">
        <f>'LDP-10'!$W$31</f>
        <v>#VALUE!</v>
      </c>
      <c r="L12" s="125" t="e">
        <f>'LDP-10'!$X$31</f>
        <v>#VALUE!</v>
      </c>
      <c r="M12" s="126" t="e">
        <f>GEOMEAN('LDP-10'!$S$31:'LDP-10'!$S$34)</f>
        <v>#DIV/0!</v>
      </c>
      <c r="N12" s="127" t="e">
        <f>GEOMEAN('LDP-10'!$T$31:'LDP-10'!$T$34)</f>
        <v>#DIV/0!</v>
      </c>
      <c r="O12" s="104"/>
    </row>
    <row r="13" spans="2:15" ht="12.75" customHeight="1" x14ac:dyDescent="0.25">
      <c r="B13" s="110" t="str">
        <f>'AI-10'!$B$35</f>
        <v>City</v>
      </c>
      <c r="C13" s="111">
        <f>'AI-10'!$V$35</f>
        <v>0</v>
      </c>
      <c r="D13" s="112">
        <f>'AI-10'!$W$35</f>
        <v>0</v>
      </c>
      <c r="E13" s="113">
        <f>'AI-10'!$X$35</f>
        <v>0</v>
      </c>
      <c r="F13" s="114">
        <f>GEOMEAN('AI-10'!$S$35:'AI-10'!$S$38)</f>
        <v>1.0134823195289984</v>
      </c>
      <c r="G13" s="115">
        <f>GEOMEAN('AI-10'!$T$35:'AI-10'!$T$38)</f>
        <v>1.0105278360361689</v>
      </c>
      <c r="I13" s="110" t="str">
        <f>'AI-10'!$B$35</f>
        <v>City</v>
      </c>
      <c r="J13" s="111" t="e">
        <f>'LDP-10'!$V$35</f>
        <v>#VALUE!</v>
      </c>
      <c r="K13" s="112" t="e">
        <f>'LDP-10'!$W$35</f>
        <v>#VALUE!</v>
      </c>
      <c r="L13" s="113" t="e">
        <f>'LDP-10'!$X$35</f>
        <v>#VALUE!</v>
      </c>
      <c r="M13" s="114" t="e">
        <f>GEOMEAN('LDP-10'!$S$35:'LDP-10'!$S$38)</f>
        <v>#DIV/0!</v>
      </c>
      <c r="N13" s="115" t="e">
        <f>GEOMEAN('LDP-10'!$T$35:'LDP-10'!$T$38)</f>
        <v>#DIV/0!</v>
      </c>
      <c r="O13" s="104"/>
    </row>
    <row r="14" spans="2:15" ht="12.75" customHeight="1" x14ac:dyDescent="0.25">
      <c r="B14" s="116" t="str">
        <f>'AI-10'!$B$39</f>
        <v>Crew</v>
      </c>
      <c r="C14" s="117">
        <f>'AI-10'!$V$39</f>
        <v>0</v>
      </c>
      <c r="D14" s="118">
        <f>'AI-10'!$W$39</f>
        <v>0</v>
      </c>
      <c r="E14" s="119">
        <f>'AI-10'!$X$39</f>
        <v>0</v>
      </c>
      <c r="F14" s="120">
        <f>GEOMEAN('AI-10'!$S$39:'AI-10'!$S$42)</f>
        <v>1.015838573889511</v>
      </c>
      <c r="G14" s="121">
        <f>GEOMEAN('AI-10'!$T$39:'AI-10'!$T$42)</f>
        <v>1.016960573909012</v>
      </c>
      <c r="I14" s="116" t="str">
        <f>'AI-10'!$B$39</f>
        <v>Crew</v>
      </c>
      <c r="J14" s="117" t="e">
        <f>'LDP-10'!$V$39</f>
        <v>#VALUE!</v>
      </c>
      <c r="K14" s="118" t="e">
        <f>'LDP-10'!$W$39</f>
        <v>#VALUE!</v>
      </c>
      <c r="L14" s="119" t="e">
        <f>'LDP-10'!$X$39</f>
        <v>#VALUE!</v>
      </c>
      <c r="M14" s="120" t="e">
        <f>GEOMEAN('LDP-10'!$S$39:'LDP-10'!$S$42)</f>
        <v>#DIV/0!</v>
      </c>
      <c r="N14" s="121" t="e">
        <f>GEOMEAN('LDP-10'!$T$39:'LDP-10'!$T$42)</f>
        <v>#DIV/0!</v>
      </c>
      <c r="O14" s="104"/>
    </row>
    <row r="15" spans="2:15" ht="12.75" customHeight="1" x14ac:dyDescent="0.25">
      <c r="B15" s="116" t="str">
        <f>'AI-10'!$B$43</f>
        <v>vidyo1</v>
      </c>
      <c r="C15" s="117">
        <f>'AI-10'!$V$43</f>
        <v>0</v>
      </c>
      <c r="D15" s="118">
        <f>'AI-10'!$W$43</f>
        <v>0</v>
      </c>
      <c r="E15" s="119">
        <f>'AI-10'!$X$43</f>
        <v>0</v>
      </c>
      <c r="F15" s="120">
        <f>GEOMEAN('AI-10'!$S$43:'AI-10'!$S$46)</f>
        <v>1.020148859433871</v>
      </c>
      <c r="G15" s="121">
        <f>GEOMEAN('AI-10'!$T$43:'AI-10'!$T$46)</f>
        <v>1.037001977847779</v>
      </c>
      <c r="I15" s="116" t="str">
        <f>'AI-10'!$B$43</f>
        <v>vidyo1</v>
      </c>
      <c r="J15" s="117" t="e">
        <f>'LDP-10'!$V$43</f>
        <v>#VALUE!</v>
      </c>
      <c r="K15" s="118" t="e">
        <f>'LDP-10'!$W$43</f>
        <v>#VALUE!</v>
      </c>
      <c r="L15" s="119" t="e">
        <f>'LDP-10'!$X$43</f>
        <v>#VALUE!</v>
      </c>
      <c r="M15" s="120" t="e">
        <f>GEOMEAN('LDP-10'!$S$43:'LDP-10'!$S$46)</f>
        <v>#DIV/0!</v>
      </c>
      <c r="N15" s="121" t="e">
        <f>GEOMEAN('LDP-10'!$T$43:'LDP-10'!$T$46)</f>
        <v>#DIV/0!</v>
      </c>
      <c r="O15" s="104"/>
    </row>
    <row r="16" spans="2:15" ht="12.75" customHeight="1" thickBot="1" x14ac:dyDescent="0.3">
      <c r="B16" s="122" t="str">
        <f>'AI-10'!$B$47</f>
        <v>vidyo3</v>
      </c>
      <c r="C16" s="123">
        <f>'AI-10'!$V$47</f>
        <v>0</v>
      </c>
      <c r="D16" s="124">
        <f>'AI-10'!$W$47</f>
        <v>0</v>
      </c>
      <c r="E16" s="125">
        <f>'AI-10'!$X$47</f>
        <v>0</v>
      </c>
      <c r="F16" s="126">
        <f>GEOMEAN('AI-10'!$S$47:'AI-10'!$S$50)</f>
        <v>1.011772624690966</v>
      </c>
      <c r="G16" s="127">
        <f>GEOMEAN('AI-10'!$T$47:'AI-10'!$T$50)</f>
        <v>1.0260604652978282</v>
      </c>
      <c r="I16" s="122" t="str">
        <f>'AI-10'!$B$47</f>
        <v>vidyo3</v>
      </c>
      <c r="J16" s="123" t="e">
        <f>'LDP-10'!$V$47</f>
        <v>#VALUE!</v>
      </c>
      <c r="K16" s="124" t="e">
        <f>'LDP-10'!$W$47</f>
        <v>#VALUE!</v>
      </c>
      <c r="L16" s="125" t="e">
        <f>'LDP-10'!$X$47</f>
        <v>#VALUE!</v>
      </c>
      <c r="M16" s="126" t="e">
        <f>GEOMEAN('LDP-10'!$S$47:'LDP-10'!$S$50)</f>
        <v>#DIV/0!</v>
      </c>
      <c r="N16" s="127" t="e">
        <f>GEOMEAN('LDP-10'!$T$47:'LDP-10'!$T$50)</f>
        <v>#DIV/0!</v>
      </c>
      <c r="O16" s="104"/>
    </row>
    <row r="17" spans="2:15" ht="12.75" customHeight="1" x14ac:dyDescent="0.25">
      <c r="B17" s="110" t="str">
        <f>'AI-10'!$B$51</f>
        <v>MetroEntrance</v>
      </c>
      <c r="C17" s="111" t="e">
        <f>'AI-10'!$V$51</f>
        <v>#VALUE!</v>
      </c>
      <c r="D17" s="112" t="e">
        <f>'AI-10'!$W$51</f>
        <v>#VALUE!</v>
      </c>
      <c r="E17" s="113" t="e">
        <f>'AI-10'!$X$51</f>
        <v>#VALUE!</v>
      </c>
      <c r="F17" s="114" t="e">
        <f>GEOMEAN('AI-10'!$S$51:'AI-10'!$S$54)</f>
        <v>#DIV/0!</v>
      </c>
      <c r="G17" s="115" t="e">
        <f>GEOMEAN('AI-10'!$T$51:'AI-10'!$T$54)</f>
        <v>#DIV/0!</v>
      </c>
      <c r="I17" s="110" t="str">
        <f>'AI-10'!$B$51</f>
        <v>MetroEntrance</v>
      </c>
      <c r="J17" s="111" t="e">
        <f>'LDP-10'!$V$51</f>
        <v>#VALUE!</v>
      </c>
      <c r="K17" s="112" t="e">
        <f>'LDP-10'!$W$51</f>
        <v>#VALUE!</v>
      </c>
      <c r="L17" s="113" t="e">
        <f>'LDP-10'!$X$51</f>
        <v>#VALUE!</v>
      </c>
      <c r="M17" s="114" t="e">
        <f>GEOMEAN('LDP-10'!$S$51:'LDP-10'!$S$54)</f>
        <v>#DIV/0!</v>
      </c>
      <c r="N17" s="115" t="e">
        <f>GEOMEAN('LDP-10'!$T$51:'LDP-10'!$T$54)</f>
        <v>#DIV/0!</v>
      </c>
      <c r="O17" s="104"/>
    </row>
    <row r="18" spans="2:15" ht="12.75" customHeight="1" thickBot="1" x14ac:dyDescent="0.3">
      <c r="B18" s="122" t="str">
        <f>'AI-10'!$B$55</f>
        <v>NightTraffic3</v>
      </c>
      <c r="C18" s="123" t="e">
        <f>'AI-10'!$V$55</f>
        <v>#VALUE!</v>
      </c>
      <c r="D18" s="124" t="e">
        <f>'AI-10'!$W$55</f>
        <v>#VALUE!</v>
      </c>
      <c r="E18" s="125" t="e">
        <f>'AI-10'!$X$55</f>
        <v>#VALUE!</v>
      </c>
      <c r="F18" s="126" t="e">
        <f>GEOMEAN('AI-10'!$S$55:'AI-10'!$S$58)</f>
        <v>#DIV/0!</v>
      </c>
      <c r="G18" s="127" t="e">
        <f>GEOMEAN('AI-10'!$T$55:'AI-10'!$T$58)</f>
        <v>#DIV/0!</v>
      </c>
      <c r="I18" s="122" t="str">
        <f>'AI-10'!$B$55</f>
        <v>NightTraffic3</v>
      </c>
      <c r="J18" s="123" t="e">
        <f>'LDP-10'!$V$55</f>
        <v>#VALUE!</v>
      </c>
      <c r="K18" s="124" t="e">
        <f>'LDP-10'!$W$55</f>
        <v>#VALUE!</v>
      </c>
      <c r="L18" s="125" t="e">
        <f>'LDP-10'!$X$55</f>
        <v>#VALUE!</v>
      </c>
      <c r="M18" s="126" t="e">
        <f>GEOMEAN('LDP-10'!$S$55:'LDP-10'!$S$58)</f>
        <v>#DIV/0!</v>
      </c>
      <c r="N18" s="127" t="e">
        <f>GEOMEAN('LDP-10'!$T$55:'LDP-10'!$T$58)</f>
        <v>#DIV/0!</v>
      </c>
      <c r="O18" s="104"/>
    </row>
    <row r="19" spans="2:15" ht="12.75" customHeight="1" x14ac:dyDescent="0.25">
      <c r="B19" s="110" t="str">
        <f>'AI-10'!$B$59</f>
        <v>FlyingGraphics</v>
      </c>
      <c r="C19" s="111" t="e">
        <f>'AI-10'!$V$59</f>
        <v>#VALUE!</v>
      </c>
      <c r="D19" s="112" t="e">
        <f>'AI-10'!$W$59</f>
        <v>#VALUE!</v>
      </c>
      <c r="E19" s="113" t="e">
        <f>'AI-10'!$X$59</f>
        <v>#VALUE!</v>
      </c>
      <c r="F19" s="114" t="e">
        <f>GEOMEAN('AI-10'!$S$59:'AI-10'!$S$62)</f>
        <v>#DIV/0!</v>
      </c>
      <c r="G19" s="115" t="e">
        <f>GEOMEAN('AI-10'!$T$59:'AI-10'!$T$62)</f>
        <v>#DIV/0!</v>
      </c>
      <c r="I19" s="110" t="str">
        <f>'AI-10'!$B$59</f>
        <v>FlyingGraphics</v>
      </c>
      <c r="J19" s="111" t="e">
        <f>'LDP-10'!$V$59</f>
        <v>#VALUE!</v>
      </c>
      <c r="K19" s="112" t="e">
        <f>'LDP-10'!$W$59</f>
        <v>#VALUE!</v>
      </c>
      <c r="L19" s="113" t="e">
        <f>'LDP-10'!$X$59</f>
        <v>#VALUE!</v>
      </c>
      <c r="M19" s="114" t="e">
        <f>GEOMEAN('LDP-10'!$S$59:'LDP-10'!$S$62)</f>
        <v>#DIV/0!</v>
      </c>
      <c r="N19" s="115" t="e">
        <f>GEOMEAN('LDP-10'!$T$59:'LDP-10'!$T$62)</f>
        <v>#DIV/0!</v>
      </c>
      <c r="O19" s="104"/>
    </row>
    <row r="20" spans="2:15" ht="12.75" customHeight="1" x14ac:dyDescent="0.25">
      <c r="B20" s="116" t="str">
        <f>'AI-10'!$B$63</f>
        <v>Desktop</v>
      </c>
      <c r="C20" s="117" t="e">
        <f>'AI-10'!$V$63</f>
        <v>#VALUE!</v>
      </c>
      <c r="D20" s="118" t="e">
        <f>'AI-10'!$W$63</f>
        <v>#VALUE!</v>
      </c>
      <c r="E20" s="119" t="e">
        <f>'AI-10'!$X$63</f>
        <v>#VALUE!</v>
      </c>
      <c r="F20" s="120" t="e">
        <f>GEOMEAN('AI-10'!$S$63:'AI-10'!$S$66)</f>
        <v>#DIV/0!</v>
      </c>
      <c r="G20" s="121" t="e">
        <f>GEOMEAN('AI-10'!$T$63:'AI-10'!$T$66)</f>
        <v>#DIV/0!</v>
      </c>
      <c r="I20" s="116" t="str">
        <f>'AI-10'!$B$63</f>
        <v>Desktop</v>
      </c>
      <c r="J20" s="117" t="e">
        <f>'LDP-10'!$V$63</f>
        <v>#VALUE!</v>
      </c>
      <c r="K20" s="118" t="e">
        <f>'LDP-10'!$W$63</f>
        <v>#VALUE!</v>
      </c>
      <c r="L20" s="119" t="e">
        <f>'LDP-10'!$X$63</f>
        <v>#VALUE!</v>
      </c>
      <c r="M20" s="120" t="e">
        <f>GEOMEAN('LDP-10'!$S$63:'LDP-10'!$S$66)</f>
        <v>#DIV/0!</v>
      </c>
      <c r="N20" s="121" t="e">
        <f>GEOMEAN('LDP-10'!$T$63:'LDP-10'!$T$66)</f>
        <v>#DIV/0!</v>
      </c>
      <c r="O20" s="104"/>
    </row>
    <row r="21" spans="2:15" ht="12.75" customHeight="1" x14ac:dyDescent="0.25">
      <c r="B21" s="116" t="str">
        <f>'AI-10'!$B$67</f>
        <v>ArenaOfValor</v>
      </c>
      <c r="C21" s="117" t="e">
        <f>'AI-10'!$V$67</f>
        <v>#VALUE!</v>
      </c>
      <c r="D21" s="118" t="e">
        <f>'AI-10'!$W$67</f>
        <v>#VALUE!</v>
      </c>
      <c r="E21" s="119" t="e">
        <f>'AI-10'!$X$67</f>
        <v>#VALUE!</v>
      </c>
      <c r="F21" s="120" t="e">
        <f>GEOMEAN('AI-10'!$S$67:'AI-10'!$S$70)</f>
        <v>#DIV/0!</v>
      </c>
      <c r="G21" s="121" t="e">
        <f>GEOMEAN('AI-10'!$T$67:'AI-10'!$T$70)</f>
        <v>#DIV/0!</v>
      </c>
      <c r="I21" s="116" t="str">
        <f>'AI-10'!$B$67</f>
        <v>ArenaOfValor</v>
      </c>
      <c r="J21" s="117" t="e">
        <f>'LDP-10'!$V$67</f>
        <v>#VALUE!</v>
      </c>
      <c r="K21" s="118" t="e">
        <f>'LDP-10'!$W$67</f>
        <v>#VALUE!</v>
      </c>
      <c r="L21" s="119" t="e">
        <f>'LDP-10'!$X$67</f>
        <v>#VALUE!</v>
      </c>
      <c r="M21" s="120" t="e">
        <f>GEOMEAN('LDP-10'!$S$67:'LDP-10'!$S$70)</f>
        <v>#DIV/0!</v>
      </c>
      <c r="N21" s="121" t="e">
        <f>GEOMEAN('LDP-10'!$T$67:'LDP-10'!$T$70)</f>
        <v>#DIV/0!</v>
      </c>
      <c r="O21" s="104"/>
    </row>
    <row r="22" spans="2:15" ht="12.75" customHeight="1" thickBot="1" x14ac:dyDescent="0.3">
      <c r="B22" s="122" t="str">
        <f>'AI-10'!$B$71</f>
        <v>program_vidyo</v>
      </c>
      <c r="C22" s="123" t="e">
        <f>'AI-10'!$V$71</f>
        <v>#VALUE!</v>
      </c>
      <c r="D22" s="124" t="e">
        <f>'AI-10'!$W$71</f>
        <v>#VALUE!</v>
      </c>
      <c r="E22" s="125" t="e">
        <f>'AI-10'!$X$71</f>
        <v>#VALUE!</v>
      </c>
      <c r="F22" s="126" t="e">
        <f>GEOMEAN('AI-10'!$S$71:'AI-10'!$S$74)</f>
        <v>#DIV/0!</v>
      </c>
      <c r="G22" s="127" t="e">
        <f>GEOMEAN('AI-10'!$T$71:'AI-10'!$T$74)</f>
        <v>#DIV/0!</v>
      </c>
      <c r="I22" s="122" t="str">
        <f>'AI-10'!$B$71</f>
        <v>program_vidyo</v>
      </c>
      <c r="J22" s="123" t="e">
        <f>'LDP-10'!$V$71</f>
        <v>#VALUE!</v>
      </c>
      <c r="K22" s="124" t="e">
        <f>'LDP-10'!$W$71</f>
        <v>#VALUE!</v>
      </c>
      <c r="L22" s="125" t="e">
        <f>'LDP-10'!$X$71</f>
        <v>#VALUE!</v>
      </c>
      <c r="M22" s="126" t="e">
        <f>GEOMEAN('LDP-10'!$S$71:'LDP-10'!$S$74)</f>
        <v>#DIV/0!</v>
      </c>
      <c r="N22" s="127" t="e">
        <f>GEOMEAN('LDP-10'!$T$71:'LDP-10'!$T$74)</f>
        <v>#DIV/0!</v>
      </c>
      <c r="O22" s="104"/>
    </row>
    <row r="23" spans="2:15" ht="12.75" customHeight="1" x14ac:dyDescent="0.25">
      <c r="B23" s="132" t="s">
        <v>78</v>
      </c>
      <c r="C23" s="111">
        <f>'AI-10'!$V75</f>
        <v>0</v>
      </c>
      <c r="D23" s="112">
        <f>'AI-10'!$W75</f>
        <v>0</v>
      </c>
      <c r="E23" s="113">
        <f>'AI-10'!$X75</f>
        <v>0</v>
      </c>
      <c r="F23" s="128">
        <f>'AI-10'!$S75</f>
        <v>1.0071839061957235</v>
      </c>
      <c r="G23" s="115">
        <f>'AI-10'!$T75</f>
        <v>1.003932839996081</v>
      </c>
      <c r="H23" s="129"/>
      <c r="I23" s="132" t="s">
        <v>78</v>
      </c>
      <c r="J23" s="111" t="e">
        <f>'LDP-10'!$V75</f>
        <v>#VALUE!</v>
      </c>
      <c r="K23" s="112" t="e">
        <f>'LDP-10'!$W75</f>
        <v>#VALUE!</v>
      </c>
      <c r="L23" s="113" t="e">
        <f>'LDP-10'!$X75</f>
        <v>#VALUE!</v>
      </c>
      <c r="M23" s="128" t="e">
        <f>'LDP-10'!$S75</f>
        <v>#DIV/0!</v>
      </c>
      <c r="N23" s="115" t="e">
        <f>'LDP-10'!$T75</f>
        <v>#DIV/0!</v>
      </c>
      <c r="O23" s="104"/>
    </row>
    <row r="24" spans="2:15" ht="12.75" customHeight="1" x14ac:dyDescent="0.25">
      <c r="B24" s="133" t="s">
        <v>79</v>
      </c>
      <c r="C24" s="117">
        <f>'AI-10'!$V76</f>
        <v>0</v>
      </c>
      <c r="D24" s="118">
        <f>'AI-10'!$W76</f>
        <v>0</v>
      </c>
      <c r="E24" s="119">
        <f>'AI-10'!$X76</f>
        <v>0</v>
      </c>
      <c r="F24" s="130">
        <f>'AI-10'!$S76</f>
        <v>1.0042173480038243</v>
      </c>
      <c r="G24" s="121">
        <f>'AI-10'!$T76</f>
        <v>1.0062440328170776</v>
      </c>
      <c r="H24" s="129"/>
      <c r="I24" s="133" t="s">
        <v>79</v>
      </c>
      <c r="J24" s="117" t="e">
        <f>'LDP-10'!$V76</f>
        <v>#VALUE!</v>
      </c>
      <c r="K24" s="118" t="e">
        <f>'LDP-10'!$W76</f>
        <v>#VALUE!</v>
      </c>
      <c r="L24" s="119" t="e">
        <f>'LDP-10'!$X76</f>
        <v>#VALUE!</v>
      </c>
      <c r="M24" s="130" t="e">
        <f>'LDP-10'!$S76</f>
        <v>#DIV/0!</v>
      </c>
      <c r="N24" s="121" t="e">
        <f>'LDP-10'!$T76</f>
        <v>#DIV/0!</v>
      </c>
      <c r="O24" s="104"/>
    </row>
    <row r="25" spans="2:15" ht="12.75" customHeight="1" thickBot="1" x14ac:dyDescent="0.25">
      <c r="B25" s="133" t="s">
        <v>80</v>
      </c>
      <c r="C25" s="117">
        <f>'AI-10'!$V77</f>
        <v>0</v>
      </c>
      <c r="D25" s="118">
        <f>'AI-10'!$W77</f>
        <v>0</v>
      </c>
      <c r="E25" s="119">
        <f>'AI-10'!$X77</f>
        <v>0</v>
      </c>
      <c r="F25" s="130">
        <f>'AI-10'!$S77</f>
        <v>1.0153057305701008</v>
      </c>
      <c r="G25" s="121">
        <f>'AI-10'!$T77</f>
        <v>1.0225892764234581</v>
      </c>
      <c r="H25" s="129"/>
      <c r="I25" s="133" t="s">
        <v>80</v>
      </c>
      <c r="J25" s="117" t="e">
        <f>'LDP-10'!$V77</f>
        <v>#VALUE!</v>
      </c>
      <c r="K25" s="118" t="e">
        <f>'LDP-10'!$W77</f>
        <v>#VALUE!</v>
      </c>
      <c r="L25" s="119" t="e">
        <f>'LDP-10'!$X77</f>
        <v>#VALUE!</v>
      </c>
      <c r="M25" s="130" t="e">
        <f>'LDP-10'!$S77</f>
        <v>#DIV/0!</v>
      </c>
      <c r="N25" s="121" t="e">
        <f>'LDP-10'!$T77</f>
        <v>#DIV/0!</v>
      </c>
    </row>
    <row r="26" spans="2:15" s="131" customFormat="1" ht="12.75" customHeight="1" thickBot="1" x14ac:dyDescent="0.25">
      <c r="B26" s="139" t="s">
        <v>37</v>
      </c>
      <c r="C26" s="138">
        <f>'AI-10'!$V80</f>
        <v>0</v>
      </c>
      <c r="D26" s="137">
        <f>'AI-10'!$W80</f>
        <v>0</v>
      </c>
      <c r="E26" s="136">
        <f>'AI-10'!$X80</f>
        <v>0</v>
      </c>
      <c r="F26" s="135">
        <f>'AI-10'!$S80</f>
        <v>1.0088914576817016</v>
      </c>
      <c r="G26" s="134">
        <f>'AI-10'!$T80</f>
        <v>1.0108880693297544</v>
      </c>
      <c r="H26" s="129"/>
      <c r="I26" s="139" t="s">
        <v>37</v>
      </c>
      <c r="J26" s="138" t="e">
        <f>'LDP-10'!$V80</f>
        <v>#VALUE!</v>
      </c>
      <c r="K26" s="137" t="e">
        <f>'LDP-10'!$W80</f>
        <v>#VALUE!</v>
      </c>
      <c r="L26" s="136" t="e">
        <f>'LDP-10'!$X80</f>
        <v>#VALUE!</v>
      </c>
      <c r="M26" s="135" t="e">
        <f>'LDP-10'!$S80</f>
        <v>#DIV/0!</v>
      </c>
      <c r="N26" s="134" t="e">
        <f>'LDP-10'!$T80</f>
        <v>#DIV/0!</v>
      </c>
    </row>
    <row r="27" spans="2:15" ht="12.75" customHeight="1" thickBot="1" x14ac:dyDescent="0.25">
      <c r="B27" s="140" t="s">
        <v>89</v>
      </c>
      <c r="C27" s="123" t="e">
        <f>'AI-10'!$V78</f>
        <v>#VALUE!</v>
      </c>
      <c r="D27" s="124" t="e">
        <f>'AI-10'!$W78</f>
        <v>#VALUE!</v>
      </c>
      <c r="E27" s="125" t="e">
        <f>'AI-10'!$X78</f>
        <v>#VALUE!</v>
      </c>
      <c r="F27" s="126" t="e">
        <f>'AI-10'!$S78</f>
        <v>#DIV/0!</v>
      </c>
      <c r="G27" s="127" t="e">
        <f>'AI-10'!$T78</f>
        <v>#DIV/0!</v>
      </c>
      <c r="H27" s="129"/>
      <c r="I27" s="140" t="s">
        <v>89</v>
      </c>
      <c r="J27" s="123" t="e">
        <f>'LDP-10'!$V78</f>
        <v>#VALUE!</v>
      </c>
      <c r="K27" s="124" t="e">
        <f>'LDP-10'!$W78</f>
        <v>#VALUE!</v>
      </c>
      <c r="L27" s="125" t="e">
        <f>'LDP-10'!$X78</f>
        <v>#VALUE!</v>
      </c>
      <c r="M27" s="126" t="e">
        <f>'LDP-10'!$S78</f>
        <v>#DIV/0!</v>
      </c>
      <c r="N27" s="127" t="e">
        <f>'LDP-10'!$T78</f>
        <v>#DIV/0!</v>
      </c>
    </row>
    <row r="28" spans="2:15" ht="12.75" customHeight="1" thickBot="1" x14ac:dyDescent="0.25">
      <c r="B28" s="149" t="s">
        <v>373</v>
      </c>
      <c r="C28" s="123" t="e">
        <f>'AI-10'!$V79</f>
        <v>#VALUE!</v>
      </c>
      <c r="D28" s="124" t="e">
        <f>'AI-10'!$W79</f>
        <v>#VALUE!</v>
      </c>
      <c r="E28" s="125" t="e">
        <f>'AI-10'!$X79</f>
        <v>#VALUE!</v>
      </c>
      <c r="F28" s="126" t="e">
        <f>'AI-10'!$S79</f>
        <v>#DIV/0!</v>
      </c>
      <c r="G28" s="127" t="e">
        <f>'AI-10'!$T79</f>
        <v>#DIV/0!</v>
      </c>
      <c r="H28" s="129"/>
      <c r="I28" s="149" t="s">
        <v>373</v>
      </c>
      <c r="J28" s="123" t="e">
        <f>'LDP-10'!$V79</f>
        <v>#VALUE!</v>
      </c>
      <c r="K28" s="124" t="e">
        <f>'LDP-10'!$W79</f>
        <v>#VALUE!</v>
      </c>
      <c r="L28" s="125" t="e">
        <f>'LDP-10'!$X79</f>
        <v>#VALUE!</v>
      </c>
      <c r="M28" s="126" t="e">
        <f>'LDP-10'!$S79</f>
        <v>#DIV/0!</v>
      </c>
      <c r="N28" s="127" t="e">
        <f>'LDP-10'!$T79</f>
        <v>#DIV/0!</v>
      </c>
    </row>
    <row r="29" spans="2:15" ht="12.75" customHeight="1" thickBot="1" x14ac:dyDescent="0.25"/>
    <row r="30" spans="2:15" ht="12.75" customHeight="1" thickBot="1" x14ac:dyDescent="0.25">
      <c r="C30" s="152" t="s">
        <v>76</v>
      </c>
      <c r="D30" s="153"/>
      <c r="E30" s="153"/>
      <c r="F30" s="153"/>
      <c r="G30" s="154"/>
      <c r="I30" s="102"/>
      <c r="J30" s="152" t="s">
        <v>77</v>
      </c>
      <c r="K30" s="153"/>
      <c r="L30" s="153"/>
      <c r="M30" s="153"/>
      <c r="N30" s="154"/>
    </row>
    <row r="31" spans="2:15" ht="12.75" customHeight="1" x14ac:dyDescent="0.2">
      <c r="C31" s="152" t="str">
        <f>CONCATENATE("Over ", Summary!$J$3)</f>
        <v>Over HPM12.2</v>
      </c>
      <c r="D31" s="153"/>
      <c r="E31" s="153"/>
      <c r="F31" s="153"/>
      <c r="G31" s="154"/>
      <c r="I31" s="102"/>
      <c r="J31" s="152" t="str">
        <f>CONCATENATE("Over ", Summary!$J$3)</f>
        <v>Over HPM12.2</v>
      </c>
      <c r="K31" s="153"/>
      <c r="L31" s="153"/>
      <c r="M31" s="153"/>
      <c r="N31" s="154"/>
    </row>
    <row r="32" spans="2:15" ht="12.75" customHeight="1" thickBot="1" x14ac:dyDescent="0.25">
      <c r="C32" s="105" t="s">
        <v>14</v>
      </c>
      <c r="D32" s="106" t="s">
        <v>15</v>
      </c>
      <c r="E32" s="107" t="s">
        <v>16</v>
      </c>
      <c r="F32" s="108" t="s">
        <v>32</v>
      </c>
      <c r="G32" s="109" t="s">
        <v>33</v>
      </c>
      <c r="I32" s="102"/>
      <c r="J32" s="105" t="s">
        <v>14</v>
      </c>
      <c r="K32" s="106" t="s">
        <v>15</v>
      </c>
      <c r="L32" s="107" t="s">
        <v>16</v>
      </c>
      <c r="M32" s="108" t="s">
        <v>32</v>
      </c>
      <c r="N32" s="109" t="s">
        <v>33</v>
      </c>
    </row>
    <row r="33" spans="2:14" ht="12.75" customHeight="1" x14ac:dyDescent="0.2">
      <c r="B33" s="110" t="str">
        <f>'AI-10'!$B$3</f>
        <v>Tango2</v>
      </c>
      <c r="C33" s="111">
        <f>'RA-10'!$V$3</f>
        <v>-3.2731179979161862E-4</v>
      </c>
      <c r="D33" s="112">
        <f>'RA-10'!$W$3</f>
        <v>-5.30058896517005E-3</v>
      </c>
      <c r="E33" s="113">
        <f>'RA-10'!$X$3</f>
        <v>4.0195196496428665E-4</v>
      </c>
      <c r="F33" s="114">
        <f>GEOMEAN('RA-10'!$S$3:'RA-10'!$S$6)</f>
        <v>1.01904638495385</v>
      </c>
      <c r="G33" s="115">
        <f>GEOMEAN('RA-10'!$T$3:'RA-10'!$T$6)</f>
        <v>1.0025285279926099</v>
      </c>
      <c r="I33" s="110" t="str">
        <f>'AI-10'!$B$3</f>
        <v>Tango2</v>
      </c>
      <c r="J33" s="111">
        <f>'LDB-10'!$V$3</f>
        <v>-2.9797584150270673E-4</v>
      </c>
      <c r="K33" s="112">
        <f>'LDB-10'!$W$3</f>
        <v>-1.0748162120410742E-2</v>
      </c>
      <c r="L33" s="113">
        <f>'LDB-10'!$X$3</f>
        <v>-3.9839662590460678E-3</v>
      </c>
      <c r="M33" s="114">
        <f>GEOMEAN('LDB-10'!$S$3:'LDB-10'!$S$6)</f>
        <v>1.0265660729632211</v>
      </c>
      <c r="N33" s="115">
        <f>GEOMEAN('LDB-10'!$T$3:'LDB-10'!$T$6)</f>
        <v>0.99946648626285228</v>
      </c>
    </row>
    <row r="34" spans="2:14" ht="12.75" customHeight="1" x14ac:dyDescent="0.2">
      <c r="B34" s="116" t="str">
        <f>'AI-10'!$B$7</f>
        <v>ParkRunning3</v>
      </c>
      <c r="C34" s="117">
        <f>'RA-10'!$V$7</f>
        <v>-2.57743465070015E-4</v>
      </c>
      <c r="D34" s="118">
        <f>'RA-10'!$W$7</f>
        <v>2.7664896954782137E-4</v>
      </c>
      <c r="E34" s="119">
        <f>'RA-10'!$X$7</f>
        <v>-3.0950047318167861E-4</v>
      </c>
      <c r="F34" s="120">
        <f>GEOMEAN('RA-10'!$S$7:'RA-10'!$S$10)</f>
        <v>1.0130053831123658</v>
      </c>
      <c r="G34" s="121">
        <f>GEOMEAN('RA-10'!$T$7:'RA-10'!$T$10)</f>
        <v>0.99404260583453907</v>
      </c>
      <c r="I34" s="116" t="str">
        <f>'AI-10'!$B$7</f>
        <v>ParkRunning3</v>
      </c>
      <c r="J34" s="117">
        <f>'LDB-10'!$V$7</f>
        <v>-4.7733721012088726E-4</v>
      </c>
      <c r="K34" s="118">
        <f>'LDB-10'!$W$7</f>
        <v>-1.4291708012635906E-3</v>
      </c>
      <c r="L34" s="119">
        <f>'LDB-10'!$X$7</f>
        <v>-2.3313967786373624E-3</v>
      </c>
      <c r="M34" s="120">
        <f>GEOMEAN('LDB-10'!$S$7:'LDB-10'!$S$10)</f>
        <v>1.0065831659263169</v>
      </c>
      <c r="N34" s="121">
        <f>GEOMEAN('LDB-10'!$T$7:'LDB-10'!$T$10)</f>
        <v>1.008064091571542</v>
      </c>
    </row>
    <row r="35" spans="2:14" ht="12.75" customHeight="1" x14ac:dyDescent="0.2">
      <c r="B35" s="116" t="str">
        <f>'AI-10'!$B$11</f>
        <v>Campfire</v>
      </c>
      <c r="C35" s="117">
        <f>'RA-10'!$V$11</f>
        <v>5.9559151788968201E-4</v>
      </c>
      <c r="D35" s="118">
        <f>'RA-10'!$W$11</f>
        <v>8.3710801062975015E-4</v>
      </c>
      <c r="E35" s="119">
        <f>'RA-10'!$X$11</f>
        <v>2.9256093039431441E-4</v>
      </c>
      <c r="F35" s="130">
        <f>GEOMEAN('RA-10'!$S$11:'RA-10'!$S$14)</f>
        <v>1.0126766448321649</v>
      </c>
      <c r="G35" s="121">
        <f>GEOMEAN('RA-10'!$T$11:'RA-10'!$T$14)</f>
        <v>1.0133324610068102</v>
      </c>
      <c r="I35" s="116" t="str">
        <f>'AI-10'!$B$11</f>
        <v>Campfire</v>
      </c>
      <c r="J35" s="117">
        <f>'LDB-10'!$V$11</f>
        <v>-3.1728970649302912E-4</v>
      </c>
      <c r="K35" s="118">
        <f>'LDB-10'!$W$11</f>
        <v>-1.7068719435742175E-4</v>
      </c>
      <c r="L35" s="119">
        <f>'LDB-10'!$X$11</f>
        <v>-3.2987651980660448E-3</v>
      </c>
      <c r="M35" s="130">
        <f>GEOMEAN('LDB-10'!$S$11:'LDB-10'!$S$14)</f>
        <v>1.0150075046623155</v>
      </c>
      <c r="N35" s="121">
        <f>GEOMEAN('LDB-10'!$T$11:'LDB-10'!$T$14)</f>
        <v>1.0271967998573066</v>
      </c>
    </row>
    <row r="36" spans="2:14" ht="12.75" customHeight="1" thickBot="1" x14ac:dyDescent="0.25">
      <c r="B36" s="122" t="str">
        <f>'AI-10'!$B$15</f>
        <v>DaylightRoad2</v>
      </c>
      <c r="C36" s="123">
        <f>'RA-10'!$V$15</f>
        <v>-9.8739494389543658E-5</v>
      </c>
      <c r="D36" s="124">
        <f>'RA-10'!$W$15</f>
        <v>5.1814257093378835E-3</v>
      </c>
      <c r="E36" s="125">
        <f>'RA-10'!$X$15</f>
        <v>7.6981990256252963E-3</v>
      </c>
      <c r="F36" s="126">
        <f>GEOMEAN('RA-10'!$S$15:'RA-10'!$S$18)</f>
        <v>1.0094047478672512</v>
      </c>
      <c r="G36" s="127">
        <f>GEOMEAN('RA-10'!$T$15:'RA-10'!$T$18)</f>
        <v>1.0030498152997749</v>
      </c>
      <c r="I36" s="122" t="str">
        <f>'AI-10'!$B$15</f>
        <v>DaylightRoad2</v>
      </c>
      <c r="J36" s="123">
        <f>'LDB-10'!$V$15</f>
        <v>-4.1842746123399444E-5</v>
      </c>
      <c r="K36" s="124">
        <f>'LDB-10'!$W$15</f>
        <v>7.8409067504809915E-3</v>
      </c>
      <c r="L36" s="125">
        <f>'LDB-10'!$X$15</f>
        <v>5.8057828930260236E-3</v>
      </c>
      <c r="M36" s="126">
        <f>GEOMEAN('LDB-10'!$S$15:'LDB-10'!$S$18)</f>
        <v>1.0125365552707886</v>
      </c>
      <c r="N36" s="127">
        <f>GEOMEAN('LDB-10'!$T$15:'LDB-10'!$T$18)</f>
        <v>1.0144136602867844</v>
      </c>
    </row>
    <row r="37" spans="2:14" ht="12.75" customHeight="1" x14ac:dyDescent="0.2">
      <c r="B37" s="110" t="str">
        <f>'AI-10'!$B$19</f>
        <v>Cactus</v>
      </c>
      <c r="C37" s="111">
        <f>'RA-10'!$V$19</f>
        <v>4.9349434525525204E-4</v>
      </c>
      <c r="D37" s="112">
        <f>'RA-10'!$W$19</f>
        <v>1.7471652816072325E-3</v>
      </c>
      <c r="E37" s="113">
        <f>'RA-10'!$X$19</f>
        <v>6.8777209845918286E-3</v>
      </c>
      <c r="F37" s="114">
        <f>GEOMEAN('RA-10'!$S$19:'RA-10'!$S$22)</f>
        <v>1.0265731021712048</v>
      </c>
      <c r="G37" s="115">
        <f>GEOMEAN('RA-10'!$T$19:'RA-10'!$T$22)</f>
        <v>1.0246975702486973</v>
      </c>
      <c r="I37" s="110" t="str">
        <f>'AI-10'!$B$19</f>
        <v>Cactus</v>
      </c>
      <c r="J37" s="111">
        <f>'LDB-10'!$V$19</f>
        <v>2.9717737344348016E-4</v>
      </c>
      <c r="K37" s="112">
        <f>'LDB-10'!$W$19</f>
        <v>1.7214516146462078E-3</v>
      </c>
      <c r="L37" s="113">
        <f>'LDB-10'!$X$19</f>
        <v>9.6748257050793818E-4</v>
      </c>
      <c r="M37" s="114">
        <f>GEOMEAN('LDB-10'!$S$19:'LDB-10'!$S$22)</f>
        <v>1.0081544581360082</v>
      </c>
      <c r="N37" s="115">
        <f>GEOMEAN('LDB-10'!$T$19:'LDB-10'!$T$22)</f>
        <v>0.97915144823682843</v>
      </c>
    </row>
    <row r="38" spans="2:14" ht="12.75" customHeight="1" x14ac:dyDescent="0.2">
      <c r="B38" s="116" t="str">
        <f>'AI-10'!$B$23</f>
        <v>BasketballDrive</v>
      </c>
      <c r="C38" s="117">
        <f>'RA-10'!$V$23</f>
        <v>1.8299424617373994E-4</v>
      </c>
      <c r="D38" s="118">
        <f>'RA-10'!$W$23</f>
        <v>4.4202915663404951E-3</v>
      </c>
      <c r="E38" s="119">
        <f>'RA-10'!$X$23</f>
        <v>-2.8565128764770353E-3</v>
      </c>
      <c r="F38" s="120">
        <f>GEOMEAN('RA-10'!$S$23:'RA-10'!$S$26)</f>
        <v>1.0285565859448453</v>
      </c>
      <c r="G38" s="121">
        <f>GEOMEAN('RA-10'!$T$23:'RA-10'!$T$26)</f>
        <v>1.0476318626358789</v>
      </c>
      <c r="I38" s="116" t="str">
        <f>'AI-10'!$B$23</f>
        <v>BasketballDrive</v>
      </c>
      <c r="J38" s="117">
        <f>'LDB-10'!$V$23</f>
        <v>-2.8143479646747238E-5</v>
      </c>
      <c r="K38" s="118">
        <f>'LDB-10'!$W$23</f>
        <v>-1.9363355507907576E-3</v>
      </c>
      <c r="L38" s="119">
        <f>'LDB-10'!$X$23</f>
        <v>5.4531435317117793E-3</v>
      </c>
      <c r="M38" s="120">
        <f>GEOMEAN('LDB-10'!$S$23:'LDB-10'!$S$26)</f>
        <v>1.0151901559101519</v>
      </c>
      <c r="N38" s="121">
        <f>GEOMEAN('LDB-10'!$T$23:'LDB-10'!$T$26)</f>
        <v>1.0125242097030878</v>
      </c>
    </row>
    <row r="39" spans="2:14" ht="12.75" customHeight="1" x14ac:dyDescent="0.2">
      <c r="B39" s="116" t="str">
        <f>'AI-10'!$B$27</f>
        <v>MarketPlace</v>
      </c>
      <c r="C39" s="117">
        <f>'RA-10'!$V$27</f>
        <v>-2.4193051024301582E-4</v>
      </c>
      <c r="D39" s="118">
        <f>'RA-10'!$W$27</f>
        <v>-2.4503790604808451E-3</v>
      </c>
      <c r="E39" s="119">
        <f>'RA-10'!$X$27</f>
        <v>7.3734047140834313E-3</v>
      </c>
      <c r="F39" s="120">
        <f>GEOMEAN('RA-10'!$S$27:'RA-10'!$S$30)</f>
        <v>1.014787534749902</v>
      </c>
      <c r="G39" s="121">
        <f>GEOMEAN('RA-10'!$T$27:'RA-10'!$T$30)</f>
        <v>1.006956937185653</v>
      </c>
      <c r="I39" s="116" t="str">
        <f>'AI-10'!$B$27</f>
        <v>MarketPlace</v>
      </c>
      <c r="J39" s="117">
        <f>'LDB-10'!$V$27</f>
        <v>-9.7952325616768032E-4</v>
      </c>
      <c r="K39" s="118">
        <f>'LDB-10'!$W$27</f>
        <v>2.9902477101999558E-3</v>
      </c>
      <c r="L39" s="119">
        <f>'LDB-10'!$X$27</f>
        <v>-8.6193370613329989E-5</v>
      </c>
      <c r="M39" s="120">
        <f>GEOMEAN('LDB-10'!$S$27:'LDB-10'!$S$30)</f>
        <v>1.0218647801786875</v>
      </c>
      <c r="N39" s="121">
        <f>GEOMEAN('LDB-10'!$T$27:'LDB-10'!$T$30)</f>
        <v>1.0156320511266796</v>
      </c>
    </row>
    <row r="40" spans="2:14" ht="12.75" customHeight="1" thickBot="1" x14ac:dyDescent="0.25">
      <c r="B40" s="122" t="str">
        <f>'AI-10'!$B$31</f>
        <v>RitualDance</v>
      </c>
      <c r="C40" s="123">
        <f>'RA-10'!$V$31</f>
        <v>1.2593450389069005E-3</v>
      </c>
      <c r="D40" s="124">
        <f>'RA-10'!$W$31</f>
        <v>-1.2958443939723452E-3</v>
      </c>
      <c r="E40" s="125">
        <f>'RA-10'!$X$31</f>
        <v>4.6994778347531074E-4</v>
      </c>
      <c r="F40" s="126">
        <f>GEOMEAN('RA-10'!$S$31:'RA-10'!$S$34)</f>
        <v>1.0163021543031232</v>
      </c>
      <c r="G40" s="127">
        <f>GEOMEAN('RA-10'!$T$31:'RA-10'!$T$34)</f>
        <v>1.0139668846264795</v>
      </c>
      <c r="I40" s="122" t="str">
        <f>'AI-10'!$B$31</f>
        <v>RitualDance</v>
      </c>
      <c r="J40" s="123">
        <f>'LDB-10'!$V$31</f>
        <v>-2.0321274100953968E-4</v>
      </c>
      <c r="K40" s="124">
        <f>'LDB-10'!$W$31</f>
        <v>-4.3922138399502542E-3</v>
      </c>
      <c r="L40" s="125">
        <f>'LDB-10'!$X$31</f>
        <v>1.8150278158193256E-3</v>
      </c>
      <c r="M40" s="126">
        <f>GEOMEAN('LDB-10'!$S$31:'LDB-10'!$S$34)</f>
        <v>1.0099773813726709</v>
      </c>
      <c r="N40" s="127">
        <f>GEOMEAN('LDB-10'!$T$31:'LDB-10'!$T$34)</f>
        <v>1.0035573557079305</v>
      </c>
    </row>
    <row r="41" spans="2:14" ht="12.75" customHeight="1" x14ac:dyDescent="0.2">
      <c r="B41" s="110" t="str">
        <f>'AI-10'!$B$35</f>
        <v>City</v>
      </c>
      <c r="C41" s="111">
        <f>'RA-10'!$V$35</f>
        <v>8.0355975637935728E-4</v>
      </c>
      <c r="D41" s="112">
        <f>'RA-10'!$W$35</f>
        <v>-3.410233031103882E-3</v>
      </c>
      <c r="E41" s="113">
        <f>'RA-10'!$X$35</f>
        <v>8.0367009889648067E-4</v>
      </c>
      <c r="F41" s="114">
        <f>GEOMEAN('RA-10'!$S$35:'RA-10'!$S$38)</f>
        <v>1.0377492120169476</v>
      </c>
      <c r="G41" s="115">
        <f>GEOMEAN('RA-10'!$T$35:'RA-10'!$T$38)</f>
        <v>1.031671419174117</v>
      </c>
      <c r="I41" s="110" t="str">
        <f>'AI-10'!$B$35</f>
        <v>City</v>
      </c>
      <c r="J41" s="111">
        <f>'LDB-10'!$V$35</f>
        <v>-3.6888649557753617E-5</v>
      </c>
      <c r="K41" s="112">
        <f>'LDB-10'!$W$35</f>
        <v>6.6022784841865967E-3</v>
      </c>
      <c r="L41" s="113">
        <f>'LDB-10'!$X$35</f>
        <v>1.46346005365805E-3</v>
      </c>
      <c r="M41" s="114">
        <f>GEOMEAN('LDB-10'!$S$35:'LDB-10'!$S$38)</f>
        <v>1.0084278849978927</v>
      </c>
      <c r="N41" s="115">
        <f>GEOMEAN('LDB-10'!$T$35:'LDB-10'!$T$38)</f>
        <v>1.0164703125049825</v>
      </c>
    </row>
    <row r="42" spans="2:14" ht="12.75" customHeight="1" x14ac:dyDescent="0.2">
      <c r="B42" s="116" t="str">
        <f>'AI-10'!$B$39</f>
        <v>Crew</v>
      </c>
      <c r="C42" s="117">
        <f>'RA-10'!$V$39</f>
        <v>-1.5815689885491091E-3</v>
      </c>
      <c r="D42" s="118">
        <f>'RA-10'!$W$39</f>
        <v>2.054576784491946E-3</v>
      </c>
      <c r="E42" s="119">
        <f>'RA-10'!$X$39</f>
        <v>6.2697202263484186E-4</v>
      </c>
      <c r="F42" s="120">
        <f>GEOMEAN('RA-10'!$S$39:'RA-10'!$S$42)</f>
        <v>1.0360638793942123</v>
      </c>
      <c r="G42" s="121">
        <f>GEOMEAN('RA-10'!$T$39:'RA-10'!$T$42)</f>
        <v>1.0083043056657246</v>
      </c>
      <c r="I42" s="116" t="str">
        <f>'AI-10'!$B$39</f>
        <v>Crew</v>
      </c>
      <c r="J42" s="117">
        <f>'LDB-10'!$V$39</f>
        <v>-3.8437964103010813E-4</v>
      </c>
      <c r="K42" s="118">
        <f>'LDB-10'!$W$39</f>
        <v>1.3245301470918847E-3</v>
      </c>
      <c r="L42" s="119">
        <f>'LDB-10'!$X$39</f>
        <v>-5.4717070243895938E-3</v>
      </c>
      <c r="M42" s="120">
        <f>GEOMEAN('LDB-10'!$S$39:'LDB-10'!$S$42)</f>
        <v>1.0159537157277265</v>
      </c>
      <c r="N42" s="121">
        <f>GEOMEAN('LDB-10'!$T$39:'LDB-10'!$T$42)</f>
        <v>1.0219852894277346</v>
      </c>
    </row>
    <row r="43" spans="2:14" ht="12.75" customHeight="1" x14ac:dyDescent="0.2">
      <c r="B43" s="116" t="str">
        <f>'AI-10'!$B$43</f>
        <v>vidyo1</v>
      </c>
      <c r="C43" s="117">
        <f>'RA-10'!$V$43</f>
        <v>7.2612508617608817E-4</v>
      </c>
      <c r="D43" s="118">
        <f>'RA-10'!$W$43</f>
        <v>-3.1137112922708932E-3</v>
      </c>
      <c r="E43" s="119">
        <f>'RA-10'!$X$43</f>
        <v>5.4010841557188272E-3</v>
      </c>
      <c r="F43" s="120">
        <f>GEOMEAN('RA-10'!$S$43:'RA-10'!$S$46)</f>
        <v>1.0286544370991075</v>
      </c>
      <c r="G43" s="121">
        <f>GEOMEAN('RA-10'!$T$43:'RA-10'!$T$46)</f>
        <v>1.030723947098745</v>
      </c>
      <c r="I43" s="116" t="str">
        <f>'AI-10'!$B$43</f>
        <v>vidyo1</v>
      </c>
      <c r="J43" s="117">
        <f>'LDB-10'!$V$43</f>
        <v>-1.7922435960595617E-3</v>
      </c>
      <c r="K43" s="118">
        <f>'LDB-10'!$W$43</f>
        <v>-5.6721672505792853E-3</v>
      </c>
      <c r="L43" s="119">
        <f>'LDB-10'!$X$43</f>
        <v>-2.7552425742061182E-4</v>
      </c>
      <c r="M43" s="120">
        <f>GEOMEAN('LDB-10'!$S$43:'LDB-10'!$S$46)</f>
        <v>1.0116895846423468</v>
      </c>
      <c r="N43" s="121">
        <f>GEOMEAN('LDB-10'!$T$43:'LDB-10'!$T$46)</f>
        <v>1.0385028667273999</v>
      </c>
    </row>
    <row r="44" spans="2:14" ht="12.75" customHeight="1" thickBot="1" x14ac:dyDescent="0.25">
      <c r="B44" s="122" t="str">
        <f>'AI-10'!$B$47</f>
        <v>vidyo3</v>
      </c>
      <c r="C44" s="123">
        <f>'RA-10'!$V$47</f>
        <v>-1.5298637658213154E-3</v>
      </c>
      <c r="D44" s="124">
        <f>'RA-10'!$W$47</f>
        <v>1.3005910136264731E-2</v>
      </c>
      <c r="E44" s="125">
        <f>'RA-10'!$X$47</f>
        <v>-3.0029940776715724E-3</v>
      </c>
      <c r="F44" s="126">
        <f>GEOMEAN('RA-10'!$S$47:'RA-10'!$S$50)</f>
        <v>1.03420982507871</v>
      </c>
      <c r="G44" s="127">
        <f>GEOMEAN('RA-10'!$T$47:'RA-10'!$T$50)</f>
        <v>1.0544785307306963</v>
      </c>
      <c r="I44" s="122" t="str">
        <f>'AI-10'!$B$47</f>
        <v>vidyo3</v>
      </c>
      <c r="J44" s="123">
        <f>'LDB-10'!$V$47</f>
        <v>-1.3091132788960458E-3</v>
      </c>
      <c r="K44" s="124">
        <f>'LDB-10'!$W$47</f>
        <v>-6.5806614920635997E-3</v>
      </c>
      <c r="L44" s="125">
        <f>'LDB-10'!$X$47</f>
        <v>2.5727327706687619E-2</v>
      </c>
      <c r="M44" s="126">
        <f>GEOMEAN('LDB-10'!$S$47:'LDB-10'!$S$50)</f>
        <v>1.0210044219292915</v>
      </c>
      <c r="N44" s="127">
        <f>GEOMEAN('LDB-10'!$T$47:'LDB-10'!$T$50)</f>
        <v>1.0034003094569484</v>
      </c>
    </row>
    <row r="45" spans="2:14" ht="12.75" customHeight="1" x14ac:dyDescent="0.2">
      <c r="B45" s="110" t="str">
        <f>'AI-10'!$B$51</f>
        <v>MetroEntrance</v>
      </c>
      <c r="C45" s="111" t="e">
        <f>'RA-10'!$V$51</f>
        <v>#VALUE!</v>
      </c>
      <c r="D45" s="112" t="e">
        <f>'RA-10'!$W$51</f>
        <v>#VALUE!</v>
      </c>
      <c r="E45" s="113" t="e">
        <f>'RA-10'!$X$51</f>
        <v>#VALUE!</v>
      </c>
      <c r="F45" s="114" t="e">
        <f>GEOMEAN('RA-10'!$S$51:'RA-10'!$S$54)</f>
        <v>#DIV/0!</v>
      </c>
      <c r="G45" s="115" t="e">
        <f>GEOMEAN('RA-10'!$T$51:'RA-10'!$T$54)</f>
        <v>#DIV/0!</v>
      </c>
      <c r="I45" s="110" t="str">
        <f>'AI-10'!$B$51</f>
        <v>MetroEntrance</v>
      </c>
      <c r="J45" s="111" t="e">
        <f>'LDB-10'!$V$51</f>
        <v>#VALUE!</v>
      </c>
      <c r="K45" s="112" t="e">
        <f>'LDB-10'!$W$51</f>
        <v>#VALUE!</v>
      </c>
      <c r="L45" s="113" t="e">
        <f>'LDB-10'!$X$51</f>
        <v>#VALUE!</v>
      </c>
      <c r="M45" s="114" t="e">
        <f>GEOMEAN('LDB-10'!$S$51:'LDB-10'!$S$54)</f>
        <v>#DIV/0!</v>
      </c>
      <c r="N45" s="115" t="e">
        <f>GEOMEAN('LDB-10'!$T$51:'LDB-10'!$T$54)</f>
        <v>#DIV/0!</v>
      </c>
    </row>
    <row r="46" spans="2:14" ht="12.75" customHeight="1" thickBot="1" x14ac:dyDescent="0.25">
      <c r="B46" s="122" t="str">
        <f>'AI-10'!$B$55</f>
        <v>NightTraffic3</v>
      </c>
      <c r="C46" s="123" t="e">
        <f>'RA-10'!$V$55</f>
        <v>#VALUE!</v>
      </c>
      <c r="D46" s="124" t="e">
        <f>'RA-10'!$W$55</f>
        <v>#VALUE!</v>
      </c>
      <c r="E46" s="125" t="e">
        <f>'RA-10'!$X$55</f>
        <v>#VALUE!</v>
      </c>
      <c r="F46" s="126" t="e">
        <f>GEOMEAN('RA-10'!$S$55:'RA-10'!$S$58)</f>
        <v>#DIV/0!</v>
      </c>
      <c r="G46" s="127" t="e">
        <f>GEOMEAN('RA-10'!$T$55:'RA-10'!$T$58)</f>
        <v>#DIV/0!</v>
      </c>
      <c r="I46" s="122" t="str">
        <f>'AI-10'!$B$55</f>
        <v>NightTraffic3</v>
      </c>
      <c r="J46" s="123" t="e">
        <f>'LDB-10'!$V$55</f>
        <v>#VALUE!</v>
      </c>
      <c r="K46" s="124" t="e">
        <f>'LDB-10'!$W$55</f>
        <v>#VALUE!</v>
      </c>
      <c r="L46" s="125" t="e">
        <f>'LDB-10'!$X$55</f>
        <v>#VALUE!</v>
      </c>
      <c r="M46" s="126" t="e">
        <f>GEOMEAN('LDB-10'!$S$55:'LDB-10'!$S$58)</f>
        <v>#DIV/0!</v>
      </c>
      <c r="N46" s="127" t="e">
        <f>GEOMEAN('LDB-10'!$T$55:'LDB-10'!$T$58)</f>
        <v>#DIV/0!</v>
      </c>
    </row>
    <row r="47" spans="2:14" ht="12.75" customHeight="1" x14ac:dyDescent="0.2">
      <c r="B47" s="110" t="str">
        <f>'AI-10'!$B$59</f>
        <v>FlyingGraphics</v>
      </c>
      <c r="C47" s="111" t="e">
        <f>'RA-10'!$V$59</f>
        <v>#VALUE!</v>
      </c>
      <c r="D47" s="112" t="e">
        <f>'RA-10'!$W$59</f>
        <v>#VALUE!</v>
      </c>
      <c r="E47" s="113" t="e">
        <f>'RA-10'!$X$59</f>
        <v>#VALUE!</v>
      </c>
      <c r="F47" s="114" t="e">
        <f>GEOMEAN('RA-10'!$S$59:'RA-10'!$S$62)</f>
        <v>#DIV/0!</v>
      </c>
      <c r="G47" s="115" t="e">
        <f>GEOMEAN('RA-10'!$T$59:'RA-10'!$T$62)</f>
        <v>#DIV/0!</v>
      </c>
      <c r="I47" s="110" t="str">
        <f>'AI-10'!$B$59</f>
        <v>FlyingGraphics</v>
      </c>
      <c r="J47" s="111" t="e">
        <f>'LDB-10'!$V$59</f>
        <v>#VALUE!</v>
      </c>
      <c r="K47" s="112" t="e">
        <f>'LDB-10'!$W$59</f>
        <v>#VALUE!</v>
      </c>
      <c r="L47" s="113" t="e">
        <f>'LDB-10'!$X$59</f>
        <v>#VALUE!</v>
      </c>
      <c r="M47" s="114" t="e">
        <f>GEOMEAN('LDB-10'!$S$59:'LDB-10'!$S$62)</f>
        <v>#DIV/0!</v>
      </c>
      <c r="N47" s="115" t="e">
        <f>GEOMEAN('LDB-10'!$T$59:'LDB-10'!$T$62)</f>
        <v>#DIV/0!</v>
      </c>
    </row>
    <row r="48" spans="2:14" ht="12.75" customHeight="1" x14ac:dyDescent="0.2">
      <c r="B48" s="116" t="str">
        <f>'AI-10'!$B$63</f>
        <v>Desktop</v>
      </c>
      <c r="C48" s="117" t="e">
        <f>'RA-10'!$V$63</f>
        <v>#VALUE!</v>
      </c>
      <c r="D48" s="118" t="e">
        <f>'RA-10'!$W$63</f>
        <v>#VALUE!</v>
      </c>
      <c r="E48" s="119" t="e">
        <f>'RA-10'!$X$63</f>
        <v>#VALUE!</v>
      </c>
      <c r="F48" s="120" t="e">
        <f>GEOMEAN('RA-10'!$S$63:'RA-10'!$S$66)</f>
        <v>#DIV/0!</v>
      </c>
      <c r="G48" s="121" t="e">
        <f>GEOMEAN('RA-10'!$T$63:'RA-10'!$T$66)</f>
        <v>#DIV/0!</v>
      </c>
      <c r="I48" s="116" t="str">
        <f>'AI-10'!$B$63</f>
        <v>Desktop</v>
      </c>
      <c r="J48" s="117" t="e">
        <f>'LDB-10'!$V$63</f>
        <v>#VALUE!</v>
      </c>
      <c r="K48" s="118" t="e">
        <f>'LDB-10'!$W$63</f>
        <v>#VALUE!</v>
      </c>
      <c r="L48" s="119" t="e">
        <f>'LDB-10'!$X$63</f>
        <v>#VALUE!</v>
      </c>
      <c r="M48" s="120" t="e">
        <f>GEOMEAN('LDB-10'!$S$63:'LDB-10'!$S$66)</f>
        <v>#DIV/0!</v>
      </c>
      <c r="N48" s="121" t="e">
        <f>GEOMEAN('LDB-10'!$T$63:'LDB-10'!$T$66)</f>
        <v>#DIV/0!</v>
      </c>
    </row>
    <row r="49" spans="2:14" ht="12.75" customHeight="1" x14ac:dyDescent="0.2">
      <c r="B49" s="116" t="str">
        <f>'AI-10'!$B$67</f>
        <v>ArenaOfValor</v>
      </c>
      <c r="C49" s="117" t="e">
        <f>'RA-10'!$V$67</f>
        <v>#VALUE!</v>
      </c>
      <c r="D49" s="118" t="e">
        <f>'RA-10'!$W$67</f>
        <v>#VALUE!</v>
      </c>
      <c r="E49" s="119" t="e">
        <f>'RA-10'!$X$67</f>
        <v>#VALUE!</v>
      </c>
      <c r="F49" s="120" t="e">
        <f>GEOMEAN('RA-10'!$S$67:'RA-10'!$S$70)</f>
        <v>#DIV/0!</v>
      </c>
      <c r="G49" s="121" t="e">
        <f>GEOMEAN('RA-10'!$T$67:'RA-10'!$T$70)</f>
        <v>#DIV/0!</v>
      </c>
      <c r="I49" s="116" t="str">
        <f>'AI-10'!$B$67</f>
        <v>ArenaOfValor</v>
      </c>
      <c r="J49" s="117" t="e">
        <f>'LDB-10'!$V$67</f>
        <v>#VALUE!</v>
      </c>
      <c r="K49" s="118" t="e">
        <f>'LDB-10'!$W$67</f>
        <v>#VALUE!</v>
      </c>
      <c r="L49" s="119" t="e">
        <f>'LDB-10'!$X$67</f>
        <v>#VALUE!</v>
      </c>
      <c r="M49" s="120" t="e">
        <f>GEOMEAN('LDB-10'!$S$67:'LDB-10'!$S$70)</f>
        <v>#DIV/0!</v>
      </c>
      <c r="N49" s="121" t="e">
        <f>GEOMEAN('LDB-10'!$T$67:'LDB-10'!$T$70)</f>
        <v>#DIV/0!</v>
      </c>
    </row>
    <row r="50" spans="2:14" ht="12.75" customHeight="1" thickBot="1" x14ac:dyDescent="0.25">
      <c r="B50" s="122" t="str">
        <f>'AI-10'!$B$71</f>
        <v>program_vidyo</v>
      </c>
      <c r="C50" s="123" t="e">
        <f>'RA-10'!$V$71</f>
        <v>#VALUE!</v>
      </c>
      <c r="D50" s="124" t="e">
        <f>'RA-10'!$W$71</f>
        <v>#VALUE!</v>
      </c>
      <c r="E50" s="125" t="e">
        <f>'RA-10'!$X$71</f>
        <v>#VALUE!</v>
      </c>
      <c r="F50" s="126" t="e">
        <f>GEOMEAN('RA-10'!$S$71:'RA-10'!$S$74)</f>
        <v>#DIV/0!</v>
      </c>
      <c r="G50" s="127" t="e">
        <f>GEOMEAN('RA-10'!$T$71:'RA-10'!$T$74)</f>
        <v>#DIV/0!</v>
      </c>
      <c r="I50" s="122" t="str">
        <f>'AI-10'!$B$71</f>
        <v>program_vidyo</v>
      </c>
      <c r="J50" s="123" t="e">
        <f>'LDB-10'!$V$71</f>
        <v>#VALUE!</v>
      </c>
      <c r="K50" s="124" t="e">
        <f>'LDB-10'!$W$71</f>
        <v>#VALUE!</v>
      </c>
      <c r="L50" s="125" t="e">
        <f>'LDB-10'!$X$71</f>
        <v>#VALUE!</v>
      </c>
      <c r="M50" s="126" t="e">
        <f>GEOMEAN('LDB-10'!$S$71:'LDB-10'!$S$74)</f>
        <v>#DIV/0!</v>
      </c>
      <c r="N50" s="127" t="e">
        <f>GEOMEAN('LDB-10'!$T$71:'LDB-10'!$T$74)</f>
        <v>#DIV/0!</v>
      </c>
    </row>
    <row r="51" spans="2:14" ht="12.75" customHeight="1" x14ac:dyDescent="0.2">
      <c r="B51" s="132" t="s">
        <v>78</v>
      </c>
      <c r="C51" s="111">
        <f>'RA-10'!$V75</f>
        <v>-2.2050810340373816E-5</v>
      </c>
      <c r="D51" s="112">
        <f>'RA-10'!$W75</f>
        <v>2.4864843108635126E-4</v>
      </c>
      <c r="E51" s="113">
        <f>'RA-10'!$X75</f>
        <v>2.0208028619505547E-3</v>
      </c>
      <c r="F51" s="128">
        <f>'RA-10'!$S75</f>
        <v>1.0135273223770136</v>
      </c>
      <c r="G51" s="115">
        <f>'RA-10'!$T75</f>
        <v>1.0032150738892207</v>
      </c>
      <c r="I51" s="132" t="s">
        <v>78</v>
      </c>
      <c r="J51" s="111">
        <f>'LDB-10'!$V75</f>
        <v>-2.8361137606000564E-4</v>
      </c>
      <c r="K51" s="112">
        <f>'LDB-10'!$W75</f>
        <v>-1.1267783413876908E-3</v>
      </c>
      <c r="L51" s="113">
        <f>'LDB-10'!$X75</f>
        <v>-9.5208633568086287E-4</v>
      </c>
      <c r="M51" s="128">
        <f>'LDB-10'!$S75</f>
        <v>1.0151474632437856</v>
      </c>
      <c r="N51" s="115">
        <f>'LDB-10'!$T75</f>
        <v>1.0122348417293587</v>
      </c>
    </row>
    <row r="52" spans="2:14" ht="12.75" customHeight="1" x14ac:dyDescent="0.2">
      <c r="B52" s="133" t="s">
        <v>79</v>
      </c>
      <c r="C52" s="117">
        <f>'RA-10'!$V76</f>
        <v>4.2347578002321917E-4</v>
      </c>
      <c r="D52" s="118">
        <f>'RA-10'!$W76</f>
        <v>6.0530834837363434E-4</v>
      </c>
      <c r="E52" s="119">
        <f>'RA-10'!$X76</f>
        <v>2.9661401514183838E-3</v>
      </c>
      <c r="F52" s="130">
        <f>'RA-10'!$S76</f>
        <v>1.0215367852521318</v>
      </c>
      <c r="G52" s="121">
        <f>'RA-10'!$T76</f>
        <v>1.023198202856219</v>
      </c>
      <c r="I52" s="133" t="s">
        <v>79</v>
      </c>
      <c r="J52" s="117">
        <f>'LDB-10'!$V76</f>
        <v>-2.2842552584512177E-4</v>
      </c>
      <c r="K52" s="118">
        <f>'LDB-10'!$W76</f>
        <v>-4.0421251647371204E-4</v>
      </c>
      <c r="L52" s="119">
        <f>'LDB-10'!$X76</f>
        <v>2.0373651368564283E-3</v>
      </c>
      <c r="M52" s="130">
        <f>'LDB-10'!$S76</f>
        <v>1.0137827281788767</v>
      </c>
      <c r="N52" s="121">
        <f>'LDB-10'!$T76</f>
        <v>1.0026133216448241</v>
      </c>
    </row>
    <row r="53" spans="2:14" ht="12.75" customHeight="1" thickBot="1" x14ac:dyDescent="0.25">
      <c r="B53" s="133" t="s">
        <v>51</v>
      </c>
      <c r="C53" s="117">
        <f>'RA-10'!$V77</f>
        <v>-3.9543697795374477E-4</v>
      </c>
      <c r="D53" s="118">
        <f>'RA-10'!$W77</f>
        <v>2.1341356493454755E-3</v>
      </c>
      <c r="E53" s="119">
        <f>'RA-10'!$X77</f>
        <v>9.5718304989464431E-4</v>
      </c>
      <c r="F53" s="130">
        <f>'RA-10'!$S77</f>
        <v>1.0341636701871908</v>
      </c>
      <c r="G53" s="121">
        <f>'RA-10'!$T77</f>
        <v>1.0311652815811791</v>
      </c>
      <c r="I53" s="133" t="s">
        <v>80</v>
      </c>
      <c r="J53" s="117">
        <f>'LDB-10'!$V77</f>
        <v>-8.8065629138586732E-4</v>
      </c>
      <c r="K53" s="118">
        <f>'LDB-10'!$W77</f>
        <v>-1.0815050278411009E-3</v>
      </c>
      <c r="L53" s="119">
        <f>'LDB-10'!$X77</f>
        <v>5.3608891196338659E-3</v>
      </c>
      <c r="M53" s="130">
        <f>'LDB-10'!$S77</f>
        <v>1.0142579437386816</v>
      </c>
      <c r="N53" s="121">
        <f>'LDB-10'!$T77</f>
        <v>1.020012087811301</v>
      </c>
    </row>
    <row r="54" spans="2:14" ht="12.75" customHeight="1" thickBot="1" x14ac:dyDescent="0.25">
      <c r="B54" s="139" t="s">
        <v>37</v>
      </c>
      <c r="C54" s="138">
        <f>'RA-10'!$V80</f>
        <v>1.995997243033528E-6</v>
      </c>
      <c r="D54" s="137">
        <f>'RA-10'!$W80</f>
        <v>9.9603080960182044E-4</v>
      </c>
      <c r="E54" s="136">
        <f>'RA-10'!$X80</f>
        <v>1.9813753544211943E-3</v>
      </c>
      <c r="F54" s="135">
        <f>'RA-10'!$S80</f>
        <v>1.0230407099563268</v>
      </c>
      <c r="G54" s="134">
        <f>'RA-10'!$T80</f>
        <v>1.0191247919528394</v>
      </c>
      <c r="I54" s="139" t="s">
        <v>37</v>
      </c>
      <c r="J54" s="138">
        <f>'LDB-10'!$V80</f>
        <v>-4.6423106443033157E-4</v>
      </c>
      <c r="K54" s="137">
        <f>'LDB-10'!$W80</f>
        <v>-8.7083196190083456E-4</v>
      </c>
      <c r="L54" s="136">
        <f>'LDB-10'!$X80</f>
        <v>2.1487226402698103E-3</v>
      </c>
      <c r="M54" s="135">
        <f>'LDB-10'!$S80</f>
        <v>1.0143958873682422</v>
      </c>
      <c r="N54" s="134">
        <f>'LDB-10'!$T80</f>
        <v>1.0115950379208596</v>
      </c>
    </row>
    <row r="55" spans="2:14" ht="12.75" customHeight="1" thickBot="1" x14ac:dyDescent="0.25">
      <c r="B55" s="140" t="s">
        <v>89</v>
      </c>
      <c r="C55" s="123" t="e">
        <f>'RA-10'!$V78</f>
        <v>#VALUE!</v>
      </c>
      <c r="D55" s="124" t="e">
        <f>'RA-10'!$W78</f>
        <v>#VALUE!</v>
      </c>
      <c r="E55" s="125" t="e">
        <f>'RA-10'!$X78</f>
        <v>#VALUE!</v>
      </c>
      <c r="F55" s="126" t="e">
        <f>'RA-10'!$S78</f>
        <v>#DIV/0!</v>
      </c>
      <c r="G55" s="127" t="e">
        <f>'RA-10'!$T78</f>
        <v>#DIV/0!</v>
      </c>
      <c r="I55" s="140" t="s">
        <v>89</v>
      </c>
      <c r="J55" s="123" t="e">
        <f>'LDB-10'!$V78</f>
        <v>#VALUE!</v>
      </c>
      <c r="K55" s="124" t="e">
        <f>'LDB-10'!$W78</f>
        <v>#VALUE!</v>
      </c>
      <c r="L55" s="125" t="e">
        <f>'LDB-10'!$X78</f>
        <v>#VALUE!</v>
      </c>
      <c r="M55" s="126" t="e">
        <f>'LDB-10'!$S78</f>
        <v>#DIV/0!</v>
      </c>
      <c r="N55" s="127" t="e">
        <f>'LDB-10'!$T78</f>
        <v>#DIV/0!</v>
      </c>
    </row>
    <row r="56" spans="2:14" ht="12.75" customHeight="1" thickBot="1" x14ac:dyDescent="0.25">
      <c r="B56" s="149" t="s">
        <v>373</v>
      </c>
      <c r="C56" s="123" t="e">
        <f>'RA-10'!$V79</f>
        <v>#VALUE!</v>
      </c>
      <c r="D56" s="124" t="e">
        <f>'RA-10'!$W79</f>
        <v>#VALUE!</v>
      </c>
      <c r="E56" s="125" t="e">
        <f>'RA-10'!$X79</f>
        <v>#VALUE!</v>
      </c>
      <c r="F56" s="126" t="e">
        <f>'RA-10'!$S79</f>
        <v>#DIV/0!</v>
      </c>
      <c r="G56" s="127" t="e">
        <f>'RA-10'!$T79</f>
        <v>#DIV/0!</v>
      </c>
      <c r="I56" s="149" t="s">
        <v>373</v>
      </c>
      <c r="J56" s="123" t="e">
        <f>'LDB-10'!$V79</f>
        <v>#VALUE!</v>
      </c>
      <c r="K56" s="124" t="e">
        <f>'LDB-10'!$W79</f>
        <v>#VALUE!</v>
      </c>
      <c r="L56" s="125" t="e">
        <f>'LDB-10'!$X79</f>
        <v>#VALUE!</v>
      </c>
      <c r="M56" s="126" t="e">
        <f>'LDB-10'!$S79</f>
        <v>#DIV/0!</v>
      </c>
      <c r="N56" s="127" t="e">
        <f>'LDB-10'!$T79</f>
        <v>#DIV/0!</v>
      </c>
    </row>
    <row r="57" spans="2:14" ht="12.75" customHeight="1" x14ac:dyDescent="0.2">
      <c r="C57" s="103"/>
      <c r="D57" s="103"/>
      <c r="E57" s="103"/>
      <c r="F57" s="103"/>
      <c r="G57" s="103"/>
    </row>
    <row r="58" spans="2:14" ht="12.75" customHeight="1" x14ac:dyDescent="0.25">
      <c r="I58" s="104"/>
      <c r="J58" s="104"/>
    </row>
    <row r="59" spans="2:14" ht="12.75" customHeight="1" x14ac:dyDescent="0.2"/>
    <row r="60" spans="2:14" ht="12.75" customHeight="1" x14ac:dyDescent="0.2"/>
    <row r="61" spans="2:14" ht="12.75" customHeight="1" x14ac:dyDescent="0.2"/>
    <row r="62" spans="2:14" ht="12.75" customHeight="1" x14ac:dyDescent="0.2"/>
    <row r="63" spans="2:14" ht="12.75" customHeight="1" x14ac:dyDescent="0.2"/>
    <row r="64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spans="3:10" ht="12.75" customHeight="1" x14ac:dyDescent="0.2"/>
    <row r="82" spans="3:10" ht="12.75" customHeight="1" x14ac:dyDescent="0.2"/>
    <row r="83" spans="3:10" ht="12.75" customHeight="1" x14ac:dyDescent="0.2"/>
    <row r="84" spans="3:10" ht="12.75" customHeight="1" x14ac:dyDescent="0.2"/>
    <row r="85" spans="3:10" ht="12.75" customHeight="1" x14ac:dyDescent="0.2"/>
    <row r="86" spans="3:10" ht="12.75" customHeight="1" x14ac:dyDescent="0.2"/>
    <row r="87" spans="3:10" ht="12.75" customHeight="1" x14ac:dyDescent="0.2">
      <c r="H87" s="129"/>
    </row>
    <row r="88" spans="3:10" ht="12.75" customHeight="1" x14ac:dyDescent="0.2">
      <c r="H88" s="129"/>
    </row>
    <row r="89" spans="3:10" ht="12.75" customHeight="1" x14ac:dyDescent="0.2">
      <c r="H89" s="129"/>
    </row>
    <row r="90" spans="3:10" ht="12.75" customHeight="1" x14ac:dyDescent="0.2">
      <c r="H90" s="129"/>
    </row>
    <row r="91" spans="3:10" ht="12.75" customHeight="1" x14ac:dyDescent="0.2">
      <c r="H91" s="129"/>
    </row>
    <row r="92" spans="3:10" ht="12.75" customHeight="1" x14ac:dyDescent="0.2">
      <c r="H92" s="129"/>
    </row>
    <row r="93" spans="3:10" ht="12.75" customHeight="1" x14ac:dyDescent="0.2">
      <c r="H93" s="129"/>
    </row>
    <row r="94" spans="3:10" ht="12.75" customHeight="1" x14ac:dyDescent="0.2">
      <c r="H94" s="129"/>
    </row>
    <row r="95" spans="3:10" ht="12.75" customHeight="1" x14ac:dyDescent="0.2">
      <c r="C95" s="103"/>
      <c r="D95" s="103"/>
      <c r="E95" s="103"/>
      <c r="F95" s="103"/>
      <c r="G95" s="103"/>
    </row>
    <row r="96" spans="3:10" ht="12.75" customHeight="1" x14ac:dyDescent="0.25">
      <c r="I96" s="104"/>
      <c r="J96" s="104"/>
    </row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</sheetData>
  <mergeCells count="8">
    <mergeCell ref="C31:G31"/>
    <mergeCell ref="J31:N31"/>
    <mergeCell ref="C2:G2"/>
    <mergeCell ref="J2:N2"/>
    <mergeCell ref="C3:G3"/>
    <mergeCell ref="J3:N3"/>
    <mergeCell ref="C30:G30"/>
    <mergeCell ref="J30:N30"/>
  </mergeCells>
  <phoneticPr fontId="9" type="noConversion"/>
  <conditionalFormatting sqref="C27:E27">
    <cfRule type="cellIs" dxfId="863" priority="111" stopIfTrue="1" operator="greaterThan">
      <formula>0.03</formula>
    </cfRule>
    <cfRule type="cellIs" dxfId="862" priority="112" stopIfTrue="1" operator="lessThan">
      <formula>-0.03</formula>
    </cfRule>
  </conditionalFormatting>
  <conditionalFormatting sqref="C26:E26">
    <cfRule type="cellIs" dxfId="861" priority="109" stopIfTrue="1" operator="greaterThan">
      <formula>0.03</formula>
    </cfRule>
    <cfRule type="cellIs" dxfId="860" priority="110" stopIfTrue="1" operator="lessThan">
      <formula>-0.03</formula>
    </cfRule>
  </conditionalFormatting>
  <conditionalFormatting sqref="C23:E23 C25:E25">
    <cfRule type="cellIs" dxfId="859" priority="107" stopIfTrue="1" operator="greaterThan">
      <formula>0.03</formula>
    </cfRule>
    <cfRule type="cellIs" dxfId="858" priority="108" stopIfTrue="1" operator="lessThan">
      <formula>-0.03</formula>
    </cfRule>
  </conditionalFormatting>
  <conditionalFormatting sqref="C24:E24">
    <cfRule type="cellIs" dxfId="857" priority="105" stopIfTrue="1" operator="greaterThan">
      <formula>0.03</formula>
    </cfRule>
    <cfRule type="cellIs" dxfId="856" priority="106" stopIfTrue="1" operator="lessThan">
      <formula>-0.03</formula>
    </cfRule>
  </conditionalFormatting>
  <conditionalFormatting sqref="C5:E18">
    <cfRule type="cellIs" dxfId="855" priority="101" stopIfTrue="1" operator="greaterThan">
      <formula>0.03</formula>
    </cfRule>
    <cfRule type="cellIs" dxfId="854" priority="102" stopIfTrue="1" operator="lessThan">
      <formula>-0.03</formula>
    </cfRule>
  </conditionalFormatting>
  <conditionalFormatting sqref="J27:L27">
    <cfRule type="cellIs" dxfId="853" priority="63" stopIfTrue="1" operator="greaterThan">
      <formula>0.03</formula>
    </cfRule>
    <cfRule type="cellIs" dxfId="852" priority="64" stopIfTrue="1" operator="lessThan">
      <formula>-0.03</formula>
    </cfRule>
  </conditionalFormatting>
  <conditionalFormatting sqref="J26:L26">
    <cfRule type="cellIs" dxfId="851" priority="61" stopIfTrue="1" operator="greaterThan">
      <formula>0.03</formula>
    </cfRule>
    <cfRule type="cellIs" dxfId="850" priority="62" stopIfTrue="1" operator="lessThan">
      <formula>-0.03</formula>
    </cfRule>
  </conditionalFormatting>
  <conditionalFormatting sqref="J23:L23 J25:L25">
    <cfRule type="cellIs" dxfId="849" priority="59" stopIfTrue="1" operator="greaterThan">
      <formula>0.03</formula>
    </cfRule>
    <cfRule type="cellIs" dxfId="848" priority="60" stopIfTrue="1" operator="lessThan">
      <formula>-0.03</formula>
    </cfRule>
  </conditionalFormatting>
  <conditionalFormatting sqref="J33:L46">
    <cfRule type="cellIs" dxfId="847" priority="35" stopIfTrue="1" operator="greaterThan">
      <formula>0.03</formula>
    </cfRule>
    <cfRule type="cellIs" dxfId="846" priority="36" stopIfTrue="1" operator="lessThan">
      <formula>-0.03</formula>
    </cfRule>
  </conditionalFormatting>
  <conditionalFormatting sqref="J24:L24">
    <cfRule type="cellIs" dxfId="845" priority="57" stopIfTrue="1" operator="greaterThan">
      <formula>0.03</formula>
    </cfRule>
    <cfRule type="cellIs" dxfId="844" priority="58" stopIfTrue="1" operator="lessThan">
      <formula>-0.03</formula>
    </cfRule>
  </conditionalFormatting>
  <conditionalFormatting sqref="J5:L18">
    <cfRule type="cellIs" dxfId="843" priority="55" stopIfTrue="1" operator="greaterThan">
      <formula>0.03</formula>
    </cfRule>
    <cfRule type="cellIs" dxfId="842" priority="56" stopIfTrue="1" operator="lessThan">
      <formula>-0.03</formula>
    </cfRule>
  </conditionalFormatting>
  <conditionalFormatting sqref="C55:E55">
    <cfRule type="cellIs" dxfId="841" priority="53" stopIfTrue="1" operator="greaterThan">
      <formula>0.03</formula>
    </cfRule>
    <cfRule type="cellIs" dxfId="840" priority="54" stopIfTrue="1" operator="lessThan">
      <formula>-0.03</formula>
    </cfRule>
  </conditionalFormatting>
  <conditionalFormatting sqref="C51:E51 C53:E53">
    <cfRule type="cellIs" dxfId="839" priority="49" stopIfTrue="1" operator="greaterThan">
      <formula>0.03</formula>
    </cfRule>
    <cfRule type="cellIs" dxfId="838" priority="50" stopIfTrue="1" operator="lessThan">
      <formula>-0.03</formula>
    </cfRule>
  </conditionalFormatting>
  <conditionalFormatting sqref="C52:E52">
    <cfRule type="cellIs" dxfId="837" priority="47" stopIfTrue="1" operator="greaterThan">
      <formula>0.03</formula>
    </cfRule>
    <cfRule type="cellIs" dxfId="836" priority="48" stopIfTrue="1" operator="lessThan">
      <formula>-0.03</formula>
    </cfRule>
  </conditionalFormatting>
  <conditionalFormatting sqref="C33:E46">
    <cfRule type="cellIs" dxfId="835" priority="45" stopIfTrue="1" operator="greaterThan">
      <formula>0.03</formula>
    </cfRule>
    <cfRule type="cellIs" dxfId="834" priority="46" stopIfTrue="1" operator="lessThan">
      <formula>-0.03</formula>
    </cfRule>
  </conditionalFormatting>
  <conditionalFormatting sqref="C54:E54">
    <cfRule type="cellIs" dxfId="833" priority="33" stopIfTrue="1" operator="greaterThan">
      <formula>0.03</formula>
    </cfRule>
    <cfRule type="cellIs" dxfId="832" priority="34" stopIfTrue="1" operator="lessThan">
      <formula>-0.03</formula>
    </cfRule>
  </conditionalFormatting>
  <conditionalFormatting sqref="J55:L55">
    <cfRule type="cellIs" dxfId="831" priority="29" stopIfTrue="1" operator="greaterThan">
      <formula>0.03</formula>
    </cfRule>
    <cfRule type="cellIs" dxfId="830" priority="30" stopIfTrue="1" operator="lessThan">
      <formula>-0.03</formula>
    </cfRule>
  </conditionalFormatting>
  <conditionalFormatting sqref="J51:L51 J53:L53">
    <cfRule type="cellIs" dxfId="829" priority="27" stopIfTrue="1" operator="greaterThan">
      <formula>0.03</formula>
    </cfRule>
    <cfRule type="cellIs" dxfId="828" priority="28" stopIfTrue="1" operator="lessThan">
      <formula>-0.03</formula>
    </cfRule>
  </conditionalFormatting>
  <conditionalFormatting sqref="J52:L52">
    <cfRule type="cellIs" dxfId="827" priority="25" stopIfTrue="1" operator="greaterThan">
      <formula>0.03</formula>
    </cfRule>
    <cfRule type="cellIs" dxfId="826" priority="26" stopIfTrue="1" operator="lessThan">
      <formula>-0.03</formula>
    </cfRule>
  </conditionalFormatting>
  <conditionalFormatting sqref="J54:L54">
    <cfRule type="cellIs" dxfId="825" priority="23" stopIfTrue="1" operator="greaterThan">
      <formula>0.03</formula>
    </cfRule>
    <cfRule type="cellIs" dxfId="824" priority="24" stopIfTrue="1" operator="lessThan">
      <formula>-0.03</formula>
    </cfRule>
  </conditionalFormatting>
  <conditionalFormatting sqref="C19:E22">
    <cfRule type="cellIs" dxfId="823" priority="21" stopIfTrue="1" operator="greaterThan">
      <formula>0.03</formula>
    </cfRule>
    <cfRule type="cellIs" dxfId="822" priority="22" stopIfTrue="1" operator="lessThan">
      <formula>-0.03</formula>
    </cfRule>
  </conditionalFormatting>
  <conditionalFormatting sqref="C28:E28">
    <cfRule type="cellIs" dxfId="821" priority="17" stopIfTrue="1" operator="greaterThan">
      <formula>0.03</formula>
    </cfRule>
    <cfRule type="cellIs" dxfId="820" priority="18" stopIfTrue="1" operator="lessThan">
      <formula>-0.03</formula>
    </cfRule>
  </conditionalFormatting>
  <conditionalFormatting sqref="J28:L28">
    <cfRule type="cellIs" dxfId="819" priority="15" stopIfTrue="1" operator="greaterThan">
      <formula>0.03</formula>
    </cfRule>
    <cfRule type="cellIs" dxfId="818" priority="16" stopIfTrue="1" operator="lessThan">
      <formula>-0.03</formula>
    </cfRule>
  </conditionalFormatting>
  <conditionalFormatting sqref="C56:E56">
    <cfRule type="cellIs" dxfId="817" priority="9" stopIfTrue="1" operator="greaterThan">
      <formula>0.03</formula>
    </cfRule>
    <cfRule type="cellIs" dxfId="816" priority="10" stopIfTrue="1" operator="lessThan">
      <formula>-0.03</formula>
    </cfRule>
  </conditionalFormatting>
  <conditionalFormatting sqref="J47:L50">
    <cfRule type="cellIs" dxfId="815" priority="1" stopIfTrue="1" operator="greaterThan">
      <formula>0.03</formula>
    </cfRule>
    <cfRule type="cellIs" dxfId="814" priority="2" stopIfTrue="1" operator="lessThan">
      <formula>-0.03</formula>
    </cfRule>
  </conditionalFormatting>
  <conditionalFormatting sqref="J56:L56">
    <cfRule type="cellIs" dxfId="813" priority="7" stopIfTrue="1" operator="greaterThan">
      <formula>0.03</formula>
    </cfRule>
    <cfRule type="cellIs" dxfId="812" priority="8" stopIfTrue="1" operator="lessThan">
      <formula>-0.03</formula>
    </cfRule>
  </conditionalFormatting>
  <conditionalFormatting sqref="J19:L22">
    <cfRule type="cellIs" dxfId="811" priority="5" stopIfTrue="1" operator="greaterThan">
      <formula>0.03</formula>
    </cfRule>
    <cfRule type="cellIs" dxfId="810" priority="6" stopIfTrue="1" operator="lessThan">
      <formula>-0.03</formula>
    </cfRule>
  </conditionalFormatting>
  <conditionalFormatting sqref="C47:E50">
    <cfRule type="cellIs" dxfId="809" priority="3" stopIfTrue="1" operator="greaterThan">
      <formula>0.03</formula>
    </cfRule>
    <cfRule type="cellIs" dxfId="808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B1:J40"/>
  <sheetViews>
    <sheetView tabSelected="1" zoomScaleNormal="100" workbookViewId="0">
      <selection activeCell="C25" sqref="C25:G28"/>
    </sheetView>
  </sheetViews>
  <sheetFormatPr defaultColWidth="10.8984375" defaultRowHeight="11.4" x14ac:dyDescent="0.2"/>
  <cols>
    <col min="1" max="1" width="4.09765625" style="1" customWidth="1"/>
    <col min="2" max="2" width="13.59765625" style="70" customWidth="1"/>
    <col min="3" max="7" width="8.8984375" style="70" customWidth="1"/>
    <col min="8" max="8" width="10.8984375" style="1"/>
    <col min="9" max="9" width="20.59765625" style="1" customWidth="1"/>
    <col min="10" max="10" width="13" style="1" customWidth="1"/>
    <col min="11" max="16384" width="10.8984375" style="1"/>
  </cols>
  <sheetData>
    <row r="1" spans="2:10" ht="12" thickBot="1" x14ac:dyDescent="0.25"/>
    <row r="2" spans="2:10" ht="12.75" customHeight="1" thickBot="1" x14ac:dyDescent="0.3">
      <c r="C2" s="142"/>
      <c r="D2" s="143"/>
      <c r="E2" s="142" t="s">
        <v>60</v>
      </c>
      <c r="F2" s="143"/>
      <c r="G2" s="144"/>
      <c r="I2" s="28"/>
      <c r="J2" s="28"/>
    </row>
    <row r="3" spans="2:10" ht="12.75" customHeight="1" x14ac:dyDescent="0.25">
      <c r="C3" s="145" t="str">
        <f>CONCATENATE("Over ", $J$3)</f>
        <v>Over HPM12.2</v>
      </c>
      <c r="D3" s="146"/>
      <c r="E3" s="146"/>
      <c r="F3" s="146"/>
      <c r="G3" s="147"/>
      <c r="I3" s="28" t="s">
        <v>20</v>
      </c>
      <c r="J3" s="28" t="s">
        <v>496</v>
      </c>
    </row>
    <row r="4" spans="2:10" ht="12.75" customHeight="1" thickBot="1" x14ac:dyDescent="0.3">
      <c r="C4" s="55" t="s">
        <v>14</v>
      </c>
      <c r="D4" s="56" t="s">
        <v>15</v>
      </c>
      <c r="E4" s="57" t="s">
        <v>16</v>
      </c>
      <c r="F4" s="58" t="s">
        <v>32</v>
      </c>
      <c r="G4" s="59" t="s">
        <v>33</v>
      </c>
      <c r="I4" s="28" t="s">
        <v>21</v>
      </c>
      <c r="J4" s="28" t="s">
        <v>689</v>
      </c>
    </row>
    <row r="5" spans="2:10" ht="12.75" customHeight="1" x14ac:dyDescent="0.25">
      <c r="B5" s="93" t="s">
        <v>92</v>
      </c>
      <c r="C5" s="60">
        <f>'AI-10'!V75</f>
        <v>0</v>
      </c>
      <c r="D5" s="61">
        <f>'AI-10'!W75</f>
        <v>0</v>
      </c>
      <c r="E5" s="62">
        <f>'AI-10'!X75</f>
        <v>0</v>
      </c>
      <c r="F5" s="63">
        <f>'AI-10'!S75</f>
        <v>1.0071839061957235</v>
      </c>
      <c r="G5" s="64">
        <f>'AI-10'!T75</f>
        <v>1.003932839996081</v>
      </c>
      <c r="H5" s="25"/>
      <c r="J5" s="28"/>
    </row>
    <row r="6" spans="2:10" ht="12.75" customHeight="1" x14ac:dyDescent="0.25">
      <c r="B6" s="94" t="s">
        <v>91</v>
      </c>
      <c r="C6" s="65">
        <f>'AI-10'!V76</f>
        <v>0</v>
      </c>
      <c r="D6" s="66">
        <f>'AI-10'!W76</f>
        <v>0</v>
      </c>
      <c r="E6" s="67">
        <f>'AI-10'!X76</f>
        <v>0</v>
      </c>
      <c r="F6" s="68">
        <f>'AI-10'!S76</f>
        <v>1.0042173480038243</v>
      </c>
      <c r="G6" s="69">
        <f>'AI-10'!T76</f>
        <v>1.0062440328170776</v>
      </c>
      <c r="H6" s="25"/>
      <c r="J6" s="28"/>
    </row>
    <row r="7" spans="2:10" ht="12.75" customHeight="1" thickBot="1" x14ac:dyDescent="0.25">
      <c r="B7" s="95" t="s">
        <v>93</v>
      </c>
      <c r="C7" s="65">
        <f>'AI-10'!V77</f>
        <v>0</v>
      </c>
      <c r="D7" s="66">
        <f>'AI-10'!W77</f>
        <v>0</v>
      </c>
      <c r="E7" s="67">
        <f>'AI-10'!X77</f>
        <v>0</v>
      </c>
      <c r="F7" s="68">
        <f>'AI-10'!S77</f>
        <v>1.0153057305701008</v>
      </c>
      <c r="G7" s="69">
        <f>'AI-10'!T77</f>
        <v>1.0225892764234581</v>
      </c>
      <c r="H7" s="25"/>
    </row>
    <row r="8" spans="2:10" s="20" customFormat="1" ht="12.75" customHeight="1" thickBot="1" x14ac:dyDescent="0.3">
      <c r="B8" s="81" t="s">
        <v>37</v>
      </c>
      <c r="C8" s="60">
        <f>'AI-10'!V80</f>
        <v>0</v>
      </c>
      <c r="D8" s="61">
        <f>'AI-10'!W80</f>
        <v>0</v>
      </c>
      <c r="E8" s="61">
        <f>'AI-10'!X80</f>
        <v>0</v>
      </c>
      <c r="F8" s="100">
        <f>'AI-10'!S80</f>
        <v>1.0088914576817016</v>
      </c>
      <c r="G8" s="101">
        <f>'AI-10'!T80</f>
        <v>1.0108880693297544</v>
      </c>
      <c r="H8" s="25"/>
      <c r="I8" s="36" t="s">
        <v>19</v>
      </c>
    </row>
    <row r="9" spans="2:10" ht="12.75" customHeight="1" thickBot="1" x14ac:dyDescent="0.25">
      <c r="B9" s="99" t="s">
        <v>90</v>
      </c>
      <c r="C9" s="96" t="e">
        <f>'AI-10'!V78</f>
        <v>#VALUE!</v>
      </c>
      <c r="D9" s="97" t="e">
        <f>'AI-10'!W78</f>
        <v>#VALUE!</v>
      </c>
      <c r="E9" s="98" t="e">
        <f>'AI-10'!X78</f>
        <v>#VALUE!</v>
      </c>
      <c r="F9" s="100" t="e">
        <f>'AI-10'!S78</f>
        <v>#DIV/0!</v>
      </c>
      <c r="G9" s="101" t="e">
        <f>'AI-10'!T78</f>
        <v>#DIV/0!</v>
      </c>
      <c r="H9" s="25"/>
    </row>
    <row r="10" spans="2:10" ht="12.75" customHeight="1" thickBot="1" x14ac:dyDescent="0.25">
      <c r="B10" s="105" t="s">
        <v>366</v>
      </c>
      <c r="C10" s="96" t="e">
        <f>'AI-10'!V79</f>
        <v>#VALUE!</v>
      </c>
      <c r="D10" s="97" t="e">
        <f>'AI-10'!W79</f>
        <v>#VALUE!</v>
      </c>
      <c r="E10" s="98" t="e">
        <f>'AI-10'!X79</f>
        <v>#VALUE!</v>
      </c>
      <c r="F10" s="100" t="e">
        <f>'AI-10'!S79</f>
        <v>#DIV/0!</v>
      </c>
      <c r="G10" s="101" t="e">
        <f>'AI-10'!T79</f>
        <v>#DIV/0!</v>
      </c>
      <c r="H10" s="25"/>
    </row>
    <row r="11" spans="2:10" ht="12.75" customHeight="1" thickBot="1" x14ac:dyDescent="0.3">
      <c r="I11" s="82"/>
    </row>
    <row r="12" spans="2:10" ht="12.75" customHeight="1" thickBot="1" x14ac:dyDescent="0.25">
      <c r="C12" s="142"/>
      <c r="D12" s="143"/>
      <c r="E12" s="142" t="s">
        <v>61</v>
      </c>
      <c r="F12" s="143"/>
      <c r="G12" s="144"/>
    </row>
    <row r="13" spans="2:10" ht="12.75" customHeight="1" x14ac:dyDescent="0.25">
      <c r="C13" s="145" t="str">
        <f>CONCATENATE("Over ", $J$3)</f>
        <v>Over HPM12.2</v>
      </c>
      <c r="D13" s="146"/>
      <c r="E13" s="146"/>
      <c r="F13" s="146"/>
      <c r="G13" s="147"/>
      <c r="I13" s="28"/>
    </row>
    <row r="14" spans="2:10" ht="12.75" customHeight="1" thickBot="1" x14ac:dyDescent="0.3">
      <c r="C14" s="55" t="s">
        <v>14</v>
      </c>
      <c r="D14" s="56" t="s">
        <v>15</v>
      </c>
      <c r="E14" s="57" t="s">
        <v>16</v>
      </c>
      <c r="F14" s="58" t="s">
        <v>32</v>
      </c>
      <c r="G14" s="59" t="s">
        <v>33</v>
      </c>
      <c r="I14" s="28"/>
    </row>
    <row r="15" spans="2:10" ht="12.75" customHeight="1" x14ac:dyDescent="0.25">
      <c r="B15" s="93" t="s">
        <v>92</v>
      </c>
      <c r="C15" s="60">
        <f>'RA-10'!V75</f>
        <v>-2.2050810340373816E-5</v>
      </c>
      <c r="D15" s="61">
        <f>'RA-10'!W75</f>
        <v>2.4864843108635126E-4</v>
      </c>
      <c r="E15" s="62">
        <f>'RA-10'!X75</f>
        <v>2.0208028619505547E-3</v>
      </c>
      <c r="F15" s="63">
        <f>'RA-10'!S75</f>
        <v>1.0135273223770136</v>
      </c>
      <c r="G15" s="64">
        <f>'RA-10'!T75</f>
        <v>1.0032150738892207</v>
      </c>
      <c r="H15" s="25"/>
      <c r="I15" s="28"/>
    </row>
    <row r="16" spans="2:10" ht="12.75" customHeight="1" x14ac:dyDescent="0.25">
      <c r="B16" s="94" t="s">
        <v>91</v>
      </c>
      <c r="C16" s="65">
        <f>'RA-10'!V76</f>
        <v>4.2347578002321917E-4</v>
      </c>
      <c r="D16" s="66">
        <f>'RA-10'!W76</f>
        <v>6.0530834837363434E-4</v>
      </c>
      <c r="E16" s="67">
        <f>'RA-10'!X76</f>
        <v>2.9661401514183838E-3</v>
      </c>
      <c r="F16" s="68">
        <f>'RA-10'!S76</f>
        <v>1.0215367852521318</v>
      </c>
      <c r="G16" s="69">
        <f>'RA-10'!T76</f>
        <v>1.023198202856219</v>
      </c>
      <c r="H16" s="25"/>
      <c r="I16" s="28"/>
    </row>
    <row r="17" spans="2:9" ht="12.75" customHeight="1" thickBot="1" x14ac:dyDescent="0.25">
      <c r="B17" s="95" t="s">
        <v>93</v>
      </c>
      <c r="C17" s="65">
        <f>'RA-10'!V77</f>
        <v>-3.9543697795374477E-4</v>
      </c>
      <c r="D17" s="66">
        <f>'RA-10'!W77</f>
        <v>2.1341356493454755E-3</v>
      </c>
      <c r="E17" s="67">
        <f>'RA-10'!X77</f>
        <v>9.5718304989464431E-4</v>
      </c>
      <c r="F17" s="68">
        <f>'RA-10'!S77</f>
        <v>1.0341636701871908</v>
      </c>
      <c r="G17" s="69">
        <f>'RA-10'!T77</f>
        <v>1.0311652815811791</v>
      </c>
      <c r="H17" s="25"/>
    </row>
    <row r="18" spans="2:9" ht="12.75" customHeight="1" thickBot="1" x14ac:dyDescent="0.3">
      <c r="B18" s="81" t="s">
        <v>37</v>
      </c>
      <c r="C18" s="60">
        <f>'RA-10'!V80</f>
        <v>1.995997243033528E-6</v>
      </c>
      <c r="D18" s="61">
        <f>'RA-10'!W80</f>
        <v>9.9603080960182044E-4</v>
      </c>
      <c r="E18" s="61">
        <f>'RA-10'!X80</f>
        <v>1.9813753544211943E-3</v>
      </c>
      <c r="F18" s="100">
        <f>'RA-10'!S80</f>
        <v>1.0230407099563268</v>
      </c>
      <c r="G18" s="101">
        <f>'RA-10'!T80</f>
        <v>1.0191247919528394</v>
      </c>
      <c r="H18" s="25"/>
      <c r="I18" s="28"/>
    </row>
    <row r="19" spans="2:9" ht="12.75" customHeight="1" thickBot="1" x14ac:dyDescent="0.3">
      <c r="B19" s="99" t="s">
        <v>90</v>
      </c>
      <c r="C19" s="96" t="e">
        <f>'RA-10'!V78</f>
        <v>#VALUE!</v>
      </c>
      <c r="D19" s="97" t="e">
        <f>'RA-10'!W78</f>
        <v>#VALUE!</v>
      </c>
      <c r="E19" s="98" t="e">
        <f>'RA-10'!X78</f>
        <v>#VALUE!</v>
      </c>
      <c r="F19" s="100" t="e">
        <f>'RA-10'!S78</f>
        <v>#DIV/0!</v>
      </c>
      <c r="G19" s="101" t="e">
        <f>'RA-10'!T78</f>
        <v>#DIV/0!</v>
      </c>
      <c r="H19" s="25"/>
      <c r="I19" s="82"/>
    </row>
    <row r="20" spans="2:9" ht="12.75" customHeight="1" thickBot="1" x14ac:dyDescent="0.3">
      <c r="B20" s="105" t="s">
        <v>366</v>
      </c>
      <c r="C20" s="96" t="e">
        <f>'RA-10'!V79</f>
        <v>#VALUE!</v>
      </c>
      <c r="D20" s="97" t="e">
        <f>'RA-10'!W79</f>
        <v>#VALUE!</v>
      </c>
      <c r="E20" s="98" t="e">
        <f>'RA-10'!X79</f>
        <v>#VALUE!</v>
      </c>
      <c r="F20" s="100" t="e">
        <f>'RA-10'!S79</f>
        <v>#DIV/0!</v>
      </c>
      <c r="G20" s="101" t="e">
        <f>'RA-10'!T79</f>
        <v>#DIV/0!</v>
      </c>
      <c r="H20" s="25"/>
      <c r="I20" s="82"/>
    </row>
    <row r="21" spans="2:9" ht="12.75" customHeight="1" thickBot="1" x14ac:dyDescent="0.25">
      <c r="C21" s="1"/>
      <c r="D21" s="1"/>
      <c r="E21" s="1"/>
      <c r="F21" s="1"/>
      <c r="G21" s="1"/>
    </row>
    <row r="22" spans="2:9" ht="12.75" customHeight="1" thickBot="1" x14ac:dyDescent="0.3">
      <c r="C22" s="142"/>
      <c r="D22" s="143"/>
      <c r="E22" s="142" t="s">
        <v>62</v>
      </c>
      <c r="F22" s="143"/>
      <c r="G22" s="144"/>
      <c r="I22" s="28"/>
    </row>
    <row r="23" spans="2:9" ht="12.75" customHeight="1" x14ac:dyDescent="0.2">
      <c r="C23" s="145" t="str">
        <f>CONCATENATE("Over ", $J$3)</f>
        <v>Over HPM12.2</v>
      </c>
      <c r="D23" s="146"/>
      <c r="E23" s="146"/>
      <c r="F23" s="146"/>
      <c r="G23" s="147"/>
    </row>
    <row r="24" spans="2:9" ht="12.75" customHeight="1" thickBot="1" x14ac:dyDescent="0.3">
      <c r="C24" s="55" t="s">
        <v>14</v>
      </c>
      <c r="D24" s="56" t="s">
        <v>15</v>
      </c>
      <c r="E24" s="57" t="s">
        <v>16</v>
      </c>
      <c r="F24" s="58" t="s">
        <v>32</v>
      </c>
      <c r="G24" s="59" t="s">
        <v>33</v>
      </c>
      <c r="I24" s="28"/>
    </row>
    <row r="25" spans="2:9" ht="12.75" customHeight="1" x14ac:dyDescent="0.25">
      <c r="B25" s="93" t="s">
        <v>92</v>
      </c>
      <c r="C25" s="60">
        <f>'LDB-10'!V75</f>
        <v>-2.8361137606000564E-4</v>
      </c>
      <c r="D25" s="61">
        <f>'LDB-10'!W75</f>
        <v>-1.1267783413876908E-3</v>
      </c>
      <c r="E25" s="62">
        <f>'LDB-10'!X75</f>
        <v>-9.5208633568086287E-4</v>
      </c>
      <c r="F25" s="63">
        <f>'LDB-10'!S75</f>
        <v>1.0151474632437856</v>
      </c>
      <c r="G25" s="64">
        <f>'LDB-10'!T75</f>
        <v>1.0122348417293587</v>
      </c>
      <c r="H25" s="25"/>
      <c r="I25" s="28"/>
    </row>
    <row r="26" spans="2:9" ht="12.75" customHeight="1" x14ac:dyDescent="0.2">
      <c r="B26" s="94" t="s">
        <v>91</v>
      </c>
      <c r="C26" s="65">
        <f>'LDB-10'!V76</f>
        <v>-2.2842552584512177E-4</v>
      </c>
      <c r="D26" s="66">
        <f>'LDB-10'!W76</f>
        <v>-4.0421251647371204E-4</v>
      </c>
      <c r="E26" s="67">
        <f>'LDB-10'!X76</f>
        <v>2.0373651368564283E-3</v>
      </c>
      <c r="F26" s="68">
        <f>'LDB-10'!S76</f>
        <v>1.0137827281788767</v>
      </c>
      <c r="G26" s="69">
        <f>'LDB-10'!T76</f>
        <v>1.0026133216448241</v>
      </c>
      <c r="H26" s="25"/>
    </row>
    <row r="27" spans="2:9" ht="12.75" customHeight="1" thickBot="1" x14ac:dyDescent="0.3">
      <c r="B27" s="95" t="s">
        <v>93</v>
      </c>
      <c r="C27" s="65">
        <f>'LDB-10'!V77</f>
        <v>-8.8065629138586732E-4</v>
      </c>
      <c r="D27" s="66">
        <f>'LDB-10'!W77</f>
        <v>-1.0815050278411009E-3</v>
      </c>
      <c r="E27" s="67">
        <f>'LDB-10'!X77</f>
        <v>5.3608891196338659E-3</v>
      </c>
      <c r="F27" s="68">
        <f>'LDB-10'!S77</f>
        <v>1.0142579437386816</v>
      </c>
      <c r="G27" s="69">
        <f>'LDB-10'!T77</f>
        <v>1.020012087811301</v>
      </c>
      <c r="H27" s="25"/>
      <c r="I27" s="28"/>
    </row>
    <row r="28" spans="2:9" ht="12.75" customHeight="1" thickBot="1" x14ac:dyDescent="0.25">
      <c r="B28" s="81" t="s">
        <v>37</v>
      </c>
      <c r="C28" s="60">
        <f>'LDB-10'!V80</f>
        <v>-4.6423106443033157E-4</v>
      </c>
      <c r="D28" s="61">
        <f>'LDB-10'!W80</f>
        <v>-8.7083196190083456E-4</v>
      </c>
      <c r="E28" s="61">
        <f>'LDB-10'!X80</f>
        <v>2.1487226402698103E-3</v>
      </c>
      <c r="F28" s="100">
        <f>'LDB-10'!S80</f>
        <v>1.0143958873682422</v>
      </c>
      <c r="G28" s="101">
        <f>'LDB-10'!T80</f>
        <v>1.0115950379208596</v>
      </c>
      <c r="H28" s="25"/>
    </row>
    <row r="29" spans="2:9" ht="12.75" customHeight="1" thickBot="1" x14ac:dyDescent="0.25">
      <c r="B29" s="99" t="s">
        <v>90</v>
      </c>
      <c r="C29" s="96" t="e">
        <f>'LDB-10'!V78</f>
        <v>#VALUE!</v>
      </c>
      <c r="D29" s="97" t="e">
        <f>'LDB-10'!W78</f>
        <v>#VALUE!</v>
      </c>
      <c r="E29" s="98" t="e">
        <f>'LDB-10'!X78</f>
        <v>#VALUE!</v>
      </c>
      <c r="F29" s="100" t="e">
        <f>'LDB-10'!S78</f>
        <v>#DIV/0!</v>
      </c>
      <c r="G29" s="101" t="e">
        <f>'LDB-10'!T78</f>
        <v>#DIV/0!</v>
      </c>
      <c r="H29" s="25"/>
    </row>
    <row r="30" spans="2:9" ht="12.75" customHeight="1" thickBot="1" x14ac:dyDescent="0.25">
      <c r="B30" s="105" t="s">
        <v>366</v>
      </c>
      <c r="C30" s="96" t="e">
        <f>'LDB-10'!V79</f>
        <v>#VALUE!</v>
      </c>
      <c r="D30" s="97" t="e">
        <f>'LDB-10'!W79</f>
        <v>#VALUE!</v>
      </c>
      <c r="E30" s="98" t="e">
        <f>'LDB-10'!X79</f>
        <v>#VALUE!</v>
      </c>
      <c r="F30" s="100" t="e">
        <f>'LDB-10'!S79</f>
        <v>#DIV/0!</v>
      </c>
      <c r="G30" s="101" t="e">
        <f>'LDB-10'!T79</f>
        <v>#DIV/0!</v>
      </c>
      <c r="H30" s="25"/>
    </row>
    <row r="31" spans="2:9" ht="12.75" customHeight="1" thickBot="1" x14ac:dyDescent="0.25">
      <c r="C31" s="1"/>
      <c r="D31" s="1"/>
      <c r="E31" s="1"/>
      <c r="F31" s="1"/>
      <c r="G31" s="1"/>
    </row>
    <row r="32" spans="2:9" ht="12.75" customHeight="1" thickBot="1" x14ac:dyDescent="0.25">
      <c r="C32" s="142"/>
      <c r="D32" s="143"/>
      <c r="E32" s="142" t="s">
        <v>63</v>
      </c>
      <c r="F32" s="143"/>
      <c r="G32" s="144"/>
    </row>
    <row r="33" spans="2:9" ht="12.75" customHeight="1" x14ac:dyDescent="0.2">
      <c r="C33" s="145" t="str">
        <f>CONCATENATE("Over ", $J$3)</f>
        <v>Over HPM12.2</v>
      </c>
      <c r="D33" s="146"/>
      <c r="E33" s="146"/>
      <c r="F33" s="146"/>
      <c r="G33" s="147"/>
    </row>
    <row r="34" spans="2:9" ht="12.75" customHeight="1" thickBot="1" x14ac:dyDescent="0.3">
      <c r="C34" s="55" t="s">
        <v>14</v>
      </c>
      <c r="D34" s="56" t="s">
        <v>15</v>
      </c>
      <c r="E34" s="57" t="s">
        <v>16</v>
      </c>
      <c r="F34" s="58" t="s">
        <v>32</v>
      </c>
      <c r="G34" s="59" t="s">
        <v>33</v>
      </c>
      <c r="I34" s="28"/>
    </row>
    <row r="35" spans="2:9" ht="12.75" customHeight="1" x14ac:dyDescent="0.2">
      <c r="B35" s="93" t="s">
        <v>92</v>
      </c>
      <c r="C35" s="60" t="e">
        <f>'LDP-10'!V75</f>
        <v>#VALUE!</v>
      </c>
      <c r="D35" s="61" t="e">
        <f>'LDP-10'!W75</f>
        <v>#VALUE!</v>
      </c>
      <c r="E35" s="62" t="e">
        <f>'LDP-10'!X75</f>
        <v>#VALUE!</v>
      </c>
      <c r="F35" s="63" t="e">
        <f>'LDP-10'!S75</f>
        <v>#DIV/0!</v>
      </c>
      <c r="G35" s="64" t="e">
        <f>'LDP-10'!T75</f>
        <v>#DIV/0!</v>
      </c>
    </row>
    <row r="36" spans="2:9" ht="12.75" customHeight="1" x14ac:dyDescent="0.2">
      <c r="B36" s="94" t="s">
        <v>91</v>
      </c>
      <c r="C36" s="65" t="e">
        <f>'LDP-10'!V76</f>
        <v>#VALUE!</v>
      </c>
      <c r="D36" s="66" t="e">
        <f>'LDP-10'!W76</f>
        <v>#VALUE!</v>
      </c>
      <c r="E36" s="67" t="e">
        <f>'LDP-10'!X76</f>
        <v>#VALUE!</v>
      </c>
      <c r="F36" s="68" t="e">
        <f>'LDP-10'!S76</f>
        <v>#DIV/0!</v>
      </c>
      <c r="G36" s="69" t="e">
        <f>'LDP-10'!T76</f>
        <v>#DIV/0!</v>
      </c>
    </row>
    <row r="37" spans="2:9" ht="12" customHeight="1" thickBot="1" x14ac:dyDescent="0.25">
      <c r="B37" s="95" t="s">
        <v>93</v>
      </c>
      <c r="C37" s="65" t="e">
        <f>'LDP-10'!V77</f>
        <v>#VALUE!</v>
      </c>
      <c r="D37" s="66" t="e">
        <f>'LDP-10'!W77</f>
        <v>#VALUE!</v>
      </c>
      <c r="E37" s="67" t="e">
        <f>'LDP-10'!X77</f>
        <v>#VALUE!</v>
      </c>
      <c r="F37" s="68" t="e">
        <f>'LDP-10'!S77</f>
        <v>#DIV/0!</v>
      </c>
      <c r="G37" s="69" t="e">
        <f>'LDP-10'!T77</f>
        <v>#DIV/0!</v>
      </c>
    </row>
    <row r="38" spans="2:9" ht="12.75" customHeight="1" thickBot="1" x14ac:dyDescent="0.25">
      <c r="B38" s="81" t="s">
        <v>37</v>
      </c>
      <c r="C38" s="60" t="e">
        <f>'LDP-10'!V80</f>
        <v>#VALUE!</v>
      </c>
      <c r="D38" s="61" t="e">
        <f>'LDP-10'!W80</f>
        <v>#VALUE!</v>
      </c>
      <c r="E38" s="61" t="e">
        <f>'LDP-10'!X80</f>
        <v>#VALUE!</v>
      </c>
      <c r="F38" s="100" t="e">
        <f>'LDP-10'!S80</f>
        <v>#DIV/0!</v>
      </c>
      <c r="G38" s="101" t="e">
        <f>'LDP-10'!T80</f>
        <v>#DIV/0!</v>
      </c>
    </row>
    <row r="39" spans="2:9" ht="12.75" customHeight="1" thickBot="1" x14ac:dyDescent="0.25">
      <c r="B39" s="99" t="s">
        <v>90</v>
      </c>
      <c r="C39" s="96" t="e">
        <f>'LDP-10'!V78</f>
        <v>#VALUE!</v>
      </c>
      <c r="D39" s="97" t="e">
        <f>'LDP-10'!W78</f>
        <v>#VALUE!</v>
      </c>
      <c r="E39" s="98" t="e">
        <f>'LDP-10'!X78</f>
        <v>#VALUE!</v>
      </c>
      <c r="F39" s="100" t="e">
        <f>'LDP-10'!S78</f>
        <v>#DIV/0!</v>
      </c>
      <c r="G39" s="101" t="e">
        <f>'LDP-10'!T78</f>
        <v>#DIV/0!</v>
      </c>
    </row>
    <row r="40" spans="2:9" ht="12.75" customHeight="1" thickBot="1" x14ac:dyDescent="0.25">
      <c r="B40" s="105" t="s">
        <v>366</v>
      </c>
      <c r="C40" s="96" t="e">
        <f>'LDP-10'!V79</f>
        <v>#VALUE!</v>
      </c>
      <c r="D40" s="97" t="e">
        <f>'LDP-10'!W79</f>
        <v>#VALUE!</v>
      </c>
      <c r="E40" s="98" t="e">
        <f>'LDP-10'!X79</f>
        <v>#VALUE!</v>
      </c>
      <c r="F40" s="100" t="e">
        <f>'LDP-10'!S79</f>
        <v>#DIV/0!</v>
      </c>
      <c r="G40" s="101" t="e">
        <f>'LDP-10'!T79</f>
        <v>#DIV/0!</v>
      </c>
    </row>
  </sheetData>
  <phoneticPr fontId="1" type="noConversion"/>
  <conditionalFormatting sqref="C8:E8">
    <cfRule type="cellIs" dxfId="807" priority="427" stopIfTrue="1" operator="greaterThan">
      <formula>0.03</formula>
    </cfRule>
    <cfRule type="cellIs" dxfId="806" priority="428" stopIfTrue="1" operator="lessThan">
      <formula>-0.03</formula>
    </cfRule>
  </conditionalFormatting>
  <conditionalFormatting sqref="C5:E5 C7:E7">
    <cfRule type="cellIs" dxfId="805" priority="425" stopIfTrue="1" operator="greaterThan">
      <formula>0.03</formula>
    </cfRule>
    <cfRule type="cellIs" dxfId="804" priority="426" stopIfTrue="1" operator="lessThan">
      <formula>-0.03</formula>
    </cfRule>
  </conditionalFormatting>
  <conditionalFormatting sqref="C6:E6">
    <cfRule type="cellIs" dxfId="803" priority="241" stopIfTrue="1" operator="greaterThan">
      <formula>0.03</formula>
    </cfRule>
    <cfRule type="cellIs" dxfId="802" priority="242" stopIfTrue="1" operator="lessThan">
      <formula>-0.03</formula>
    </cfRule>
  </conditionalFormatting>
  <conditionalFormatting sqref="C9:E9">
    <cfRule type="cellIs" dxfId="801" priority="161" stopIfTrue="1" operator="greaterThan">
      <formula>0.03</formula>
    </cfRule>
    <cfRule type="cellIs" dxfId="800" priority="162" stopIfTrue="1" operator="lessThan">
      <formula>-0.03</formula>
    </cfRule>
  </conditionalFormatting>
  <conditionalFormatting sqref="C15:E15 C17:E17">
    <cfRule type="cellIs" dxfId="799" priority="157" stopIfTrue="1" operator="greaterThan">
      <formula>0.03</formula>
    </cfRule>
    <cfRule type="cellIs" dxfId="798" priority="158" stopIfTrue="1" operator="lessThan">
      <formula>-0.03</formula>
    </cfRule>
  </conditionalFormatting>
  <conditionalFormatting sqref="C18:E18">
    <cfRule type="cellIs" dxfId="797" priority="159" stopIfTrue="1" operator="greaterThan">
      <formula>0.03</formula>
    </cfRule>
    <cfRule type="cellIs" dxfId="796" priority="160" stopIfTrue="1" operator="lessThan">
      <formula>-0.03</formula>
    </cfRule>
  </conditionalFormatting>
  <conditionalFormatting sqref="C16:E16">
    <cfRule type="cellIs" dxfId="795" priority="155" stopIfTrue="1" operator="greaterThan">
      <formula>0.03</formula>
    </cfRule>
    <cfRule type="cellIs" dxfId="794" priority="156" stopIfTrue="1" operator="lessThan">
      <formula>-0.03</formula>
    </cfRule>
  </conditionalFormatting>
  <conditionalFormatting sqref="C19:E19">
    <cfRule type="cellIs" dxfId="793" priority="153" stopIfTrue="1" operator="greaterThan">
      <formula>0.03</formula>
    </cfRule>
    <cfRule type="cellIs" dxfId="792" priority="154" stopIfTrue="1" operator="lessThan">
      <formula>-0.03</formula>
    </cfRule>
  </conditionalFormatting>
  <conditionalFormatting sqref="C28:E28">
    <cfRule type="cellIs" dxfId="791" priority="147" stopIfTrue="1" operator="greaterThan">
      <formula>0.03</formula>
    </cfRule>
    <cfRule type="cellIs" dxfId="790" priority="148" stopIfTrue="1" operator="lessThan">
      <formula>-0.03</formula>
    </cfRule>
  </conditionalFormatting>
  <conditionalFormatting sqref="C25:E25 C27:E27">
    <cfRule type="cellIs" dxfId="789" priority="145" stopIfTrue="1" operator="greaterThan">
      <formula>0.03</formula>
    </cfRule>
    <cfRule type="cellIs" dxfId="788" priority="146" stopIfTrue="1" operator="lessThan">
      <formula>-0.03</formula>
    </cfRule>
  </conditionalFormatting>
  <conditionalFormatting sqref="C26:E26">
    <cfRule type="cellIs" dxfId="787" priority="143" stopIfTrue="1" operator="greaterThan">
      <formula>0.03</formula>
    </cfRule>
    <cfRule type="cellIs" dxfId="786" priority="144" stopIfTrue="1" operator="lessThan">
      <formula>-0.03</formula>
    </cfRule>
  </conditionalFormatting>
  <conditionalFormatting sqref="C29:E29">
    <cfRule type="cellIs" dxfId="785" priority="141" stopIfTrue="1" operator="greaterThan">
      <formula>0.03</formula>
    </cfRule>
    <cfRule type="cellIs" dxfId="784" priority="142" stopIfTrue="1" operator="lessThan">
      <formula>-0.03</formula>
    </cfRule>
  </conditionalFormatting>
  <conditionalFormatting sqref="C38:E38">
    <cfRule type="cellIs" dxfId="783" priority="135" stopIfTrue="1" operator="greaterThan">
      <formula>0.03</formula>
    </cfRule>
    <cfRule type="cellIs" dxfId="782" priority="136" stopIfTrue="1" operator="lessThan">
      <formula>-0.03</formula>
    </cfRule>
  </conditionalFormatting>
  <conditionalFormatting sqref="C35:E35 C37:E37">
    <cfRule type="cellIs" dxfId="781" priority="133" stopIfTrue="1" operator="greaterThan">
      <formula>0.03</formula>
    </cfRule>
    <cfRule type="cellIs" dxfId="780" priority="134" stopIfTrue="1" operator="lessThan">
      <formula>-0.03</formula>
    </cfRule>
  </conditionalFormatting>
  <conditionalFormatting sqref="C36:E36">
    <cfRule type="cellIs" dxfId="779" priority="131" stopIfTrue="1" operator="greaterThan">
      <formula>0.03</formula>
    </cfRule>
    <cfRule type="cellIs" dxfId="778" priority="132" stopIfTrue="1" operator="lessThan">
      <formula>-0.03</formula>
    </cfRule>
  </conditionalFormatting>
  <conditionalFormatting sqref="C39:E39">
    <cfRule type="cellIs" dxfId="777" priority="129" stopIfTrue="1" operator="greaterThan">
      <formula>0.03</formula>
    </cfRule>
    <cfRule type="cellIs" dxfId="776" priority="130" stopIfTrue="1" operator="lessThan">
      <formula>-0.03</formula>
    </cfRule>
  </conditionalFormatting>
  <conditionalFormatting sqref="C10:E10">
    <cfRule type="cellIs" dxfId="775" priority="127" stopIfTrue="1" operator="greaterThan">
      <formula>0.03</formula>
    </cfRule>
    <cfRule type="cellIs" dxfId="774" priority="128" stopIfTrue="1" operator="lessThan">
      <formula>-0.03</formula>
    </cfRule>
  </conditionalFormatting>
  <conditionalFormatting sqref="C20:E20">
    <cfRule type="cellIs" dxfId="773" priority="125" stopIfTrue="1" operator="greaterThan">
      <formula>0.03</formula>
    </cfRule>
    <cfRule type="cellIs" dxfId="772" priority="126" stopIfTrue="1" operator="lessThan">
      <formula>-0.03</formula>
    </cfRule>
  </conditionalFormatting>
  <conditionalFormatting sqref="C30:E30">
    <cfRule type="cellIs" dxfId="771" priority="123" stopIfTrue="1" operator="greaterThan">
      <formula>0.03</formula>
    </cfRule>
    <cfRule type="cellIs" dxfId="770" priority="124" stopIfTrue="1" operator="lessThan">
      <formula>-0.03</formula>
    </cfRule>
  </conditionalFormatting>
  <conditionalFormatting sqref="C40:E40">
    <cfRule type="cellIs" dxfId="769" priority="121" stopIfTrue="1" operator="greaterThan">
      <formula>0.03</formula>
    </cfRule>
    <cfRule type="cellIs" dxfId="768" priority="122" stopIfTrue="1" operator="lessThan">
      <formula>-0.03</formula>
    </cfRule>
  </conditionalFormatting>
  <conditionalFormatting sqref="K20:M20">
    <cfRule type="cellIs" dxfId="767" priority="59" stopIfTrue="1" operator="greaterThan">
      <formula>0.03</formula>
    </cfRule>
    <cfRule type="cellIs" dxfId="766" priority="60" stopIfTrue="1" operator="lessThan">
      <formula>-0.03</formula>
    </cfRule>
  </conditionalFormatting>
  <conditionalFormatting sqref="K17:M17 K19:M19">
    <cfRule type="cellIs" dxfId="765" priority="57" stopIfTrue="1" operator="greaterThan">
      <formula>0.03</formula>
    </cfRule>
    <cfRule type="cellIs" dxfId="764" priority="58" stopIfTrue="1" operator="lessThan">
      <formula>-0.03</formula>
    </cfRule>
  </conditionalFormatting>
  <conditionalFormatting sqref="K18:M18">
    <cfRule type="cellIs" dxfId="763" priority="55" stopIfTrue="1" operator="greaterThan">
      <formula>0.03</formula>
    </cfRule>
    <cfRule type="cellIs" dxfId="762" priority="56" stopIfTrue="1" operator="lessThan">
      <formula>-0.03</formula>
    </cfRule>
  </conditionalFormatting>
  <conditionalFormatting sqref="K21:M21">
    <cfRule type="cellIs" dxfId="761" priority="53" stopIfTrue="1" operator="greaterThan">
      <formula>0.03</formula>
    </cfRule>
    <cfRule type="cellIs" dxfId="760" priority="54" stopIfTrue="1" operator="lessThan">
      <formula>-0.03</formula>
    </cfRule>
  </conditionalFormatting>
  <conditionalFormatting sqref="K27:M27 K29:M29">
    <cfRule type="cellIs" dxfId="759" priority="49" stopIfTrue="1" operator="greaterThan">
      <formula>0.03</formula>
    </cfRule>
    <cfRule type="cellIs" dxfId="758" priority="50" stopIfTrue="1" operator="lessThan">
      <formula>-0.03</formula>
    </cfRule>
  </conditionalFormatting>
  <conditionalFormatting sqref="K30:M30">
    <cfRule type="cellIs" dxfId="757" priority="51" stopIfTrue="1" operator="greaterThan">
      <formula>0.03</formula>
    </cfRule>
    <cfRule type="cellIs" dxfId="756" priority="52" stopIfTrue="1" operator="lessThan">
      <formula>-0.03</formula>
    </cfRule>
  </conditionalFormatting>
  <conditionalFormatting sqref="K28:M28">
    <cfRule type="cellIs" dxfId="755" priority="47" stopIfTrue="1" operator="greaterThan">
      <formula>0.03</formula>
    </cfRule>
    <cfRule type="cellIs" dxfId="754" priority="48" stopIfTrue="1" operator="lessThan">
      <formula>-0.03</formula>
    </cfRule>
  </conditionalFormatting>
  <conditionalFormatting sqref="K31:M31">
    <cfRule type="cellIs" dxfId="753" priority="45" stopIfTrue="1" operator="greaterThan">
      <formula>0.03</formula>
    </cfRule>
    <cfRule type="cellIs" dxfId="752" priority="46" stopIfTrue="1" operator="lessThan">
      <formula>-0.03</formula>
    </cfRule>
  </conditionalFormatting>
  <conditionalFormatting sqref="K40:M40">
    <cfRule type="cellIs" dxfId="751" priority="43" stopIfTrue="1" operator="greaterThan">
      <formula>0.03</formula>
    </cfRule>
    <cfRule type="cellIs" dxfId="750" priority="44" stopIfTrue="1" operator="lessThan">
      <formula>-0.03</formula>
    </cfRule>
  </conditionalFormatting>
  <conditionalFormatting sqref="K37:M37 K39:M39">
    <cfRule type="cellIs" dxfId="749" priority="41" stopIfTrue="1" operator="greaterThan">
      <formula>0.03</formula>
    </cfRule>
    <cfRule type="cellIs" dxfId="748" priority="42" stopIfTrue="1" operator="lessThan">
      <formula>-0.03</formula>
    </cfRule>
  </conditionalFormatting>
  <conditionalFormatting sqref="K38:M38">
    <cfRule type="cellIs" dxfId="747" priority="39" stopIfTrue="1" operator="greaterThan">
      <formula>0.03</formula>
    </cfRule>
    <cfRule type="cellIs" dxfId="746" priority="40" stopIfTrue="1" operator="lessThan">
      <formula>-0.03</formula>
    </cfRule>
  </conditionalFormatting>
  <conditionalFormatting sqref="K41:M41">
    <cfRule type="cellIs" dxfId="745" priority="37" stopIfTrue="1" operator="greaterThan">
      <formula>0.03</formula>
    </cfRule>
    <cfRule type="cellIs" dxfId="744" priority="38" stopIfTrue="1" operator="lessThan">
      <formula>-0.03</formula>
    </cfRule>
  </conditionalFormatting>
  <conditionalFormatting sqref="K22:M22">
    <cfRule type="cellIs" dxfId="743" priority="35" stopIfTrue="1" operator="greaterThan">
      <formula>0.03</formula>
    </cfRule>
    <cfRule type="cellIs" dxfId="742" priority="36" stopIfTrue="1" operator="lessThan">
      <formula>-0.03</formula>
    </cfRule>
  </conditionalFormatting>
  <conditionalFormatting sqref="K32:M32">
    <cfRule type="cellIs" dxfId="741" priority="33" stopIfTrue="1" operator="greaterThan">
      <formula>0.03</formula>
    </cfRule>
    <cfRule type="cellIs" dxfId="740" priority="34" stopIfTrue="1" operator="lessThan">
      <formula>-0.03</formula>
    </cfRule>
  </conditionalFormatting>
  <conditionalFormatting sqref="K42:M42">
    <cfRule type="cellIs" dxfId="739" priority="31" stopIfTrue="1" operator="greaterThan">
      <formula>0.03</formula>
    </cfRule>
    <cfRule type="cellIs" dxfId="738" priority="32" stopIfTrue="1" operator="lessThan">
      <formula>-0.03</formula>
    </cfRule>
  </conditionalFormatting>
  <conditionalFormatting sqref="R20:T20">
    <cfRule type="cellIs" dxfId="737" priority="29" stopIfTrue="1" operator="greaterThan">
      <formula>0.03</formula>
    </cfRule>
    <cfRule type="cellIs" dxfId="736" priority="30" stopIfTrue="1" operator="lessThan">
      <formula>-0.03</formula>
    </cfRule>
  </conditionalFormatting>
  <conditionalFormatting sqref="R17:T17 R19:T19">
    <cfRule type="cellIs" dxfId="735" priority="27" stopIfTrue="1" operator="greaterThan">
      <formula>0.03</formula>
    </cfRule>
    <cfRule type="cellIs" dxfId="734" priority="28" stopIfTrue="1" operator="lessThan">
      <formula>-0.03</formula>
    </cfRule>
  </conditionalFormatting>
  <conditionalFormatting sqref="R18:T18">
    <cfRule type="cellIs" dxfId="733" priority="25" stopIfTrue="1" operator="greaterThan">
      <formula>0.03</formula>
    </cfRule>
    <cfRule type="cellIs" dxfId="732" priority="26" stopIfTrue="1" operator="lessThan">
      <formula>-0.03</formula>
    </cfRule>
  </conditionalFormatting>
  <conditionalFormatting sqref="R21:T21">
    <cfRule type="cellIs" dxfId="731" priority="23" stopIfTrue="1" operator="greaterThan">
      <formula>0.03</formula>
    </cfRule>
    <cfRule type="cellIs" dxfId="730" priority="24" stopIfTrue="1" operator="lessThan">
      <formula>-0.03</formula>
    </cfRule>
  </conditionalFormatting>
  <conditionalFormatting sqref="R27:T27 R29:T29">
    <cfRule type="cellIs" dxfId="729" priority="19" stopIfTrue="1" operator="greaterThan">
      <formula>0.03</formula>
    </cfRule>
    <cfRule type="cellIs" dxfId="728" priority="20" stopIfTrue="1" operator="lessThan">
      <formula>-0.03</formula>
    </cfRule>
  </conditionalFormatting>
  <conditionalFormatting sqref="R30:T30">
    <cfRule type="cellIs" dxfId="727" priority="21" stopIfTrue="1" operator="greaterThan">
      <formula>0.03</formula>
    </cfRule>
    <cfRule type="cellIs" dxfId="726" priority="22" stopIfTrue="1" operator="lessThan">
      <formula>-0.03</formula>
    </cfRule>
  </conditionalFormatting>
  <conditionalFormatting sqref="R28:T28">
    <cfRule type="cellIs" dxfId="725" priority="17" stopIfTrue="1" operator="greaterThan">
      <formula>0.03</formula>
    </cfRule>
    <cfRule type="cellIs" dxfId="724" priority="18" stopIfTrue="1" operator="lessThan">
      <formula>-0.03</formula>
    </cfRule>
  </conditionalFormatting>
  <conditionalFormatting sqref="R31:T31">
    <cfRule type="cellIs" dxfId="723" priority="15" stopIfTrue="1" operator="greaterThan">
      <formula>0.03</formula>
    </cfRule>
    <cfRule type="cellIs" dxfId="722" priority="16" stopIfTrue="1" operator="lessThan">
      <formula>-0.03</formula>
    </cfRule>
  </conditionalFormatting>
  <conditionalFormatting sqref="R40:T40">
    <cfRule type="cellIs" dxfId="721" priority="13" stopIfTrue="1" operator="greaterThan">
      <formula>0.03</formula>
    </cfRule>
    <cfRule type="cellIs" dxfId="720" priority="14" stopIfTrue="1" operator="lessThan">
      <formula>-0.03</formula>
    </cfRule>
  </conditionalFormatting>
  <conditionalFormatting sqref="R37:T37 R39:T39">
    <cfRule type="cellIs" dxfId="719" priority="11" stopIfTrue="1" operator="greaterThan">
      <formula>0.03</formula>
    </cfRule>
    <cfRule type="cellIs" dxfId="718" priority="12" stopIfTrue="1" operator="lessThan">
      <formula>-0.03</formula>
    </cfRule>
  </conditionalFormatting>
  <conditionalFormatting sqref="R38:T38">
    <cfRule type="cellIs" dxfId="717" priority="9" stopIfTrue="1" operator="greaterThan">
      <formula>0.03</formula>
    </cfRule>
    <cfRule type="cellIs" dxfId="716" priority="10" stopIfTrue="1" operator="lessThan">
      <formula>-0.03</formula>
    </cfRule>
  </conditionalFormatting>
  <conditionalFormatting sqref="R41:T41">
    <cfRule type="cellIs" dxfId="715" priority="7" stopIfTrue="1" operator="greaterThan">
      <formula>0.03</formula>
    </cfRule>
    <cfRule type="cellIs" dxfId="714" priority="8" stopIfTrue="1" operator="lessThan">
      <formula>-0.03</formula>
    </cfRule>
  </conditionalFormatting>
  <conditionalFormatting sqref="R22:T22">
    <cfRule type="cellIs" dxfId="713" priority="5" stopIfTrue="1" operator="greaterThan">
      <formula>0.03</formula>
    </cfRule>
    <cfRule type="cellIs" dxfId="712" priority="6" stopIfTrue="1" operator="lessThan">
      <formula>-0.03</formula>
    </cfRule>
  </conditionalFormatting>
  <conditionalFormatting sqref="R32:T32">
    <cfRule type="cellIs" dxfId="711" priority="3" stopIfTrue="1" operator="greaterThan">
      <formula>0.03</formula>
    </cfRule>
    <cfRule type="cellIs" dxfId="710" priority="4" stopIfTrue="1" operator="lessThan">
      <formula>-0.03</formula>
    </cfRule>
  </conditionalFormatting>
  <conditionalFormatting sqref="R42:T42">
    <cfRule type="cellIs" dxfId="709" priority="1" stopIfTrue="1" operator="greaterThan">
      <formula>0.03</formula>
    </cfRule>
    <cfRule type="cellIs" dxfId="70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Q86"/>
  <sheetViews>
    <sheetView zoomScale="70" zoomScaleNormal="70" workbookViewId="0">
      <selection activeCell="B2" sqref="B2"/>
    </sheetView>
  </sheetViews>
  <sheetFormatPr defaultColWidth="8.8984375" defaultRowHeight="15.6" x14ac:dyDescent="0.25"/>
  <cols>
    <col min="2" max="2" width="21.3984375" customWidth="1"/>
    <col min="25" max="26" width="9" customWidth="1"/>
    <col min="27" max="27" width="16.3984375" style="30" bestFit="1" customWidth="1"/>
    <col min="28" max="39" width="9" customWidth="1"/>
  </cols>
  <sheetData>
    <row r="1" spans="1:43" ht="16.2" thickBot="1" x14ac:dyDescent="0.3">
      <c r="A1" t="s">
        <v>24</v>
      </c>
      <c r="AD1" t="s">
        <v>22</v>
      </c>
      <c r="AI1" t="s">
        <v>23</v>
      </c>
      <c r="AN1" t="s">
        <v>29</v>
      </c>
    </row>
    <row r="2" spans="1:43" ht="16.2" thickBot="1" x14ac:dyDescent="0.3">
      <c r="A2" s="29" t="s">
        <v>39</v>
      </c>
      <c r="B2" s="29" t="s">
        <v>85</v>
      </c>
      <c r="AD2" s="5" t="s">
        <v>7</v>
      </c>
      <c r="AE2" s="6" t="s">
        <v>8</v>
      </c>
      <c r="AF2" s="6" t="s">
        <v>9</v>
      </c>
      <c r="AG2" s="6" t="s">
        <v>10</v>
      </c>
      <c r="AI2" s="5" t="s">
        <v>7</v>
      </c>
      <c r="AJ2" s="6" t="s">
        <v>8</v>
      </c>
      <c r="AK2" s="6" t="s">
        <v>9</v>
      </c>
      <c r="AL2" s="6" t="s">
        <v>10</v>
      </c>
      <c r="AN2" s="5" t="s">
        <v>7</v>
      </c>
      <c r="AO2" s="6" t="s">
        <v>8</v>
      </c>
      <c r="AP2" s="6" t="s">
        <v>9</v>
      </c>
      <c r="AQ2" s="6" t="s">
        <v>10</v>
      </c>
    </row>
    <row r="3" spans="1:43" x14ac:dyDescent="0.25">
      <c r="Z3" t="s">
        <v>38</v>
      </c>
      <c r="AA3" s="20" t="s">
        <v>81</v>
      </c>
      <c r="AB3">
        <v>3</v>
      </c>
      <c r="AC3">
        <f>VLOOKUP(B2,AA3:AB43,2,FALSE)</f>
        <v>67</v>
      </c>
      <c r="AD3">
        <f ca="1">INDIRECT("'"&amp;$A$2&amp;"'!"&amp;ADDRESS($AC3,4))</f>
        <v>0</v>
      </c>
      <c r="AE3">
        <f ca="1">INDIRECT("'"&amp;$A$2&amp;"'!"&amp;ADDRESS($AC3,5))</f>
        <v>0</v>
      </c>
      <c r="AF3">
        <f ca="1">INDIRECT("'"&amp;$A$2&amp;"'!"&amp;ADDRESS($AC3,6))</f>
        <v>0</v>
      </c>
      <c r="AG3">
        <f ca="1">INDIRECT("'"&amp;$A$2&amp;"'!"&amp;ADDRESS($AC3,7))</f>
        <v>0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x14ac:dyDescent="0.25">
      <c r="Z4" t="s">
        <v>39</v>
      </c>
      <c r="AA4" s="20" t="s">
        <v>64</v>
      </c>
      <c r="AB4">
        <f>AB3+4</f>
        <v>7</v>
      </c>
      <c r="AC4">
        <f>AC3+1</f>
        <v>68</v>
      </c>
      <c r="AD4">
        <f ca="1">INDIRECT("'"&amp;$A$2&amp;"'!"&amp;ADDRESS($AC4,4))</f>
        <v>0</v>
      </c>
      <c r="AE4">
        <f ca="1">INDIRECT("'"&amp;$A$2&amp;"'!"&amp;ADDRESS($AC4,5))</f>
        <v>0</v>
      </c>
      <c r="AF4">
        <f ca="1">INDIRECT("'"&amp;$A$2&amp;"'!"&amp;ADDRESS($AC4,6))</f>
        <v>0</v>
      </c>
      <c r="AG4">
        <f ca="1">INDIRECT("'"&amp;$A$2&amp;"'!"&amp;ADDRESS($AC4,7))</f>
        <v>0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x14ac:dyDescent="0.25">
      <c r="Z5" t="s">
        <v>40</v>
      </c>
      <c r="AA5" s="20" t="s">
        <v>65</v>
      </c>
      <c r="AB5">
        <f t="shared" ref="AB5:AB20" si="0">AB4+4</f>
        <v>11</v>
      </c>
      <c r="AC5">
        <f>AC4+1</f>
        <v>69</v>
      </c>
      <c r="AD5">
        <f ca="1">INDIRECT("'"&amp;$A$2&amp;"'!"&amp;ADDRESS($AC5,4))</f>
        <v>0</v>
      </c>
      <c r="AE5">
        <f ca="1">INDIRECT("'"&amp;$A$2&amp;"'!"&amp;ADDRESS($AC5,5))</f>
        <v>0</v>
      </c>
      <c r="AF5">
        <f ca="1">INDIRECT("'"&amp;$A$2&amp;"'!"&amp;ADDRESS($AC5,6))</f>
        <v>0</v>
      </c>
      <c r="AG5">
        <f ca="1">INDIRECT("'"&amp;$A$2&amp;"'!"&amp;ADDRESS($AC5,7))</f>
        <v>0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x14ac:dyDescent="0.25">
      <c r="Z6" t="s">
        <v>41</v>
      </c>
      <c r="AA6" s="20" t="s">
        <v>82</v>
      </c>
      <c r="AB6">
        <f t="shared" si="0"/>
        <v>15</v>
      </c>
      <c r="AC6">
        <f>AC5+1</f>
        <v>70</v>
      </c>
      <c r="AD6">
        <f ca="1">INDIRECT("'"&amp;$A$2&amp;"'!"&amp;ADDRESS($AC6,4))</f>
        <v>0</v>
      </c>
      <c r="AE6">
        <f ca="1">INDIRECT("'"&amp;$A$2&amp;"'!"&amp;ADDRESS($AC6,5))</f>
        <v>0</v>
      </c>
      <c r="AF6">
        <f ca="1">INDIRECT("'"&amp;$A$2&amp;"'!"&amp;ADDRESS($AC6,6))</f>
        <v>0</v>
      </c>
      <c r="AG6">
        <f ca="1">INDIRECT("'"&amp;$A$2&amp;"'!"&amp;ADDRESS($AC6,7))</f>
        <v>0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x14ac:dyDescent="0.25">
      <c r="AA7" s="20" t="s">
        <v>66</v>
      </c>
      <c r="AB7">
        <f t="shared" si="0"/>
        <v>19</v>
      </c>
    </row>
    <row r="8" spans="1:43" x14ac:dyDescent="0.25">
      <c r="AA8" s="20" t="s">
        <v>67</v>
      </c>
      <c r="AB8">
        <f t="shared" si="0"/>
        <v>23</v>
      </c>
      <c r="AD8" t="str">
        <f>"Sequence: "&amp;B2 &amp; "     Coding Conditions: " &amp; A2</f>
        <v>Sequence: BlowingBubbles     Coding Conditions: RA-10</v>
      </c>
    </row>
    <row r="9" spans="1:43" x14ac:dyDescent="0.25">
      <c r="AA9" s="20" t="s">
        <v>68</v>
      </c>
      <c r="AB9">
        <f t="shared" si="0"/>
        <v>27</v>
      </c>
    </row>
    <row r="10" spans="1:43" x14ac:dyDescent="0.25">
      <c r="AA10" s="20" t="s">
        <v>69</v>
      </c>
      <c r="AB10">
        <f t="shared" si="0"/>
        <v>31</v>
      </c>
    </row>
    <row r="11" spans="1:43" x14ac:dyDescent="0.25">
      <c r="AA11" s="20" t="s">
        <v>70</v>
      </c>
      <c r="AB11">
        <f t="shared" si="0"/>
        <v>35</v>
      </c>
      <c r="AD11" t="s">
        <v>25</v>
      </c>
      <c r="AE11" t="s">
        <v>26</v>
      </c>
      <c r="AF11" t="s">
        <v>27</v>
      </c>
      <c r="AG11" t="s">
        <v>28</v>
      </c>
    </row>
    <row r="12" spans="1:43" ht="16.2" x14ac:dyDescent="0.3">
      <c r="AA12" s="20" t="s">
        <v>71</v>
      </c>
      <c r="AB12">
        <f t="shared" si="0"/>
        <v>39</v>
      </c>
      <c r="AD12" s="31">
        <f ca="1">MAX(AD3:AD6,AI3:AI6, AN3:AN6)</f>
        <v>0</v>
      </c>
      <c r="AE12" s="31">
        <f ca="1">MAX(AE3:AE6,AJ3:AJ6, AO3:AO6)</f>
        <v>0</v>
      </c>
      <c r="AF12" s="31">
        <f ca="1">MAX(AF3:AF6,AK3:AK6, AP3:AP6)</f>
        <v>0</v>
      </c>
      <c r="AG12" s="31">
        <f ca="1">MAX(AG3:AG6,AL3:AL6, AQ3:AQ6)</f>
        <v>0</v>
      </c>
    </row>
    <row r="13" spans="1:43" ht="16.2" x14ac:dyDescent="0.3">
      <c r="AA13" s="20" t="s">
        <v>72</v>
      </c>
      <c r="AB13">
        <f t="shared" si="0"/>
        <v>43</v>
      </c>
      <c r="AD13" s="31">
        <f ca="1">MIN(AD3:AD6,AI3:AI6,AN3:AN6)</f>
        <v>0</v>
      </c>
      <c r="AE13" s="31">
        <f ca="1">MIN(AE3:AE6,AJ3:AJ6,AO3:AO6)</f>
        <v>0</v>
      </c>
      <c r="AF13" s="31">
        <f ca="1">MIN(AF3:AF6,AK3:AK6,AP3:AP6)</f>
        <v>0</v>
      </c>
      <c r="AG13" s="31">
        <f ca="1">MIN(AG3:AG6,AL3:AL6,AQ3:AQ6)</f>
        <v>0</v>
      </c>
    </row>
    <row r="14" spans="1:43" ht="16.2" x14ac:dyDescent="0.3">
      <c r="AA14" s="20" t="s">
        <v>73</v>
      </c>
      <c r="AB14">
        <f t="shared" si="0"/>
        <v>47</v>
      </c>
      <c r="AD14" s="32"/>
      <c r="AE14" s="32"/>
      <c r="AF14" s="32"/>
      <c r="AG14" s="32"/>
    </row>
    <row r="15" spans="1:43" ht="16.2" x14ac:dyDescent="0.3">
      <c r="AA15" s="20" t="s">
        <v>58</v>
      </c>
      <c r="AB15">
        <f t="shared" si="0"/>
        <v>51</v>
      </c>
      <c r="AD15" s="32">
        <f ca="1">POWER(10,CEILING(LOG(AD12+1),1))</f>
        <v>1</v>
      </c>
      <c r="AE15" s="33">
        <f ca="1">CEILING(AE12+0.25,0.5)</f>
        <v>0.5</v>
      </c>
      <c r="AF15" s="33">
        <f ca="1">CEILING(AF12+0.25,0.5)</f>
        <v>0.5</v>
      </c>
      <c r="AG15" s="33">
        <f ca="1">CEILING(AG12+0.25,0.5)</f>
        <v>0.5</v>
      </c>
    </row>
    <row r="16" spans="1:43" ht="16.2" x14ac:dyDescent="0.3">
      <c r="AA16" s="20" t="s">
        <v>59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x14ac:dyDescent="0.25">
      <c r="AA17" s="20" t="s">
        <v>83</v>
      </c>
      <c r="AB17">
        <f t="shared" si="0"/>
        <v>59</v>
      </c>
    </row>
    <row r="18" spans="27:28" x14ac:dyDescent="0.25">
      <c r="AA18" s="20" t="s">
        <v>84</v>
      </c>
      <c r="AB18">
        <f t="shared" si="0"/>
        <v>63</v>
      </c>
    </row>
    <row r="19" spans="27:28" x14ac:dyDescent="0.25">
      <c r="AA19" s="20" t="s">
        <v>85</v>
      </c>
      <c r="AB19">
        <f t="shared" si="0"/>
        <v>67</v>
      </c>
    </row>
    <row r="20" spans="27:28" x14ac:dyDescent="0.25">
      <c r="AA20" s="20" t="s">
        <v>86</v>
      </c>
      <c r="AB20">
        <f t="shared" si="0"/>
        <v>71</v>
      </c>
    </row>
    <row r="21" spans="27:28" x14ac:dyDescent="0.25">
      <c r="AA21"/>
    </row>
    <row r="22" spans="27:28" x14ac:dyDescent="0.25">
      <c r="AA22"/>
    </row>
    <row r="23" spans="27:28" x14ac:dyDescent="0.25">
      <c r="AA23"/>
    </row>
    <row r="24" spans="27:28" x14ac:dyDescent="0.25">
      <c r="AA24"/>
    </row>
    <row r="25" spans="27:28" x14ac:dyDescent="0.25">
      <c r="AA25"/>
    </row>
    <row r="26" spans="27:28" x14ac:dyDescent="0.25">
      <c r="AA26"/>
    </row>
    <row r="27" spans="27:28" x14ac:dyDescent="0.25">
      <c r="AA27"/>
    </row>
    <row r="28" spans="27:28" x14ac:dyDescent="0.25">
      <c r="AA28"/>
    </row>
    <row r="29" spans="27:28" x14ac:dyDescent="0.25">
      <c r="AA29"/>
    </row>
    <row r="30" spans="27:28" x14ac:dyDescent="0.25">
      <c r="AA30"/>
    </row>
    <row r="31" spans="27:28" x14ac:dyDescent="0.25">
      <c r="AA31"/>
    </row>
    <row r="32" spans="27:28" x14ac:dyDescent="0.25">
      <c r="AA32"/>
    </row>
    <row r="33" spans="27:27" x14ac:dyDescent="0.25">
      <c r="AA33" s="20"/>
    </row>
    <row r="34" spans="27:27" x14ac:dyDescent="0.25">
      <c r="AA34" s="20"/>
    </row>
    <row r="35" spans="27:27" x14ac:dyDescent="0.25">
      <c r="AA35" s="20"/>
    </row>
    <row r="36" spans="27:27" x14ac:dyDescent="0.25">
      <c r="AA36" s="20"/>
    </row>
    <row r="37" spans="27:27" x14ac:dyDescent="0.25">
      <c r="AA37" s="20"/>
    </row>
    <row r="38" spans="27:27" x14ac:dyDescent="0.25">
      <c r="AA38" s="20"/>
    </row>
    <row r="39" spans="27:27" x14ac:dyDescent="0.25">
      <c r="AA39" s="20"/>
    </row>
    <row r="40" spans="27:27" x14ac:dyDescent="0.25">
      <c r="AA40" s="20"/>
    </row>
    <row r="41" spans="27:27" x14ac:dyDescent="0.25">
      <c r="AA41" s="20"/>
    </row>
    <row r="42" spans="27:27" x14ac:dyDescent="0.25">
      <c r="AA42" s="20"/>
    </row>
    <row r="43" spans="27:27" x14ac:dyDescent="0.25">
      <c r="AA43" s="20"/>
    </row>
    <row r="44" spans="27:27" x14ac:dyDescent="0.25">
      <c r="AA44" s="20"/>
    </row>
    <row r="45" spans="27:27" x14ac:dyDescent="0.25">
      <c r="AA45" s="20"/>
    </row>
    <row r="46" spans="27:27" x14ac:dyDescent="0.25">
      <c r="AA46" s="20"/>
    </row>
    <row r="47" spans="27:27" x14ac:dyDescent="0.25">
      <c r="AA47" s="20"/>
    </row>
    <row r="48" spans="27:27" x14ac:dyDescent="0.25">
      <c r="AA48" s="20"/>
    </row>
    <row r="49" spans="27:27" x14ac:dyDescent="0.25">
      <c r="AA49" s="20"/>
    </row>
    <row r="50" spans="27:27" x14ac:dyDescent="0.25">
      <c r="AA50" s="20"/>
    </row>
    <row r="51" spans="27:27" x14ac:dyDescent="0.25">
      <c r="AA51" s="20"/>
    </row>
    <row r="52" spans="27:27" x14ac:dyDescent="0.25">
      <c r="AA52" s="20"/>
    </row>
    <row r="53" spans="27:27" x14ac:dyDescent="0.25">
      <c r="AA53" s="20"/>
    </row>
    <row r="54" spans="27:27" x14ac:dyDescent="0.25">
      <c r="AA54" s="20"/>
    </row>
    <row r="55" spans="27:27" x14ac:dyDescent="0.25">
      <c r="AA55" s="20"/>
    </row>
    <row r="56" spans="27:27" x14ac:dyDescent="0.25">
      <c r="AA56" s="20"/>
    </row>
    <row r="57" spans="27:27" x14ac:dyDescent="0.25">
      <c r="AA57" s="20"/>
    </row>
    <row r="58" spans="27:27" x14ac:dyDescent="0.25">
      <c r="AA58" s="20"/>
    </row>
    <row r="59" spans="27:27" x14ac:dyDescent="0.25">
      <c r="AA59" s="20"/>
    </row>
    <row r="60" spans="27:27" x14ac:dyDescent="0.25">
      <c r="AA60" s="20"/>
    </row>
    <row r="61" spans="27:27" x14ac:dyDescent="0.25">
      <c r="AA61" s="20"/>
    </row>
    <row r="62" spans="27:27" x14ac:dyDescent="0.25">
      <c r="AA62" s="20"/>
    </row>
    <row r="63" spans="27:27" x14ac:dyDescent="0.25">
      <c r="AA63" s="20"/>
    </row>
    <row r="64" spans="27:27" x14ac:dyDescent="0.25">
      <c r="AA64" s="20"/>
    </row>
    <row r="65" spans="27:27" x14ac:dyDescent="0.25">
      <c r="AA65" s="20"/>
    </row>
    <row r="66" spans="27:27" x14ac:dyDescent="0.25">
      <c r="AA66" s="20"/>
    </row>
    <row r="67" spans="27:27" x14ac:dyDescent="0.25">
      <c r="AA67" s="20"/>
    </row>
    <row r="68" spans="27:27" x14ac:dyDescent="0.25">
      <c r="AA68" s="20"/>
    </row>
    <row r="69" spans="27:27" x14ac:dyDescent="0.25">
      <c r="AA69" s="20"/>
    </row>
    <row r="70" spans="27:27" x14ac:dyDescent="0.25">
      <c r="AA70" s="20"/>
    </row>
    <row r="71" spans="27:27" x14ac:dyDescent="0.25">
      <c r="AA71" s="20"/>
    </row>
    <row r="72" spans="27:27" x14ac:dyDescent="0.25">
      <c r="AA72" s="20"/>
    </row>
    <row r="73" spans="27:27" x14ac:dyDescent="0.25">
      <c r="AA73" s="20"/>
    </row>
    <row r="74" spans="27:27" x14ac:dyDescent="0.25">
      <c r="AA74" s="20"/>
    </row>
    <row r="75" spans="27:27" x14ac:dyDescent="0.25">
      <c r="AA75" s="20"/>
    </row>
    <row r="76" spans="27:27" x14ac:dyDescent="0.25">
      <c r="AA76" s="20"/>
    </row>
    <row r="77" spans="27:27" x14ac:dyDescent="0.25">
      <c r="AA77" s="20"/>
    </row>
    <row r="78" spans="27:27" x14ac:dyDescent="0.25">
      <c r="AA78" s="20"/>
    </row>
    <row r="79" spans="27:27" x14ac:dyDescent="0.25">
      <c r="AA79" s="20"/>
    </row>
    <row r="80" spans="27:27" x14ac:dyDescent="0.25">
      <c r="AA80" s="20"/>
    </row>
    <row r="81" spans="27:27" x14ac:dyDescent="0.25">
      <c r="AA81" s="20"/>
    </row>
    <row r="82" spans="27:27" x14ac:dyDescent="0.25">
      <c r="AA82" s="20"/>
    </row>
    <row r="83" spans="27:27" x14ac:dyDescent="0.25">
      <c r="AA83" s="20"/>
    </row>
    <row r="84" spans="27:27" x14ac:dyDescent="0.25">
      <c r="AA84" s="20"/>
    </row>
    <row r="85" spans="27:27" x14ac:dyDescent="0.25">
      <c r="AA85" s="20"/>
    </row>
    <row r="86" spans="27:27" x14ac:dyDescent="0.25">
      <c r="AA86" s="20"/>
    </row>
  </sheetData>
  <dataConsolidate/>
  <phoneticPr fontId="1" type="noConversion"/>
  <dataValidations count="2">
    <dataValidation type="list" allowBlank="1" showInputMessage="1" showErrorMessage="1" sqref="A2" xr:uid="{00000000-0002-0000-0200-000000000000}">
      <formula1>$Z$3:$Z$14</formula1>
    </dataValidation>
    <dataValidation type="list" allowBlank="1" showInputMessage="1" showErrorMessage="1" sqref="B2" xr:uid="{00000000-0002-0000-0200-000001000000}">
      <formula1>$AA$3:$AA$20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83"/>
  <sheetViews>
    <sheetView zoomScale="85" zoomScaleNormal="85" workbookViewId="0">
      <selection activeCell="O47" sqref="O47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5" t="s">
        <v>5</v>
      </c>
      <c r="E1" s="156"/>
      <c r="F1" s="156"/>
      <c r="G1" s="156"/>
      <c r="H1" s="156"/>
      <c r="I1" s="156"/>
      <c r="J1" s="157"/>
      <c r="L1" s="155" t="s">
        <v>6</v>
      </c>
      <c r="M1" s="156"/>
      <c r="N1" s="156"/>
      <c r="O1" s="156"/>
      <c r="P1" s="156"/>
      <c r="Q1" s="156"/>
      <c r="R1" s="157"/>
      <c r="S1" s="35"/>
      <c r="T1" s="35"/>
      <c r="U1" s="2"/>
      <c r="V1" s="155" t="s">
        <v>17</v>
      </c>
      <c r="W1" s="156"/>
      <c r="X1" s="157"/>
      <c r="Y1" s="155" t="s">
        <v>18</v>
      </c>
      <c r="Z1" s="156"/>
      <c r="AA1" s="157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35</v>
      </c>
      <c r="T2" s="7" t="s">
        <v>36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</f>
        <v>76202.309200000003</v>
      </c>
      <c r="E3" s="13">
        <f>Reference!C1</f>
        <v>40.811</v>
      </c>
      <c r="F3" s="13">
        <f>Reference!D1</f>
        <v>49.245199999999997</v>
      </c>
      <c r="G3" s="13">
        <f>Reference!E1</f>
        <v>47.749400000000001</v>
      </c>
      <c r="H3" s="13">
        <f>Reference!F1</f>
        <v>129629.383</v>
      </c>
      <c r="I3" s="13">
        <f>Reference!G1</f>
        <v>24.882999999999999</v>
      </c>
      <c r="J3" s="14">
        <f>H3/3600</f>
        <v>36.008161944444446</v>
      </c>
      <c r="L3" s="12">
        <f>Test!B1</f>
        <v>76202.309200000003</v>
      </c>
      <c r="M3" s="13">
        <f>Test!C1</f>
        <v>40.811</v>
      </c>
      <c r="N3" s="13">
        <f>Test!D1</f>
        <v>49.245199999999997</v>
      </c>
      <c r="O3" s="13">
        <f>Test!E1</f>
        <v>47.749400000000001</v>
      </c>
      <c r="P3" s="13">
        <f>Test!F1</f>
        <v>126495.07</v>
      </c>
      <c r="Q3" s="13">
        <f>Test!G1</f>
        <v>24.343</v>
      </c>
      <c r="R3" s="13">
        <f>P3/3600</f>
        <v>35.137519444444443</v>
      </c>
      <c r="S3" s="12">
        <f>P3/H3</f>
        <v>0.9758209679976646</v>
      </c>
      <c r="T3" s="13">
        <f>Q3/I3</f>
        <v>0.97829843668367966</v>
      </c>
      <c r="U3" s="90"/>
      <c r="V3" s="42">
        <f>bdrate($D3:$D6,E3:E6,$L3:$L6,M3:M6)</f>
        <v>0</v>
      </c>
      <c r="W3" s="42">
        <f>bdrate($D3:$D6,F3:F6,$L3:$L6,N3:N6)</f>
        <v>0</v>
      </c>
      <c r="X3" s="43">
        <f>bdrate($D3:$D6,G3:G6,$L3:$L6,O3:O6)</f>
        <v>0</v>
      </c>
      <c r="Y3" s="37">
        <f>bdrateOld($D3:$D6,E3:E6,$L3:$L6,M3:M6)</f>
        <v>0</v>
      </c>
      <c r="Z3" s="42">
        <f>bdrateOld($D3:$D6,F3:F6,$L3:$L6,N3:N6)</f>
        <v>0</v>
      </c>
      <c r="AA3" s="43">
        <f>bdrateOld($D3:$D6,G3:G6,$L3:$L6,O3:O6)</f>
        <v>0</v>
      </c>
    </row>
    <row r="4" spans="1:27" x14ac:dyDescent="0.2">
      <c r="A4" s="16" t="s">
        <v>34</v>
      </c>
      <c r="B4" s="85"/>
      <c r="C4" s="16">
        <v>48</v>
      </c>
      <c r="D4" s="17">
        <f>Reference!B2</f>
        <v>41139.580499999996</v>
      </c>
      <c r="E4" s="18">
        <f>Reference!C2</f>
        <v>40.157699999999998</v>
      </c>
      <c r="F4" s="18">
        <f>Reference!D2</f>
        <v>48.549599999999998</v>
      </c>
      <c r="G4" s="18">
        <f>Reference!E2</f>
        <v>46.663200000000003</v>
      </c>
      <c r="H4" s="18">
        <f>Reference!F2</f>
        <v>69066.366999999998</v>
      </c>
      <c r="I4" s="18">
        <f>Reference!G2</f>
        <v>21.675999999999998</v>
      </c>
      <c r="J4" s="19">
        <f t="shared" ref="J4:J14" si="0">H4/3600</f>
        <v>19.185101944444444</v>
      </c>
      <c r="L4" s="17">
        <f>Test!B2</f>
        <v>41139.580499999996</v>
      </c>
      <c r="M4" s="18">
        <f>Test!C2</f>
        <v>40.157699999999998</v>
      </c>
      <c r="N4" s="18">
        <f>Test!D2</f>
        <v>48.549599999999998</v>
      </c>
      <c r="O4" s="18">
        <f>Test!E2</f>
        <v>46.663200000000003</v>
      </c>
      <c r="P4" s="18">
        <f>Test!F2</f>
        <v>70449.156000000003</v>
      </c>
      <c r="Q4" s="18">
        <f>Test!G2</f>
        <v>22.215</v>
      </c>
      <c r="R4" s="18">
        <f t="shared" ref="R4:R14" si="1">P4/3600</f>
        <v>19.569210000000002</v>
      </c>
      <c r="S4" s="17">
        <f t="shared" ref="S4:T14" si="2">P4/H4</f>
        <v>1.0200211631227107</v>
      </c>
      <c r="T4" s="18">
        <f t="shared" si="2"/>
        <v>1.0248662114781326</v>
      </c>
      <c r="U4" s="91"/>
      <c r="V4" s="25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Reference!B3</f>
        <v>24713.215100000001</v>
      </c>
      <c r="E5" s="18">
        <f>Reference!C3</f>
        <v>39.433700000000002</v>
      </c>
      <c r="F5" s="18">
        <f>Reference!D3</f>
        <v>47.615099999999998</v>
      </c>
      <c r="G5" s="18">
        <f>Reference!E3</f>
        <v>45.389400000000002</v>
      </c>
      <c r="H5" s="18">
        <f>Reference!F3</f>
        <v>42846.773000000001</v>
      </c>
      <c r="I5" s="18">
        <f>Reference!G3</f>
        <v>20.45</v>
      </c>
      <c r="J5" s="19">
        <f t="shared" si="0"/>
        <v>11.901881388888889</v>
      </c>
      <c r="L5" s="17">
        <f>Test!B3</f>
        <v>24713.215100000001</v>
      </c>
      <c r="M5" s="18">
        <f>Test!C3</f>
        <v>39.433700000000002</v>
      </c>
      <c r="N5" s="18">
        <f>Test!D3</f>
        <v>47.615099999999998</v>
      </c>
      <c r="O5" s="18">
        <f>Test!E3</f>
        <v>45.389400000000002</v>
      </c>
      <c r="P5" s="18">
        <f>Test!F3</f>
        <v>42653.370999999999</v>
      </c>
      <c r="Q5" s="18">
        <f>Test!G3</f>
        <v>20.670999999999999</v>
      </c>
      <c r="R5" s="18">
        <f t="shared" si="1"/>
        <v>11.848158611111112</v>
      </c>
      <c r="S5" s="17">
        <f t="shared" si="2"/>
        <v>0.99548619449123965</v>
      </c>
      <c r="T5" s="18">
        <f t="shared" si="2"/>
        <v>1.0108068459657702</v>
      </c>
      <c r="U5" s="91"/>
      <c r="V5" s="25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Reference!B4</f>
        <v>14116.813</v>
      </c>
      <c r="E6" s="23">
        <f>Reference!C4</f>
        <v>38.220500000000001</v>
      </c>
      <c r="F6" s="23">
        <f>Reference!D4</f>
        <v>46.123199999999997</v>
      </c>
      <c r="G6" s="23">
        <f>Reference!E4</f>
        <v>43.593800000000002</v>
      </c>
      <c r="H6" s="23">
        <f>Reference!F4</f>
        <v>23882.115000000002</v>
      </c>
      <c r="I6" s="23">
        <f>Reference!G4</f>
        <v>18.581</v>
      </c>
      <c r="J6" s="24">
        <f t="shared" si="0"/>
        <v>6.6339208333333337</v>
      </c>
      <c r="L6" s="22">
        <f>Test!B4</f>
        <v>14116.813</v>
      </c>
      <c r="M6" s="23">
        <f>Test!C4</f>
        <v>38.220500000000001</v>
      </c>
      <c r="N6" s="23">
        <f>Test!D4</f>
        <v>46.123199999999997</v>
      </c>
      <c r="O6" s="23">
        <f>Test!E4</f>
        <v>43.593800000000002</v>
      </c>
      <c r="P6" s="23">
        <f>Test!F4</f>
        <v>24508.84</v>
      </c>
      <c r="Q6" s="23">
        <f>Test!G4</f>
        <v>18.863</v>
      </c>
      <c r="R6" s="23">
        <f t="shared" si="1"/>
        <v>6.808011111111111</v>
      </c>
      <c r="S6" s="17">
        <f t="shared" si="2"/>
        <v>1.0262424412578199</v>
      </c>
      <c r="T6" s="18">
        <f t="shared" si="2"/>
        <v>1.0151767934987352</v>
      </c>
      <c r="U6" s="91"/>
      <c r="V6" s="51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Reference!B5</f>
        <v>322485.86320000002</v>
      </c>
      <c r="E7" s="13">
        <f>Reference!C5</f>
        <v>44.758600000000001</v>
      </c>
      <c r="F7" s="13">
        <f>Reference!D5</f>
        <v>39.131500000000003</v>
      </c>
      <c r="G7" s="13">
        <f>Reference!E5</f>
        <v>39.621699999999997</v>
      </c>
      <c r="H7" s="13">
        <f>Reference!F5</f>
        <v>197759.15599999999</v>
      </c>
      <c r="I7" s="13">
        <f>Reference!G5</f>
        <v>36.856000000000002</v>
      </c>
      <c r="J7" s="14">
        <f t="shared" si="0"/>
        <v>54.933098888888885</v>
      </c>
      <c r="L7" s="12">
        <f>Test!B5</f>
        <v>322485.86320000002</v>
      </c>
      <c r="M7" s="13">
        <f>Test!C5</f>
        <v>44.758600000000001</v>
      </c>
      <c r="N7" s="13">
        <f>Test!D5</f>
        <v>39.131500000000003</v>
      </c>
      <c r="O7" s="13">
        <f>Test!E5</f>
        <v>39.621699999999997</v>
      </c>
      <c r="P7" s="13">
        <f>Test!F5</f>
        <v>205007.59400000001</v>
      </c>
      <c r="Q7" s="13">
        <f>Test!G5</f>
        <v>37.497999999999998</v>
      </c>
      <c r="R7" s="13">
        <f t="shared" si="1"/>
        <v>56.946553888888893</v>
      </c>
      <c r="S7" s="17">
        <f t="shared" si="2"/>
        <v>1.0366528566697566</v>
      </c>
      <c r="T7" s="18">
        <f t="shared" si="2"/>
        <v>1.017419144779683</v>
      </c>
      <c r="U7" s="91"/>
      <c r="V7" s="42">
        <f>bdrate($D7:$D10,E7:E10,$L7:$L10,M7:M10)</f>
        <v>0</v>
      </c>
      <c r="W7" s="42">
        <f>bdrate($D7:$D10,F7:F10,$L7:$L10,N7:N10)</f>
        <v>0</v>
      </c>
      <c r="X7" s="42">
        <f>bdrate($D7:$D10,G7:G10,$L7:$L10,O7:O10)</f>
        <v>0</v>
      </c>
      <c r="Y7" s="40">
        <f>bdrateOld($D7:$D10,E7:E10,$L7:$L10,M7:M10)</f>
        <v>0</v>
      </c>
      <c r="Z7" s="44">
        <f>bdrateOld($D7:$D10,F7:F10,$L7:$L10,N7:N10)</f>
        <v>0</v>
      </c>
      <c r="AA7" s="45">
        <f>bdrateOld($D7:$D10,G7:G10,$L7:$L10,O7:O10)</f>
        <v>0</v>
      </c>
    </row>
    <row r="8" spans="1:27" x14ac:dyDescent="0.2">
      <c r="A8" s="16"/>
      <c r="B8" s="85"/>
      <c r="C8" s="16">
        <v>48</v>
      </c>
      <c r="D8" s="17">
        <f>Reference!B6</f>
        <v>205619.13680000001</v>
      </c>
      <c r="E8" s="18">
        <f>Reference!C6</f>
        <v>41.967700000000001</v>
      </c>
      <c r="F8" s="18">
        <f>Reference!D6</f>
        <v>36.638399999999997</v>
      </c>
      <c r="G8" s="18">
        <f>Reference!E6</f>
        <v>37.444800000000001</v>
      </c>
      <c r="H8" s="18">
        <f>Reference!F6</f>
        <v>161612.016</v>
      </c>
      <c r="I8" s="18">
        <f>Reference!G6</f>
        <v>33.124000000000002</v>
      </c>
      <c r="J8" s="19">
        <f t="shared" si="0"/>
        <v>44.892226666666666</v>
      </c>
      <c r="L8" s="17">
        <f>Test!B6</f>
        <v>205619.13680000001</v>
      </c>
      <c r="M8" s="18">
        <f>Test!C6</f>
        <v>41.967700000000001</v>
      </c>
      <c r="N8" s="18">
        <f>Test!D6</f>
        <v>36.638399999999997</v>
      </c>
      <c r="O8" s="18">
        <f>Test!E6</f>
        <v>37.444800000000001</v>
      </c>
      <c r="P8" s="18">
        <f>Test!F6</f>
        <v>158592.96900000001</v>
      </c>
      <c r="Q8" s="18">
        <f>Test!G6</f>
        <v>32.337000000000003</v>
      </c>
      <c r="R8" s="18">
        <f t="shared" si="1"/>
        <v>44.053602500000004</v>
      </c>
      <c r="S8" s="17">
        <f t="shared" si="2"/>
        <v>0.98131916750546577</v>
      </c>
      <c r="T8" s="18">
        <f t="shared" si="2"/>
        <v>0.97624079217485815</v>
      </c>
      <c r="U8" s="91"/>
      <c r="V8" s="25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</f>
        <v>117444.0105</v>
      </c>
      <c r="E9" s="18">
        <f>Reference!C7</f>
        <v>38.709000000000003</v>
      </c>
      <c r="F9" s="18">
        <f>Reference!D7</f>
        <v>34.3626</v>
      </c>
      <c r="G9" s="18">
        <f>Reference!E7</f>
        <v>35.525500000000001</v>
      </c>
      <c r="H9" s="18">
        <f>Reference!F7</f>
        <v>120584.45299999999</v>
      </c>
      <c r="I9" s="18">
        <f>Reference!G7</f>
        <v>28.446000000000002</v>
      </c>
      <c r="J9" s="19">
        <f t="shared" si="0"/>
        <v>33.49568138888889</v>
      </c>
      <c r="L9" s="17">
        <f>Test!B7</f>
        <v>117444.0105</v>
      </c>
      <c r="M9" s="18">
        <f>Test!C7</f>
        <v>38.709000000000003</v>
      </c>
      <c r="N9" s="18">
        <f>Test!D7</f>
        <v>34.3626</v>
      </c>
      <c r="O9" s="18">
        <f>Test!E7</f>
        <v>35.525500000000001</v>
      </c>
      <c r="P9" s="18">
        <f>Test!F7</f>
        <v>120026.93799999999</v>
      </c>
      <c r="Q9" s="18">
        <f>Test!G7</f>
        <v>28.218</v>
      </c>
      <c r="R9" s="18">
        <f t="shared" si="1"/>
        <v>33.34081611111111</v>
      </c>
      <c r="S9" s="17">
        <f t="shared" si="2"/>
        <v>0.99537655986215734</v>
      </c>
      <c r="T9" s="18">
        <f t="shared" si="2"/>
        <v>0.99198481333052091</v>
      </c>
      <c r="U9" s="91"/>
      <c r="V9" s="25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Reference!B8</f>
        <v>55569.347399999999</v>
      </c>
      <c r="E10" s="23">
        <f>Reference!C8</f>
        <v>35.227899999999998</v>
      </c>
      <c r="F10" s="23">
        <f>Reference!D8</f>
        <v>32.007800000000003</v>
      </c>
      <c r="G10" s="23">
        <f>Reference!E8</f>
        <v>33.7012</v>
      </c>
      <c r="H10" s="23">
        <f>Reference!F8</f>
        <v>79689.452999999994</v>
      </c>
      <c r="I10" s="23">
        <f>Reference!G8</f>
        <v>23.513999999999999</v>
      </c>
      <c r="J10" s="24">
        <f t="shared" si="0"/>
        <v>22.135959166666666</v>
      </c>
      <c r="L10" s="22">
        <f>Test!B8</f>
        <v>55569.347399999999</v>
      </c>
      <c r="M10" s="23">
        <f>Test!C8</f>
        <v>35.227899999999998</v>
      </c>
      <c r="N10" s="23">
        <f>Test!D8</f>
        <v>32.007800000000003</v>
      </c>
      <c r="O10" s="23">
        <f>Test!E8</f>
        <v>33.7012</v>
      </c>
      <c r="P10" s="23">
        <f>Test!F8</f>
        <v>79740</v>
      </c>
      <c r="Q10" s="23">
        <f>Test!G8</f>
        <v>23.673999999999999</v>
      </c>
      <c r="R10" s="23">
        <f t="shared" si="1"/>
        <v>22.15</v>
      </c>
      <c r="S10" s="17">
        <f t="shared" si="2"/>
        <v>1.0006342997485502</v>
      </c>
      <c r="T10" s="18">
        <f t="shared" si="2"/>
        <v>1.0068044569192822</v>
      </c>
      <c r="U10" s="91"/>
      <c r="V10" s="51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Reference!B9</f>
        <v>124771.6042</v>
      </c>
      <c r="E11" s="13">
        <f>Reference!C9</f>
        <v>41.574300000000001</v>
      </c>
      <c r="F11" s="13">
        <f>Reference!D9</f>
        <v>44.012099999999997</v>
      </c>
      <c r="G11" s="13">
        <f>Reference!E9</f>
        <v>42.909799999999997</v>
      </c>
      <c r="H11" s="13">
        <f>Reference!F9</f>
        <v>166623.5</v>
      </c>
      <c r="I11" s="13">
        <f>Reference!G9</f>
        <v>30.965</v>
      </c>
      <c r="J11" s="14">
        <f t="shared" si="0"/>
        <v>46.284305555555555</v>
      </c>
      <c r="L11" s="12">
        <f>Test!B9</f>
        <v>124771.6042</v>
      </c>
      <c r="M11" s="13">
        <f>Test!C9</f>
        <v>41.574300000000001</v>
      </c>
      <c r="N11" s="13">
        <f>Test!D9</f>
        <v>44.012099999999997</v>
      </c>
      <c r="O11" s="13">
        <f>Test!E9</f>
        <v>42.909799999999997</v>
      </c>
      <c r="P11" s="13">
        <f>Test!F9</f>
        <v>168738.359</v>
      </c>
      <c r="Q11" s="13">
        <f>Test!G9</f>
        <v>31.353000000000002</v>
      </c>
      <c r="R11" s="13">
        <f t="shared" si="1"/>
        <v>46.871766388888886</v>
      </c>
      <c r="S11" s="17">
        <f t="shared" si="2"/>
        <v>1.0126924413423077</v>
      </c>
      <c r="T11" s="18">
        <f t="shared" si="2"/>
        <v>1.012530276118198</v>
      </c>
      <c r="U11" s="91"/>
      <c r="V11" s="42">
        <f>bdrate($D11:$D14,E11:E14,$L11:$L14,M11:M14)</f>
        <v>0</v>
      </c>
      <c r="W11" s="42">
        <f>bdrate($D11:$D14,F11:F14,$L11:$L14,N11:N14)</f>
        <v>0</v>
      </c>
      <c r="X11" s="42">
        <f>bdrate($D11:$D14,G11:G14,$L11:$L14,O11:O14)</f>
        <v>0</v>
      </c>
      <c r="Y11" s="40">
        <f>bdrateOld($D11:$D14,E11:E14,$L11:$L14,M11:M14)</f>
        <v>0</v>
      </c>
      <c r="Z11" s="44">
        <f>bdrateOld($D11:$D14,F11:F14,$L11:$L14,N11:N14)</f>
        <v>0</v>
      </c>
      <c r="AA11" s="45">
        <f>bdrateOld($D11:$D14,G11:G14,$L11:$L14,O11:O14)</f>
        <v>0</v>
      </c>
    </row>
    <row r="12" spans="1:27" x14ac:dyDescent="0.2">
      <c r="A12" s="34"/>
      <c r="B12" s="83"/>
      <c r="C12" s="16">
        <v>48</v>
      </c>
      <c r="D12" s="17">
        <f>Reference!B10</f>
        <v>55894.098899999997</v>
      </c>
      <c r="E12" s="18">
        <f>Reference!C10</f>
        <v>38.880299999999998</v>
      </c>
      <c r="F12" s="18">
        <f>Reference!D10</f>
        <v>41.386600000000001</v>
      </c>
      <c r="G12" s="18">
        <f>Reference!E10</f>
        <v>41.7851</v>
      </c>
      <c r="H12" s="18">
        <f>Reference!F10</f>
        <v>116864.75</v>
      </c>
      <c r="I12" s="18">
        <f>Reference!G10</f>
        <v>24.382000000000001</v>
      </c>
      <c r="J12" s="19">
        <f t="shared" si="0"/>
        <v>32.462430555555557</v>
      </c>
      <c r="L12" s="17">
        <f>Test!B10</f>
        <v>55894.098899999997</v>
      </c>
      <c r="M12" s="18">
        <f>Test!C10</f>
        <v>38.880299999999998</v>
      </c>
      <c r="N12" s="18">
        <f>Test!D10</f>
        <v>41.386600000000001</v>
      </c>
      <c r="O12" s="18">
        <f>Test!E10</f>
        <v>41.7851</v>
      </c>
      <c r="P12" s="18">
        <f>Test!F10</f>
        <v>117629.117</v>
      </c>
      <c r="Q12" s="18">
        <f>Test!G10</f>
        <v>24.448</v>
      </c>
      <c r="R12" s="18">
        <f t="shared" si="1"/>
        <v>32.674754722222225</v>
      </c>
      <c r="S12" s="17">
        <f t="shared" si="2"/>
        <v>1.0065406121178542</v>
      </c>
      <c r="T12" s="18">
        <f t="shared" si="2"/>
        <v>1.0027069149372487</v>
      </c>
      <c r="U12" s="91"/>
      <c r="V12" s="25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Reference!B11</f>
        <v>25285.1937</v>
      </c>
      <c r="E13" s="18">
        <f>Reference!C11</f>
        <v>37.308300000000003</v>
      </c>
      <c r="F13" s="18">
        <f>Reference!D11</f>
        <v>39.062800000000003</v>
      </c>
      <c r="G13" s="18">
        <f>Reference!E11</f>
        <v>40.705399999999997</v>
      </c>
      <c r="H13" s="18">
        <f>Reference!F11</f>
        <v>67011.460999999996</v>
      </c>
      <c r="I13" s="18">
        <f>Reference!G11</f>
        <v>19.559000000000001</v>
      </c>
      <c r="J13" s="19">
        <f t="shared" si="0"/>
        <v>18.614294722222223</v>
      </c>
      <c r="L13" s="17">
        <f>Test!B11</f>
        <v>25285.1937</v>
      </c>
      <c r="M13" s="18">
        <f>Test!C11</f>
        <v>37.308300000000003</v>
      </c>
      <c r="N13" s="18">
        <f>Test!D11</f>
        <v>39.062800000000003</v>
      </c>
      <c r="O13" s="18">
        <f>Test!E11</f>
        <v>40.705399999999997</v>
      </c>
      <c r="P13" s="18">
        <f>Test!F11</f>
        <v>68208.858999999997</v>
      </c>
      <c r="Q13" s="18">
        <f>Test!G11</f>
        <v>19.984000000000002</v>
      </c>
      <c r="R13" s="18">
        <f t="shared" si="1"/>
        <v>18.946905277777777</v>
      </c>
      <c r="S13" s="17">
        <f t="shared" si="2"/>
        <v>1.0178685553505542</v>
      </c>
      <c r="T13" s="18">
        <f t="shared" si="2"/>
        <v>1.0217291272559947</v>
      </c>
      <c r="U13" s="91"/>
      <c r="V13" s="25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Reference!B12</f>
        <v>12252.606299999999</v>
      </c>
      <c r="E14" s="23">
        <f>Reference!C12</f>
        <v>35.924399999999999</v>
      </c>
      <c r="F14" s="23">
        <f>Reference!D12</f>
        <v>36.3444</v>
      </c>
      <c r="G14" s="23">
        <f>Reference!E12</f>
        <v>39.223100000000002</v>
      </c>
      <c r="H14" s="23">
        <f>Reference!F12</f>
        <v>38646.773000000001</v>
      </c>
      <c r="I14" s="23">
        <f>Reference!G12</f>
        <v>17.658999999999999</v>
      </c>
      <c r="J14" s="24">
        <f t="shared" si="0"/>
        <v>10.735214722222223</v>
      </c>
      <c r="L14" s="22">
        <f>Test!B12</f>
        <v>12252.606299999999</v>
      </c>
      <c r="M14" s="23">
        <f>Test!C12</f>
        <v>35.924399999999999</v>
      </c>
      <c r="N14" s="23">
        <f>Test!D12</f>
        <v>36.3444</v>
      </c>
      <c r="O14" s="23">
        <f>Test!E12</f>
        <v>39.223100000000002</v>
      </c>
      <c r="P14" s="23">
        <f>Test!F12</f>
        <v>39994.839999999997</v>
      </c>
      <c r="Q14" s="23">
        <f>Test!G12</f>
        <v>17.588999999999999</v>
      </c>
      <c r="R14" s="23">
        <f t="shared" si="1"/>
        <v>11.109677777777776</v>
      </c>
      <c r="S14" s="17">
        <f t="shared" si="2"/>
        <v>1.0348817480828216</v>
      </c>
      <c r="T14" s="18">
        <f t="shared" si="2"/>
        <v>0.99603601562942412</v>
      </c>
      <c r="U14" s="91"/>
      <c r="V14" s="51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Reference!B13</f>
        <v>177370.96419999999</v>
      </c>
      <c r="E15" s="13">
        <f>Reference!C13</f>
        <v>38.624200000000002</v>
      </c>
      <c r="F15" s="13">
        <f>Reference!D13</f>
        <v>45.659500000000001</v>
      </c>
      <c r="G15" s="13">
        <f>Reference!E13</f>
        <v>43.478000000000002</v>
      </c>
      <c r="H15" s="13">
        <f>Reference!F13</f>
        <v>204050.67199999999</v>
      </c>
      <c r="I15" s="13">
        <f>Reference!G13</f>
        <v>31.89</v>
      </c>
      <c r="J15" s="14">
        <f>H15/3600</f>
        <v>56.680742222222221</v>
      </c>
      <c r="L15" s="12">
        <f>Test!B13</f>
        <v>177370.96419999999</v>
      </c>
      <c r="M15" s="13">
        <f>Test!C13</f>
        <v>38.624200000000002</v>
      </c>
      <c r="N15" s="13">
        <f>Test!D13</f>
        <v>45.659500000000001</v>
      </c>
      <c r="O15" s="13">
        <f>Test!E13</f>
        <v>43.478000000000002</v>
      </c>
      <c r="P15" s="13">
        <f>Test!F13</f>
        <v>200365.71900000001</v>
      </c>
      <c r="Q15" s="13">
        <f>Test!G13</f>
        <v>31.428999999999998</v>
      </c>
      <c r="R15" s="13">
        <f>P15/3600</f>
        <v>55.657144166666669</v>
      </c>
      <c r="S15" s="17">
        <f>P15/H15</f>
        <v>0.98194099061825202</v>
      </c>
      <c r="T15" s="18">
        <f>Q15/I15</f>
        <v>0.98554405769833797</v>
      </c>
      <c r="U15" s="91"/>
      <c r="V15" s="42">
        <f>bdrate($D15:$D18,E15:E18,$L15:$L18,M15:M18)</f>
        <v>0</v>
      </c>
      <c r="W15" s="42">
        <f>bdrate($D15:$D18,F15:F18,$L15:$L18,N15:N18)</f>
        <v>0</v>
      </c>
      <c r="X15" s="43">
        <f>bdrate($D15:$D18,G15:G18,$L15:$L18,O15:O18)</f>
        <v>0</v>
      </c>
      <c r="Y15" s="37">
        <f>bdrateOld($D15:$D18,E15:E18,$L15:$L18,M15:M18)</f>
        <v>0</v>
      </c>
      <c r="Z15" s="42">
        <f>bdrateOld($D15:$D18,F15:F18,$L15:$L18,N15:N18)</f>
        <v>0</v>
      </c>
      <c r="AA15" s="43">
        <f>bdrateOld($D15:$D18,G15:G18,$L15:$L18,O15:O18)</f>
        <v>0</v>
      </c>
    </row>
    <row r="16" spans="1:27" x14ac:dyDescent="0.2">
      <c r="A16" s="16"/>
      <c r="B16" s="85"/>
      <c r="C16" s="16">
        <v>48</v>
      </c>
      <c r="D16" s="17">
        <f>Reference!B14</f>
        <v>86182.433699999994</v>
      </c>
      <c r="E16" s="18">
        <f>Reference!C14</f>
        <v>37.677599999999998</v>
      </c>
      <c r="F16" s="18">
        <f>Reference!D14</f>
        <v>44.793999999999997</v>
      </c>
      <c r="G16" s="18">
        <f>Reference!E14</f>
        <v>42.493400000000001</v>
      </c>
      <c r="H16" s="18">
        <f>Reference!F14</f>
        <v>124427</v>
      </c>
      <c r="I16" s="18">
        <f>Reference!G14</f>
        <v>25.31</v>
      </c>
      <c r="J16" s="19">
        <f t="shared" ref="J16:J26" si="3">H16/3600</f>
        <v>34.563055555555557</v>
      </c>
      <c r="L16" s="17">
        <f>Test!B14</f>
        <v>86182.433699999994</v>
      </c>
      <c r="M16" s="18">
        <f>Test!C14</f>
        <v>37.677599999999998</v>
      </c>
      <c r="N16" s="18">
        <f>Test!D14</f>
        <v>44.793999999999997</v>
      </c>
      <c r="O16" s="18">
        <f>Test!E14</f>
        <v>42.493400000000001</v>
      </c>
      <c r="P16" s="18">
        <f>Test!F14</f>
        <v>125103.82799999999</v>
      </c>
      <c r="Q16" s="18">
        <f>Test!G14</f>
        <v>25.501000000000001</v>
      </c>
      <c r="R16" s="18">
        <f t="shared" ref="R16:R26" si="4">P16/3600</f>
        <v>34.751063333333335</v>
      </c>
      <c r="S16" s="17">
        <f t="shared" ref="S16:S26" si="5">P16/H16</f>
        <v>1.0054395589381726</v>
      </c>
      <c r="T16" s="18">
        <f t="shared" ref="T16:T26" si="6">Q16/I16</f>
        <v>1.0075464243382064</v>
      </c>
      <c r="U16" s="91"/>
      <c r="V16" s="25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</f>
        <v>49710.378900000003</v>
      </c>
      <c r="E17" s="18">
        <f>Reference!C15</f>
        <v>36.759099999999997</v>
      </c>
      <c r="F17" s="18">
        <f>Reference!D15</f>
        <v>43.830100000000002</v>
      </c>
      <c r="G17" s="18">
        <f>Reference!E15</f>
        <v>41.468299999999999</v>
      </c>
      <c r="H17" s="18">
        <f>Reference!F15</f>
        <v>78259.585999999996</v>
      </c>
      <c r="I17" s="18">
        <f>Reference!G15</f>
        <v>21.756</v>
      </c>
      <c r="J17" s="19">
        <f t="shared" si="3"/>
        <v>21.738773888888886</v>
      </c>
      <c r="L17" s="17">
        <f>Test!B15</f>
        <v>49710.378900000003</v>
      </c>
      <c r="M17" s="18">
        <f>Test!C15</f>
        <v>36.759099999999997</v>
      </c>
      <c r="N17" s="18">
        <f>Test!D15</f>
        <v>43.830100000000002</v>
      </c>
      <c r="O17" s="18">
        <f>Test!E15</f>
        <v>41.468299999999999</v>
      </c>
      <c r="P17" s="18">
        <f>Test!F15</f>
        <v>81726.085999999996</v>
      </c>
      <c r="Q17" s="18">
        <f>Test!G15</f>
        <v>22.148</v>
      </c>
      <c r="R17" s="18">
        <f t="shared" si="4"/>
        <v>22.701690555555555</v>
      </c>
      <c r="S17" s="17">
        <f t="shared" si="5"/>
        <v>1.044294893152131</v>
      </c>
      <c r="T17" s="18">
        <f t="shared" si="6"/>
        <v>1.0180180180180181</v>
      </c>
      <c r="U17" s="91"/>
      <c r="V17" s="25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Reference!B16</f>
        <v>26284.4211</v>
      </c>
      <c r="E18" s="23">
        <f>Reference!C16</f>
        <v>35.2605</v>
      </c>
      <c r="F18" s="23">
        <f>Reference!D16</f>
        <v>42.428100000000001</v>
      </c>
      <c r="G18" s="23">
        <f>Reference!E16</f>
        <v>40.2164</v>
      </c>
      <c r="H18" s="23">
        <f>Reference!F16</f>
        <v>48835.050999999999</v>
      </c>
      <c r="I18" s="23">
        <f>Reference!G16</f>
        <v>19.405000000000001</v>
      </c>
      <c r="J18" s="24">
        <f t="shared" si="3"/>
        <v>13.565291944444445</v>
      </c>
      <c r="L18" s="22">
        <f>Test!B16</f>
        <v>26284.4211</v>
      </c>
      <c r="M18" s="23">
        <f>Test!C16</f>
        <v>35.2605</v>
      </c>
      <c r="N18" s="23">
        <f>Test!D16</f>
        <v>42.428100000000001</v>
      </c>
      <c r="O18" s="23">
        <f>Test!E16</f>
        <v>40.2164</v>
      </c>
      <c r="P18" s="23">
        <f>Test!F16</f>
        <v>48011.504000000001</v>
      </c>
      <c r="Q18" s="23">
        <f>Test!G16</f>
        <v>19.384</v>
      </c>
      <c r="R18" s="23">
        <f t="shared" si="4"/>
        <v>13.336528888888889</v>
      </c>
      <c r="S18" s="17">
        <f t="shared" si="5"/>
        <v>0.98313614948410721</v>
      </c>
      <c r="T18" s="18">
        <f t="shared" si="6"/>
        <v>0.99891780468951297</v>
      </c>
      <c r="U18" s="91"/>
      <c r="V18" s="51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Reference!B17</f>
        <v>67494.945999999996</v>
      </c>
      <c r="E19" s="13">
        <f>Reference!C17</f>
        <v>39.563000000000002</v>
      </c>
      <c r="F19" s="13">
        <f>Reference!D17</f>
        <v>40.538800000000002</v>
      </c>
      <c r="G19" s="13">
        <f>Reference!E17</f>
        <v>43.534300000000002</v>
      </c>
      <c r="H19" s="13">
        <f>Reference!F17</f>
        <v>86797.304999999993</v>
      </c>
      <c r="I19" s="13">
        <f>Reference!G17</f>
        <v>15.602</v>
      </c>
      <c r="J19" s="14">
        <f t="shared" si="3"/>
        <v>24.110362499999997</v>
      </c>
      <c r="L19" s="12">
        <f>Test!B17</f>
        <v>67494.945999999996</v>
      </c>
      <c r="M19" s="13">
        <f>Test!C17</f>
        <v>39.563000000000002</v>
      </c>
      <c r="N19" s="13">
        <f>Test!D17</f>
        <v>40.538800000000002</v>
      </c>
      <c r="O19" s="13">
        <f>Test!E17</f>
        <v>43.534300000000002</v>
      </c>
      <c r="P19" s="13">
        <f>Test!F17</f>
        <v>87874.616999999998</v>
      </c>
      <c r="Q19" s="13">
        <f>Test!G17</f>
        <v>16.169</v>
      </c>
      <c r="R19" s="13">
        <f t="shared" si="4"/>
        <v>24.409615833333334</v>
      </c>
      <c r="S19" s="12">
        <f t="shared" si="5"/>
        <v>1.0124118139382323</v>
      </c>
      <c r="T19" s="13">
        <f t="shared" si="6"/>
        <v>1.0363414946801692</v>
      </c>
      <c r="U19" s="90"/>
      <c r="V19" s="42">
        <f>bdrate($D19:$D22,E19:E22,$L19:$L22,M19:M22)</f>
        <v>0</v>
      </c>
      <c r="W19" s="42">
        <f>bdrate($D19:$D22,F19:F22,$L19:$L22,N19:N22)</f>
        <v>0</v>
      </c>
      <c r="X19" s="42">
        <f>bdrate($D19:$D22,G19:G22,$L19:$L22,O19:O22)</f>
        <v>0</v>
      </c>
      <c r="Y19" s="40">
        <f>bdrateOld($D19:$D22,E19:E22,$L19:$L22,M19:M22)</f>
        <v>0</v>
      </c>
      <c r="Z19" s="44">
        <f>bdrateOld($D19:$D22,F19:F22,$L19:$L22,N19:N22)</f>
        <v>0</v>
      </c>
      <c r="AA19" s="45">
        <f>bdrateOld($D19:$D22,G19:G22,$L19:$L22,O19:O22)</f>
        <v>0</v>
      </c>
    </row>
    <row r="20" spans="1:27" x14ac:dyDescent="0.2">
      <c r="A20" s="16" t="s">
        <v>48</v>
      </c>
      <c r="B20" s="85"/>
      <c r="C20" s="16">
        <v>32</v>
      </c>
      <c r="D20" s="17">
        <f>Reference!B18</f>
        <v>40264.393700000001</v>
      </c>
      <c r="E20" s="18">
        <f>Reference!C18</f>
        <v>37.929099999999998</v>
      </c>
      <c r="F20" s="18">
        <f>Reference!D18</f>
        <v>39.567500000000003</v>
      </c>
      <c r="G20" s="18">
        <f>Reference!E18</f>
        <v>42.1432</v>
      </c>
      <c r="H20" s="18">
        <f>Reference!F18</f>
        <v>66728.023000000001</v>
      </c>
      <c r="I20" s="18">
        <f>Reference!G18</f>
        <v>13.189</v>
      </c>
      <c r="J20" s="19">
        <f t="shared" si="3"/>
        <v>18.535561944444446</v>
      </c>
      <c r="L20" s="17">
        <f>Test!B18</f>
        <v>40264.393700000001</v>
      </c>
      <c r="M20" s="18">
        <f>Test!C18</f>
        <v>37.929099999999998</v>
      </c>
      <c r="N20" s="18">
        <f>Test!D18</f>
        <v>39.567500000000003</v>
      </c>
      <c r="O20" s="18">
        <f>Test!E18</f>
        <v>42.1432</v>
      </c>
      <c r="P20" s="18">
        <f>Test!F18</f>
        <v>65833.429999999993</v>
      </c>
      <c r="Q20" s="18">
        <f>Test!G18</f>
        <v>13.228999999999999</v>
      </c>
      <c r="R20" s="18">
        <f t="shared" si="4"/>
        <v>18.287063888888888</v>
      </c>
      <c r="S20" s="17">
        <f t="shared" si="5"/>
        <v>0.98659344365709734</v>
      </c>
      <c r="T20" s="18">
        <f t="shared" si="6"/>
        <v>1.0030328303889604</v>
      </c>
      <c r="U20" s="91"/>
      <c r="V20" s="25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Reference!B19</f>
        <v>23215.707900000001</v>
      </c>
      <c r="E21" s="18">
        <f>Reference!C19</f>
        <v>36.014099999999999</v>
      </c>
      <c r="F21" s="18">
        <f>Reference!D19</f>
        <v>38.716099999999997</v>
      </c>
      <c r="G21" s="18">
        <f>Reference!E19</f>
        <v>40.761899999999997</v>
      </c>
      <c r="H21" s="18">
        <f>Reference!F19</f>
        <v>48877.105000000003</v>
      </c>
      <c r="I21" s="18">
        <f>Reference!G19</f>
        <v>11.005000000000001</v>
      </c>
      <c r="J21" s="19">
        <f t="shared" si="3"/>
        <v>13.576973611111113</v>
      </c>
      <c r="L21" s="17">
        <f>Test!B19</f>
        <v>23215.707900000001</v>
      </c>
      <c r="M21" s="18">
        <f>Test!C19</f>
        <v>36.014099999999999</v>
      </c>
      <c r="N21" s="18">
        <f>Test!D19</f>
        <v>38.716099999999997</v>
      </c>
      <c r="O21" s="18">
        <f>Test!E19</f>
        <v>40.761899999999997</v>
      </c>
      <c r="P21" s="18">
        <f>Test!F19</f>
        <v>49034.921999999999</v>
      </c>
      <c r="Q21" s="18">
        <f>Test!G19</f>
        <v>11.249000000000001</v>
      </c>
      <c r="R21" s="18">
        <f t="shared" si="4"/>
        <v>13.620811666666667</v>
      </c>
      <c r="S21" s="17">
        <f t="shared" si="5"/>
        <v>1.003228853263711</v>
      </c>
      <c r="T21" s="18">
        <f t="shared" si="6"/>
        <v>1.0221717401181281</v>
      </c>
      <c r="U21" s="91"/>
      <c r="V21" s="25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Reference!B20</f>
        <v>11832.412700000001</v>
      </c>
      <c r="E22" s="23">
        <f>Reference!C20</f>
        <v>33.539200000000001</v>
      </c>
      <c r="F22" s="23">
        <f>Reference!D20</f>
        <v>37.526800000000001</v>
      </c>
      <c r="G22" s="23">
        <f>Reference!E20</f>
        <v>38.918700000000001</v>
      </c>
      <c r="H22" s="23">
        <f>Reference!F20</f>
        <v>32591.205000000002</v>
      </c>
      <c r="I22" s="23">
        <f>Reference!G20</f>
        <v>9.4109999999999996</v>
      </c>
      <c r="J22" s="24">
        <f t="shared" si="3"/>
        <v>9.053112500000001</v>
      </c>
      <c r="L22" s="22">
        <f>Test!B20</f>
        <v>11832.412700000001</v>
      </c>
      <c r="M22" s="23">
        <f>Test!C20</f>
        <v>33.539200000000001</v>
      </c>
      <c r="N22" s="23">
        <f>Test!D20</f>
        <v>37.526800000000001</v>
      </c>
      <c r="O22" s="23">
        <f>Test!E20</f>
        <v>38.918700000000001</v>
      </c>
      <c r="P22" s="23">
        <f>Test!F20</f>
        <v>33282.241999999998</v>
      </c>
      <c r="Q22" s="23">
        <f>Test!G20</f>
        <v>9.5489999999999995</v>
      </c>
      <c r="R22" s="23">
        <f t="shared" si="4"/>
        <v>9.2450672222222217</v>
      </c>
      <c r="S22" s="17">
        <f t="shared" si="5"/>
        <v>1.0212031742919601</v>
      </c>
      <c r="T22" s="18">
        <f t="shared" si="6"/>
        <v>1.0146636914249283</v>
      </c>
      <c r="U22" s="91"/>
      <c r="V22" s="51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Reference!B21</f>
        <v>42267.911099999998</v>
      </c>
      <c r="E23" s="13">
        <f>Reference!C21</f>
        <v>40.197000000000003</v>
      </c>
      <c r="F23" s="13">
        <f>Reference!D21</f>
        <v>44.213000000000001</v>
      </c>
      <c r="G23" s="13">
        <f>Reference!E21</f>
        <v>45.685099999999998</v>
      </c>
      <c r="H23" s="13">
        <f>Reference!F21</f>
        <v>74323.531000000003</v>
      </c>
      <c r="I23" s="13">
        <f>Reference!G21</f>
        <v>13.212</v>
      </c>
      <c r="J23" s="14">
        <f t="shared" si="3"/>
        <v>20.645425277777779</v>
      </c>
      <c r="L23" s="12">
        <f>Test!B21</f>
        <v>42267.911099999998</v>
      </c>
      <c r="M23" s="13">
        <f>Test!C21</f>
        <v>40.197000000000003</v>
      </c>
      <c r="N23" s="13">
        <f>Test!D21</f>
        <v>44.213000000000001</v>
      </c>
      <c r="O23" s="13">
        <f>Test!E21</f>
        <v>45.685099999999998</v>
      </c>
      <c r="P23" s="13">
        <f>Test!F21</f>
        <v>74594.233999999997</v>
      </c>
      <c r="Q23" s="13">
        <f>Test!G21</f>
        <v>13.44</v>
      </c>
      <c r="R23" s="13">
        <f t="shared" si="4"/>
        <v>20.720620555555556</v>
      </c>
      <c r="S23" s="17">
        <f t="shared" si="5"/>
        <v>1.0036422246946259</v>
      </c>
      <c r="T23" s="18">
        <f t="shared" si="6"/>
        <v>1.0172570390554041</v>
      </c>
      <c r="U23" s="91"/>
      <c r="V23" s="42">
        <f>bdrate($D23:$D26,E23:E26,$L23:$L26,M23:M26)</f>
        <v>0</v>
      </c>
      <c r="W23" s="42">
        <f>bdrate($D23:$D26,F23:F26,$L23:$L26,N23:N26)</f>
        <v>0</v>
      </c>
      <c r="X23" s="42">
        <f>bdrate($D23:$D26,G23:G26,$L23:$L26,O23:O26)</f>
        <v>0</v>
      </c>
      <c r="Y23" s="40">
        <f>bdrateOld($D23:$D26,E23:E26,$L23:$L26,M23:M26)</f>
        <v>0</v>
      </c>
      <c r="Z23" s="44">
        <f>bdrateOld($D23:$D26,F23:F26,$L23:$L26,N23:N26)</f>
        <v>0</v>
      </c>
      <c r="AA23" s="45">
        <f>bdrateOld($D23:$D26,G23:G26,$L23:$L26,O23:O26)</f>
        <v>0</v>
      </c>
    </row>
    <row r="24" spans="1:27" x14ac:dyDescent="0.2">
      <c r="A24" s="34"/>
      <c r="B24" s="85"/>
      <c r="C24" s="16">
        <v>32</v>
      </c>
      <c r="D24" s="17">
        <f>Reference!B22</f>
        <v>22922.736499999999</v>
      </c>
      <c r="E24" s="18">
        <f>Reference!C22</f>
        <v>38.721800000000002</v>
      </c>
      <c r="F24" s="18">
        <f>Reference!D22</f>
        <v>43.267299999999999</v>
      </c>
      <c r="G24" s="18">
        <f>Reference!E22</f>
        <v>44.241100000000003</v>
      </c>
      <c r="H24" s="18">
        <f>Reference!F22</f>
        <v>52120.711000000003</v>
      </c>
      <c r="I24" s="18">
        <f>Reference!G22</f>
        <v>11.167999999999999</v>
      </c>
      <c r="J24" s="19">
        <f t="shared" si="3"/>
        <v>14.477975277777778</v>
      </c>
      <c r="L24" s="17">
        <f>Test!B22</f>
        <v>22922.736499999999</v>
      </c>
      <c r="M24" s="18">
        <f>Test!C22</f>
        <v>38.721800000000002</v>
      </c>
      <c r="N24" s="18">
        <f>Test!D22</f>
        <v>43.267299999999999</v>
      </c>
      <c r="O24" s="18">
        <f>Test!E22</f>
        <v>44.241100000000003</v>
      </c>
      <c r="P24" s="18">
        <f>Test!F22</f>
        <v>51717.913999999997</v>
      </c>
      <c r="Q24" s="18">
        <f>Test!G22</f>
        <v>11.156000000000001</v>
      </c>
      <c r="R24" s="18">
        <f t="shared" si="4"/>
        <v>14.366087222222221</v>
      </c>
      <c r="S24" s="17">
        <f t="shared" si="5"/>
        <v>0.9922718437206276</v>
      </c>
      <c r="T24" s="18">
        <f t="shared" si="6"/>
        <v>0.9989255014326649</v>
      </c>
      <c r="U24" s="91"/>
      <c r="V24" s="25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</f>
        <v>12964.0762</v>
      </c>
      <c r="E25" s="18">
        <f>Reference!C23</f>
        <v>37.282600000000002</v>
      </c>
      <c r="F25" s="18">
        <f>Reference!D23</f>
        <v>42.193399999999997</v>
      </c>
      <c r="G25" s="18">
        <f>Reference!E23</f>
        <v>42.682499999999997</v>
      </c>
      <c r="H25" s="18">
        <f>Reference!F23</f>
        <v>35656.163999999997</v>
      </c>
      <c r="I25" s="18">
        <f>Reference!G23</f>
        <v>9.8239999999999998</v>
      </c>
      <c r="J25" s="19">
        <f t="shared" si="3"/>
        <v>9.9044899999999991</v>
      </c>
      <c r="L25" s="17">
        <f>Test!B23</f>
        <v>12964.0762</v>
      </c>
      <c r="M25" s="18">
        <f>Test!C23</f>
        <v>37.282600000000002</v>
      </c>
      <c r="N25" s="18">
        <f>Test!D23</f>
        <v>42.193399999999997</v>
      </c>
      <c r="O25" s="18">
        <f>Test!E23</f>
        <v>42.682499999999997</v>
      </c>
      <c r="P25" s="18">
        <f>Test!F23</f>
        <v>35603.074000000001</v>
      </c>
      <c r="Q25" s="18">
        <f>Test!G23</f>
        <v>9.8030000000000008</v>
      </c>
      <c r="R25" s="18">
        <f t="shared" si="4"/>
        <v>9.8897427777777782</v>
      </c>
      <c r="S25" s="17">
        <f t="shared" si="5"/>
        <v>0.99851105688205843</v>
      </c>
      <c r="T25" s="18">
        <f t="shared" si="6"/>
        <v>0.99786237785016296</v>
      </c>
      <c r="U25" s="91"/>
      <c r="V25" s="25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Reference!B24</f>
        <v>6928.9396999999999</v>
      </c>
      <c r="E26" s="23">
        <f>Reference!C24</f>
        <v>35.361499999999999</v>
      </c>
      <c r="F26" s="23">
        <f>Reference!D24</f>
        <v>40.691000000000003</v>
      </c>
      <c r="G26" s="23">
        <f>Reference!E24</f>
        <v>40.660200000000003</v>
      </c>
      <c r="H26" s="23">
        <f>Reference!F24</f>
        <v>21637.708999999999</v>
      </c>
      <c r="I26" s="23">
        <f>Reference!G24</f>
        <v>8.5719999999999992</v>
      </c>
      <c r="J26" s="24">
        <f t="shared" si="3"/>
        <v>6.0104747222222219</v>
      </c>
      <c r="L26" s="22">
        <f>Test!B24</f>
        <v>6928.9396999999999</v>
      </c>
      <c r="M26" s="23">
        <f>Test!C24</f>
        <v>35.361499999999999</v>
      </c>
      <c r="N26" s="23">
        <f>Test!D24</f>
        <v>40.691000000000003</v>
      </c>
      <c r="O26" s="23">
        <f>Test!E24</f>
        <v>40.660200000000003</v>
      </c>
      <c r="P26" s="23">
        <f>Test!F24</f>
        <v>22670.300999999999</v>
      </c>
      <c r="Q26" s="23">
        <f>Test!G24</f>
        <v>8.6890000000000001</v>
      </c>
      <c r="R26" s="23">
        <f t="shared" si="4"/>
        <v>6.2973058333333336</v>
      </c>
      <c r="S26" s="17">
        <f t="shared" si="5"/>
        <v>1.047721872957992</v>
      </c>
      <c r="T26" s="18">
        <f t="shared" si="6"/>
        <v>1.0136490900606627</v>
      </c>
      <c r="U26" s="91"/>
      <c r="V26" s="51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Reference!B25</f>
        <v>64671.494400000003</v>
      </c>
      <c r="E27" s="13">
        <f>Reference!C25</f>
        <v>41.737299999999998</v>
      </c>
      <c r="F27" s="13">
        <f>Reference!D25</f>
        <v>44.441200000000002</v>
      </c>
      <c r="G27" s="13">
        <f>Reference!E25</f>
        <v>45.163499999999999</v>
      </c>
      <c r="H27" s="13">
        <f>Reference!F25</f>
        <v>91012.773000000001</v>
      </c>
      <c r="I27" s="13">
        <f>Reference!G25</f>
        <v>16.559000000000001</v>
      </c>
      <c r="J27" s="14">
        <f>H27/3600</f>
        <v>25.281325833333334</v>
      </c>
      <c r="L27" s="12">
        <f>Test!B25</f>
        <v>64671.494400000003</v>
      </c>
      <c r="M27" s="13">
        <f>Test!C25</f>
        <v>41.737299999999998</v>
      </c>
      <c r="N27" s="13">
        <f>Test!D25</f>
        <v>44.441200000000002</v>
      </c>
      <c r="O27" s="13">
        <f>Test!E25</f>
        <v>45.163499999999999</v>
      </c>
      <c r="P27" s="13">
        <f>Test!F25</f>
        <v>90834.445000000007</v>
      </c>
      <c r="Q27" s="13">
        <f>Test!G25</f>
        <v>16.395</v>
      </c>
      <c r="R27" s="13">
        <f>P27/3600</f>
        <v>25.23179027777778</v>
      </c>
      <c r="S27" s="17">
        <f>P27/H27</f>
        <v>0.99804062667115978</v>
      </c>
      <c r="T27" s="18">
        <f>Q27/I27</f>
        <v>0.99009602029108024</v>
      </c>
      <c r="U27" s="91"/>
      <c r="V27" s="42">
        <f>bdrate($D27:$D30,E27:E30,$L27:$L30,M27:M30)</f>
        <v>0</v>
      </c>
      <c r="W27" s="42">
        <f>bdrate($D27:$D30,F27:F30,$L27:$L30,N27:N30)</f>
        <v>0</v>
      </c>
      <c r="X27" s="43">
        <f>bdrate($D27:$D30,G27:G30,$L27:$L30,O27:O30)</f>
        <v>0</v>
      </c>
      <c r="Y27" s="37">
        <f>bdrateOld($D27:$D30,E27:E30,$L27:$L30,M27:M30)</f>
        <v>0</v>
      </c>
      <c r="Z27" s="42">
        <f>bdrateOld($D27:$D30,F27:F30,$L27:$L30,N27:N30)</f>
        <v>0</v>
      </c>
      <c r="AA27" s="43">
        <f>bdrateOld($D27:$D30,G27:G30,$L27:$L30,O27:O30)</f>
        <v>0</v>
      </c>
    </row>
    <row r="28" spans="1:27" x14ac:dyDescent="0.2">
      <c r="A28" s="16"/>
      <c r="B28" s="85"/>
      <c r="C28" s="16">
        <v>48</v>
      </c>
      <c r="D28" s="17">
        <f>Reference!B26</f>
        <v>41712.6656</v>
      </c>
      <c r="E28" s="18">
        <f>Reference!C26</f>
        <v>39.930900000000001</v>
      </c>
      <c r="F28" s="18">
        <f>Reference!D26</f>
        <v>43.0349</v>
      </c>
      <c r="G28" s="18">
        <f>Reference!E26</f>
        <v>43.9268</v>
      </c>
      <c r="H28" s="18">
        <f>Reference!F26</f>
        <v>67792.695000000007</v>
      </c>
      <c r="I28" s="18">
        <f>Reference!G26</f>
        <v>14.101000000000001</v>
      </c>
      <c r="J28" s="19">
        <f t="shared" ref="J28:J46" si="7">H28/3600</f>
        <v>18.831304166666669</v>
      </c>
      <c r="L28" s="17">
        <f>Test!B26</f>
        <v>41712.6656</v>
      </c>
      <c r="M28" s="18">
        <f>Test!C26</f>
        <v>39.930900000000001</v>
      </c>
      <c r="N28" s="18">
        <f>Test!D26</f>
        <v>43.0349</v>
      </c>
      <c r="O28" s="18">
        <f>Test!E26</f>
        <v>43.9268</v>
      </c>
      <c r="P28" s="18">
        <f>Test!F26</f>
        <v>69232.633000000002</v>
      </c>
      <c r="Q28" s="18">
        <f>Test!G26</f>
        <v>14.532</v>
      </c>
      <c r="R28" s="18">
        <f t="shared" ref="R28:R46" si="8">P28/3600</f>
        <v>19.231286944444445</v>
      </c>
      <c r="S28" s="17">
        <f t="shared" ref="S28:S46" si="9">P28/H28</f>
        <v>1.0212403121014735</v>
      </c>
      <c r="T28" s="18">
        <f t="shared" ref="T28:T46" si="10">Q28/I28</f>
        <v>1.0305652081412666</v>
      </c>
      <c r="U28" s="91"/>
      <c r="V28" s="25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Reference!B27</f>
        <v>24533.356800000001</v>
      </c>
      <c r="E29" s="18">
        <f>Reference!C27</f>
        <v>37.703699999999998</v>
      </c>
      <c r="F29" s="18">
        <f>Reference!D27</f>
        <v>41.734000000000002</v>
      </c>
      <c r="G29" s="18">
        <f>Reference!E27</f>
        <v>42.630400000000002</v>
      </c>
      <c r="H29" s="18">
        <f>Reference!F27</f>
        <v>50014.211000000003</v>
      </c>
      <c r="I29" s="18">
        <f>Reference!G27</f>
        <v>12.351000000000001</v>
      </c>
      <c r="J29" s="19">
        <f t="shared" si="7"/>
        <v>13.89283638888889</v>
      </c>
      <c r="L29" s="17">
        <f>Test!B27</f>
        <v>24533.356800000001</v>
      </c>
      <c r="M29" s="18">
        <f>Test!C27</f>
        <v>37.703699999999998</v>
      </c>
      <c r="N29" s="18">
        <f>Test!D27</f>
        <v>41.734000000000002</v>
      </c>
      <c r="O29" s="18">
        <f>Test!E27</f>
        <v>42.630400000000002</v>
      </c>
      <c r="P29" s="18">
        <f>Test!F27</f>
        <v>48662.48</v>
      </c>
      <c r="Q29" s="18">
        <f>Test!G27</f>
        <v>12.244</v>
      </c>
      <c r="R29" s="18">
        <f t="shared" si="8"/>
        <v>13.517355555555556</v>
      </c>
      <c r="S29" s="17">
        <f t="shared" si="9"/>
        <v>0.97297306159643304</v>
      </c>
      <c r="T29" s="18">
        <f t="shared" si="10"/>
        <v>0.99133673386770294</v>
      </c>
      <c r="U29" s="91"/>
      <c r="V29" s="25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Reference!B28</f>
        <v>12379.712</v>
      </c>
      <c r="E30" s="23">
        <f>Reference!C28</f>
        <v>35.008899999999997</v>
      </c>
      <c r="F30" s="23">
        <f>Reference!D28</f>
        <v>40.169499999999999</v>
      </c>
      <c r="G30" s="23">
        <f>Reference!E28</f>
        <v>41.012300000000003</v>
      </c>
      <c r="H30" s="23">
        <f>Reference!F28</f>
        <v>31297.107</v>
      </c>
      <c r="I30" s="23">
        <f>Reference!G28</f>
        <v>10.813000000000001</v>
      </c>
      <c r="J30" s="24">
        <f t="shared" si="7"/>
        <v>8.6936408333333333</v>
      </c>
      <c r="L30" s="22">
        <f>Test!B28</f>
        <v>12379.712</v>
      </c>
      <c r="M30" s="23">
        <f>Test!C28</f>
        <v>35.008899999999997</v>
      </c>
      <c r="N30" s="23">
        <f>Test!D28</f>
        <v>40.169499999999999</v>
      </c>
      <c r="O30" s="23">
        <f>Test!E28</f>
        <v>41.012300000000003</v>
      </c>
      <c r="P30" s="23">
        <f>Test!F28</f>
        <v>31388.088</v>
      </c>
      <c r="Q30" s="23">
        <f>Test!G28</f>
        <v>10.683</v>
      </c>
      <c r="R30" s="23">
        <f t="shared" si="8"/>
        <v>8.7189133333333331</v>
      </c>
      <c r="S30" s="17">
        <f t="shared" si="9"/>
        <v>1.0029070099035031</v>
      </c>
      <c r="T30" s="18">
        <f t="shared" si="10"/>
        <v>0.9879774345694996</v>
      </c>
      <c r="U30" s="91"/>
      <c r="V30" s="51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Reference!B29</f>
        <v>39540.6976</v>
      </c>
      <c r="E31" s="13">
        <f>Reference!C29</f>
        <v>44.935200000000002</v>
      </c>
      <c r="F31" s="13">
        <f>Reference!D29</f>
        <v>47.607900000000001</v>
      </c>
      <c r="G31" s="13">
        <f>Reference!E29</f>
        <v>48.338799999999999</v>
      </c>
      <c r="H31" s="13">
        <f>Reference!F29</f>
        <v>61787.144999999997</v>
      </c>
      <c r="I31" s="13">
        <f>Reference!G29</f>
        <v>14.675000000000001</v>
      </c>
      <c r="J31" s="14">
        <f t="shared" si="7"/>
        <v>17.163095833333333</v>
      </c>
      <c r="L31" s="12">
        <f>Test!B29</f>
        <v>39540.6976</v>
      </c>
      <c r="M31" s="13">
        <f>Test!C29</f>
        <v>44.935200000000002</v>
      </c>
      <c r="N31" s="13">
        <f>Test!D29</f>
        <v>47.607900000000001</v>
      </c>
      <c r="O31" s="13">
        <f>Test!E29</f>
        <v>48.338799999999999</v>
      </c>
      <c r="P31" s="13">
        <f>Test!F29</f>
        <v>62333.836000000003</v>
      </c>
      <c r="Q31" s="13">
        <f>Test!G29</f>
        <v>14.702</v>
      </c>
      <c r="R31" s="13">
        <f t="shared" si="8"/>
        <v>17.314954444444446</v>
      </c>
      <c r="S31" s="17">
        <f t="shared" si="9"/>
        <v>1.0088479731504021</v>
      </c>
      <c r="T31" s="18">
        <f t="shared" si="10"/>
        <v>1.0018398637137989</v>
      </c>
      <c r="U31" s="91"/>
      <c r="V31" s="42">
        <f>bdrate($D31:$D34,E31:E34,$L31:$L34,M31:M34)</f>
        <v>0</v>
      </c>
      <c r="W31" s="42">
        <f>bdrate($D31:$D34,F31:F34,$L31:$L34,N31:N34)</f>
        <v>0</v>
      </c>
      <c r="X31" s="42">
        <f>bdrate($D31:$D34,G31:G34,$L31:$L34,O31:O34)</f>
        <v>0</v>
      </c>
      <c r="Y31" s="40">
        <f>bdrateOld($D31:$D34,E31:E34,$L31:$L34,M31:M34)</f>
        <v>0</v>
      </c>
      <c r="Z31" s="44">
        <f>bdrateOld($D31:$D34,F31:F34,$L31:$L34,N31:N34)</f>
        <v>0</v>
      </c>
      <c r="AA31" s="45">
        <f>bdrateOld($D31:$D34,G31:G34,$L31:$L34,O31:O34)</f>
        <v>0</v>
      </c>
    </row>
    <row r="32" spans="1:27" x14ac:dyDescent="0.2">
      <c r="A32" s="16"/>
      <c r="B32" s="85"/>
      <c r="C32" s="16">
        <v>48</v>
      </c>
      <c r="D32" s="17">
        <f>Reference!B30</f>
        <v>26056.460800000001</v>
      </c>
      <c r="E32" s="18">
        <f>Reference!C30</f>
        <v>42.767699999999998</v>
      </c>
      <c r="F32" s="18">
        <f>Reference!D30</f>
        <v>46.0075</v>
      </c>
      <c r="G32" s="18">
        <f>Reference!E30</f>
        <v>46.536099999999998</v>
      </c>
      <c r="H32" s="18">
        <f>Reference!F30</f>
        <v>49611.828000000001</v>
      </c>
      <c r="I32" s="18">
        <f>Reference!G30</f>
        <v>12.9</v>
      </c>
      <c r="J32" s="19">
        <f t="shared" si="7"/>
        <v>13.781063333333334</v>
      </c>
      <c r="L32" s="17">
        <f>Test!B30</f>
        <v>26056.460800000001</v>
      </c>
      <c r="M32" s="18">
        <f>Test!C30</f>
        <v>42.767699999999998</v>
      </c>
      <c r="N32" s="18">
        <f>Test!D30</f>
        <v>46.0075</v>
      </c>
      <c r="O32" s="18">
        <f>Test!E30</f>
        <v>46.536099999999998</v>
      </c>
      <c r="P32" s="18">
        <f>Test!F30</f>
        <v>49645.586000000003</v>
      </c>
      <c r="Q32" s="18">
        <f>Test!G30</f>
        <v>12.916</v>
      </c>
      <c r="R32" s="18">
        <f t="shared" si="8"/>
        <v>13.790440555555556</v>
      </c>
      <c r="S32" s="17">
        <f t="shared" si="9"/>
        <v>1.0006804425751052</v>
      </c>
      <c r="T32" s="18">
        <f t="shared" si="10"/>
        <v>1.0012403100775193</v>
      </c>
      <c r="U32" s="91"/>
      <c r="V32" s="25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Reference!B31</f>
        <v>15441.3696</v>
      </c>
      <c r="E33" s="18">
        <f>Reference!C31</f>
        <v>40.0809</v>
      </c>
      <c r="F33" s="18">
        <f>Reference!D31</f>
        <v>44.455599999999997</v>
      </c>
      <c r="G33" s="18">
        <f>Reference!E31</f>
        <v>44.716099999999997</v>
      </c>
      <c r="H33" s="18">
        <f>Reference!F31</f>
        <v>36779.781000000003</v>
      </c>
      <c r="I33" s="18">
        <f>Reference!G31</f>
        <v>11.404999999999999</v>
      </c>
      <c r="J33" s="19">
        <f t="shared" si="7"/>
        <v>10.216605833333334</v>
      </c>
      <c r="L33" s="17">
        <f>Test!B31</f>
        <v>15441.3696</v>
      </c>
      <c r="M33" s="18">
        <f>Test!C31</f>
        <v>40.0809</v>
      </c>
      <c r="N33" s="18">
        <f>Test!D31</f>
        <v>44.455599999999997</v>
      </c>
      <c r="O33" s="18">
        <f>Test!E31</f>
        <v>44.716099999999997</v>
      </c>
      <c r="P33" s="18">
        <f>Test!F31</f>
        <v>37633.656000000003</v>
      </c>
      <c r="Q33" s="18">
        <f>Test!G31</f>
        <v>11.369</v>
      </c>
      <c r="R33" s="18">
        <f t="shared" si="8"/>
        <v>10.453793333333333</v>
      </c>
      <c r="S33" s="17">
        <f t="shared" si="9"/>
        <v>1.0232158804860747</v>
      </c>
      <c r="T33" s="18">
        <f t="shared" si="10"/>
        <v>0.99684348969750114</v>
      </c>
      <c r="U33" s="91"/>
      <c r="V33" s="25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Reference!B32</f>
        <v>8055.1296000000002</v>
      </c>
      <c r="E34" s="23">
        <f>Reference!C32</f>
        <v>37.008699999999997</v>
      </c>
      <c r="F34" s="23">
        <f>Reference!D32</f>
        <v>42.448500000000003</v>
      </c>
      <c r="G34" s="23">
        <f>Reference!E32</f>
        <v>42.4863</v>
      </c>
      <c r="H34" s="23">
        <f>Reference!F32</f>
        <v>24175.578000000001</v>
      </c>
      <c r="I34" s="23">
        <f>Reference!G32</f>
        <v>9.827</v>
      </c>
      <c r="J34" s="24">
        <f t="shared" si="7"/>
        <v>6.7154383333333341</v>
      </c>
      <c r="L34" s="22">
        <f>Test!B32</f>
        <v>8055.1296000000002</v>
      </c>
      <c r="M34" s="23">
        <f>Test!C32</f>
        <v>37.008699999999997</v>
      </c>
      <c r="N34" s="23">
        <f>Test!D32</f>
        <v>42.448500000000003</v>
      </c>
      <c r="O34" s="23">
        <f>Test!E32</f>
        <v>42.4863</v>
      </c>
      <c r="P34" s="23">
        <f>Test!F32</f>
        <v>23609.035</v>
      </c>
      <c r="Q34" s="23">
        <f>Test!G32</f>
        <v>9.8040000000000003</v>
      </c>
      <c r="R34" s="23">
        <f t="shared" si="8"/>
        <v>6.5580652777777777</v>
      </c>
      <c r="S34" s="17">
        <f t="shared" si="9"/>
        <v>0.97656548273633825</v>
      </c>
      <c r="T34" s="18">
        <f t="shared" si="10"/>
        <v>0.99765950951460269</v>
      </c>
      <c r="U34" s="91"/>
      <c r="V34" s="51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Reference!B33</f>
        <v>53885.331200000001</v>
      </c>
      <c r="E35" s="13">
        <f>Reference!C33</f>
        <v>41.744900000000001</v>
      </c>
      <c r="F35" s="13">
        <f>Reference!D33</f>
        <v>46.070099999999996</v>
      </c>
      <c r="G35" s="13">
        <f>Reference!E33</f>
        <v>46.383099999999999</v>
      </c>
      <c r="H35" s="13">
        <f>Reference!F33</f>
        <v>52000.832000000002</v>
      </c>
      <c r="I35" s="13">
        <f>Reference!G33</f>
        <v>9.1259999999999994</v>
      </c>
      <c r="J35" s="14">
        <f t="shared" si="7"/>
        <v>14.444675555555555</v>
      </c>
      <c r="L35" s="12">
        <f>Test!B33</f>
        <v>53885.331200000001</v>
      </c>
      <c r="M35" s="13">
        <f>Test!C33</f>
        <v>41.744900000000001</v>
      </c>
      <c r="N35" s="13">
        <f>Test!D33</f>
        <v>46.070099999999996</v>
      </c>
      <c r="O35" s="13">
        <f>Test!E33</f>
        <v>46.383099999999999</v>
      </c>
      <c r="P35" s="13">
        <f>Test!F33</f>
        <v>51957.457000000002</v>
      </c>
      <c r="Q35" s="13">
        <f>Test!G33</f>
        <v>9.4280000000000008</v>
      </c>
      <c r="R35" s="13">
        <f t="shared" si="8"/>
        <v>14.432626944444445</v>
      </c>
      <c r="S35" s="12">
        <f t="shared" si="9"/>
        <v>0.99916587873055573</v>
      </c>
      <c r="T35" s="13">
        <f t="shared" si="10"/>
        <v>1.0330922638614948</v>
      </c>
      <c r="U35" s="90"/>
      <c r="V35" s="42">
        <f>bdrate($D35:$D38,E35:E38,$L35:$L38,M35:M38)</f>
        <v>0</v>
      </c>
      <c r="W35" s="42">
        <f>bdrate($D35:$D38,F35:F38,$L35:$L38,N35:N38)</f>
        <v>0</v>
      </c>
      <c r="X35" s="42">
        <f>bdrate($D35:$D38,G35:G38,$L35:$L38,O35:O38)</f>
        <v>0</v>
      </c>
      <c r="Y35" s="40">
        <f>bdrateOld($D35:$D38,E35:E38,$L35:$L38,M35:M38)</f>
        <v>0</v>
      </c>
      <c r="Z35" s="44">
        <f>bdrateOld($D35:$D38,F35:F38,$L35:$L38,N35:N38)</f>
        <v>0</v>
      </c>
      <c r="AA35" s="45">
        <f>bdrateOld($D35:$D38,G35:G38,$L35:$L38,O35:O38)</f>
        <v>0</v>
      </c>
    </row>
    <row r="36" spans="1:27" x14ac:dyDescent="0.2">
      <c r="A36" s="16" t="s">
        <v>52</v>
      </c>
      <c r="B36" s="85"/>
      <c r="C36" s="16">
        <v>32</v>
      </c>
      <c r="D36" s="17">
        <f>Reference!B34</f>
        <v>36759.296000000002</v>
      </c>
      <c r="E36" s="18">
        <f>Reference!C34</f>
        <v>38.811300000000003</v>
      </c>
      <c r="F36" s="18">
        <f>Reference!D34</f>
        <v>44.322299999999998</v>
      </c>
      <c r="G36" s="18">
        <f>Reference!E34</f>
        <v>44.660899999999998</v>
      </c>
      <c r="H36" s="18">
        <f>Reference!F34</f>
        <v>44212.137000000002</v>
      </c>
      <c r="I36" s="18">
        <f>Reference!G34</f>
        <v>8.2390000000000008</v>
      </c>
      <c r="J36" s="19">
        <f t="shared" si="7"/>
        <v>12.281149166666667</v>
      </c>
      <c r="L36" s="17">
        <f>Test!B34</f>
        <v>36759.296000000002</v>
      </c>
      <c r="M36" s="18">
        <f>Test!C34</f>
        <v>38.811300000000003</v>
      </c>
      <c r="N36" s="18">
        <f>Test!D34</f>
        <v>44.322299999999998</v>
      </c>
      <c r="O36" s="18">
        <f>Test!E34</f>
        <v>44.660899999999998</v>
      </c>
      <c r="P36" s="18">
        <f>Test!F34</f>
        <v>45086.675999999999</v>
      </c>
      <c r="Q36" s="18">
        <f>Test!G34</f>
        <v>8.2520000000000007</v>
      </c>
      <c r="R36" s="18">
        <f t="shared" si="8"/>
        <v>12.524076666666666</v>
      </c>
      <c r="S36" s="17">
        <f t="shared" si="9"/>
        <v>1.0197805186390334</v>
      </c>
      <c r="T36" s="18">
        <f t="shared" si="10"/>
        <v>1.0015778613909454</v>
      </c>
      <c r="U36" s="91"/>
      <c r="V36" s="25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Reference!B35</f>
        <v>21831.2448</v>
      </c>
      <c r="E37" s="18">
        <f>Reference!C35</f>
        <v>35.423699999999997</v>
      </c>
      <c r="F37" s="18">
        <f>Reference!D35</f>
        <v>42.871499999999997</v>
      </c>
      <c r="G37" s="18">
        <f>Reference!E35</f>
        <v>43.200699999999998</v>
      </c>
      <c r="H37" s="18">
        <f>Reference!F35</f>
        <v>36413.938000000002</v>
      </c>
      <c r="I37" s="18">
        <f>Reference!G35</f>
        <v>7.15</v>
      </c>
      <c r="J37" s="19">
        <f t="shared" si="7"/>
        <v>10.114982777777778</v>
      </c>
      <c r="L37" s="17">
        <f>Test!B35</f>
        <v>21831.2448</v>
      </c>
      <c r="M37" s="18">
        <f>Test!C35</f>
        <v>35.423699999999997</v>
      </c>
      <c r="N37" s="18">
        <f>Test!D35</f>
        <v>42.871499999999997</v>
      </c>
      <c r="O37" s="18">
        <f>Test!E35</f>
        <v>43.200699999999998</v>
      </c>
      <c r="P37" s="18">
        <f>Test!F35</f>
        <v>36714.366999999998</v>
      </c>
      <c r="Q37" s="18">
        <f>Test!G35</f>
        <v>7.0439999999999996</v>
      </c>
      <c r="R37" s="18">
        <f t="shared" si="8"/>
        <v>10.198435277777778</v>
      </c>
      <c r="S37" s="17">
        <f t="shared" si="9"/>
        <v>1.0082503847839801</v>
      </c>
      <c r="T37" s="18">
        <f t="shared" si="10"/>
        <v>0.98517482517482502</v>
      </c>
      <c r="U37" s="91"/>
      <c r="V37" s="25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Reference!B36</f>
        <v>10756.2176</v>
      </c>
      <c r="E38" s="23">
        <f>Reference!C36</f>
        <v>31.796500000000002</v>
      </c>
      <c r="F38" s="23">
        <f>Reference!D36</f>
        <v>41.5002</v>
      </c>
      <c r="G38" s="23">
        <f>Reference!E36</f>
        <v>41.678800000000003</v>
      </c>
      <c r="H38" s="23">
        <f>Reference!F36</f>
        <v>26073.588</v>
      </c>
      <c r="I38" s="23">
        <f>Reference!G36</f>
        <v>5.62</v>
      </c>
      <c r="J38" s="24">
        <f t="shared" si="7"/>
        <v>7.2426633333333337</v>
      </c>
      <c r="L38" s="22">
        <f>Test!B36</f>
        <v>10756.2176</v>
      </c>
      <c r="M38" s="23">
        <f>Test!C36</f>
        <v>31.796500000000002</v>
      </c>
      <c r="N38" s="23">
        <f>Test!D36</f>
        <v>41.5002</v>
      </c>
      <c r="O38" s="23">
        <f>Test!E36</f>
        <v>41.678800000000003</v>
      </c>
      <c r="P38" s="23">
        <f>Test!F36</f>
        <v>26776.437999999998</v>
      </c>
      <c r="Q38" s="23">
        <f>Test!G36</f>
        <v>5.7489999999999997</v>
      </c>
      <c r="R38" s="23">
        <f t="shared" si="8"/>
        <v>7.4378994444444437</v>
      </c>
      <c r="S38" s="17">
        <f t="shared" si="9"/>
        <v>1.0269563974087494</v>
      </c>
      <c r="T38" s="18">
        <f t="shared" si="10"/>
        <v>1.0229537366548043</v>
      </c>
      <c r="U38" s="91"/>
      <c r="V38" s="51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Reference!B37</f>
        <v>20107.385600000001</v>
      </c>
      <c r="E39" s="13">
        <f>Reference!C37</f>
        <v>42.69</v>
      </c>
      <c r="F39" s="13">
        <f>Reference!D37</f>
        <v>45.481200000000001</v>
      </c>
      <c r="G39" s="13">
        <f>Reference!E37</f>
        <v>47.031799999999997</v>
      </c>
      <c r="H39" s="13">
        <f>Reference!F37</f>
        <v>34731.476999999999</v>
      </c>
      <c r="I39" s="13">
        <f>Reference!G37</f>
        <v>6.4219999999999997</v>
      </c>
      <c r="J39" s="14">
        <f t="shared" si="7"/>
        <v>9.6476325000000003</v>
      </c>
      <c r="L39" s="12">
        <f>Test!B37</f>
        <v>20107.385600000001</v>
      </c>
      <c r="M39" s="13">
        <f>Test!C37</f>
        <v>42.69</v>
      </c>
      <c r="N39" s="13">
        <f>Test!D37</f>
        <v>45.481200000000001</v>
      </c>
      <c r="O39" s="13">
        <f>Test!E37</f>
        <v>47.031799999999997</v>
      </c>
      <c r="P39" s="13">
        <f>Test!F37</f>
        <v>34313.355000000003</v>
      </c>
      <c r="Q39" s="13">
        <f>Test!G37</f>
        <v>6.4329999999999998</v>
      </c>
      <c r="R39" s="13">
        <f t="shared" si="8"/>
        <v>9.5314875000000008</v>
      </c>
      <c r="S39" s="17">
        <f t="shared" si="9"/>
        <v>0.98796129516749331</v>
      </c>
      <c r="T39" s="18">
        <f t="shared" si="10"/>
        <v>1.0017128620367486</v>
      </c>
      <c r="U39" s="91"/>
      <c r="V39" s="42">
        <f>bdrate($D39:$D42,E39:E42,$L39:$L42,M39:M42)</f>
        <v>0</v>
      </c>
      <c r="W39" s="42">
        <f>bdrate($D39:$D42,F39:F42,$L39:$L42,N39:N42)</f>
        <v>0</v>
      </c>
      <c r="X39" s="42">
        <f>bdrate($D39:$D42,G39:G42,$L39:$L42,O39:O42)</f>
        <v>0</v>
      </c>
      <c r="Y39" s="40">
        <f>bdrateOld($D39:$D42,E39:E42,$L39:$L42,M39:M42)</f>
        <v>0</v>
      </c>
      <c r="Z39" s="44">
        <f>bdrateOld($D39:$D42,F39:F42,$L39:$L42,N39:N42)</f>
        <v>0</v>
      </c>
      <c r="AA39" s="45">
        <f>bdrateOld($D39:$D42,G39:G42,$L39:$L42,O39:O42)</f>
        <v>0</v>
      </c>
    </row>
    <row r="40" spans="1:27" x14ac:dyDescent="0.2">
      <c r="A40" s="16"/>
      <c r="B40" s="85"/>
      <c r="C40" s="16">
        <v>32</v>
      </c>
      <c r="D40" s="17">
        <f>Reference!B38</f>
        <v>11409.843199999999</v>
      </c>
      <c r="E40" s="18">
        <f>Reference!C38</f>
        <v>40.6663</v>
      </c>
      <c r="F40" s="18">
        <f>Reference!D38</f>
        <v>44.567500000000003</v>
      </c>
      <c r="G40" s="18">
        <f>Reference!E38</f>
        <v>45.400300000000001</v>
      </c>
      <c r="H40" s="18">
        <f>Reference!F38</f>
        <v>25553.859</v>
      </c>
      <c r="I40" s="18">
        <f>Reference!G38</f>
        <v>5.3680000000000003</v>
      </c>
      <c r="J40" s="19">
        <f t="shared" si="7"/>
        <v>7.0982941666666663</v>
      </c>
      <c r="L40" s="17">
        <f>Test!B38</f>
        <v>11409.843199999999</v>
      </c>
      <c r="M40" s="18">
        <f>Test!C38</f>
        <v>40.6663</v>
      </c>
      <c r="N40" s="18">
        <f>Test!D38</f>
        <v>44.567500000000003</v>
      </c>
      <c r="O40" s="18">
        <f>Test!E38</f>
        <v>45.400300000000001</v>
      </c>
      <c r="P40" s="18">
        <f>Test!F38</f>
        <v>26866.423999999999</v>
      </c>
      <c r="Q40" s="18">
        <f>Test!G38</f>
        <v>5.6310000000000002</v>
      </c>
      <c r="R40" s="18">
        <f t="shared" si="8"/>
        <v>7.4628955555555549</v>
      </c>
      <c r="S40" s="17">
        <f t="shared" si="9"/>
        <v>1.0513646490731594</v>
      </c>
      <c r="T40" s="18">
        <f t="shared" si="10"/>
        <v>1.0489940387481371</v>
      </c>
      <c r="U40" s="91"/>
      <c r="V40" s="25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Reference!B39</f>
        <v>6331.4687999999996</v>
      </c>
      <c r="E41" s="18">
        <f>Reference!C39</f>
        <v>38.6648</v>
      </c>
      <c r="F41" s="18">
        <f>Reference!D39</f>
        <v>43.620399999999997</v>
      </c>
      <c r="G41" s="18">
        <f>Reference!E39</f>
        <v>43.6327</v>
      </c>
      <c r="H41" s="18">
        <f>Reference!F39</f>
        <v>17025.596000000001</v>
      </c>
      <c r="I41" s="18">
        <f>Reference!G39</f>
        <v>4.7060000000000004</v>
      </c>
      <c r="J41" s="19">
        <f t="shared" si="7"/>
        <v>4.7293322222222223</v>
      </c>
      <c r="L41" s="17">
        <f>Test!B39</f>
        <v>6331.4687999999996</v>
      </c>
      <c r="M41" s="18">
        <f>Test!C39</f>
        <v>38.6648</v>
      </c>
      <c r="N41" s="18">
        <f>Test!D39</f>
        <v>43.620399999999997</v>
      </c>
      <c r="O41" s="18">
        <f>Test!E39</f>
        <v>43.6327</v>
      </c>
      <c r="P41" s="18">
        <f>Test!F39</f>
        <v>17442.976999999999</v>
      </c>
      <c r="Q41" s="18">
        <f>Test!G39</f>
        <v>4.8869999999999996</v>
      </c>
      <c r="R41" s="18">
        <f t="shared" si="8"/>
        <v>4.8452713888888885</v>
      </c>
      <c r="S41" s="17">
        <f t="shared" si="9"/>
        <v>1.0245149127231727</v>
      </c>
      <c r="T41" s="18">
        <f t="shared" si="10"/>
        <v>1.0384615384615383</v>
      </c>
      <c r="U41" s="91"/>
      <c r="V41" s="25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Reference!B40</f>
        <v>3230.4895999999999</v>
      </c>
      <c r="E42" s="23">
        <f>Reference!C40</f>
        <v>36.290999999999997</v>
      </c>
      <c r="F42" s="23">
        <f>Reference!D40</f>
        <v>42.315899999999999</v>
      </c>
      <c r="G42" s="23">
        <f>Reference!E40</f>
        <v>41.464500000000001</v>
      </c>
      <c r="H42" s="23">
        <f>Reference!F40</f>
        <v>10776.124</v>
      </c>
      <c r="I42" s="23">
        <f>Reference!G40</f>
        <v>4.3410000000000002</v>
      </c>
      <c r="J42" s="24">
        <f t="shared" si="7"/>
        <v>2.9933677777777778</v>
      </c>
      <c r="L42" s="22">
        <f>Test!B40</f>
        <v>3230.4895999999999</v>
      </c>
      <c r="M42" s="23">
        <f>Test!C40</f>
        <v>36.290999999999997</v>
      </c>
      <c r="N42" s="23">
        <f>Test!D40</f>
        <v>42.315899999999999</v>
      </c>
      <c r="O42" s="23">
        <f>Test!E40</f>
        <v>41.464500000000001</v>
      </c>
      <c r="P42" s="23">
        <f>Test!F40</f>
        <v>10783.253000000001</v>
      </c>
      <c r="Q42" s="23">
        <f>Test!G40</f>
        <v>4.2549999999999999</v>
      </c>
      <c r="R42" s="23">
        <f t="shared" si="8"/>
        <v>2.9953480555555556</v>
      </c>
      <c r="S42" s="17">
        <f t="shared" si="9"/>
        <v>1.0006615551194475</v>
      </c>
      <c r="T42" s="18">
        <f t="shared" si="10"/>
        <v>0.9801888965676111</v>
      </c>
      <c r="U42" s="91"/>
      <c r="V42" s="51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Reference!B41</f>
        <v>15114.5152</v>
      </c>
      <c r="E43" s="13">
        <f>Reference!C41</f>
        <v>44.225700000000003</v>
      </c>
      <c r="F43" s="13">
        <f>Reference!D41</f>
        <v>47.0792</v>
      </c>
      <c r="G43" s="13">
        <f>Reference!E41</f>
        <v>47.969700000000003</v>
      </c>
      <c r="H43" s="13">
        <f>Reference!F41</f>
        <v>26963.344000000001</v>
      </c>
      <c r="I43" s="13">
        <f>Reference!G41</f>
        <v>6.0629999999999997</v>
      </c>
      <c r="J43" s="14">
        <f t="shared" si="7"/>
        <v>7.4898177777777777</v>
      </c>
      <c r="L43" s="12">
        <f>Test!B41</f>
        <v>15114.5152</v>
      </c>
      <c r="M43" s="13">
        <f>Test!C41</f>
        <v>44.225700000000003</v>
      </c>
      <c r="N43" s="13">
        <f>Test!D41</f>
        <v>47.0792</v>
      </c>
      <c r="O43" s="13">
        <f>Test!E41</f>
        <v>47.969700000000003</v>
      </c>
      <c r="P43" s="13">
        <f>Test!F41</f>
        <v>27344.398000000001</v>
      </c>
      <c r="Q43" s="13">
        <f>Test!G41</f>
        <v>6.1710000000000003</v>
      </c>
      <c r="R43" s="13">
        <f t="shared" si="8"/>
        <v>7.595666111111111</v>
      </c>
      <c r="S43" s="17">
        <f t="shared" si="9"/>
        <v>1.014132297536982</v>
      </c>
      <c r="T43" s="18">
        <f t="shared" si="10"/>
        <v>1.0178129638792677</v>
      </c>
      <c r="U43" s="91"/>
      <c r="V43" s="42">
        <f>bdrate($D43:$D46,E43:E46,$L43:$L46,M43:M46)</f>
        <v>0</v>
      </c>
      <c r="W43" s="42">
        <f>bdrate($D43:$D46,F43:F46,$L43:$L46,N43:N46)</f>
        <v>0</v>
      </c>
      <c r="X43" s="42">
        <f>bdrate($D43:$D46,G43:G46,$L43:$L46,O43:O46)</f>
        <v>0</v>
      </c>
      <c r="Y43" s="40">
        <f>bdrateOld($D43:$D46,E43:E46,$L43:$L46,M43:M46)</f>
        <v>0</v>
      </c>
      <c r="Z43" s="44">
        <f>bdrateOld($D43:$D46,F43:F46,$L43:$L46,N43:N46)</f>
        <v>0</v>
      </c>
      <c r="AA43" s="45">
        <f>bdrateOld($D43:$D46,G43:G46,$L43:$L46,O43:O46)</f>
        <v>0</v>
      </c>
    </row>
    <row r="44" spans="1:27" x14ac:dyDescent="0.2">
      <c r="A44" s="16"/>
      <c r="B44" s="85"/>
      <c r="C44" s="16">
        <v>32</v>
      </c>
      <c r="D44" s="17">
        <f>Reference!B42</f>
        <v>10258.822399999999</v>
      </c>
      <c r="E44" s="18">
        <f>Reference!C42</f>
        <v>42.495899999999999</v>
      </c>
      <c r="F44" s="18">
        <f>Reference!D42</f>
        <v>45.927500000000002</v>
      </c>
      <c r="G44" s="18">
        <f>Reference!E42</f>
        <v>46.6449</v>
      </c>
      <c r="H44" s="18">
        <f>Reference!F42</f>
        <v>20800.028999999999</v>
      </c>
      <c r="I44" s="18">
        <f>Reference!G42</f>
        <v>5.4340000000000002</v>
      </c>
      <c r="J44" s="19">
        <f t="shared" si="7"/>
        <v>5.7777858333333327</v>
      </c>
      <c r="L44" s="17">
        <f>Test!B42</f>
        <v>10258.822399999999</v>
      </c>
      <c r="M44" s="18">
        <f>Test!C42</f>
        <v>42.495899999999999</v>
      </c>
      <c r="N44" s="18">
        <f>Test!D42</f>
        <v>45.927500000000002</v>
      </c>
      <c r="O44" s="18">
        <f>Test!E42</f>
        <v>46.6449</v>
      </c>
      <c r="P44" s="18">
        <f>Test!F42</f>
        <v>21491.921999999999</v>
      </c>
      <c r="Q44" s="18">
        <f>Test!G42</f>
        <v>5.5860000000000003</v>
      </c>
      <c r="R44" s="18">
        <f t="shared" si="8"/>
        <v>5.9699783333333327</v>
      </c>
      <c r="S44" s="17">
        <f t="shared" si="9"/>
        <v>1.0332640401607132</v>
      </c>
      <c r="T44" s="18">
        <f t="shared" si="10"/>
        <v>1.0279720279720279</v>
      </c>
      <c r="U44" s="91"/>
      <c r="V44" s="25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Reference!B43</f>
        <v>6478.7071999999998</v>
      </c>
      <c r="E45" s="18">
        <f>Reference!C43</f>
        <v>40.162300000000002</v>
      </c>
      <c r="F45" s="18">
        <f>Reference!D43</f>
        <v>44.5916</v>
      </c>
      <c r="G45" s="18">
        <f>Reference!E43</f>
        <v>45.1053</v>
      </c>
      <c r="H45" s="18">
        <f>Reference!F43</f>
        <v>16141.370999999999</v>
      </c>
      <c r="I45" s="18">
        <f>Reference!G43</f>
        <v>5.0640000000000001</v>
      </c>
      <c r="J45" s="19">
        <f t="shared" si="7"/>
        <v>4.4837141666666662</v>
      </c>
      <c r="L45" s="17">
        <f>Test!B43</f>
        <v>6478.7071999999998</v>
      </c>
      <c r="M45" s="18">
        <f>Test!C43</f>
        <v>40.162300000000002</v>
      </c>
      <c r="N45" s="18">
        <f>Test!D43</f>
        <v>44.5916</v>
      </c>
      <c r="O45" s="18">
        <f>Test!E43</f>
        <v>45.1053</v>
      </c>
      <c r="P45" s="18">
        <f>Test!F43</f>
        <v>16863.713</v>
      </c>
      <c r="Q45" s="18">
        <f>Test!G43</f>
        <v>5.3860000000000001</v>
      </c>
      <c r="R45" s="18">
        <f t="shared" si="8"/>
        <v>4.684364722222222</v>
      </c>
      <c r="S45" s="17">
        <f t="shared" si="9"/>
        <v>1.0447509694188926</v>
      </c>
      <c r="T45" s="18">
        <f t="shared" si="10"/>
        <v>1.0635860979462874</v>
      </c>
      <c r="U45" s="91"/>
      <c r="V45" s="25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Reference!B44</f>
        <v>3752.7359999999999</v>
      </c>
      <c r="E46" s="23">
        <f>Reference!C44</f>
        <v>37.174399999999999</v>
      </c>
      <c r="F46" s="23">
        <f>Reference!D44</f>
        <v>42.877600000000001</v>
      </c>
      <c r="G46" s="23">
        <f>Reference!E44</f>
        <v>43.065100000000001</v>
      </c>
      <c r="H46" s="23">
        <f>Reference!F44</f>
        <v>10900.236999999999</v>
      </c>
      <c r="I46" s="23">
        <f>Reference!G44</f>
        <v>4.4139999999999997</v>
      </c>
      <c r="J46" s="24">
        <f t="shared" si="7"/>
        <v>3.0278436111111109</v>
      </c>
      <c r="L46" s="22">
        <f>Test!B44</f>
        <v>3752.7359999999999</v>
      </c>
      <c r="M46" s="23">
        <f>Test!C44</f>
        <v>37.174399999999999</v>
      </c>
      <c r="N46" s="23">
        <f>Test!D44</f>
        <v>42.877600000000001</v>
      </c>
      <c r="O46" s="23">
        <f>Test!E44</f>
        <v>43.065100000000001</v>
      </c>
      <c r="P46" s="23">
        <f>Test!F44</f>
        <v>10783.79</v>
      </c>
      <c r="Q46" s="23">
        <f>Test!G44</f>
        <v>4.5869999999999997</v>
      </c>
      <c r="R46" s="23">
        <f t="shared" si="8"/>
        <v>2.9954972222222223</v>
      </c>
      <c r="S46" s="17">
        <f t="shared" si="9"/>
        <v>0.98931702127210641</v>
      </c>
      <c r="T46" s="18">
        <f t="shared" si="10"/>
        <v>1.0391934753058452</v>
      </c>
      <c r="U46" s="91"/>
      <c r="V46" s="51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Reference!B45</f>
        <v>16384.947199999999</v>
      </c>
      <c r="E47" s="13">
        <f>Reference!C45</f>
        <v>44.169199999999996</v>
      </c>
      <c r="F47" s="13">
        <f>Reference!D45</f>
        <v>48.808399999999999</v>
      </c>
      <c r="G47" s="13">
        <f>Reference!E45</f>
        <v>48.461799999999997</v>
      </c>
      <c r="H47" s="13">
        <f>Reference!F45</f>
        <v>27106.916000000001</v>
      </c>
      <c r="I47" s="13">
        <f>Reference!G45</f>
        <v>5.7480000000000002</v>
      </c>
      <c r="J47" s="14">
        <f>H47/3600</f>
        <v>7.5296988888888894</v>
      </c>
      <c r="L47" s="12">
        <f>Test!B45</f>
        <v>16384.947199999999</v>
      </c>
      <c r="M47" s="13">
        <f>Test!C45</f>
        <v>44.169199999999996</v>
      </c>
      <c r="N47" s="13">
        <f>Test!D45</f>
        <v>48.808399999999999</v>
      </c>
      <c r="O47" s="13">
        <f>Test!E45</f>
        <v>48.461799999999997</v>
      </c>
      <c r="P47" s="13">
        <f>Test!F45</f>
        <v>27911.768</v>
      </c>
      <c r="Q47" s="13">
        <f>Test!G45</f>
        <v>6.0940000000000003</v>
      </c>
      <c r="R47" s="13">
        <f>P47/3600</f>
        <v>7.753268888888889</v>
      </c>
      <c r="S47" s="17">
        <f>P47/H47</f>
        <v>1.0296917583689711</v>
      </c>
      <c r="T47" s="18">
        <f>Q47/I47</f>
        <v>1.0601948503827419</v>
      </c>
      <c r="U47" s="91"/>
      <c r="V47" s="42">
        <f>bdrate($D47:$D50,E47:E50,$L47:$L50,M47:M50)</f>
        <v>0</v>
      </c>
      <c r="W47" s="42">
        <f>bdrate($D47:$D50,F47:F50,$L47:$L50,N47:N50)</f>
        <v>0</v>
      </c>
      <c r="X47" s="43">
        <f>bdrate($D47:$D50,G47:G50,$L47:$L50,O47:O50)</f>
        <v>0</v>
      </c>
      <c r="Y47" s="37">
        <f>bdrateOld($D47:$D50,E47:E50,$L47:$L50,M47:M50)</f>
        <v>0</v>
      </c>
      <c r="Z47" s="42">
        <f>bdrateOld($D47:$D50,F47:F50,$L47:$L50,N47:N50)</f>
        <v>0</v>
      </c>
      <c r="AA47" s="43">
        <f>bdrateOld($D47:$D50,G47:G50,$L47:$L50,O47:O50)</f>
        <v>0</v>
      </c>
    </row>
    <row r="48" spans="1:27" x14ac:dyDescent="0.2">
      <c r="A48" s="16"/>
      <c r="B48" s="85"/>
      <c r="C48" s="16">
        <v>32</v>
      </c>
      <c r="D48" s="17">
        <f>Reference!B46</f>
        <v>11391.315199999999</v>
      </c>
      <c r="E48" s="18">
        <f>Reference!C46</f>
        <v>42.431699999999999</v>
      </c>
      <c r="F48" s="18">
        <f>Reference!D46</f>
        <v>47.805</v>
      </c>
      <c r="G48" s="18">
        <f>Reference!E46</f>
        <v>46.991999999999997</v>
      </c>
      <c r="H48" s="18">
        <f>Reference!F46</f>
        <v>21696.025000000001</v>
      </c>
      <c r="I48" s="18">
        <f>Reference!G46</f>
        <v>5.2069999999999999</v>
      </c>
      <c r="J48" s="19">
        <f t="shared" ref="J48:J70" si="11">H48/3600</f>
        <v>6.0266736111111117</v>
      </c>
      <c r="L48" s="17">
        <f>Test!B46</f>
        <v>11391.315199999999</v>
      </c>
      <c r="M48" s="18">
        <f>Test!C46</f>
        <v>42.431699999999999</v>
      </c>
      <c r="N48" s="18">
        <f>Test!D46</f>
        <v>47.805</v>
      </c>
      <c r="O48" s="18">
        <f>Test!E46</f>
        <v>46.991999999999997</v>
      </c>
      <c r="P48" s="18">
        <f>Test!F46</f>
        <v>21917.988000000001</v>
      </c>
      <c r="Q48" s="18">
        <f>Test!G46</f>
        <v>5.3049999999999997</v>
      </c>
      <c r="R48" s="18">
        <f t="shared" ref="R48:R70" si="12">P48/3600</f>
        <v>6.08833</v>
      </c>
      <c r="S48" s="17">
        <f t="shared" ref="S48:S70" si="13">P48/H48</f>
        <v>1.0102305837129151</v>
      </c>
      <c r="T48" s="18">
        <f t="shared" ref="T48:T70" si="14">Q48/I48</f>
        <v>1.0188208181294411</v>
      </c>
      <c r="U48" s="91"/>
      <c r="V48" s="25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Reference!B47</f>
        <v>7412.5951999999997</v>
      </c>
      <c r="E49" s="18">
        <f>Reference!C47</f>
        <v>40.051200000000001</v>
      </c>
      <c r="F49" s="18">
        <f>Reference!D47</f>
        <v>46.616399999999999</v>
      </c>
      <c r="G49" s="18">
        <f>Reference!E47</f>
        <v>45.3123</v>
      </c>
      <c r="H49" s="18">
        <f>Reference!F47</f>
        <v>16006.404</v>
      </c>
      <c r="I49" s="18">
        <f>Reference!G47</f>
        <v>4.55</v>
      </c>
      <c r="J49" s="19">
        <f t="shared" si="11"/>
        <v>4.4462233333333332</v>
      </c>
      <c r="L49" s="17">
        <f>Test!B47</f>
        <v>7412.5951999999997</v>
      </c>
      <c r="M49" s="18">
        <f>Test!C47</f>
        <v>40.051200000000001</v>
      </c>
      <c r="N49" s="18">
        <f>Test!D47</f>
        <v>46.616399999999999</v>
      </c>
      <c r="O49" s="18">
        <f>Test!E47</f>
        <v>45.3123</v>
      </c>
      <c r="P49" s="18">
        <f>Test!F47</f>
        <v>16249.713</v>
      </c>
      <c r="Q49" s="18">
        <f>Test!G47</f>
        <v>4.8159999999999998</v>
      </c>
      <c r="R49" s="18">
        <f t="shared" si="12"/>
        <v>4.5138091666666664</v>
      </c>
      <c r="S49" s="17">
        <f t="shared" si="13"/>
        <v>1.0152007284084545</v>
      </c>
      <c r="T49" s="18">
        <f t="shared" si="14"/>
        <v>1.0584615384615386</v>
      </c>
      <c r="U49" s="91"/>
      <c r="V49" s="25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Reference!B48</f>
        <v>4304.9215999999997</v>
      </c>
      <c r="E50" s="23">
        <f>Reference!C48</f>
        <v>36.829799999999999</v>
      </c>
      <c r="F50" s="23">
        <f>Reference!D48</f>
        <v>44.759900000000002</v>
      </c>
      <c r="G50" s="23">
        <f>Reference!E48</f>
        <v>42.994399999999999</v>
      </c>
      <c r="H50" s="23">
        <f>Reference!F48</f>
        <v>11414.897999999999</v>
      </c>
      <c r="I50" s="23">
        <f>Reference!G48</f>
        <v>4.2249999999999996</v>
      </c>
      <c r="J50" s="24">
        <f t="shared" si="11"/>
        <v>3.1708049999999997</v>
      </c>
      <c r="L50" s="22">
        <f>Test!B48</f>
        <v>4304.9215999999997</v>
      </c>
      <c r="M50" s="23">
        <f>Test!C48</f>
        <v>36.829799999999999</v>
      </c>
      <c r="N50" s="23">
        <f>Test!D48</f>
        <v>44.759900000000002</v>
      </c>
      <c r="O50" s="23">
        <f>Test!E48</f>
        <v>42.994399999999999</v>
      </c>
      <c r="P50" s="23">
        <f>Test!F48</f>
        <v>11327.239</v>
      </c>
      <c r="Q50" s="23">
        <f>Test!G48</f>
        <v>4.0960000000000001</v>
      </c>
      <c r="R50" s="23">
        <f t="shared" si="12"/>
        <v>3.1464552777777777</v>
      </c>
      <c r="S50" s="22">
        <f t="shared" si="13"/>
        <v>0.99232064973335721</v>
      </c>
      <c r="T50" s="23">
        <f t="shared" si="14"/>
        <v>0.96946745562130188</v>
      </c>
      <c r="U50" s="92"/>
      <c r="V50" s="51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Reference!B49</f>
        <v>0</v>
      </c>
      <c r="E51" s="13">
        <f>Reference!C49</f>
        <v>0</v>
      </c>
      <c r="F51" s="13">
        <f>Reference!D49</f>
        <v>0</v>
      </c>
      <c r="G51" s="13">
        <f>Reference!E49</f>
        <v>0</v>
      </c>
      <c r="H51" s="13">
        <f>Reference!F49</f>
        <v>0</v>
      </c>
      <c r="I51" s="13">
        <f>Reference!G49</f>
        <v>0</v>
      </c>
      <c r="J51" s="14">
        <f t="shared" si="11"/>
        <v>0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2" t="e">
        <f t="shared" si="13"/>
        <v>#DIV/0!</v>
      </c>
      <c r="T51" s="13" t="e">
        <f t="shared" si="14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Reference!B50</f>
        <v>0</v>
      </c>
      <c r="E52" s="18">
        <f>Reference!C50</f>
        <v>0</v>
      </c>
      <c r="F52" s="18">
        <f>Reference!D50</f>
        <v>0</v>
      </c>
      <c r="G52" s="18">
        <f>Reference!E50</f>
        <v>0</v>
      </c>
      <c r="H52" s="18">
        <f>Reference!F50</f>
        <v>0</v>
      </c>
      <c r="I52" s="18">
        <f>Reference!G50</f>
        <v>0</v>
      </c>
      <c r="J52" s="19">
        <f t="shared" si="11"/>
        <v>0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12"/>
        <v>0</v>
      </c>
      <c r="S52" s="17" t="e">
        <f t="shared" si="13"/>
        <v>#DIV/0!</v>
      </c>
      <c r="T52" s="18" t="e">
        <f t="shared" si="14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Reference!B51</f>
        <v>0</v>
      </c>
      <c r="E53" s="18">
        <f>Reference!C51</f>
        <v>0</v>
      </c>
      <c r="F53" s="18">
        <f>Reference!D51</f>
        <v>0</v>
      </c>
      <c r="G53" s="18">
        <f>Reference!E51</f>
        <v>0</v>
      </c>
      <c r="H53" s="18">
        <f>Reference!F51</f>
        <v>0</v>
      </c>
      <c r="I53" s="18">
        <f>Reference!G51</f>
        <v>0</v>
      </c>
      <c r="J53" s="19">
        <f t="shared" si="11"/>
        <v>0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12"/>
        <v>0</v>
      </c>
      <c r="S53" s="17" t="e">
        <f t="shared" si="13"/>
        <v>#DIV/0!</v>
      </c>
      <c r="T53" s="18" t="e">
        <f t="shared" si="14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Reference!B52</f>
        <v>0</v>
      </c>
      <c r="E54" s="23">
        <f>Reference!C52</f>
        <v>0</v>
      </c>
      <c r="F54" s="23">
        <f>Reference!D52</f>
        <v>0</v>
      </c>
      <c r="G54" s="23">
        <f>Reference!E52</f>
        <v>0</v>
      </c>
      <c r="H54" s="23">
        <f>Reference!F52</f>
        <v>0</v>
      </c>
      <c r="I54" s="23">
        <f>Reference!G52</f>
        <v>0</v>
      </c>
      <c r="J54" s="24">
        <f t="shared" si="11"/>
        <v>0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12"/>
        <v>0</v>
      </c>
      <c r="S54" s="17" t="e">
        <f t="shared" si="13"/>
        <v>#DIV/0!</v>
      </c>
      <c r="T54" s="18" t="e">
        <f t="shared" si="14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Reference!B53</f>
        <v>0</v>
      </c>
      <c r="E55" s="13">
        <f>Reference!C53</f>
        <v>0</v>
      </c>
      <c r="F55" s="13">
        <f>Reference!D53</f>
        <v>0</v>
      </c>
      <c r="G55" s="13">
        <f>Reference!E53</f>
        <v>0</v>
      </c>
      <c r="H55" s="13">
        <f>Reference!F53</f>
        <v>0</v>
      </c>
      <c r="I55" s="13">
        <f>Reference!G53</f>
        <v>0</v>
      </c>
      <c r="J55" s="14">
        <f t="shared" si="11"/>
        <v>0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7" t="e">
        <f t="shared" si="13"/>
        <v>#DIV/0!</v>
      </c>
      <c r="T55" s="18" t="e">
        <f t="shared" si="14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Reference!B54</f>
        <v>0</v>
      </c>
      <c r="E56" s="18">
        <f>Reference!C54</f>
        <v>0</v>
      </c>
      <c r="F56" s="18">
        <f>Reference!D54</f>
        <v>0</v>
      </c>
      <c r="G56" s="18">
        <f>Reference!E54</f>
        <v>0</v>
      </c>
      <c r="H56" s="18">
        <f>Reference!F54</f>
        <v>0</v>
      </c>
      <c r="I56" s="18">
        <f>Reference!G54</f>
        <v>0</v>
      </c>
      <c r="J56" s="19">
        <f t="shared" si="11"/>
        <v>0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12"/>
        <v>0</v>
      </c>
      <c r="S56" s="17" t="e">
        <f t="shared" si="13"/>
        <v>#DIV/0!</v>
      </c>
      <c r="T56" s="18" t="e">
        <f t="shared" si="14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Reference!B55</f>
        <v>0</v>
      </c>
      <c r="E57" s="18">
        <f>Reference!C55</f>
        <v>0</v>
      </c>
      <c r="F57" s="18">
        <f>Reference!D55</f>
        <v>0</v>
      </c>
      <c r="G57" s="18">
        <f>Reference!E55</f>
        <v>0</v>
      </c>
      <c r="H57" s="18">
        <f>Reference!F55</f>
        <v>0</v>
      </c>
      <c r="I57" s="18">
        <f>Reference!G55</f>
        <v>0</v>
      </c>
      <c r="J57" s="19">
        <f t="shared" si="11"/>
        <v>0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12"/>
        <v>0</v>
      </c>
      <c r="S57" s="17" t="e">
        <f t="shared" si="13"/>
        <v>#DIV/0!</v>
      </c>
      <c r="T57" s="18" t="e">
        <f t="shared" si="14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Reference!B56</f>
        <v>0</v>
      </c>
      <c r="E58" s="23">
        <f>Reference!C56</f>
        <v>0</v>
      </c>
      <c r="F58" s="23">
        <f>Reference!D56</f>
        <v>0</v>
      </c>
      <c r="G58" s="23">
        <f>Reference!E56</f>
        <v>0</v>
      </c>
      <c r="H58" s="23">
        <f>Reference!F56</f>
        <v>0</v>
      </c>
      <c r="I58" s="23">
        <f>Reference!G56</f>
        <v>0</v>
      </c>
      <c r="J58" s="24">
        <f t="shared" si="11"/>
        <v>0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12"/>
        <v>0</v>
      </c>
      <c r="S58" s="22" t="e">
        <f t="shared" si="13"/>
        <v>#DIV/0!</v>
      </c>
      <c r="T58" s="23" t="e">
        <f t="shared" si="14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48" t="s">
        <v>371</v>
      </c>
      <c r="B59" s="48" t="s">
        <v>367</v>
      </c>
      <c r="C59" s="11">
        <v>27</v>
      </c>
      <c r="D59" s="12">
        <f>Reference!B57</f>
        <v>0</v>
      </c>
      <c r="E59" s="13">
        <f>Reference!C57</f>
        <v>0</v>
      </c>
      <c r="F59" s="13">
        <f>Reference!D57</f>
        <v>0</v>
      </c>
      <c r="G59" s="13">
        <f>Reference!E57</f>
        <v>0</v>
      </c>
      <c r="H59" s="13">
        <f>Reference!F57</f>
        <v>0</v>
      </c>
      <c r="I59" s="13">
        <f>Reference!G57</f>
        <v>0</v>
      </c>
      <c r="J59" s="14">
        <f t="shared" si="11"/>
        <v>0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3">
        <f t="shared" si="12"/>
        <v>0</v>
      </c>
      <c r="S59" s="12" t="e">
        <f t="shared" si="13"/>
        <v>#DIV/0!</v>
      </c>
      <c r="T59" s="13" t="e">
        <f t="shared" si="14"/>
        <v>#DIV/0!</v>
      </c>
      <c r="U59" s="90"/>
      <c r="V59" s="42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 t="s">
        <v>372</v>
      </c>
      <c r="B60" s="85"/>
      <c r="C60" s="16">
        <v>32</v>
      </c>
      <c r="D60" s="17">
        <f>Reference!B58</f>
        <v>0</v>
      </c>
      <c r="E60" s="18">
        <f>Reference!C58</f>
        <v>0</v>
      </c>
      <c r="F60" s="18">
        <f>Reference!D58</f>
        <v>0</v>
      </c>
      <c r="G60" s="18">
        <f>Reference!E58</f>
        <v>0</v>
      </c>
      <c r="H60" s="18">
        <f>Reference!F58</f>
        <v>0</v>
      </c>
      <c r="I60" s="18">
        <f>Reference!G58</f>
        <v>0</v>
      </c>
      <c r="J60" s="19">
        <f t="shared" si="11"/>
        <v>0</v>
      </c>
      <c r="L60" s="17">
        <f>Test!B58</f>
        <v>0</v>
      </c>
      <c r="M60" s="18">
        <f>Test!C58</f>
        <v>0</v>
      </c>
      <c r="N60" s="18">
        <f>Test!D58</f>
        <v>0</v>
      </c>
      <c r="O60" s="18">
        <f>Test!E58</f>
        <v>0</v>
      </c>
      <c r="P60" s="18">
        <f>Test!F58</f>
        <v>0</v>
      </c>
      <c r="Q60" s="18">
        <f>Test!G58</f>
        <v>0</v>
      </c>
      <c r="R60" s="18">
        <f t="shared" si="12"/>
        <v>0</v>
      </c>
      <c r="S60" s="17" t="e">
        <f t="shared" si="13"/>
        <v>#DIV/0!</v>
      </c>
      <c r="T60" s="18" t="e">
        <f t="shared" si="14"/>
        <v>#DIV/0!</v>
      </c>
      <c r="U60" s="91"/>
      <c r="V60" s="25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Reference!B59</f>
        <v>0</v>
      </c>
      <c r="E61" s="18">
        <f>Reference!C59</f>
        <v>0</v>
      </c>
      <c r="F61" s="18">
        <f>Reference!D59</f>
        <v>0</v>
      </c>
      <c r="G61" s="18">
        <f>Reference!E59</f>
        <v>0</v>
      </c>
      <c r="H61" s="18">
        <f>Reference!F59</f>
        <v>0</v>
      </c>
      <c r="I61" s="18">
        <f>Reference!G59</f>
        <v>0</v>
      </c>
      <c r="J61" s="19">
        <f t="shared" si="11"/>
        <v>0</v>
      </c>
      <c r="L61" s="17">
        <f>Test!B59</f>
        <v>0</v>
      </c>
      <c r="M61" s="18">
        <f>Test!C59</f>
        <v>0</v>
      </c>
      <c r="N61" s="18">
        <f>Test!D59</f>
        <v>0</v>
      </c>
      <c r="O61" s="18">
        <f>Test!E59</f>
        <v>0</v>
      </c>
      <c r="P61" s="18">
        <f>Test!F59</f>
        <v>0</v>
      </c>
      <c r="Q61" s="18">
        <f>Test!G59</f>
        <v>0</v>
      </c>
      <c r="R61" s="18">
        <f t="shared" si="12"/>
        <v>0</v>
      </c>
      <c r="S61" s="17" t="e">
        <f t="shared" si="13"/>
        <v>#DIV/0!</v>
      </c>
      <c r="T61" s="18" t="e">
        <f t="shared" si="14"/>
        <v>#DIV/0!</v>
      </c>
      <c r="U61" s="91"/>
      <c r="V61" s="25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Reference!B60</f>
        <v>0</v>
      </c>
      <c r="E62" s="23">
        <f>Reference!C60</f>
        <v>0</v>
      </c>
      <c r="F62" s="23">
        <f>Reference!D60</f>
        <v>0</v>
      </c>
      <c r="G62" s="23">
        <f>Reference!E60</f>
        <v>0</v>
      </c>
      <c r="H62" s="23">
        <f>Reference!F60</f>
        <v>0</v>
      </c>
      <c r="I62" s="23">
        <f>Reference!G60</f>
        <v>0</v>
      </c>
      <c r="J62" s="24">
        <f t="shared" si="11"/>
        <v>0</v>
      </c>
      <c r="L62" s="22">
        <f>Test!B60</f>
        <v>0</v>
      </c>
      <c r="M62" s="23">
        <f>Test!C60</f>
        <v>0</v>
      </c>
      <c r="N62" s="23">
        <f>Test!D60</f>
        <v>0</v>
      </c>
      <c r="O62" s="23">
        <f>Test!E60</f>
        <v>0</v>
      </c>
      <c r="P62" s="23">
        <f>Test!F60</f>
        <v>0</v>
      </c>
      <c r="Q62" s="23">
        <f>Test!G60</f>
        <v>0</v>
      </c>
      <c r="R62" s="23">
        <f t="shared" si="12"/>
        <v>0</v>
      </c>
      <c r="S62" s="17" t="e">
        <f t="shared" si="13"/>
        <v>#DIV/0!</v>
      </c>
      <c r="T62" s="18" t="e">
        <f t="shared" si="14"/>
        <v>#DIV/0!</v>
      </c>
      <c r="U62" s="91"/>
      <c r="V62" s="51"/>
      <c r="W62" s="51"/>
      <c r="X62" s="51"/>
      <c r="Y62" s="39"/>
      <c r="Z62" s="51"/>
      <c r="AA62" s="52"/>
    </row>
    <row r="63" spans="1:27" x14ac:dyDescent="0.2">
      <c r="A63" s="16"/>
      <c r="B63" s="48" t="s">
        <v>368</v>
      </c>
      <c r="C63" s="11">
        <v>27</v>
      </c>
      <c r="D63" s="12">
        <f>Reference!B61</f>
        <v>0</v>
      </c>
      <c r="E63" s="13">
        <f>Reference!C61</f>
        <v>0</v>
      </c>
      <c r="F63" s="13">
        <f>Reference!D61</f>
        <v>0</v>
      </c>
      <c r="G63" s="13">
        <f>Reference!E61</f>
        <v>0</v>
      </c>
      <c r="H63" s="13">
        <f>Reference!F61</f>
        <v>0</v>
      </c>
      <c r="I63" s="13">
        <f>Reference!G61</f>
        <v>0</v>
      </c>
      <c r="J63" s="14">
        <f t="shared" si="11"/>
        <v>0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3">
        <f t="shared" si="12"/>
        <v>0</v>
      </c>
      <c r="S63" s="17" t="e">
        <f t="shared" si="13"/>
        <v>#DIV/0!</v>
      </c>
      <c r="T63" s="18" t="e">
        <f t="shared" si="14"/>
        <v>#DIV/0!</v>
      </c>
      <c r="U63" s="91"/>
      <c r="V63" s="42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Reference!B62</f>
        <v>0</v>
      </c>
      <c r="E64" s="18">
        <f>Reference!C62</f>
        <v>0</v>
      </c>
      <c r="F64" s="18">
        <f>Reference!D62</f>
        <v>0</v>
      </c>
      <c r="G64" s="18">
        <f>Reference!E62</f>
        <v>0</v>
      </c>
      <c r="H64" s="18">
        <f>Reference!F62</f>
        <v>0</v>
      </c>
      <c r="I64" s="18">
        <f>Reference!G62</f>
        <v>0</v>
      </c>
      <c r="J64" s="19">
        <f t="shared" si="11"/>
        <v>0</v>
      </c>
      <c r="L64" s="17">
        <f>Test!B62</f>
        <v>0</v>
      </c>
      <c r="M64" s="18">
        <f>Test!C62</f>
        <v>0</v>
      </c>
      <c r="N64" s="18">
        <f>Test!D62</f>
        <v>0</v>
      </c>
      <c r="O64" s="18">
        <f>Test!E62</f>
        <v>0</v>
      </c>
      <c r="P64" s="18">
        <f>Test!F62</f>
        <v>0</v>
      </c>
      <c r="Q64" s="18">
        <f>Test!G62</f>
        <v>0</v>
      </c>
      <c r="R64" s="18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25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Reference!B63</f>
        <v>0</v>
      </c>
      <c r="E65" s="18">
        <f>Reference!C63</f>
        <v>0</v>
      </c>
      <c r="F65" s="18">
        <f>Reference!D63</f>
        <v>0</v>
      </c>
      <c r="G65" s="18">
        <f>Reference!E63</f>
        <v>0</v>
      </c>
      <c r="H65" s="18">
        <f>Reference!F63</f>
        <v>0</v>
      </c>
      <c r="I65" s="18">
        <f>Reference!G63</f>
        <v>0</v>
      </c>
      <c r="J65" s="19">
        <f t="shared" si="11"/>
        <v>0</v>
      </c>
      <c r="L65" s="17">
        <f>Test!B63</f>
        <v>0</v>
      </c>
      <c r="M65" s="18">
        <f>Test!C63</f>
        <v>0</v>
      </c>
      <c r="N65" s="18">
        <f>Test!D63</f>
        <v>0</v>
      </c>
      <c r="O65" s="18">
        <f>Test!E63</f>
        <v>0</v>
      </c>
      <c r="P65" s="18">
        <f>Test!F63</f>
        <v>0</v>
      </c>
      <c r="Q65" s="18">
        <f>Test!G63</f>
        <v>0</v>
      </c>
      <c r="R65" s="18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25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Reference!B64</f>
        <v>0</v>
      </c>
      <c r="E66" s="23">
        <f>Reference!C64</f>
        <v>0</v>
      </c>
      <c r="F66" s="23">
        <f>Reference!D64</f>
        <v>0</v>
      </c>
      <c r="G66" s="23">
        <f>Reference!E64</f>
        <v>0</v>
      </c>
      <c r="H66" s="23">
        <f>Reference!F64</f>
        <v>0</v>
      </c>
      <c r="I66" s="23">
        <f>Reference!G64</f>
        <v>0</v>
      </c>
      <c r="J66" s="24">
        <f t="shared" si="11"/>
        <v>0</v>
      </c>
      <c r="L66" s="22">
        <f>Test!B64</f>
        <v>0</v>
      </c>
      <c r="M66" s="23">
        <f>Test!C64</f>
        <v>0</v>
      </c>
      <c r="N66" s="23">
        <f>Test!D64</f>
        <v>0</v>
      </c>
      <c r="O66" s="23">
        <f>Test!E64</f>
        <v>0</v>
      </c>
      <c r="P66" s="23">
        <f>Test!F64</f>
        <v>0</v>
      </c>
      <c r="Q66" s="23">
        <f>Test!G64</f>
        <v>0</v>
      </c>
      <c r="R66" s="23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51"/>
      <c r="W66" s="51"/>
      <c r="X66" s="51"/>
      <c r="Y66" s="39"/>
      <c r="Z66" s="51"/>
      <c r="AA66" s="52"/>
    </row>
    <row r="67" spans="1:27" x14ac:dyDescent="0.2">
      <c r="A67" s="16"/>
      <c r="B67" s="48" t="s">
        <v>369</v>
      </c>
      <c r="C67" s="11">
        <v>27</v>
      </c>
      <c r="D67" s="12">
        <f>Reference!B65</f>
        <v>0</v>
      </c>
      <c r="E67" s="13">
        <f>Reference!C65</f>
        <v>0</v>
      </c>
      <c r="F67" s="13">
        <f>Reference!D65</f>
        <v>0</v>
      </c>
      <c r="G67" s="13">
        <f>Reference!E65</f>
        <v>0</v>
      </c>
      <c r="H67" s="13">
        <f>Reference!F65</f>
        <v>0</v>
      </c>
      <c r="I67" s="13">
        <f>Reference!G65</f>
        <v>0</v>
      </c>
      <c r="J67" s="14">
        <f t="shared" si="11"/>
        <v>0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3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42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Reference!B66</f>
        <v>0</v>
      </c>
      <c r="E68" s="18">
        <f>Reference!C66</f>
        <v>0</v>
      </c>
      <c r="F68" s="18">
        <f>Reference!D66</f>
        <v>0</v>
      </c>
      <c r="G68" s="18">
        <f>Reference!E66</f>
        <v>0</v>
      </c>
      <c r="H68" s="18">
        <f>Reference!F66</f>
        <v>0</v>
      </c>
      <c r="I68" s="18">
        <f>Reference!G66</f>
        <v>0</v>
      </c>
      <c r="J68" s="19">
        <f t="shared" si="11"/>
        <v>0</v>
      </c>
      <c r="L68" s="17">
        <f>Test!B66</f>
        <v>0</v>
      </c>
      <c r="M68" s="18">
        <f>Test!C66</f>
        <v>0</v>
      </c>
      <c r="N68" s="18">
        <f>Test!D66</f>
        <v>0</v>
      </c>
      <c r="O68" s="18">
        <f>Test!E66</f>
        <v>0</v>
      </c>
      <c r="P68" s="18">
        <f>Test!F66</f>
        <v>0</v>
      </c>
      <c r="Q68" s="18">
        <f>Test!G66</f>
        <v>0</v>
      </c>
      <c r="R68" s="18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25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Reference!B67</f>
        <v>0</v>
      </c>
      <c r="E69" s="18">
        <f>Reference!C67</f>
        <v>0</v>
      </c>
      <c r="F69" s="18">
        <f>Reference!D67</f>
        <v>0</v>
      </c>
      <c r="G69" s="18">
        <f>Reference!E67</f>
        <v>0</v>
      </c>
      <c r="H69" s="18">
        <f>Reference!F67</f>
        <v>0</v>
      </c>
      <c r="I69" s="18">
        <f>Reference!G67</f>
        <v>0</v>
      </c>
      <c r="J69" s="19">
        <f t="shared" si="11"/>
        <v>0</v>
      </c>
      <c r="L69" s="17">
        <f>Test!B67</f>
        <v>0</v>
      </c>
      <c r="M69" s="18">
        <f>Test!C67</f>
        <v>0</v>
      </c>
      <c r="N69" s="18">
        <f>Test!D67</f>
        <v>0</v>
      </c>
      <c r="O69" s="18">
        <f>Test!E67</f>
        <v>0</v>
      </c>
      <c r="P69" s="18">
        <f>Test!F67</f>
        <v>0</v>
      </c>
      <c r="Q69" s="18">
        <f>Test!G67</f>
        <v>0</v>
      </c>
      <c r="R69" s="18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25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Reference!B68</f>
        <v>0</v>
      </c>
      <c r="E70" s="23">
        <f>Reference!C68</f>
        <v>0</v>
      </c>
      <c r="F70" s="23">
        <f>Reference!D68</f>
        <v>0</v>
      </c>
      <c r="G70" s="23">
        <f>Reference!E68</f>
        <v>0</v>
      </c>
      <c r="H70" s="23">
        <f>Reference!F68</f>
        <v>0</v>
      </c>
      <c r="I70" s="23">
        <f>Reference!G68</f>
        <v>0</v>
      </c>
      <c r="J70" s="24">
        <f t="shared" si="11"/>
        <v>0</v>
      </c>
      <c r="L70" s="22">
        <f>Test!B68</f>
        <v>0</v>
      </c>
      <c r="M70" s="23">
        <f>Test!C68</f>
        <v>0</v>
      </c>
      <c r="N70" s="23">
        <f>Test!D68</f>
        <v>0</v>
      </c>
      <c r="O70" s="23">
        <f>Test!E68</f>
        <v>0</v>
      </c>
      <c r="P70" s="23">
        <f>Test!F68</f>
        <v>0</v>
      </c>
      <c r="Q70" s="23">
        <f>Test!G68</f>
        <v>0</v>
      </c>
      <c r="R70" s="23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51"/>
      <c r="W70" s="51"/>
      <c r="X70" s="51"/>
      <c r="Y70" s="39"/>
      <c r="Z70" s="51"/>
      <c r="AA70" s="52"/>
    </row>
    <row r="71" spans="1:27" x14ac:dyDescent="0.2">
      <c r="A71" s="16"/>
      <c r="B71" s="48" t="s">
        <v>370</v>
      </c>
      <c r="C71" s="11">
        <v>27</v>
      </c>
      <c r="D71" s="12">
        <f>Reference!B69</f>
        <v>0</v>
      </c>
      <c r="E71" s="13">
        <f>Reference!C69</f>
        <v>0</v>
      </c>
      <c r="F71" s="13">
        <f>Reference!D69</f>
        <v>0</v>
      </c>
      <c r="G71" s="13">
        <f>Reference!E69</f>
        <v>0</v>
      </c>
      <c r="H71" s="13">
        <f>Reference!F69</f>
        <v>0</v>
      </c>
      <c r="I71" s="13">
        <f>Reference!G69</f>
        <v>0</v>
      </c>
      <c r="J71" s="14">
        <f>H71/3600</f>
        <v>0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3">
        <f>P71/3600</f>
        <v>0</v>
      </c>
      <c r="S71" s="17" t="e">
        <f>P71/H71</f>
        <v>#DIV/0!</v>
      </c>
      <c r="T71" s="18" t="e">
        <f>Q71/I71</f>
        <v>#DIV/0!</v>
      </c>
      <c r="U71" s="91"/>
      <c r="V71" s="42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Reference!B70</f>
        <v>0</v>
      </c>
      <c r="E72" s="18">
        <f>Reference!C70</f>
        <v>0</v>
      </c>
      <c r="F72" s="18">
        <f>Reference!D70</f>
        <v>0</v>
      </c>
      <c r="G72" s="18">
        <f>Reference!E70</f>
        <v>0</v>
      </c>
      <c r="H72" s="18">
        <f>Reference!F70</f>
        <v>0</v>
      </c>
      <c r="I72" s="18">
        <f>Reference!G70</f>
        <v>0</v>
      </c>
      <c r="J72" s="19">
        <f t="shared" ref="J72:J74" si="15">H72/3600</f>
        <v>0</v>
      </c>
      <c r="L72" s="17">
        <f>Test!B70</f>
        <v>0</v>
      </c>
      <c r="M72" s="18">
        <f>Test!C70</f>
        <v>0</v>
      </c>
      <c r="N72" s="18">
        <f>Test!D70</f>
        <v>0</v>
      </c>
      <c r="O72" s="18">
        <f>Test!E70</f>
        <v>0</v>
      </c>
      <c r="P72" s="18">
        <f>Test!F70</f>
        <v>0</v>
      </c>
      <c r="Q72" s="18">
        <f>Test!G70</f>
        <v>0</v>
      </c>
      <c r="R72" s="18">
        <f t="shared" ref="R72:R74" si="16">P72/3600</f>
        <v>0</v>
      </c>
      <c r="S72" s="17" t="e">
        <f t="shared" ref="S72:S74" si="17">P72/H72</f>
        <v>#DIV/0!</v>
      </c>
      <c r="T72" s="18" t="e">
        <f t="shared" ref="T72:T74" si="18">Q72/I72</f>
        <v>#DIV/0!</v>
      </c>
      <c r="U72" s="91"/>
      <c r="V72" s="25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Reference!B71</f>
        <v>0</v>
      </c>
      <c r="E73" s="18">
        <f>Reference!C71</f>
        <v>0</v>
      </c>
      <c r="F73" s="18">
        <f>Reference!D71</f>
        <v>0</v>
      </c>
      <c r="G73" s="18">
        <f>Reference!E71</f>
        <v>0</v>
      </c>
      <c r="H73" s="18">
        <f>Reference!F71</f>
        <v>0</v>
      </c>
      <c r="I73" s="18">
        <f>Reference!G71</f>
        <v>0</v>
      </c>
      <c r="J73" s="19">
        <f t="shared" si="15"/>
        <v>0</v>
      </c>
      <c r="L73" s="17">
        <f>Test!B71</f>
        <v>0</v>
      </c>
      <c r="M73" s="18">
        <f>Test!C71</f>
        <v>0</v>
      </c>
      <c r="N73" s="18">
        <f>Test!D71</f>
        <v>0</v>
      </c>
      <c r="O73" s="18">
        <f>Test!E71</f>
        <v>0</v>
      </c>
      <c r="P73" s="18">
        <f>Test!F71</f>
        <v>0</v>
      </c>
      <c r="Q73" s="18">
        <f>Test!G71</f>
        <v>0</v>
      </c>
      <c r="R73" s="18">
        <f t="shared" si="16"/>
        <v>0</v>
      </c>
      <c r="S73" s="17" t="e">
        <f t="shared" si="17"/>
        <v>#DIV/0!</v>
      </c>
      <c r="T73" s="18" t="e">
        <f t="shared" si="18"/>
        <v>#DIV/0!</v>
      </c>
      <c r="U73" s="91"/>
      <c r="V73" s="25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Reference!B72</f>
        <v>0</v>
      </c>
      <c r="E74" s="23">
        <f>Reference!C72</f>
        <v>0</v>
      </c>
      <c r="F74" s="23">
        <f>Reference!D72</f>
        <v>0</v>
      </c>
      <c r="G74" s="23">
        <f>Reference!E72</f>
        <v>0</v>
      </c>
      <c r="H74" s="23">
        <f>Reference!F72</f>
        <v>0</v>
      </c>
      <c r="I74" s="23">
        <f>Reference!G72</f>
        <v>0</v>
      </c>
      <c r="J74" s="24">
        <f t="shared" si="15"/>
        <v>0</v>
      </c>
      <c r="L74" s="22">
        <f>Test!B72</f>
        <v>0</v>
      </c>
      <c r="M74" s="23">
        <f>Test!C72</f>
        <v>0</v>
      </c>
      <c r="N74" s="23">
        <f>Test!D72</f>
        <v>0</v>
      </c>
      <c r="O74" s="23">
        <f>Test!E72</f>
        <v>0</v>
      </c>
      <c r="P74" s="23">
        <f>Test!F72</f>
        <v>0</v>
      </c>
      <c r="Q74" s="23">
        <f>Test!G72</f>
        <v>0</v>
      </c>
      <c r="R74" s="23">
        <f t="shared" si="16"/>
        <v>0</v>
      </c>
      <c r="S74" s="22" t="e">
        <f t="shared" si="17"/>
        <v>#DIV/0!</v>
      </c>
      <c r="T74" s="23" t="e">
        <f t="shared" si="18"/>
        <v>#DIV/0!</v>
      </c>
      <c r="U74" s="92"/>
      <c r="V74" s="51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24.309216900078503</v>
      </c>
      <c r="J75" s="15">
        <f>GEOMEAN(J3:J18)</f>
        <v>24.540121472165918</v>
      </c>
      <c r="Q75" s="15">
        <f>GEOMEAN(Q3:Q18)</f>
        <v>24.404821160576539</v>
      </c>
      <c r="R75" s="15">
        <f>GEOMEAN(R3:R18)</f>
        <v>24.716415402853617</v>
      </c>
      <c r="S75" s="15">
        <f>GEOMEAN(S3:S18)</f>
        <v>1.0071839061957235</v>
      </c>
      <c r="T75" s="15">
        <f>GEOMEAN(T3:T18)</f>
        <v>1.003932839996081</v>
      </c>
      <c r="V75" s="37">
        <f>AVERAGE(V3:V18)</f>
        <v>0</v>
      </c>
      <c r="W75" s="42">
        <f t="shared" ref="W75:AA75" si="19">AVERAGE(W3:W18)</f>
        <v>0</v>
      </c>
      <c r="X75" s="42">
        <f t="shared" si="19"/>
        <v>0</v>
      </c>
      <c r="Y75" s="37">
        <f>AVERAGE(Y3:Y18)</f>
        <v>0</v>
      </c>
      <c r="Z75" s="42">
        <f t="shared" si="19"/>
        <v>0</v>
      </c>
      <c r="AA75" s="43">
        <f t="shared" si="19"/>
        <v>0</v>
      </c>
    </row>
    <row r="76" spans="1:27" x14ac:dyDescent="0.2">
      <c r="B76" s="89" t="s">
        <v>47</v>
      </c>
      <c r="I76" s="15">
        <f>GEOMEAN(I19:I34)</f>
        <v>11.959741797003938</v>
      </c>
      <c r="J76" s="15">
        <f>GEOMEAN(J19:J34)</f>
        <v>13.258700112177733</v>
      </c>
      <c r="Q76" s="15">
        <f>GEOMEAN(Q19:Q34)</f>
        <v>12.034418817268204</v>
      </c>
      <c r="R76" s="15">
        <f>GEOMEAN(R19:R34)</f>
        <v>13.31461666462913</v>
      </c>
      <c r="S76" s="15">
        <f>GEOMEAN(S19:S34)</f>
        <v>1.0042173480038243</v>
      </c>
      <c r="T76" s="15">
        <f>GEOMEAN(T19:T34)</f>
        <v>1.0062440328170776</v>
      </c>
      <c r="V76" s="40">
        <f>AVERAGE(V19:V34)</f>
        <v>0</v>
      </c>
      <c r="W76" s="44">
        <f t="shared" ref="W76:AA76" si="20">AVERAGE(W19:W34)</f>
        <v>0</v>
      </c>
      <c r="X76" s="44">
        <f t="shared" si="20"/>
        <v>0</v>
      </c>
      <c r="Y76" s="40">
        <f t="shared" si="20"/>
        <v>0</v>
      </c>
      <c r="Z76" s="44">
        <f t="shared" si="20"/>
        <v>0</v>
      </c>
      <c r="AA76" s="45">
        <f t="shared" si="20"/>
        <v>0</v>
      </c>
    </row>
    <row r="77" spans="1:27" x14ac:dyDescent="0.2">
      <c r="B77" s="89" t="s">
        <v>51</v>
      </c>
      <c r="I77" s="15">
        <f>GEOMEAN(I35:I50)</f>
        <v>5.587111581087524</v>
      </c>
      <c r="J77" s="15">
        <f>GEOMEAN(J35:J50)</f>
        <v>6.197411224648584</v>
      </c>
      <c r="Q77" s="15">
        <f>GEOMEAN(Q35:Q50)</f>
        <v>5.7133203890014137</v>
      </c>
      <c r="R77" s="15">
        <f>GEOMEAN(R35:R50)</f>
        <v>6.2922671310851728</v>
      </c>
      <c r="S77" s="15">
        <f>GEOMEAN(S35:S50)</f>
        <v>1.0153057305701008</v>
      </c>
      <c r="T77" s="15">
        <f>GEOMEAN(T35:T50)</f>
        <v>1.0225892764234581</v>
      </c>
      <c r="V77" s="40">
        <f>AVERAGE(V35:V50)</f>
        <v>0</v>
      </c>
      <c r="W77" s="44">
        <f t="shared" ref="W77:AA77" si="21">AVERAGE(W35:W50)</f>
        <v>0</v>
      </c>
      <c r="X77" s="44">
        <f t="shared" si="21"/>
        <v>0</v>
      </c>
      <c r="Y77" s="40">
        <f t="shared" si="21"/>
        <v>0</v>
      </c>
      <c r="Z77" s="44">
        <f t="shared" si="21"/>
        <v>0</v>
      </c>
      <c r="AA77" s="45">
        <f t="shared" si="21"/>
        <v>0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22">AVERAGE(W51:W58)</f>
        <v>#VALUE!</v>
      </c>
      <c r="X78" s="44" t="e">
        <f t="shared" si="22"/>
        <v>#VALUE!</v>
      </c>
      <c r="Y78" s="40" t="e">
        <f t="shared" si="22"/>
        <v>#VALUE!</v>
      </c>
      <c r="Z78" s="44" t="e">
        <f t="shared" si="22"/>
        <v>#VALUE!</v>
      </c>
      <c r="AA78" s="45" t="e">
        <f t="shared" si="22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3">GEOMEAN(S59:S74)</f>
        <v>#DIV/0!</v>
      </c>
      <c r="T79" s="15" t="e">
        <f t="shared" si="23"/>
        <v>#DIV/0!</v>
      </c>
      <c r="V79" s="40" t="e">
        <f>AVERAGE(V59:V74)</f>
        <v>#VALUE!</v>
      </c>
      <c r="W79" s="44" t="e">
        <f t="shared" ref="W79:AA79" si="24">AVERAGE(W59:W74)</f>
        <v>#VALUE!</v>
      </c>
      <c r="X79" s="44" t="e">
        <f t="shared" si="24"/>
        <v>#VALUE!</v>
      </c>
      <c r="Y79" s="40" t="e">
        <f t="shared" si="24"/>
        <v>#VALUE!</v>
      </c>
      <c r="Z79" s="44" t="e">
        <f t="shared" si="24"/>
        <v>#VALUE!</v>
      </c>
      <c r="AA79" s="45" t="e">
        <f t="shared" si="24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11.755110223232538</v>
      </c>
      <c r="J80" s="54">
        <f xml:space="preserve"> GEOMEAN(J3:J50)</f>
        <v>12.633664030388299</v>
      </c>
      <c r="K80" s="4"/>
      <c r="L80" s="4"/>
      <c r="M80" s="4"/>
      <c r="N80" s="4"/>
      <c r="O80" s="4"/>
      <c r="P80" s="4"/>
      <c r="Q80" s="54">
        <f xml:space="preserve"> GEOMEAN(Q3:Q50)</f>
        <v>11.883100678322</v>
      </c>
      <c r="R80" s="54">
        <f xml:space="preserve"> GEOMEAN(R3:R50)</f>
        <v>12.745995719479332</v>
      </c>
      <c r="S80" s="54">
        <f xml:space="preserve"> GEOMEAN(S3:S50)</f>
        <v>1.0088914576817016</v>
      </c>
      <c r="T80" s="54">
        <f>GEOMEAN(T3:T50)</f>
        <v>1.0108880693297544</v>
      </c>
      <c r="U80" s="4"/>
      <c r="V80" s="41">
        <f>AVERAGE(V3:V50)</f>
        <v>0</v>
      </c>
      <c r="W80" s="46">
        <f t="shared" ref="W80:AA80" si="25">AVERAGE(W3:W50)</f>
        <v>0</v>
      </c>
      <c r="X80" s="47">
        <f t="shared" si="25"/>
        <v>0</v>
      </c>
      <c r="Y80" s="46">
        <f t="shared" si="25"/>
        <v>0</v>
      </c>
      <c r="Z80" s="46">
        <f t="shared" si="25"/>
        <v>0</v>
      </c>
      <c r="AA80" s="47">
        <f t="shared" si="25"/>
        <v>0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1">
    <cfRule type="cellIs" dxfId="707" priority="1205" operator="greaterThan">
      <formula>0.03</formula>
    </cfRule>
    <cfRule type="cellIs" dxfId="706" priority="1206" stopIfTrue="1" operator="lessThan">
      <formula>-0.03</formula>
    </cfRule>
  </conditionalFormatting>
  <conditionalFormatting sqref="V3:X14">
    <cfRule type="cellIs" dxfId="705" priority="1219" operator="greaterThan">
      <formula>0.03</formula>
    </cfRule>
    <cfRule type="cellIs" dxfId="704" priority="1220" stopIfTrue="1" operator="lessThan">
      <formula>-0.03</formula>
    </cfRule>
  </conditionalFormatting>
  <conditionalFormatting sqref="Y3">
    <cfRule type="cellIs" dxfId="703" priority="1217" operator="greaterThan">
      <formula>0.03</formula>
    </cfRule>
    <cfRule type="cellIs" dxfId="702" priority="1218" stopIfTrue="1" operator="lessThan">
      <formula>-0.03</formula>
    </cfRule>
  </conditionalFormatting>
  <conditionalFormatting sqref="Z3">
    <cfRule type="cellIs" dxfId="701" priority="1215" operator="greaterThan">
      <formula>0.03</formula>
    </cfRule>
    <cfRule type="cellIs" dxfId="700" priority="1216" stopIfTrue="1" operator="lessThan">
      <formula>-0.03</formula>
    </cfRule>
  </conditionalFormatting>
  <conditionalFormatting sqref="AA3">
    <cfRule type="cellIs" dxfId="699" priority="1213" operator="greaterThan">
      <formula>0.03</formula>
    </cfRule>
    <cfRule type="cellIs" dxfId="698" priority="1214" stopIfTrue="1" operator="lessThan">
      <formula>-0.03</formula>
    </cfRule>
  </conditionalFormatting>
  <conditionalFormatting sqref="Y7">
    <cfRule type="cellIs" dxfId="697" priority="1211" operator="greaterThan">
      <formula>0.03</formula>
    </cfRule>
    <cfRule type="cellIs" dxfId="696" priority="1212" stopIfTrue="1" operator="lessThan">
      <formula>-0.03</formula>
    </cfRule>
  </conditionalFormatting>
  <conditionalFormatting sqref="Z7">
    <cfRule type="cellIs" dxfId="695" priority="1209" operator="greaterThan">
      <formula>0.03</formula>
    </cfRule>
    <cfRule type="cellIs" dxfId="694" priority="1210" stopIfTrue="1" operator="lessThan">
      <formula>-0.03</formula>
    </cfRule>
  </conditionalFormatting>
  <conditionalFormatting sqref="AA7">
    <cfRule type="cellIs" dxfId="693" priority="1207" operator="greaterThan">
      <formula>0.03</formula>
    </cfRule>
    <cfRule type="cellIs" dxfId="692" priority="1208" stopIfTrue="1" operator="lessThan">
      <formula>-0.03</formula>
    </cfRule>
  </conditionalFormatting>
  <conditionalFormatting sqref="Z11">
    <cfRule type="cellIs" dxfId="691" priority="1203" operator="greaterThan">
      <formula>0.03</formula>
    </cfRule>
    <cfRule type="cellIs" dxfId="690" priority="1204" stopIfTrue="1" operator="lessThan">
      <formula>-0.03</formula>
    </cfRule>
  </conditionalFormatting>
  <conditionalFormatting sqref="AA11">
    <cfRule type="cellIs" dxfId="689" priority="1201" operator="greaterThan">
      <formula>0.03</formula>
    </cfRule>
    <cfRule type="cellIs" dxfId="688" priority="1202" stopIfTrue="1" operator="lessThan">
      <formula>-0.03</formula>
    </cfRule>
  </conditionalFormatting>
  <conditionalFormatting sqref="Y14:Z14">
    <cfRule type="cellIs" dxfId="687" priority="1129" operator="greaterThan">
      <formula>0.03</formula>
    </cfRule>
    <cfRule type="cellIs" dxfId="686" priority="1130" stopIfTrue="1" operator="lessThan">
      <formula>-0.03</formula>
    </cfRule>
  </conditionalFormatting>
  <conditionalFormatting sqref="Y6:Z6">
    <cfRule type="cellIs" dxfId="685" priority="1133" operator="greaterThan">
      <formula>0.03</formula>
    </cfRule>
    <cfRule type="cellIs" dxfId="684" priority="1134" stopIfTrue="1" operator="lessThan">
      <formula>-0.03</formula>
    </cfRule>
  </conditionalFormatting>
  <conditionalFormatting sqref="Y10:Z10">
    <cfRule type="cellIs" dxfId="683" priority="1131" operator="greaterThan">
      <formula>0.03</formula>
    </cfRule>
    <cfRule type="cellIs" dxfId="682" priority="1132" stopIfTrue="1" operator="lessThan">
      <formula>-0.03</formula>
    </cfRule>
  </conditionalFormatting>
  <conditionalFormatting sqref="V80:AA80">
    <cfRule type="cellIs" dxfId="681" priority="603" operator="greaterThan">
      <formula>0.03</formula>
    </cfRule>
    <cfRule type="cellIs" dxfId="680" priority="604" stopIfTrue="1" operator="lessThan">
      <formula>-0.03</formula>
    </cfRule>
  </conditionalFormatting>
  <conditionalFormatting sqref="Y23">
    <cfRule type="cellIs" dxfId="679" priority="475" operator="greaterThan">
      <formula>0.03</formula>
    </cfRule>
    <cfRule type="cellIs" dxfId="678" priority="476" stopIfTrue="1" operator="lessThan">
      <formula>-0.03</formula>
    </cfRule>
  </conditionalFormatting>
  <conditionalFormatting sqref="V15:X26">
    <cfRule type="cellIs" dxfId="677" priority="489" operator="greaterThan">
      <formula>0.03</formula>
    </cfRule>
    <cfRule type="cellIs" dxfId="676" priority="490" stopIfTrue="1" operator="lessThan">
      <formula>-0.03</formula>
    </cfRule>
  </conditionalFormatting>
  <conditionalFormatting sqref="Y15">
    <cfRule type="cellIs" dxfId="675" priority="487" operator="greaterThan">
      <formula>0.03</formula>
    </cfRule>
    <cfRule type="cellIs" dxfId="674" priority="488" stopIfTrue="1" operator="lessThan">
      <formula>-0.03</formula>
    </cfRule>
  </conditionalFormatting>
  <conditionalFormatting sqref="Z15">
    <cfRule type="cellIs" dxfId="673" priority="485" operator="greaterThan">
      <formula>0.03</formula>
    </cfRule>
    <cfRule type="cellIs" dxfId="672" priority="486" stopIfTrue="1" operator="lessThan">
      <formula>-0.03</formula>
    </cfRule>
  </conditionalFormatting>
  <conditionalFormatting sqref="AA15">
    <cfRule type="cellIs" dxfId="671" priority="483" operator="greaterThan">
      <formula>0.03</formula>
    </cfRule>
    <cfRule type="cellIs" dxfId="670" priority="484" stopIfTrue="1" operator="lessThan">
      <formula>-0.03</formula>
    </cfRule>
  </conditionalFormatting>
  <conditionalFormatting sqref="Y19">
    <cfRule type="cellIs" dxfId="669" priority="481" operator="greaterThan">
      <formula>0.03</formula>
    </cfRule>
    <cfRule type="cellIs" dxfId="668" priority="482" stopIfTrue="1" operator="lessThan">
      <formula>-0.03</formula>
    </cfRule>
  </conditionalFormatting>
  <conditionalFormatting sqref="Z19">
    <cfRule type="cellIs" dxfId="667" priority="479" operator="greaterThan">
      <formula>0.03</formula>
    </cfRule>
    <cfRule type="cellIs" dxfId="666" priority="480" stopIfTrue="1" operator="lessThan">
      <formula>-0.03</formula>
    </cfRule>
  </conditionalFormatting>
  <conditionalFormatting sqref="AA19">
    <cfRule type="cellIs" dxfId="665" priority="477" operator="greaterThan">
      <formula>0.03</formula>
    </cfRule>
    <cfRule type="cellIs" dxfId="664" priority="478" stopIfTrue="1" operator="lessThan">
      <formula>-0.03</formula>
    </cfRule>
  </conditionalFormatting>
  <conditionalFormatting sqref="Z23">
    <cfRule type="cellIs" dxfId="663" priority="473" operator="greaterThan">
      <formula>0.03</formula>
    </cfRule>
    <cfRule type="cellIs" dxfId="662" priority="474" stopIfTrue="1" operator="lessThan">
      <formula>-0.03</formula>
    </cfRule>
  </conditionalFormatting>
  <conditionalFormatting sqref="AA23">
    <cfRule type="cellIs" dxfId="661" priority="471" operator="greaterThan">
      <formula>0.03</formula>
    </cfRule>
    <cfRule type="cellIs" dxfId="660" priority="472" stopIfTrue="1" operator="lessThan">
      <formula>-0.03</formula>
    </cfRule>
  </conditionalFormatting>
  <conditionalFormatting sqref="Y26:Z26">
    <cfRule type="cellIs" dxfId="659" priority="459" operator="greaterThan">
      <formula>0.03</formula>
    </cfRule>
    <cfRule type="cellIs" dxfId="658" priority="460" stopIfTrue="1" operator="lessThan">
      <formula>-0.03</formula>
    </cfRule>
  </conditionalFormatting>
  <conditionalFormatting sqref="Y18:Z18">
    <cfRule type="cellIs" dxfId="657" priority="463" operator="greaterThan">
      <formula>0.03</formula>
    </cfRule>
    <cfRule type="cellIs" dxfId="656" priority="464" stopIfTrue="1" operator="lessThan">
      <formula>-0.03</formula>
    </cfRule>
  </conditionalFormatting>
  <conditionalFormatting sqref="Y22:Z22">
    <cfRule type="cellIs" dxfId="655" priority="461" operator="greaterThan">
      <formula>0.03</formula>
    </cfRule>
    <cfRule type="cellIs" dxfId="654" priority="462" stopIfTrue="1" operator="lessThan">
      <formula>-0.03</formula>
    </cfRule>
  </conditionalFormatting>
  <conditionalFormatting sqref="V27:X30">
    <cfRule type="cellIs" dxfId="653" priority="415" operator="greaterThan">
      <formula>0.03</formula>
    </cfRule>
    <cfRule type="cellIs" dxfId="652" priority="416" stopIfTrue="1" operator="lessThan">
      <formula>-0.03</formula>
    </cfRule>
  </conditionalFormatting>
  <conditionalFormatting sqref="Y27">
    <cfRule type="cellIs" dxfId="651" priority="413" operator="greaterThan">
      <formula>0.03</formula>
    </cfRule>
    <cfRule type="cellIs" dxfId="650" priority="414" stopIfTrue="1" operator="lessThan">
      <formula>-0.03</formula>
    </cfRule>
  </conditionalFormatting>
  <conditionalFormatting sqref="Z27">
    <cfRule type="cellIs" dxfId="649" priority="411" operator="greaterThan">
      <formula>0.03</formula>
    </cfRule>
    <cfRule type="cellIs" dxfId="648" priority="412" stopIfTrue="1" operator="lessThan">
      <formula>-0.03</formula>
    </cfRule>
  </conditionalFormatting>
  <conditionalFormatting sqref="AA27">
    <cfRule type="cellIs" dxfId="647" priority="409" operator="greaterThan">
      <formula>0.03</formula>
    </cfRule>
    <cfRule type="cellIs" dxfId="646" priority="410" stopIfTrue="1" operator="lessThan">
      <formula>-0.03</formula>
    </cfRule>
  </conditionalFormatting>
  <conditionalFormatting sqref="Y30:Z30">
    <cfRule type="cellIs" dxfId="645" priority="407" operator="greaterThan">
      <formula>0.03</formula>
    </cfRule>
    <cfRule type="cellIs" dxfId="644" priority="408" stopIfTrue="1" operator="lessThan">
      <formula>-0.03</formula>
    </cfRule>
  </conditionalFormatting>
  <conditionalFormatting sqref="Y35">
    <cfRule type="cellIs" dxfId="643" priority="387" operator="greaterThan">
      <formula>0.03</formula>
    </cfRule>
    <cfRule type="cellIs" dxfId="642" priority="388" stopIfTrue="1" operator="lessThan">
      <formula>-0.03</formula>
    </cfRule>
  </conditionalFormatting>
  <conditionalFormatting sqref="V31:X38">
    <cfRule type="cellIs" dxfId="641" priority="395" operator="greaterThan">
      <formula>0.03</formula>
    </cfRule>
    <cfRule type="cellIs" dxfId="640" priority="396" stopIfTrue="1" operator="lessThan">
      <formula>-0.03</formula>
    </cfRule>
  </conditionalFormatting>
  <conditionalFormatting sqref="Y31">
    <cfRule type="cellIs" dxfId="639" priority="393" operator="greaterThan">
      <formula>0.03</formula>
    </cfRule>
    <cfRule type="cellIs" dxfId="638" priority="394" stopIfTrue="1" operator="lessThan">
      <formula>-0.03</formula>
    </cfRule>
  </conditionalFormatting>
  <conditionalFormatting sqref="Z31">
    <cfRule type="cellIs" dxfId="637" priority="391" operator="greaterThan">
      <formula>0.03</formula>
    </cfRule>
    <cfRule type="cellIs" dxfId="636" priority="392" stopIfTrue="1" operator="lessThan">
      <formula>-0.03</formula>
    </cfRule>
  </conditionalFormatting>
  <conditionalFormatting sqref="AA31">
    <cfRule type="cellIs" dxfId="635" priority="389" operator="greaterThan">
      <formula>0.03</formula>
    </cfRule>
    <cfRule type="cellIs" dxfId="634" priority="390" stopIfTrue="1" operator="lessThan">
      <formula>-0.03</formula>
    </cfRule>
  </conditionalFormatting>
  <conditionalFormatting sqref="Z35">
    <cfRule type="cellIs" dxfId="633" priority="385" operator="greaterThan">
      <formula>0.03</formula>
    </cfRule>
    <cfRule type="cellIs" dxfId="632" priority="386" stopIfTrue="1" operator="lessThan">
      <formula>-0.03</formula>
    </cfRule>
  </conditionalFormatting>
  <conditionalFormatting sqref="AA35">
    <cfRule type="cellIs" dxfId="631" priority="383" operator="greaterThan">
      <formula>0.03</formula>
    </cfRule>
    <cfRule type="cellIs" dxfId="630" priority="384" stopIfTrue="1" operator="lessThan">
      <formula>-0.03</formula>
    </cfRule>
  </conditionalFormatting>
  <conditionalFormatting sqref="Y38:Z38">
    <cfRule type="cellIs" dxfId="629" priority="379" operator="greaterThan">
      <formula>0.03</formula>
    </cfRule>
    <cfRule type="cellIs" dxfId="628" priority="380" stopIfTrue="1" operator="lessThan">
      <formula>-0.03</formula>
    </cfRule>
  </conditionalFormatting>
  <conditionalFormatting sqref="Y34:Z34">
    <cfRule type="cellIs" dxfId="627" priority="381" operator="greaterThan">
      <formula>0.03</formula>
    </cfRule>
    <cfRule type="cellIs" dxfId="626" priority="382" stopIfTrue="1" operator="lessThan">
      <formula>-0.03</formula>
    </cfRule>
  </conditionalFormatting>
  <conditionalFormatting sqref="Y43">
    <cfRule type="cellIs" dxfId="625" priority="349" operator="greaterThan">
      <formula>0.03</formula>
    </cfRule>
    <cfRule type="cellIs" dxfId="624" priority="350" stopIfTrue="1" operator="lessThan">
      <formula>-0.03</formula>
    </cfRule>
  </conditionalFormatting>
  <conditionalFormatting sqref="V39:X46">
    <cfRule type="cellIs" dxfId="623" priority="357" operator="greaterThan">
      <formula>0.03</formula>
    </cfRule>
    <cfRule type="cellIs" dxfId="622" priority="358" stopIfTrue="1" operator="lessThan">
      <formula>-0.03</formula>
    </cfRule>
  </conditionalFormatting>
  <conditionalFormatting sqref="Y39">
    <cfRule type="cellIs" dxfId="621" priority="355" operator="greaterThan">
      <formula>0.03</formula>
    </cfRule>
    <cfRule type="cellIs" dxfId="620" priority="356" stopIfTrue="1" operator="lessThan">
      <formula>-0.03</formula>
    </cfRule>
  </conditionalFormatting>
  <conditionalFormatting sqref="Z39">
    <cfRule type="cellIs" dxfId="619" priority="353" operator="greaterThan">
      <formula>0.03</formula>
    </cfRule>
    <cfRule type="cellIs" dxfId="618" priority="354" stopIfTrue="1" operator="lessThan">
      <formula>-0.03</formula>
    </cfRule>
  </conditionalFormatting>
  <conditionalFormatting sqref="AA39">
    <cfRule type="cellIs" dxfId="617" priority="351" operator="greaterThan">
      <formula>0.03</formula>
    </cfRule>
    <cfRule type="cellIs" dxfId="616" priority="352" stopIfTrue="1" operator="lessThan">
      <formula>-0.03</formula>
    </cfRule>
  </conditionalFormatting>
  <conditionalFormatting sqref="Z43">
    <cfRule type="cellIs" dxfId="615" priority="347" operator="greaterThan">
      <formula>0.03</formula>
    </cfRule>
    <cfRule type="cellIs" dxfId="614" priority="348" stopIfTrue="1" operator="lessThan">
      <formula>-0.03</formula>
    </cfRule>
  </conditionalFormatting>
  <conditionalFormatting sqref="AA43">
    <cfRule type="cellIs" dxfId="613" priority="345" operator="greaterThan">
      <formula>0.03</formula>
    </cfRule>
    <cfRule type="cellIs" dxfId="612" priority="346" stopIfTrue="1" operator="lessThan">
      <formula>-0.03</formula>
    </cfRule>
  </conditionalFormatting>
  <conditionalFormatting sqref="Y46:Z46">
    <cfRule type="cellIs" dxfId="611" priority="341" operator="greaterThan">
      <formula>0.03</formula>
    </cfRule>
    <cfRule type="cellIs" dxfId="610" priority="342" stopIfTrue="1" operator="lessThan">
      <formula>-0.03</formula>
    </cfRule>
  </conditionalFormatting>
  <conditionalFormatting sqref="Y42:Z42">
    <cfRule type="cellIs" dxfId="609" priority="343" operator="greaterThan">
      <formula>0.03</formula>
    </cfRule>
    <cfRule type="cellIs" dxfId="608" priority="344" stopIfTrue="1" operator="lessThan">
      <formula>-0.03</formula>
    </cfRule>
  </conditionalFormatting>
  <conditionalFormatting sqref="Y55">
    <cfRule type="cellIs" dxfId="607" priority="305" operator="greaterThan">
      <formula>0.03</formula>
    </cfRule>
    <cfRule type="cellIs" dxfId="606" priority="306" stopIfTrue="1" operator="lessThan">
      <formula>-0.03</formula>
    </cfRule>
  </conditionalFormatting>
  <conditionalFormatting sqref="V47:X58">
    <cfRule type="cellIs" dxfId="605" priority="319" operator="greaterThan">
      <formula>0.03</formula>
    </cfRule>
    <cfRule type="cellIs" dxfId="604" priority="320" stopIfTrue="1" operator="lessThan">
      <formula>-0.03</formula>
    </cfRule>
  </conditionalFormatting>
  <conditionalFormatting sqref="Y47">
    <cfRule type="cellIs" dxfId="603" priority="317" operator="greaterThan">
      <formula>0.03</formula>
    </cfRule>
    <cfRule type="cellIs" dxfId="602" priority="318" stopIfTrue="1" operator="lessThan">
      <formula>-0.03</formula>
    </cfRule>
  </conditionalFormatting>
  <conditionalFormatting sqref="Z47">
    <cfRule type="cellIs" dxfId="601" priority="315" operator="greaterThan">
      <formula>0.03</formula>
    </cfRule>
    <cfRule type="cellIs" dxfId="600" priority="316" stopIfTrue="1" operator="lessThan">
      <formula>-0.03</formula>
    </cfRule>
  </conditionalFormatting>
  <conditionalFormatting sqref="AA47">
    <cfRule type="cellIs" dxfId="599" priority="313" operator="greaterThan">
      <formula>0.03</formula>
    </cfRule>
    <cfRule type="cellIs" dxfId="598" priority="314" stopIfTrue="1" operator="lessThan">
      <formula>-0.03</formula>
    </cfRule>
  </conditionalFormatting>
  <conditionalFormatting sqref="Y51">
    <cfRule type="cellIs" dxfId="597" priority="311" operator="greaterThan">
      <formula>0.03</formula>
    </cfRule>
    <cfRule type="cellIs" dxfId="596" priority="312" stopIfTrue="1" operator="lessThan">
      <formula>-0.03</formula>
    </cfRule>
  </conditionalFormatting>
  <conditionalFormatting sqref="Z51">
    <cfRule type="cellIs" dxfId="595" priority="309" operator="greaterThan">
      <formula>0.03</formula>
    </cfRule>
    <cfRule type="cellIs" dxfId="594" priority="310" stopIfTrue="1" operator="lessThan">
      <formula>-0.03</formula>
    </cfRule>
  </conditionalFormatting>
  <conditionalFormatting sqref="AA51">
    <cfRule type="cellIs" dxfId="593" priority="307" operator="greaterThan">
      <formula>0.03</formula>
    </cfRule>
    <cfRule type="cellIs" dxfId="592" priority="308" stopIfTrue="1" operator="lessThan">
      <formula>-0.03</formula>
    </cfRule>
  </conditionalFormatting>
  <conditionalFormatting sqref="Z55">
    <cfRule type="cellIs" dxfId="591" priority="303" operator="greaterThan">
      <formula>0.03</formula>
    </cfRule>
    <cfRule type="cellIs" dxfId="590" priority="304" stopIfTrue="1" operator="lessThan">
      <formula>-0.03</formula>
    </cfRule>
  </conditionalFormatting>
  <conditionalFormatting sqref="AA55">
    <cfRule type="cellIs" dxfId="589" priority="301" operator="greaterThan">
      <formula>0.03</formula>
    </cfRule>
    <cfRule type="cellIs" dxfId="588" priority="302" stopIfTrue="1" operator="lessThan">
      <formula>-0.03</formula>
    </cfRule>
  </conditionalFormatting>
  <conditionalFormatting sqref="Y50:Z50">
    <cfRule type="cellIs" dxfId="587" priority="293" operator="greaterThan">
      <formula>0.03</formula>
    </cfRule>
    <cfRule type="cellIs" dxfId="586" priority="294" stopIfTrue="1" operator="lessThan">
      <formula>-0.03</formula>
    </cfRule>
  </conditionalFormatting>
  <conditionalFormatting sqref="Y54:Z54">
    <cfRule type="cellIs" dxfId="585" priority="291" operator="greaterThan">
      <formula>0.03</formula>
    </cfRule>
    <cfRule type="cellIs" dxfId="584" priority="292" stopIfTrue="1" operator="lessThan">
      <formula>-0.03</formula>
    </cfRule>
  </conditionalFormatting>
  <conditionalFormatting sqref="Y58:Z58">
    <cfRule type="cellIs" dxfId="583" priority="289" operator="greaterThan">
      <formula>0.03</formula>
    </cfRule>
    <cfRule type="cellIs" dxfId="582" priority="290" stopIfTrue="1" operator="lessThan">
      <formula>-0.03</formula>
    </cfRule>
  </conditionalFormatting>
  <conditionalFormatting sqref="V75:X79">
    <cfRule type="cellIs" dxfId="581" priority="41" operator="greaterThan">
      <formula>0.03</formula>
    </cfRule>
    <cfRule type="cellIs" dxfId="580" priority="42" stopIfTrue="1" operator="lessThan">
      <formula>-0.03</formula>
    </cfRule>
  </conditionalFormatting>
  <conditionalFormatting sqref="Y75:AA79">
    <cfRule type="cellIs" dxfId="579" priority="39" operator="greaterThan">
      <formula>0.03</formula>
    </cfRule>
    <cfRule type="cellIs" dxfId="578" priority="40" stopIfTrue="1" operator="lessThan">
      <formula>-0.03</formula>
    </cfRule>
  </conditionalFormatting>
  <conditionalFormatting sqref="Y59">
    <cfRule type="cellIs" dxfId="577" priority="35" operator="greaterThan">
      <formula>0.03</formula>
    </cfRule>
    <cfRule type="cellIs" dxfId="576" priority="36" stopIfTrue="1" operator="lessThan">
      <formula>-0.03</formula>
    </cfRule>
  </conditionalFormatting>
  <conditionalFormatting sqref="V59:X62">
    <cfRule type="cellIs" dxfId="575" priority="37" operator="greaterThan">
      <formula>0.03</formula>
    </cfRule>
    <cfRule type="cellIs" dxfId="574" priority="38" stopIfTrue="1" operator="lessThan">
      <formula>-0.03</formula>
    </cfRule>
  </conditionalFormatting>
  <conditionalFormatting sqref="Z59">
    <cfRule type="cellIs" dxfId="573" priority="33" operator="greaterThan">
      <formula>0.03</formula>
    </cfRule>
    <cfRule type="cellIs" dxfId="572" priority="34" stopIfTrue="1" operator="lessThan">
      <formula>-0.03</formula>
    </cfRule>
  </conditionalFormatting>
  <conditionalFormatting sqref="AA59">
    <cfRule type="cellIs" dxfId="571" priority="31" operator="greaterThan">
      <formula>0.03</formula>
    </cfRule>
    <cfRule type="cellIs" dxfId="570" priority="32" stopIfTrue="1" operator="lessThan">
      <formula>-0.03</formula>
    </cfRule>
  </conditionalFormatting>
  <conditionalFormatting sqref="Y62:Z62">
    <cfRule type="cellIs" dxfId="569" priority="29" operator="greaterThan">
      <formula>0.03</formula>
    </cfRule>
    <cfRule type="cellIs" dxfId="568" priority="30" stopIfTrue="1" operator="lessThan">
      <formula>-0.03</formula>
    </cfRule>
  </conditionalFormatting>
  <conditionalFormatting sqref="Y67">
    <cfRule type="cellIs" dxfId="567" priority="19" operator="greaterThan">
      <formula>0.03</formula>
    </cfRule>
    <cfRule type="cellIs" dxfId="566" priority="20" stopIfTrue="1" operator="lessThan">
      <formula>-0.03</formula>
    </cfRule>
  </conditionalFormatting>
  <conditionalFormatting sqref="V63:X70">
    <cfRule type="cellIs" dxfId="565" priority="27" operator="greaterThan">
      <formula>0.03</formula>
    </cfRule>
    <cfRule type="cellIs" dxfId="564" priority="28" stopIfTrue="1" operator="lessThan">
      <formula>-0.03</formula>
    </cfRule>
  </conditionalFormatting>
  <conditionalFormatting sqref="Y63">
    <cfRule type="cellIs" dxfId="563" priority="25" operator="greaterThan">
      <formula>0.03</formula>
    </cfRule>
    <cfRule type="cellIs" dxfId="562" priority="26" stopIfTrue="1" operator="lessThan">
      <formula>-0.03</formula>
    </cfRule>
  </conditionalFormatting>
  <conditionalFormatting sqref="Z63">
    <cfRule type="cellIs" dxfId="561" priority="23" operator="greaterThan">
      <formula>0.03</formula>
    </cfRule>
    <cfRule type="cellIs" dxfId="560" priority="24" stopIfTrue="1" operator="lessThan">
      <formula>-0.03</formula>
    </cfRule>
  </conditionalFormatting>
  <conditionalFormatting sqref="AA63">
    <cfRule type="cellIs" dxfId="559" priority="21" operator="greaterThan">
      <formula>0.03</formula>
    </cfRule>
    <cfRule type="cellIs" dxfId="558" priority="22" stopIfTrue="1" operator="lessThan">
      <formula>-0.03</formula>
    </cfRule>
  </conditionalFormatting>
  <conditionalFormatting sqref="Z67">
    <cfRule type="cellIs" dxfId="557" priority="17" operator="greaterThan">
      <formula>0.03</formula>
    </cfRule>
    <cfRule type="cellIs" dxfId="556" priority="18" stopIfTrue="1" operator="lessThan">
      <formula>-0.03</formula>
    </cfRule>
  </conditionalFormatting>
  <conditionalFormatting sqref="AA67">
    <cfRule type="cellIs" dxfId="555" priority="15" operator="greaterThan">
      <formula>0.03</formula>
    </cfRule>
    <cfRule type="cellIs" dxfId="554" priority="16" stopIfTrue="1" operator="lessThan">
      <formula>-0.03</formula>
    </cfRule>
  </conditionalFormatting>
  <conditionalFormatting sqref="Y70:Z70">
    <cfRule type="cellIs" dxfId="553" priority="11" operator="greaterThan">
      <formula>0.03</formula>
    </cfRule>
    <cfRule type="cellIs" dxfId="552" priority="12" stopIfTrue="1" operator="lessThan">
      <formula>-0.03</formula>
    </cfRule>
  </conditionalFormatting>
  <conditionalFormatting sqref="Y66:Z66">
    <cfRule type="cellIs" dxfId="551" priority="13" operator="greaterThan">
      <formula>0.03</formula>
    </cfRule>
    <cfRule type="cellIs" dxfId="550" priority="14" stopIfTrue="1" operator="lessThan">
      <formula>-0.03</formula>
    </cfRule>
  </conditionalFormatting>
  <conditionalFormatting sqref="V71:X74">
    <cfRule type="cellIs" dxfId="549" priority="9" operator="greaterThan">
      <formula>0.03</formula>
    </cfRule>
    <cfRule type="cellIs" dxfId="548" priority="10" stopIfTrue="1" operator="lessThan">
      <formula>-0.03</formula>
    </cfRule>
  </conditionalFormatting>
  <conditionalFormatting sqref="Y71">
    <cfRule type="cellIs" dxfId="547" priority="7" operator="greaterThan">
      <formula>0.03</formula>
    </cfRule>
    <cfRule type="cellIs" dxfId="546" priority="8" stopIfTrue="1" operator="lessThan">
      <formula>-0.03</formula>
    </cfRule>
  </conditionalFormatting>
  <conditionalFormatting sqref="Z71">
    <cfRule type="cellIs" dxfId="545" priority="5" operator="greaterThan">
      <formula>0.03</formula>
    </cfRule>
    <cfRule type="cellIs" dxfId="544" priority="6" stopIfTrue="1" operator="lessThan">
      <formula>-0.03</formula>
    </cfRule>
  </conditionalFormatting>
  <conditionalFormatting sqref="AA71">
    <cfRule type="cellIs" dxfId="543" priority="3" operator="greaterThan">
      <formula>0.03</formula>
    </cfRule>
    <cfRule type="cellIs" dxfId="542" priority="4" stopIfTrue="1" operator="lessThan">
      <formula>-0.03</formula>
    </cfRule>
  </conditionalFormatting>
  <conditionalFormatting sqref="Y74:Z74">
    <cfRule type="cellIs" dxfId="541" priority="1" operator="greaterThan">
      <formula>0.03</formula>
    </cfRule>
    <cfRule type="cellIs" dxfId="54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AA83"/>
  <sheetViews>
    <sheetView zoomScale="85" zoomScaleNormal="85" workbookViewId="0">
      <selection activeCell="T45" sqref="S45:T45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5" t="s">
        <v>5</v>
      </c>
      <c r="E1" s="156"/>
      <c r="F1" s="156"/>
      <c r="G1" s="156"/>
      <c r="H1" s="156"/>
      <c r="I1" s="156"/>
      <c r="J1" s="157"/>
      <c r="L1" s="155" t="s">
        <v>6</v>
      </c>
      <c r="M1" s="156"/>
      <c r="N1" s="156"/>
      <c r="O1" s="156"/>
      <c r="P1" s="156"/>
      <c r="Q1" s="156"/>
      <c r="R1" s="157"/>
      <c r="S1" s="35"/>
      <c r="T1" s="35"/>
      <c r="U1" s="2"/>
      <c r="V1" s="155" t="s">
        <v>17</v>
      </c>
      <c r="W1" s="156"/>
      <c r="X1" s="157"/>
      <c r="Y1" s="155" t="s">
        <v>18</v>
      </c>
      <c r="Z1" s="156"/>
      <c r="AA1" s="157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Reference!B73</f>
        <v>14743.32</v>
      </c>
      <c r="E3" s="13">
        <f>Reference!C73</f>
        <v>40.090499999999999</v>
      </c>
      <c r="F3" s="13">
        <f>Reference!D73</f>
        <v>49.064700000000002</v>
      </c>
      <c r="G3" s="13">
        <f>Reference!E73</f>
        <v>47.054299999999998</v>
      </c>
      <c r="H3" s="13">
        <f>Reference!F73</f>
        <v>363405.05800000002</v>
      </c>
      <c r="I3" s="13">
        <f>Reference!G73</f>
        <v>56.738</v>
      </c>
      <c r="J3" s="14">
        <f>H3/3600</f>
        <v>100.94584944444445</v>
      </c>
      <c r="L3" s="12">
        <f>Test!B73</f>
        <v>14739.951999999999</v>
      </c>
      <c r="M3" s="13">
        <f>Test!C73</f>
        <v>40.090600000000002</v>
      </c>
      <c r="N3" s="13">
        <f>Test!D73</f>
        <v>49.065600000000003</v>
      </c>
      <c r="O3" s="13">
        <f>Test!E73</f>
        <v>47.050600000000003</v>
      </c>
      <c r="P3" s="13">
        <f>Test!F73</f>
        <v>369153.63500000001</v>
      </c>
      <c r="Q3" s="13">
        <f>Test!G73</f>
        <v>56.688000000000002</v>
      </c>
      <c r="R3" s="14">
        <f>P3/3600</f>
        <v>102.54267638888889</v>
      </c>
      <c r="S3" s="12">
        <f>P3/H3</f>
        <v>1.0158186488422514</v>
      </c>
      <c r="T3" s="13">
        <f>Q3/I3</f>
        <v>0.99911875638901626</v>
      </c>
      <c r="U3" s="90"/>
      <c r="V3" s="37">
        <f>bdrate($D3:$D6,E3:E6,$L3:$L6,M3:M6)</f>
        <v>-3.2731179979161862E-4</v>
      </c>
      <c r="W3" s="42">
        <f>bdrate($D3:$D6,F3:F6,$L3:$L6,N3:N6)</f>
        <v>-5.30058896517005E-3</v>
      </c>
      <c r="X3" s="43">
        <f>bdrate($D3:$D6,G3:G6,$L3:$L6,O3:O6)</f>
        <v>4.0195196496428665E-4</v>
      </c>
      <c r="Y3" s="37">
        <f>bdrateOld($D3:$D6,E3:E6,$L3:$L6,M3:M6)</f>
        <v>-8.1746241342472992E-4</v>
      </c>
      <c r="Z3" s="42">
        <f>bdrateOld($D3:$D6,F3:F6,$L3:$L6,N3:N6)</f>
        <v>-5.0221862318168276E-3</v>
      </c>
      <c r="AA3" s="43">
        <f>bdrateOld($D3:$D6,G3:G6,$L3:$L6,O3:O6)</f>
        <v>1.4021771977157371E-4</v>
      </c>
    </row>
    <row r="4" spans="1:27" x14ac:dyDescent="0.2">
      <c r="A4" s="16" t="s">
        <v>34</v>
      </c>
      <c r="B4" s="85"/>
      <c r="C4" s="16">
        <v>48</v>
      </c>
      <c r="D4" s="17">
        <f>Reference!B74</f>
        <v>6726.9920000000002</v>
      </c>
      <c r="E4" s="18">
        <f>Reference!C74</f>
        <v>39.601399999999998</v>
      </c>
      <c r="F4" s="18">
        <f>Reference!D74</f>
        <v>48.472999999999999</v>
      </c>
      <c r="G4" s="18">
        <f>Reference!E74</f>
        <v>46.148499999999999</v>
      </c>
      <c r="H4" s="18">
        <f>Reference!F74</f>
        <v>200794.53899999999</v>
      </c>
      <c r="I4" s="18">
        <f>Reference!G74</f>
        <v>52.615000000000002</v>
      </c>
      <c r="J4" s="19">
        <f t="shared" ref="J4:J14" si="0">H4/3600</f>
        <v>55.776260833333332</v>
      </c>
      <c r="L4" s="17">
        <f>Test!B74</f>
        <v>6721.8519999999999</v>
      </c>
      <c r="M4" s="18">
        <f>Test!C74</f>
        <v>39.600200000000001</v>
      </c>
      <c r="N4" s="18">
        <f>Test!D74</f>
        <v>48.478900000000003</v>
      </c>
      <c r="O4" s="18">
        <f>Test!E74</f>
        <v>46.146099999999997</v>
      </c>
      <c r="P4" s="18">
        <f>Test!F74</f>
        <v>204296.63699999999</v>
      </c>
      <c r="Q4" s="18">
        <f>Test!G74</f>
        <v>53.082999999999998</v>
      </c>
      <c r="R4" s="19">
        <f t="shared" ref="R4:R14" si="1">P4/3600</f>
        <v>56.749065833333333</v>
      </c>
      <c r="S4" s="17">
        <f t="shared" ref="S4:T46" si="2">P4/H4</f>
        <v>1.0174412014262997</v>
      </c>
      <c r="T4" s="18">
        <f t="shared" si="2"/>
        <v>1.0088948018625867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Reference!B75</f>
        <v>3650.4160000000002</v>
      </c>
      <c r="E5" s="18">
        <f>Reference!C75</f>
        <v>38.760599999999997</v>
      </c>
      <c r="F5" s="18">
        <f>Reference!D75</f>
        <v>47.655799999999999</v>
      </c>
      <c r="G5" s="18">
        <f>Reference!E75</f>
        <v>44.918900000000001</v>
      </c>
      <c r="H5" s="18">
        <f>Reference!F75</f>
        <v>99178.767999999996</v>
      </c>
      <c r="I5" s="18">
        <f>Reference!G75</f>
        <v>45.987000000000002</v>
      </c>
      <c r="J5" s="19">
        <f t="shared" si="0"/>
        <v>27.549657777777778</v>
      </c>
      <c r="L5" s="17">
        <f>Test!B75</f>
        <v>3646.4560000000001</v>
      </c>
      <c r="M5" s="18">
        <f>Test!C75</f>
        <v>38.7605</v>
      </c>
      <c r="N5" s="18">
        <f>Test!D75</f>
        <v>47.662599999999998</v>
      </c>
      <c r="O5" s="18">
        <f>Test!E75</f>
        <v>44.913499999999999</v>
      </c>
      <c r="P5" s="18">
        <f>Test!F75</f>
        <v>101148.323</v>
      </c>
      <c r="Q5" s="18">
        <f>Test!G75</f>
        <v>46.23</v>
      </c>
      <c r="R5" s="19">
        <f t="shared" si="1"/>
        <v>28.096756388888888</v>
      </c>
      <c r="S5" s="17">
        <f t="shared" si="2"/>
        <v>1.0198586354692367</v>
      </c>
      <c r="T5" s="18">
        <f t="shared" si="2"/>
        <v>1.0052841020288341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Reference!B76</f>
        <v>1926.528</v>
      </c>
      <c r="E6" s="23">
        <f>Reference!C76</f>
        <v>37.268599999999999</v>
      </c>
      <c r="F6" s="23">
        <f>Reference!D76</f>
        <v>46.271099999999997</v>
      </c>
      <c r="G6" s="23">
        <f>Reference!E76</f>
        <v>43.187899999999999</v>
      </c>
      <c r="H6" s="23">
        <f>Reference!F76</f>
        <v>50137.783000000003</v>
      </c>
      <c r="I6" s="23">
        <f>Reference!G76</f>
        <v>42.387</v>
      </c>
      <c r="J6" s="24">
        <f t="shared" si="0"/>
        <v>13.927161944444446</v>
      </c>
      <c r="L6" s="22">
        <f>Test!B76</f>
        <v>1927.6320000000001</v>
      </c>
      <c r="M6" s="23">
        <f>Test!C76</f>
        <v>37.268500000000003</v>
      </c>
      <c r="N6" s="23">
        <f>Test!D76</f>
        <v>46.2883</v>
      </c>
      <c r="O6" s="23">
        <f>Test!E76</f>
        <v>43.203299999999999</v>
      </c>
      <c r="P6" s="23">
        <f>Test!F76</f>
        <v>51295.05</v>
      </c>
      <c r="Q6" s="23">
        <f>Test!G76</f>
        <v>42.253999999999998</v>
      </c>
      <c r="R6" s="24">
        <f t="shared" si="1"/>
        <v>14.248625000000001</v>
      </c>
      <c r="S6" s="17">
        <f t="shared" si="2"/>
        <v>1.0230817345872671</v>
      </c>
      <c r="T6" s="18">
        <f t="shared" si="2"/>
        <v>0.9968622454997994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Reference!B77</f>
        <v>75692.2</v>
      </c>
      <c r="E7" s="13">
        <f>Reference!C77</f>
        <v>41.654000000000003</v>
      </c>
      <c r="F7" s="13">
        <f>Reference!D77</f>
        <v>36.479999999999997</v>
      </c>
      <c r="G7" s="13">
        <f>Reference!E77</f>
        <v>37.613</v>
      </c>
      <c r="H7" s="13">
        <f>Reference!F77</f>
        <v>654874.68099999998</v>
      </c>
      <c r="I7" s="13">
        <f>Reference!G77</f>
        <v>64.822999999999993</v>
      </c>
      <c r="J7" s="14">
        <f t="shared" si="0"/>
        <v>181.9096336111111</v>
      </c>
      <c r="L7" s="12">
        <f>Test!B77</f>
        <v>75668.42</v>
      </c>
      <c r="M7" s="13">
        <f>Test!C77</f>
        <v>41.653500000000001</v>
      </c>
      <c r="N7" s="13">
        <f>Test!D77</f>
        <v>36.4818</v>
      </c>
      <c r="O7" s="13">
        <f>Test!E77</f>
        <v>37.613700000000001</v>
      </c>
      <c r="P7" s="13">
        <f>Test!F77</f>
        <v>653077.83799999999</v>
      </c>
      <c r="Q7" s="13">
        <f>Test!G77</f>
        <v>63.898000000000003</v>
      </c>
      <c r="R7" s="14">
        <f t="shared" si="1"/>
        <v>181.41051055555556</v>
      </c>
      <c r="S7" s="17">
        <f t="shared" si="2"/>
        <v>0.9972562032826553</v>
      </c>
      <c r="T7" s="18">
        <f t="shared" si="2"/>
        <v>0.98573037347854942</v>
      </c>
      <c r="U7" s="91"/>
      <c r="V7" s="37">
        <f>bdrate($D7:$D10,E7:E10,$L7:$L10,M7:M10)</f>
        <v>-2.57743465070015E-4</v>
      </c>
      <c r="W7" s="42">
        <f>bdrate($D7:$D10,F7:F10,$L7:$L10,N7:N10)</f>
        <v>2.7664896954782137E-4</v>
      </c>
      <c r="X7" s="42">
        <f>bdrate($D7:$D10,G7:G10,$L7:$L10,O7:O10)</f>
        <v>-3.0950047318167861E-4</v>
      </c>
      <c r="Y7" s="40">
        <f>bdrateOld($D7:$D10,E7:E10,$L7:$L10,M7:M10)</f>
        <v>-2.7834117106073641E-4</v>
      </c>
      <c r="Z7" s="44">
        <f>bdrateOld($D7:$D10,F7:F10,$L7:$L10,N7:N10)</f>
        <v>3.038607331753429E-4</v>
      </c>
      <c r="AA7" s="45">
        <f>bdrateOld($D7:$D10,G7:G10,$L7:$L10,O7:O10)</f>
        <v>-1.554798321909967E-4</v>
      </c>
    </row>
    <row r="8" spans="1:27" x14ac:dyDescent="0.2">
      <c r="A8" s="16"/>
      <c r="B8" s="85"/>
      <c r="C8" s="16">
        <v>48</v>
      </c>
      <c r="D8" s="17">
        <f>Reference!B78</f>
        <v>39107.603999999999</v>
      </c>
      <c r="E8" s="18">
        <f>Reference!C78</f>
        <v>39.052199999999999</v>
      </c>
      <c r="F8" s="18">
        <f>Reference!D78</f>
        <v>34.556399999999996</v>
      </c>
      <c r="G8" s="18">
        <f>Reference!E78</f>
        <v>35.963299999999997</v>
      </c>
      <c r="H8" s="18">
        <f>Reference!F78</f>
        <v>443899.217</v>
      </c>
      <c r="I8" s="18">
        <f>Reference!G78</f>
        <v>57.195999999999998</v>
      </c>
      <c r="J8" s="19">
        <f t="shared" si="0"/>
        <v>123.30533805555555</v>
      </c>
      <c r="L8" s="17">
        <f>Test!B78</f>
        <v>39114.076000000001</v>
      </c>
      <c r="M8" s="18">
        <f>Test!C78</f>
        <v>39.051000000000002</v>
      </c>
      <c r="N8" s="18">
        <f>Test!D78</f>
        <v>34.553400000000003</v>
      </c>
      <c r="O8" s="18">
        <f>Test!E78</f>
        <v>35.9604</v>
      </c>
      <c r="P8" s="18">
        <f>Test!F78</f>
        <v>448544.88400000002</v>
      </c>
      <c r="Q8" s="18">
        <f>Test!G78</f>
        <v>56.965000000000003</v>
      </c>
      <c r="R8" s="19">
        <f t="shared" si="1"/>
        <v>124.59580111111111</v>
      </c>
      <c r="S8" s="17">
        <f t="shared" si="2"/>
        <v>1.0104655895349326</v>
      </c>
      <c r="T8" s="18">
        <f t="shared" si="2"/>
        <v>0.99596125603189045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Reference!B79</f>
        <v>18801.439999999999</v>
      </c>
      <c r="E9" s="18">
        <f>Reference!C79</f>
        <v>36.145400000000002</v>
      </c>
      <c r="F9" s="18">
        <f>Reference!D79</f>
        <v>32.925600000000003</v>
      </c>
      <c r="G9" s="18">
        <f>Reference!E79</f>
        <v>34.587200000000003</v>
      </c>
      <c r="H9" s="18">
        <f>Reference!F79</f>
        <v>277063.83199999999</v>
      </c>
      <c r="I9" s="18">
        <f>Reference!G79</f>
        <v>52.875999999999998</v>
      </c>
      <c r="J9" s="19">
        <f t="shared" si="0"/>
        <v>76.962175555555561</v>
      </c>
      <c r="L9" s="17">
        <f>Test!B79</f>
        <v>18780.227999999999</v>
      </c>
      <c r="M9" s="18">
        <f>Test!C79</f>
        <v>36.142899999999997</v>
      </c>
      <c r="N9" s="18">
        <f>Test!D79</f>
        <v>32.922600000000003</v>
      </c>
      <c r="O9" s="18">
        <f>Test!E79</f>
        <v>34.591099999999997</v>
      </c>
      <c r="P9" s="18">
        <f>Test!F79</f>
        <v>282157.97899999999</v>
      </c>
      <c r="Q9" s="18">
        <f>Test!G79</f>
        <v>52.228999999999999</v>
      </c>
      <c r="R9" s="19">
        <f t="shared" si="1"/>
        <v>78.377216388888883</v>
      </c>
      <c r="S9" s="17">
        <f t="shared" si="2"/>
        <v>1.0183861854621283</v>
      </c>
      <c r="T9" s="18">
        <f t="shared" si="2"/>
        <v>0.9877638247976398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Reference!B80</f>
        <v>7758.82</v>
      </c>
      <c r="E10" s="23">
        <f>Reference!C80</f>
        <v>33.085500000000003</v>
      </c>
      <c r="F10" s="23">
        <f>Reference!D80</f>
        <v>31.259499999999999</v>
      </c>
      <c r="G10" s="23">
        <f>Reference!E80</f>
        <v>33.171799999999998</v>
      </c>
      <c r="H10" s="23">
        <f>Reference!F80</f>
        <v>155611.06700000001</v>
      </c>
      <c r="I10" s="23">
        <f>Reference!G80</f>
        <v>47.128999999999998</v>
      </c>
      <c r="J10" s="24">
        <f t="shared" si="0"/>
        <v>43.225296388888893</v>
      </c>
      <c r="L10" s="22">
        <f>Test!B80</f>
        <v>7753.7479999999996</v>
      </c>
      <c r="M10" s="23">
        <f>Test!C80</f>
        <v>33.0886</v>
      </c>
      <c r="N10" s="23">
        <f>Test!D80</f>
        <v>31.2621</v>
      </c>
      <c r="O10" s="23">
        <f>Test!E80</f>
        <v>33.166600000000003</v>
      </c>
      <c r="P10" s="23">
        <f>Test!F80</f>
        <v>159678.601</v>
      </c>
      <c r="Q10" s="23">
        <f>Test!G80</f>
        <v>47.451999999999998</v>
      </c>
      <c r="R10" s="24">
        <f t="shared" si="1"/>
        <v>44.355166944444441</v>
      </c>
      <c r="S10" s="17">
        <f t="shared" si="2"/>
        <v>1.0261391048748478</v>
      </c>
      <c r="T10" s="18">
        <f t="shared" si="2"/>
        <v>1.0068535296738739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Reference!B81</f>
        <v>37728.436000000002</v>
      </c>
      <c r="E11" s="13">
        <f>Reference!C81</f>
        <v>38.307000000000002</v>
      </c>
      <c r="F11" s="13">
        <f>Reference!D81</f>
        <v>40.465299999999999</v>
      </c>
      <c r="G11" s="13">
        <f>Reference!E81</f>
        <v>41.554000000000002</v>
      </c>
      <c r="H11" s="13">
        <f>Reference!F81</f>
        <v>384794.842</v>
      </c>
      <c r="I11" s="13">
        <f>Reference!G81</f>
        <v>35.707000000000001</v>
      </c>
      <c r="J11" s="14">
        <f t="shared" si="0"/>
        <v>106.88745611111111</v>
      </c>
      <c r="L11" s="12">
        <f>Test!B81</f>
        <v>37735.883999999998</v>
      </c>
      <c r="M11" s="13">
        <f>Test!C81</f>
        <v>38.306600000000003</v>
      </c>
      <c r="N11" s="13">
        <f>Test!D81</f>
        <v>40.466700000000003</v>
      </c>
      <c r="O11" s="13">
        <f>Test!E81</f>
        <v>41.549399999999999</v>
      </c>
      <c r="P11" s="13">
        <f>Test!F81</f>
        <v>386094.49800000002</v>
      </c>
      <c r="Q11" s="13">
        <f>Test!G81</f>
        <v>35.119</v>
      </c>
      <c r="R11" s="14">
        <f t="shared" si="1"/>
        <v>107.24847166666667</v>
      </c>
      <c r="S11" s="17">
        <f t="shared" si="2"/>
        <v>1.0033775296811283</v>
      </c>
      <c r="T11" s="18">
        <f t="shared" si="2"/>
        <v>0.98353264065869439</v>
      </c>
      <c r="U11" s="91"/>
      <c r="V11" s="37">
        <f>bdrate($D11:$D14,E11:E14,$L11:$L14,M11:M14)</f>
        <v>5.9559151788968201E-4</v>
      </c>
      <c r="W11" s="42">
        <f>bdrate($D11:$D14,F11:F14,$L11:$L14,N11:N14)</f>
        <v>8.3710801062975015E-4</v>
      </c>
      <c r="X11" s="42">
        <f>bdrate($D11:$D14,G11:G14,$L11:$L14,O11:O14)</f>
        <v>2.9256093039431441E-4</v>
      </c>
      <c r="Y11" s="40">
        <f>bdrateOld($D11:$D14,E11:E14,$L11:$L14,M11:M14)</f>
        <v>5.9853889344529954E-4</v>
      </c>
      <c r="Z11" s="44">
        <f>bdrateOld($D11:$D14,F11:F14,$L11:$L14,N11:N14)</f>
        <v>9.1078089608598312E-4</v>
      </c>
      <c r="AA11" s="45">
        <f>bdrateOld($D11:$D14,G11:G14,$L11:$L14,O11:O14)</f>
        <v>2.4196458101211071E-4</v>
      </c>
    </row>
    <row r="12" spans="1:27" x14ac:dyDescent="0.2">
      <c r="A12" s="34"/>
      <c r="B12" s="83"/>
      <c r="C12" s="16">
        <v>48</v>
      </c>
      <c r="D12" s="17">
        <f>Reference!B82</f>
        <v>18412.432000000001</v>
      </c>
      <c r="E12" s="18">
        <f>Reference!C82</f>
        <v>37.199300000000001</v>
      </c>
      <c r="F12" s="18">
        <f>Reference!D82</f>
        <v>37.925800000000002</v>
      </c>
      <c r="G12" s="18">
        <f>Reference!E82</f>
        <v>40.338500000000003</v>
      </c>
      <c r="H12" s="18">
        <f>Reference!F82</f>
        <v>230741.29699999999</v>
      </c>
      <c r="I12" s="18">
        <f>Reference!G82</f>
        <v>29.905000000000001</v>
      </c>
      <c r="J12" s="19">
        <f t="shared" si="0"/>
        <v>64.094804722222221</v>
      </c>
      <c r="L12" s="17">
        <f>Test!B82</f>
        <v>18415.944</v>
      </c>
      <c r="M12" s="18">
        <f>Test!C82</f>
        <v>37.198799999999999</v>
      </c>
      <c r="N12" s="18">
        <f>Test!D82</f>
        <v>37.919600000000003</v>
      </c>
      <c r="O12" s="18">
        <f>Test!E82</f>
        <v>40.338299999999997</v>
      </c>
      <c r="P12" s="18">
        <f>Test!F82</f>
        <v>235834.16399999999</v>
      </c>
      <c r="Q12" s="18">
        <f>Test!G82</f>
        <v>31.99</v>
      </c>
      <c r="R12" s="19">
        <f t="shared" si="1"/>
        <v>65.50949</v>
      </c>
      <c r="S12" s="17">
        <f t="shared" si="2"/>
        <v>1.0220717620391984</v>
      </c>
      <c r="T12" s="18">
        <f t="shared" si="2"/>
        <v>1.0697207824778465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Reference!B83</f>
        <v>9150.8719999999994</v>
      </c>
      <c r="E13" s="18">
        <f>Reference!C83</f>
        <v>35.839500000000001</v>
      </c>
      <c r="F13" s="18">
        <f>Reference!D83</f>
        <v>35.709699999999998</v>
      </c>
      <c r="G13" s="18">
        <f>Reference!E83</f>
        <v>39.025500000000001</v>
      </c>
      <c r="H13" s="18">
        <f>Reference!F83</f>
        <v>138865.50200000001</v>
      </c>
      <c r="I13" s="18">
        <f>Reference!G83</f>
        <v>26.675999999999998</v>
      </c>
      <c r="J13" s="19">
        <f t="shared" si="0"/>
        <v>38.573750555555556</v>
      </c>
      <c r="L13" s="17">
        <f>Test!B83</f>
        <v>9148.2080000000005</v>
      </c>
      <c r="M13" s="18">
        <f>Test!C83</f>
        <v>35.837499999999999</v>
      </c>
      <c r="N13" s="18">
        <f>Test!D83</f>
        <v>35.709000000000003</v>
      </c>
      <c r="O13" s="18">
        <f>Test!E83</f>
        <v>39.027099999999997</v>
      </c>
      <c r="P13" s="18">
        <f>Test!F83</f>
        <v>141118.21100000001</v>
      </c>
      <c r="Q13" s="18">
        <f>Test!G83</f>
        <v>26.774999999999999</v>
      </c>
      <c r="R13" s="19">
        <f t="shared" si="1"/>
        <v>39.19950305555556</v>
      </c>
      <c r="S13" s="17">
        <f t="shared" si="2"/>
        <v>1.0162222363910081</v>
      </c>
      <c r="T13" s="18">
        <f t="shared" si="2"/>
        <v>1.0037112010796221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Reference!B84</f>
        <v>4625.5879999999997</v>
      </c>
      <c r="E14" s="23">
        <f>Reference!C84</f>
        <v>34.002000000000002</v>
      </c>
      <c r="F14" s="23">
        <f>Reference!D84</f>
        <v>33.8127</v>
      </c>
      <c r="G14" s="23">
        <f>Reference!E84</f>
        <v>37.4711</v>
      </c>
      <c r="H14" s="23">
        <f>Reference!F84</f>
        <v>79766.001999999993</v>
      </c>
      <c r="I14" s="23">
        <f>Reference!G84</f>
        <v>23.701000000000001</v>
      </c>
      <c r="J14" s="24">
        <f t="shared" si="0"/>
        <v>22.157222777777775</v>
      </c>
      <c r="L14" s="22">
        <f>Test!B84</f>
        <v>4625.2560000000003</v>
      </c>
      <c r="M14" s="23">
        <f>Test!C84</f>
        <v>33.999000000000002</v>
      </c>
      <c r="N14" s="23">
        <f>Test!D84</f>
        <v>33.811999999999998</v>
      </c>
      <c r="O14" s="23">
        <f>Test!E84</f>
        <v>37.465699999999998</v>
      </c>
      <c r="P14" s="23">
        <f>Test!F84</f>
        <v>80494.562999999995</v>
      </c>
      <c r="Q14" s="23">
        <f>Test!G84</f>
        <v>23.664999999999999</v>
      </c>
      <c r="R14" s="24">
        <f t="shared" si="1"/>
        <v>22.359600833333332</v>
      </c>
      <c r="S14" s="17">
        <f t="shared" si="2"/>
        <v>1.0091337284273068</v>
      </c>
      <c r="T14" s="18">
        <f t="shared" si="2"/>
        <v>0.9984810767478165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Reference!B85</f>
        <v>26235.632000000001</v>
      </c>
      <c r="E15" s="13">
        <f>Reference!C85</f>
        <v>37.639499999999998</v>
      </c>
      <c r="F15" s="13">
        <f>Reference!D85</f>
        <v>45.3461</v>
      </c>
      <c r="G15" s="13">
        <f>Reference!E85</f>
        <v>43.037100000000002</v>
      </c>
      <c r="H15" s="13">
        <f>Reference!F85</f>
        <v>510895.826</v>
      </c>
      <c r="I15" s="13">
        <f>Reference!G85</f>
        <v>60.878999999999998</v>
      </c>
      <c r="J15" s="14">
        <f>H15/3600</f>
        <v>141.91550722222223</v>
      </c>
      <c r="L15" s="12">
        <f>Test!B85</f>
        <v>26242.991999999998</v>
      </c>
      <c r="M15" s="13">
        <f>Test!C85</f>
        <v>37.639400000000002</v>
      </c>
      <c r="N15" s="13">
        <f>Test!D85</f>
        <v>45.337200000000003</v>
      </c>
      <c r="O15" s="13">
        <f>Test!E85</f>
        <v>43.030999999999999</v>
      </c>
      <c r="P15" s="13">
        <f>Test!F85</f>
        <v>513763.04</v>
      </c>
      <c r="Q15" s="13">
        <f>Test!G85</f>
        <v>59.52</v>
      </c>
      <c r="R15" s="14">
        <f>P15/3600</f>
        <v>142.71195555555556</v>
      </c>
      <c r="S15" s="17">
        <f>P15/H15</f>
        <v>1.0056121304071879</v>
      </c>
      <c r="T15" s="18">
        <f>Q15/I15</f>
        <v>0.97767703148869078</v>
      </c>
      <c r="U15" s="91"/>
      <c r="V15" s="37">
        <f>bdrate($D15:$D18,E15:E18,$L15:$L18,M15:M18)</f>
        <v>-9.8739494389543658E-5</v>
      </c>
      <c r="W15" s="42">
        <f>bdrate($D15:$D18,F15:F18,$L15:$L18,N15:N18)</f>
        <v>5.1814257093378835E-3</v>
      </c>
      <c r="X15" s="43">
        <f>bdrate($D15:$D18,G15:G18,$L15:$L18,O15:O18)</f>
        <v>7.6981990256252963E-3</v>
      </c>
      <c r="Y15" s="37">
        <f>bdrateOld($D15:$D18,E15:E18,$L15:$L18,M15:M18)</f>
        <v>4.698821157782529E-4</v>
      </c>
      <c r="Z15" s="42">
        <f>bdrateOld($D15:$D18,F15:F18,$L15:$L18,N15:N18)</f>
        <v>7.7572855218892567E-3</v>
      </c>
      <c r="AA15" s="43">
        <f>bdrateOld($D15:$D18,G15:G18,$L15:$L18,O15:O18)</f>
        <v>9.2620999260315529E-3</v>
      </c>
    </row>
    <row r="16" spans="1:27" x14ac:dyDescent="0.2">
      <c r="A16" s="16"/>
      <c r="B16" s="85"/>
      <c r="C16" s="16">
        <v>48</v>
      </c>
      <c r="D16" s="17">
        <f>Reference!B86</f>
        <v>9143.9959999999992</v>
      </c>
      <c r="E16" s="18">
        <f>Reference!C86</f>
        <v>37.099299999999999</v>
      </c>
      <c r="F16" s="18">
        <f>Reference!D86</f>
        <v>44.749200000000002</v>
      </c>
      <c r="G16" s="18">
        <f>Reference!E86</f>
        <v>42.405900000000003</v>
      </c>
      <c r="H16" s="18">
        <f>Reference!F86</f>
        <v>278265.46500000003</v>
      </c>
      <c r="I16" s="18">
        <f>Reference!G86</f>
        <v>52.716000000000001</v>
      </c>
      <c r="J16" s="19">
        <f t="shared" ref="J16:J26" si="3">H16/3600</f>
        <v>77.295962500000002</v>
      </c>
      <c r="L16" s="17">
        <f>Test!B86</f>
        <v>9141.3719999999994</v>
      </c>
      <c r="M16" s="18">
        <f>Test!C86</f>
        <v>37.099299999999999</v>
      </c>
      <c r="N16" s="18">
        <f>Test!D86</f>
        <v>44.749299999999998</v>
      </c>
      <c r="O16" s="18">
        <f>Test!E86</f>
        <v>42.407200000000003</v>
      </c>
      <c r="P16" s="18">
        <f>Test!F86</f>
        <v>281660.69799999997</v>
      </c>
      <c r="Q16" s="18">
        <f>Test!G86</f>
        <v>53.265000000000001</v>
      </c>
      <c r="R16" s="19">
        <f t="shared" ref="R16:R26" si="4">P16/3600</f>
        <v>78.239082777777767</v>
      </c>
      <c r="S16" s="17">
        <f t="shared" ref="S16:S26" si="5">P16/H16</f>
        <v>1.012201417089253</v>
      </c>
      <c r="T16" s="18">
        <f t="shared" ref="T16:T26" si="6">Q16/I16</f>
        <v>1.0104142954700661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Reference!B87</f>
        <v>4502.3760000000002</v>
      </c>
      <c r="E17" s="18">
        <f>Reference!C87</f>
        <v>36.249200000000002</v>
      </c>
      <c r="F17" s="18">
        <f>Reference!D87</f>
        <v>44.000100000000003</v>
      </c>
      <c r="G17" s="18">
        <f>Reference!E87</f>
        <v>41.631599999999999</v>
      </c>
      <c r="H17" s="18">
        <f>Reference!F87</f>
        <v>141013.51699999999</v>
      </c>
      <c r="I17" s="18">
        <f>Reference!G87</f>
        <v>44.061999999999998</v>
      </c>
      <c r="J17" s="19">
        <f t="shared" si="3"/>
        <v>39.17042138888889</v>
      </c>
      <c r="L17" s="17">
        <f>Test!B87</f>
        <v>4505.7079999999996</v>
      </c>
      <c r="M17" s="18">
        <f>Test!C87</f>
        <v>36.249699999999997</v>
      </c>
      <c r="N17" s="18">
        <f>Test!D87</f>
        <v>43.991500000000002</v>
      </c>
      <c r="O17" s="18">
        <f>Test!E87</f>
        <v>41.615000000000002</v>
      </c>
      <c r="P17" s="18">
        <f>Test!F87</f>
        <v>142294.93299999999</v>
      </c>
      <c r="Q17" s="18">
        <f>Test!G87</f>
        <v>44.825000000000003</v>
      </c>
      <c r="R17" s="19">
        <f t="shared" si="4"/>
        <v>39.526370277777772</v>
      </c>
      <c r="S17" s="17">
        <f t="shared" si="5"/>
        <v>1.0090871855922861</v>
      </c>
      <c r="T17" s="18">
        <f t="shared" si="6"/>
        <v>1.0173165085561255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Reference!B88</f>
        <v>2183.7399999999998</v>
      </c>
      <c r="E18" s="23">
        <f>Reference!C88</f>
        <v>34.795999999999999</v>
      </c>
      <c r="F18" s="23">
        <f>Reference!D88</f>
        <v>42.691800000000001</v>
      </c>
      <c r="G18" s="23">
        <f>Reference!E88</f>
        <v>40.4833</v>
      </c>
      <c r="H18" s="23">
        <f>Reference!F88</f>
        <v>68001.14</v>
      </c>
      <c r="I18" s="23">
        <f>Reference!G88</f>
        <v>37.771999999999998</v>
      </c>
      <c r="J18" s="24">
        <f t="shared" si="3"/>
        <v>18.889205555555556</v>
      </c>
      <c r="L18" s="22">
        <f>Test!B88</f>
        <v>2179.2759999999998</v>
      </c>
      <c r="M18" s="23">
        <f>Test!C88</f>
        <v>34.7941</v>
      </c>
      <c r="N18" s="23">
        <f>Test!D88</f>
        <v>42.6858</v>
      </c>
      <c r="O18" s="23">
        <f>Test!E88</f>
        <v>40.470999999999997</v>
      </c>
      <c r="P18" s="23">
        <f>Test!F88</f>
        <v>68730.804999999993</v>
      </c>
      <c r="Q18" s="23">
        <f>Test!G88</f>
        <v>38.045999999999999</v>
      </c>
      <c r="R18" s="24">
        <f t="shared" si="4"/>
        <v>19.091890277777775</v>
      </c>
      <c r="S18" s="17">
        <f t="shared" si="5"/>
        <v>1.010730187758617</v>
      </c>
      <c r="T18" s="18">
        <f t="shared" si="6"/>
        <v>1.0072540506195065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Reference!B89</f>
        <v>9764.3119999999999</v>
      </c>
      <c r="E19" s="13">
        <f>Reference!C89</f>
        <v>38.015000000000001</v>
      </c>
      <c r="F19" s="13">
        <f>Reference!D89</f>
        <v>39.850200000000001</v>
      </c>
      <c r="G19" s="13">
        <f>Reference!E89</f>
        <v>43.346299999999999</v>
      </c>
      <c r="H19" s="13">
        <f>Reference!F89</f>
        <v>115823.818</v>
      </c>
      <c r="I19" s="13">
        <f>Reference!G89</f>
        <v>12.773999999999999</v>
      </c>
      <c r="J19" s="14">
        <f t="shared" si="3"/>
        <v>32.173282777777779</v>
      </c>
      <c r="L19" s="12">
        <f>Test!B89</f>
        <v>9764.9760000000006</v>
      </c>
      <c r="M19" s="13">
        <f>Test!C89</f>
        <v>38.013300000000001</v>
      </c>
      <c r="N19" s="13">
        <f>Test!D89</f>
        <v>39.849600000000002</v>
      </c>
      <c r="O19" s="13">
        <f>Test!E89</f>
        <v>43.340200000000003</v>
      </c>
      <c r="P19" s="13">
        <f>Test!F89</f>
        <v>117717.045</v>
      </c>
      <c r="Q19" s="13">
        <f>Test!G89</f>
        <v>13.173</v>
      </c>
      <c r="R19" s="14">
        <f t="shared" si="4"/>
        <v>32.699179166666667</v>
      </c>
      <c r="S19" s="12">
        <f t="shared" si="5"/>
        <v>1.0163457485057175</v>
      </c>
      <c r="T19" s="13">
        <f t="shared" si="6"/>
        <v>1.0312353217472994</v>
      </c>
      <c r="U19" s="90"/>
      <c r="V19" s="37">
        <f>bdrate($D19:$D22,E19:E22,$L19:$L22,M19:M22)</f>
        <v>4.9349434525525204E-4</v>
      </c>
      <c r="W19" s="42">
        <f>bdrate($D19:$D22,F19:F22,$L19:$L22,N19:N22)</f>
        <v>1.7471652816072325E-3</v>
      </c>
      <c r="X19" s="42">
        <f>bdrate($D19:$D22,G19:G22,$L19:$L22,O19:O22)</f>
        <v>6.8777209845918286E-3</v>
      </c>
      <c r="Y19" s="40">
        <f>bdrateOld($D19:$D22,E19:E22,$L19:$L22,M19:M22)</f>
        <v>6.3900645290160263E-4</v>
      </c>
      <c r="Z19" s="44">
        <f>bdrateOld($D19:$D22,F19:F22,$L19:$L22,N19:N22)</f>
        <v>3.4133597862866516E-3</v>
      </c>
      <c r="AA19" s="45">
        <f>bdrateOld($D19:$D22,G19:G22,$L19:$L22,O19:O22)</f>
        <v>6.4669171612519172E-3</v>
      </c>
    </row>
    <row r="20" spans="1:27" x14ac:dyDescent="0.2">
      <c r="A20" s="16" t="s">
        <v>48</v>
      </c>
      <c r="B20" s="85"/>
      <c r="C20" s="16">
        <v>32</v>
      </c>
      <c r="D20" s="17">
        <f>Reference!B90</f>
        <v>4528.0039999999999</v>
      </c>
      <c r="E20" s="18">
        <f>Reference!C90</f>
        <v>36.917999999999999</v>
      </c>
      <c r="F20" s="18">
        <f>Reference!D90</f>
        <v>39.341799999999999</v>
      </c>
      <c r="G20" s="18">
        <f>Reference!E90</f>
        <v>42.231400000000001</v>
      </c>
      <c r="H20" s="18">
        <f>Reference!F90</f>
        <v>69794.576000000001</v>
      </c>
      <c r="I20" s="18">
        <f>Reference!G90</f>
        <v>11.202</v>
      </c>
      <c r="J20" s="19">
        <f t="shared" si="3"/>
        <v>19.387382222222222</v>
      </c>
      <c r="L20" s="17">
        <f>Test!B90</f>
        <v>4524.42</v>
      </c>
      <c r="M20" s="18">
        <f>Test!C90</f>
        <v>36.916699999999999</v>
      </c>
      <c r="N20" s="18">
        <f>Test!D90</f>
        <v>39.344099999999997</v>
      </c>
      <c r="O20" s="18">
        <f>Test!E90</f>
        <v>42.2117</v>
      </c>
      <c r="P20" s="18">
        <f>Test!F90</f>
        <v>71677.198000000004</v>
      </c>
      <c r="Q20" s="18">
        <f>Test!G90</f>
        <v>11.298</v>
      </c>
      <c r="R20" s="19">
        <f t="shared" si="4"/>
        <v>19.910332777777779</v>
      </c>
      <c r="S20" s="17">
        <f t="shared" si="5"/>
        <v>1.0269737579607905</v>
      </c>
      <c r="T20" s="18">
        <f t="shared" si="6"/>
        <v>1.0085698982324585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Reference!B91</f>
        <v>2302.8119999999999</v>
      </c>
      <c r="E21" s="18">
        <f>Reference!C91</f>
        <v>35.363300000000002</v>
      </c>
      <c r="F21" s="18">
        <f>Reference!D91</f>
        <v>38.731400000000001</v>
      </c>
      <c r="G21" s="18">
        <f>Reference!E91</f>
        <v>40.962000000000003</v>
      </c>
      <c r="H21" s="18">
        <f>Reference!F91</f>
        <v>40745.11</v>
      </c>
      <c r="I21" s="18">
        <f>Reference!G91</f>
        <v>9.4009999999999998</v>
      </c>
      <c r="J21" s="19">
        <f t="shared" si="3"/>
        <v>11.318086111111111</v>
      </c>
      <c r="L21" s="17">
        <f>Test!B91</f>
        <v>2302.904</v>
      </c>
      <c r="M21" s="18">
        <f>Test!C91</f>
        <v>35.360700000000001</v>
      </c>
      <c r="N21" s="18">
        <f>Test!D91</f>
        <v>38.723700000000001</v>
      </c>
      <c r="O21" s="18">
        <f>Test!E91</f>
        <v>40.9499</v>
      </c>
      <c r="P21" s="18">
        <f>Test!F91</f>
        <v>42218.938999999998</v>
      </c>
      <c r="Q21" s="18">
        <f>Test!G91</f>
        <v>10.005000000000001</v>
      </c>
      <c r="R21" s="19">
        <f t="shared" si="4"/>
        <v>11.727483055555554</v>
      </c>
      <c r="S21" s="17">
        <f t="shared" si="5"/>
        <v>1.0361719234529001</v>
      </c>
      <c r="T21" s="18">
        <f t="shared" si="6"/>
        <v>1.0642484842038082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Reference!B92</f>
        <v>1103.6479999999999</v>
      </c>
      <c r="E22" s="23">
        <f>Reference!C92</f>
        <v>33.170200000000001</v>
      </c>
      <c r="F22" s="23">
        <f>Reference!D92</f>
        <v>37.701599999999999</v>
      </c>
      <c r="G22" s="23">
        <f>Reference!E92</f>
        <v>39.240400000000001</v>
      </c>
      <c r="H22" s="23">
        <f>Reference!F92</f>
        <v>21591.633000000002</v>
      </c>
      <c r="I22" s="23">
        <f>Reference!G92</f>
        <v>8.5820000000000007</v>
      </c>
      <c r="J22" s="24">
        <f t="shared" si="3"/>
        <v>5.997675833333334</v>
      </c>
      <c r="L22" s="22">
        <f>Test!B92</f>
        <v>1102.7719999999999</v>
      </c>
      <c r="M22" s="23">
        <f>Test!C92</f>
        <v>33.169600000000003</v>
      </c>
      <c r="N22" s="23">
        <f>Test!D92</f>
        <v>37.709000000000003</v>
      </c>
      <c r="O22" s="23">
        <f>Test!E92</f>
        <v>39.230699999999999</v>
      </c>
      <c r="P22" s="23">
        <f>Test!F92</f>
        <v>22172.383000000002</v>
      </c>
      <c r="Q22" s="23">
        <f>Test!G92</f>
        <v>8.548</v>
      </c>
      <c r="R22" s="24">
        <f t="shared" si="4"/>
        <v>6.1589952777777786</v>
      </c>
      <c r="S22" s="17">
        <f t="shared" si="5"/>
        <v>1.0268969929231384</v>
      </c>
      <c r="T22" s="18">
        <f t="shared" si="6"/>
        <v>0.9960382195292472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Reference!B93</f>
        <v>8547.8439999999991</v>
      </c>
      <c r="E23" s="13">
        <f>Reference!C93</f>
        <v>38.949399999999997</v>
      </c>
      <c r="F23" s="13">
        <f>Reference!D93</f>
        <v>44.054499999999997</v>
      </c>
      <c r="G23" s="13">
        <f>Reference!E93</f>
        <v>45.214500000000001</v>
      </c>
      <c r="H23" s="13">
        <f>Reference!F93</f>
        <v>124264.728</v>
      </c>
      <c r="I23" s="13">
        <f>Reference!G93</f>
        <v>13.367000000000001</v>
      </c>
      <c r="J23" s="14">
        <f t="shared" si="3"/>
        <v>34.517980000000001</v>
      </c>
      <c r="L23" s="12">
        <f>Test!B93</f>
        <v>8555.8320000000003</v>
      </c>
      <c r="M23" s="13">
        <f>Test!C93</f>
        <v>38.950000000000003</v>
      </c>
      <c r="N23" s="13">
        <f>Test!D93</f>
        <v>44.056800000000003</v>
      </c>
      <c r="O23" s="13">
        <f>Test!E93</f>
        <v>45.222700000000003</v>
      </c>
      <c r="P23" s="13">
        <f>Test!F93</f>
        <v>125762.897</v>
      </c>
      <c r="Q23" s="13">
        <f>Test!G93</f>
        <v>14.192</v>
      </c>
      <c r="R23" s="14">
        <f t="shared" si="4"/>
        <v>34.934138055555557</v>
      </c>
      <c r="S23" s="17">
        <f t="shared" si="5"/>
        <v>1.0120562690967303</v>
      </c>
      <c r="T23" s="18">
        <f t="shared" si="6"/>
        <v>1.0617191591232138</v>
      </c>
      <c r="U23" s="91"/>
      <c r="V23" s="37">
        <f>bdrate($D23:$D26,E23:E26,$L23:$L26,M23:M26)</f>
        <v>1.8299424617373994E-4</v>
      </c>
      <c r="W23" s="42">
        <f>bdrate($D23:$D26,F23:F26,$L23:$L26,N23:N26)</f>
        <v>4.4202915663404951E-3</v>
      </c>
      <c r="X23" s="42">
        <f>bdrate($D23:$D26,G23:G26,$L23:$L26,O23:O26)</f>
        <v>-2.8565128764770353E-3</v>
      </c>
      <c r="Y23" s="40">
        <f>bdrateOld($D23:$D26,E23:E26,$L23:$L26,M23:M26)</f>
        <v>-7.1823275053950475E-5</v>
      </c>
      <c r="Z23" s="44">
        <f>bdrateOld($D23:$D26,F23:F26,$L23:$L26,N23:N26)</f>
        <v>4.7807910622688077E-3</v>
      </c>
      <c r="AA23" s="45">
        <f>bdrateOld($D23:$D26,G23:G26,$L23:$L26,O23:O26)</f>
        <v>-2.5802383451575261E-3</v>
      </c>
    </row>
    <row r="24" spans="1:27" x14ac:dyDescent="0.2">
      <c r="A24" s="34"/>
      <c r="B24" s="85"/>
      <c r="C24" s="16">
        <v>32</v>
      </c>
      <c r="D24" s="17">
        <f>Reference!B94</f>
        <v>4281.3879999999999</v>
      </c>
      <c r="E24" s="18">
        <f>Reference!C94</f>
        <v>37.921100000000003</v>
      </c>
      <c r="F24" s="18">
        <f>Reference!D94</f>
        <v>43.2151</v>
      </c>
      <c r="G24" s="18">
        <f>Reference!E94</f>
        <v>43.774500000000003</v>
      </c>
      <c r="H24" s="18">
        <f>Reference!F94</f>
        <v>75568.702000000005</v>
      </c>
      <c r="I24" s="18">
        <f>Reference!G94</f>
        <v>11.646000000000001</v>
      </c>
      <c r="J24" s="19">
        <f t="shared" si="3"/>
        <v>20.991306111111111</v>
      </c>
      <c r="L24" s="17">
        <f>Test!B94</f>
        <v>4279.62</v>
      </c>
      <c r="M24" s="18">
        <f>Test!C94</f>
        <v>37.917200000000001</v>
      </c>
      <c r="N24" s="18">
        <f>Test!D94</f>
        <v>43.211599999999997</v>
      </c>
      <c r="O24" s="18">
        <f>Test!E94</f>
        <v>43.784999999999997</v>
      </c>
      <c r="P24" s="18">
        <f>Test!F94</f>
        <v>78068.194000000003</v>
      </c>
      <c r="Q24" s="18">
        <f>Test!G94</f>
        <v>12.419</v>
      </c>
      <c r="R24" s="19">
        <f t="shared" si="4"/>
        <v>21.685609444444445</v>
      </c>
      <c r="S24" s="17">
        <f t="shared" si="5"/>
        <v>1.033075756680325</v>
      </c>
      <c r="T24" s="18">
        <f t="shared" si="6"/>
        <v>1.0663747209342263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Reference!B95</f>
        <v>2189.2399999999998</v>
      </c>
      <c r="E25" s="18">
        <f>Reference!C95</f>
        <v>36.424300000000002</v>
      </c>
      <c r="F25" s="18">
        <f>Reference!D95</f>
        <v>42.219299999999997</v>
      </c>
      <c r="G25" s="18">
        <f>Reference!E95</f>
        <v>42.212200000000003</v>
      </c>
      <c r="H25" s="18">
        <f>Reference!F95</f>
        <v>42058.254999999997</v>
      </c>
      <c r="I25" s="18">
        <f>Reference!G95</f>
        <v>10.134</v>
      </c>
      <c r="J25" s="19">
        <f t="shared" si="3"/>
        <v>11.68284861111111</v>
      </c>
      <c r="L25" s="17">
        <f>Test!B95</f>
        <v>2189.64</v>
      </c>
      <c r="M25" s="18">
        <f>Test!C95</f>
        <v>36.4251</v>
      </c>
      <c r="N25" s="18">
        <f>Test!D95</f>
        <v>42.206000000000003</v>
      </c>
      <c r="O25" s="18">
        <f>Test!E95</f>
        <v>42.211500000000001</v>
      </c>
      <c r="P25" s="18">
        <f>Test!F95</f>
        <v>42813.464999999997</v>
      </c>
      <c r="Q25" s="18">
        <f>Test!G95</f>
        <v>10.571</v>
      </c>
      <c r="R25" s="19">
        <f t="shared" si="4"/>
        <v>11.892629166666666</v>
      </c>
      <c r="S25" s="17">
        <f t="shared" si="5"/>
        <v>1.0179562846818062</v>
      </c>
      <c r="T25" s="18">
        <f t="shared" si="6"/>
        <v>1.0431221630155909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Reference!B96</f>
        <v>1077.7239999999999</v>
      </c>
      <c r="E26" s="23">
        <f>Reference!C96</f>
        <v>34.359099999999998</v>
      </c>
      <c r="F26" s="23">
        <f>Reference!D96</f>
        <v>40.817900000000002</v>
      </c>
      <c r="G26" s="23">
        <f>Reference!E96</f>
        <v>40.288600000000002</v>
      </c>
      <c r="H26" s="23">
        <f>Reference!F96</f>
        <v>22950.385999999999</v>
      </c>
      <c r="I26" s="23">
        <f>Reference!G96</f>
        <v>8.9209999999999994</v>
      </c>
      <c r="J26" s="24">
        <f t="shared" si="3"/>
        <v>6.3751072222222218</v>
      </c>
      <c r="L26" s="22">
        <f>Test!B96</f>
        <v>1078.6679999999999</v>
      </c>
      <c r="M26" s="23">
        <f>Test!C96</f>
        <v>34.367199999999997</v>
      </c>
      <c r="N26" s="23">
        <f>Test!D96</f>
        <v>40.816699999999997</v>
      </c>
      <c r="O26" s="23">
        <f>Test!E96</f>
        <v>40.311199999999999</v>
      </c>
      <c r="P26" s="23">
        <f>Test!F96</f>
        <v>24134.416000000001</v>
      </c>
      <c r="Q26" s="23">
        <f>Test!G96</f>
        <v>9.0990000000000002</v>
      </c>
      <c r="R26" s="24">
        <f t="shared" si="4"/>
        <v>6.7040044444444451</v>
      </c>
      <c r="S26" s="17">
        <f t="shared" si="5"/>
        <v>1.0515908534174545</v>
      </c>
      <c r="T26" s="18">
        <f t="shared" si="6"/>
        <v>1.0199529200762247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Reference!B97</f>
        <v>6744.8559999999998</v>
      </c>
      <c r="E27" s="13">
        <f>Reference!C97</f>
        <v>39.7042</v>
      </c>
      <c r="F27" s="13">
        <f>Reference!D97</f>
        <v>43.905999999999999</v>
      </c>
      <c r="G27" s="13">
        <f>Reference!E97</f>
        <v>45.051400000000001</v>
      </c>
      <c r="H27" s="13">
        <f>Reference!F97</f>
        <v>112946.117</v>
      </c>
      <c r="I27" s="13">
        <f>Reference!G97</f>
        <v>14.268000000000001</v>
      </c>
      <c r="J27" s="14">
        <f>H27/3600</f>
        <v>31.373921388888888</v>
      </c>
      <c r="L27" s="12">
        <f>Test!B97</f>
        <v>6748.7879999999996</v>
      </c>
      <c r="M27" s="13">
        <f>Test!C97</f>
        <v>39.705199999999998</v>
      </c>
      <c r="N27" s="13">
        <f>Test!D97</f>
        <v>43.910699999999999</v>
      </c>
      <c r="O27" s="13">
        <f>Test!E97</f>
        <v>45.0471</v>
      </c>
      <c r="P27" s="13">
        <f>Test!F97</f>
        <v>114747.087</v>
      </c>
      <c r="Q27" s="13">
        <f>Test!G97</f>
        <v>14.237</v>
      </c>
      <c r="R27" s="14">
        <f>P27/3600</f>
        <v>31.874190833333333</v>
      </c>
      <c r="S27" s="17">
        <f t="shared" si="2"/>
        <v>1.0159453910221632</v>
      </c>
      <c r="T27" s="18">
        <f t="shared" si="2"/>
        <v>0.99782730585926549</v>
      </c>
      <c r="U27" s="91"/>
      <c r="V27" s="37">
        <f>bdrate($D27:$D30,E27:E30,$L27:$L30,M27:M30)</f>
        <v>-2.4193051024301582E-4</v>
      </c>
      <c r="W27" s="42">
        <f>bdrate($D27:$D30,F27:F30,$L27:$L30,N27:N30)</f>
        <v>-2.4503790604808451E-3</v>
      </c>
      <c r="X27" s="43">
        <f>bdrate($D27:$D30,G27:G30,$L27:$L30,O27:O30)</f>
        <v>7.3734047140834313E-3</v>
      </c>
      <c r="Y27" s="37">
        <f>bdrateOld($D27:$D30,E27:E30,$L27:$L30,M27:M30)</f>
        <v>-2.4564254080727821E-4</v>
      </c>
      <c r="Z27" s="42">
        <f>bdrateOld($D27:$D30,F27:F30,$L27:$L30,N27:N30)</f>
        <v>-3.0658905018788873E-3</v>
      </c>
      <c r="AA27" s="43">
        <f>bdrateOld($D27:$D30,G27:G30,$L27:$L30,O27:O30)</f>
        <v>8.7340514106120093E-3</v>
      </c>
    </row>
    <row r="28" spans="1:27" x14ac:dyDescent="0.2">
      <c r="A28" s="16"/>
      <c r="B28" s="85"/>
      <c r="C28" s="16">
        <v>48</v>
      </c>
      <c r="D28" s="17">
        <f>Reference!B98</f>
        <v>3206.7440000000001</v>
      </c>
      <c r="E28" s="18">
        <f>Reference!C98</f>
        <v>38.562600000000003</v>
      </c>
      <c r="F28" s="18">
        <f>Reference!D98</f>
        <v>43.147100000000002</v>
      </c>
      <c r="G28" s="18">
        <f>Reference!E98</f>
        <v>44.367400000000004</v>
      </c>
      <c r="H28" s="18">
        <f>Reference!F98</f>
        <v>67114.782999999996</v>
      </c>
      <c r="I28" s="18">
        <f>Reference!G98</f>
        <v>12.076000000000001</v>
      </c>
      <c r="J28" s="19">
        <f t="shared" ref="J28:J46" si="7">H28/3600</f>
        <v>18.642995277777775</v>
      </c>
      <c r="L28" s="17">
        <f>Test!B98</f>
        <v>3209.6</v>
      </c>
      <c r="M28" s="18">
        <f>Test!C98</f>
        <v>38.565300000000001</v>
      </c>
      <c r="N28" s="18">
        <f>Test!D98</f>
        <v>43.143999999999998</v>
      </c>
      <c r="O28" s="18">
        <f>Test!E98</f>
        <v>44.360999999999997</v>
      </c>
      <c r="P28" s="18">
        <f>Test!F98</f>
        <v>68372.593999999997</v>
      </c>
      <c r="Q28" s="18">
        <f>Test!G98</f>
        <v>11.897</v>
      </c>
      <c r="R28" s="19">
        <f t="shared" ref="R28:R46" si="8">P28/3600</f>
        <v>18.99238722222222</v>
      </c>
      <c r="S28" s="17">
        <f t="shared" si="2"/>
        <v>1.0187411914898095</v>
      </c>
      <c r="T28" s="18">
        <f t="shared" si="2"/>
        <v>0.98517721099701883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Reference!B99</f>
        <v>1547.0640000000001</v>
      </c>
      <c r="E29" s="18">
        <f>Reference!C99</f>
        <v>36.8977</v>
      </c>
      <c r="F29" s="18">
        <f>Reference!D99</f>
        <v>42.276400000000002</v>
      </c>
      <c r="G29" s="18">
        <f>Reference!E99</f>
        <v>43.483800000000002</v>
      </c>
      <c r="H29" s="18">
        <f>Reference!F99</f>
        <v>36300.002</v>
      </c>
      <c r="I29" s="18">
        <f>Reference!G99</f>
        <v>10.356</v>
      </c>
      <c r="J29" s="19">
        <f t="shared" si="7"/>
        <v>10.083333888888889</v>
      </c>
      <c r="L29" s="17">
        <f>Test!B99</f>
        <v>1542.596</v>
      </c>
      <c r="M29" s="18">
        <f>Test!C99</f>
        <v>36.888199999999998</v>
      </c>
      <c r="N29" s="18">
        <f>Test!D99</f>
        <v>42.277799999999999</v>
      </c>
      <c r="O29" s="18">
        <f>Test!E99</f>
        <v>43.452800000000003</v>
      </c>
      <c r="P29" s="18">
        <f>Test!F99</f>
        <v>36509.750999999997</v>
      </c>
      <c r="Q29" s="18">
        <f>Test!G99</f>
        <v>10.454000000000001</v>
      </c>
      <c r="R29" s="19">
        <f t="shared" si="8"/>
        <v>10.1415975</v>
      </c>
      <c r="S29" s="17">
        <f t="shared" si="2"/>
        <v>1.0057782090480325</v>
      </c>
      <c r="T29" s="18">
        <f t="shared" si="2"/>
        <v>1.0094631131711087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Reference!B100</f>
        <v>695.34799999999996</v>
      </c>
      <c r="E30" s="23">
        <f>Reference!C100</f>
        <v>34.643700000000003</v>
      </c>
      <c r="F30" s="23">
        <f>Reference!D100</f>
        <v>41.024500000000003</v>
      </c>
      <c r="G30" s="23">
        <f>Reference!E100</f>
        <v>42.1111</v>
      </c>
      <c r="H30" s="23">
        <f>Reference!F100</f>
        <v>18189.531999999999</v>
      </c>
      <c r="I30" s="23">
        <f>Reference!G100</f>
        <v>9.2910000000000004</v>
      </c>
      <c r="J30" s="24">
        <f t="shared" si="7"/>
        <v>5.0526477777777776</v>
      </c>
      <c r="L30" s="22">
        <f>Test!B100</f>
        <v>693.65200000000004</v>
      </c>
      <c r="M30" s="23">
        <f>Test!C100</f>
        <v>34.6447</v>
      </c>
      <c r="N30" s="23">
        <f>Test!D100</f>
        <v>41.034399999999998</v>
      </c>
      <c r="O30" s="23">
        <f>Test!E100</f>
        <v>42.155299999999997</v>
      </c>
      <c r="P30" s="23">
        <f>Test!F100</f>
        <v>18530.433000000001</v>
      </c>
      <c r="Q30" s="23">
        <f>Test!G100</f>
        <v>9.6259999999999994</v>
      </c>
      <c r="R30" s="24">
        <f t="shared" si="8"/>
        <v>5.1473425000000006</v>
      </c>
      <c r="S30" s="17">
        <f t="shared" si="2"/>
        <v>1.0187416036872197</v>
      </c>
      <c r="T30" s="18">
        <f t="shared" si="2"/>
        <v>1.036056398665375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Reference!B101</f>
        <v>5566.0720000000001</v>
      </c>
      <c r="E31" s="13">
        <f>Reference!C101</f>
        <v>44.892099999999999</v>
      </c>
      <c r="F31" s="13">
        <f>Reference!D101</f>
        <v>47.718400000000003</v>
      </c>
      <c r="G31" s="13">
        <f>Reference!E101</f>
        <v>48.500900000000001</v>
      </c>
      <c r="H31" s="13">
        <f>Reference!F101</f>
        <v>85313.195000000007</v>
      </c>
      <c r="I31" s="13">
        <f>Reference!G101</f>
        <v>13.57</v>
      </c>
      <c r="J31" s="14">
        <f t="shared" si="7"/>
        <v>23.698109722222224</v>
      </c>
      <c r="L31" s="12">
        <f>Test!B101</f>
        <v>5568.9679999999998</v>
      </c>
      <c r="M31" s="13">
        <f>Test!C101</f>
        <v>44.888599999999997</v>
      </c>
      <c r="N31" s="13">
        <f>Test!D101</f>
        <v>47.727200000000003</v>
      </c>
      <c r="O31" s="13">
        <f>Test!E101</f>
        <v>48.512700000000002</v>
      </c>
      <c r="P31" s="13">
        <f>Test!F101</f>
        <v>85869.476999999999</v>
      </c>
      <c r="Q31" s="13">
        <f>Test!G101</f>
        <v>13.670999999999999</v>
      </c>
      <c r="R31" s="14">
        <f t="shared" si="8"/>
        <v>23.852632499999999</v>
      </c>
      <c r="S31" s="17">
        <f t="shared" si="2"/>
        <v>1.0065204684925935</v>
      </c>
      <c r="T31" s="18">
        <f t="shared" si="2"/>
        <v>1.007442888725129</v>
      </c>
      <c r="U31" s="91"/>
      <c r="V31" s="37">
        <f>bdrate($D31:$D34,E31:E34,$L31:$L34,M31:M34)</f>
        <v>1.2593450389069005E-3</v>
      </c>
      <c r="W31" s="42">
        <f>bdrate($D31:$D34,F31:F34,$L31:$L34,N31:N34)</f>
        <v>-1.2958443939723452E-3</v>
      </c>
      <c r="X31" s="42">
        <f>bdrate($D31:$D34,G31:G34,$L31:$L34,O31:O34)</f>
        <v>4.6994778347531074E-4</v>
      </c>
      <c r="Y31" s="40">
        <f>bdrateOld($D31:$D34,E31:E34,$L31:$L34,M31:M34)</f>
        <v>1.191514435482377E-3</v>
      </c>
      <c r="Z31" s="44">
        <f>bdrateOld($D31:$D34,F31:F34,$L31:$L34,N31:N34)</f>
        <v>-1.1994586093466708E-3</v>
      </c>
      <c r="AA31" s="45">
        <f>bdrateOld($D31:$D34,G31:G34,$L31:$L34,O31:O34)</f>
        <v>6.0189662992282678E-4</v>
      </c>
    </row>
    <row r="32" spans="1:27" x14ac:dyDescent="0.2">
      <c r="A32" s="16"/>
      <c r="B32" s="85"/>
      <c r="C32" s="16">
        <v>48</v>
      </c>
      <c r="D32" s="17">
        <f>Reference!B102</f>
        <v>3415.596</v>
      </c>
      <c r="E32" s="18">
        <f>Reference!C102</f>
        <v>42.653599999999997</v>
      </c>
      <c r="F32" s="18">
        <f>Reference!D102</f>
        <v>46.141599999999997</v>
      </c>
      <c r="G32" s="18">
        <f>Reference!E102</f>
        <v>46.721499999999999</v>
      </c>
      <c r="H32" s="18">
        <f>Reference!F102</f>
        <v>58453.275999999998</v>
      </c>
      <c r="I32" s="18">
        <f>Reference!G102</f>
        <v>12.337</v>
      </c>
      <c r="J32" s="19">
        <f t="shared" si="7"/>
        <v>16.237021111111112</v>
      </c>
      <c r="L32" s="17">
        <f>Test!B102</f>
        <v>3416.8440000000001</v>
      </c>
      <c r="M32" s="18">
        <f>Test!C102</f>
        <v>42.645800000000001</v>
      </c>
      <c r="N32" s="18">
        <f>Test!D102</f>
        <v>46.145200000000003</v>
      </c>
      <c r="O32" s="18">
        <f>Test!E102</f>
        <v>46.719000000000001</v>
      </c>
      <c r="P32" s="18">
        <f>Test!F102</f>
        <v>58980.466</v>
      </c>
      <c r="Q32" s="18">
        <f>Test!G102</f>
        <v>12.529</v>
      </c>
      <c r="R32" s="19">
        <f t="shared" si="8"/>
        <v>16.383462777777776</v>
      </c>
      <c r="S32" s="17">
        <f t="shared" si="2"/>
        <v>1.0090189983534883</v>
      </c>
      <c r="T32" s="18">
        <f t="shared" si="2"/>
        <v>1.0155629407473454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Reference!B103</f>
        <v>1909.672</v>
      </c>
      <c r="E33" s="18">
        <f>Reference!C103</f>
        <v>39.828000000000003</v>
      </c>
      <c r="F33" s="18">
        <f>Reference!D103</f>
        <v>44.597700000000003</v>
      </c>
      <c r="G33" s="18">
        <f>Reference!E103</f>
        <v>44.932899999999997</v>
      </c>
      <c r="H33" s="18">
        <f>Reference!F103</f>
        <v>36076.461000000003</v>
      </c>
      <c r="I33" s="18">
        <f>Reference!G103</f>
        <v>10.744</v>
      </c>
      <c r="J33" s="19">
        <f t="shared" si="7"/>
        <v>10.021239166666668</v>
      </c>
      <c r="L33" s="17">
        <f>Test!B103</f>
        <v>1909.204</v>
      </c>
      <c r="M33" s="18">
        <f>Test!C103</f>
        <v>39.8245</v>
      </c>
      <c r="N33" s="18">
        <f>Test!D103</f>
        <v>44.597900000000003</v>
      </c>
      <c r="O33" s="18">
        <f>Test!E103</f>
        <v>44.924599999999998</v>
      </c>
      <c r="P33" s="18">
        <f>Test!F103</f>
        <v>37323.186999999998</v>
      </c>
      <c r="Q33" s="18">
        <f>Test!G103</f>
        <v>11.493</v>
      </c>
      <c r="R33" s="19">
        <f t="shared" si="8"/>
        <v>10.367551944444443</v>
      </c>
      <c r="S33" s="150">
        <f t="shared" si="2"/>
        <v>1.0345578797210735</v>
      </c>
      <c r="T33" s="151">
        <f t="shared" si="2"/>
        <v>1.0697133283693225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Reference!B104</f>
        <v>971.29600000000005</v>
      </c>
      <c r="E34" s="23">
        <f>Reference!C104</f>
        <v>36.645699999999998</v>
      </c>
      <c r="F34" s="23">
        <f>Reference!D104</f>
        <v>42.763199999999998</v>
      </c>
      <c r="G34" s="23">
        <f>Reference!E104</f>
        <v>42.836799999999997</v>
      </c>
      <c r="H34" s="23">
        <f>Reference!F104</f>
        <v>20634.775000000001</v>
      </c>
      <c r="I34" s="23">
        <f>Reference!G104</f>
        <v>9.8330000000000002</v>
      </c>
      <c r="J34" s="24">
        <f t="shared" si="7"/>
        <v>5.7318819444444449</v>
      </c>
      <c r="L34" s="22">
        <f>Test!B104</f>
        <v>971.71600000000001</v>
      </c>
      <c r="M34" s="23">
        <f>Test!C104</f>
        <v>36.639200000000002</v>
      </c>
      <c r="N34" s="23">
        <f>Test!D104</f>
        <v>42.776800000000001</v>
      </c>
      <c r="O34" s="23">
        <f>Test!E104</f>
        <v>42.851700000000001</v>
      </c>
      <c r="P34" s="23">
        <f>Test!F104</f>
        <v>20951.464</v>
      </c>
      <c r="Q34" s="23">
        <f>Test!G104</f>
        <v>9.4969999999999999</v>
      </c>
      <c r="R34" s="24">
        <f t="shared" si="8"/>
        <v>5.8198511111111113</v>
      </c>
      <c r="S34" s="17">
        <f t="shared" si="2"/>
        <v>1.0153473444706811</v>
      </c>
      <c r="T34" s="18">
        <f t="shared" si="2"/>
        <v>0.96582935014746263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Reference!B105</f>
        <v>4089.3679999999999</v>
      </c>
      <c r="E35" s="13">
        <f>Reference!C105</f>
        <v>38.606299999999997</v>
      </c>
      <c r="F35" s="13">
        <f>Reference!D105</f>
        <v>46.226999999999997</v>
      </c>
      <c r="G35" s="13">
        <f>Reference!E105</f>
        <v>46.453200000000002</v>
      </c>
      <c r="H35" s="13">
        <f>Reference!F105</f>
        <v>54193.563000000002</v>
      </c>
      <c r="I35" s="13">
        <f>Reference!G105</f>
        <v>5.5949999999999998</v>
      </c>
      <c r="J35" s="14">
        <f t="shared" si="7"/>
        <v>15.053767500000001</v>
      </c>
      <c r="L35" s="12">
        <f>Test!B105</f>
        <v>4094.9720000000002</v>
      </c>
      <c r="M35" s="13">
        <f>Test!C105</f>
        <v>38.611499999999999</v>
      </c>
      <c r="N35" s="13">
        <f>Test!D105</f>
        <v>46.229900000000001</v>
      </c>
      <c r="O35" s="13">
        <f>Test!E105</f>
        <v>46.443300000000001</v>
      </c>
      <c r="P35" s="13">
        <f>Test!F105</f>
        <v>55316.377999999997</v>
      </c>
      <c r="Q35" s="13">
        <f>Test!G105</f>
        <v>5.7380000000000004</v>
      </c>
      <c r="R35" s="14">
        <f t="shared" si="8"/>
        <v>15.365660555555555</v>
      </c>
      <c r="S35" s="12">
        <f t="shared" si="2"/>
        <v>1.0207186045324239</v>
      </c>
      <c r="T35" s="13">
        <f t="shared" si="2"/>
        <v>1.0255585344057194</v>
      </c>
      <c r="U35" s="90"/>
      <c r="V35" s="37">
        <f>bdrate($D35:$D38,E35:E38,$L35:$L38,M35:M38)</f>
        <v>8.0355975637935728E-4</v>
      </c>
      <c r="W35" s="42">
        <f>bdrate($D35:$D38,F35:F38,$L35:$L38,N35:N38)</f>
        <v>-3.410233031103882E-3</v>
      </c>
      <c r="X35" s="42">
        <f>bdrate($D35:$D38,G35:G38,$L35:$L38,O35:O38)</f>
        <v>8.0367009889648067E-4</v>
      </c>
      <c r="Y35" s="40">
        <f>bdrateOld($D35:$D38,E35:E38,$L35:$L38,M35:M38)</f>
        <v>7.4422752746428067E-4</v>
      </c>
      <c r="Z35" s="44">
        <f>bdrateOld($D35:$D38,F35:F38,$L35:$L38,N35:N38)</f>
        <v>-3.4057260981318338E-3</v>
      </c>
      <c r="AA35" s="45">
        <f>bdrateOld($D35:$D38,G35:G38,$L35:$L38,O35:O38)</f>
        <v>1.1163531761086976E-3</v>
      </c>
    </row>
    <row r="36" spans="1:27" x14ac:dyDescent="0.2">
      <c r="A36" s="16" t="s">
        <v>52</v>
      </c>
      <c r="B36" s="85"/>
      <c r="C36" s="16">
        <v>32</v>
      </c>
      <c r="D36" s="17">
        <f>Reference!B106</f>
        <v>1777.2</v>
      </c>
      <c r="E36" s="18">
        <f>Reference!C106</f>
        <v>37.101900000000001</v>
      </c>
      <c r="F36" s="18">
        <f>Reference!D106</f>
        <v>45.1783</v>
      </c>
      <c r="G36" s="18">
        <f>Reference!E106</f>
        <v>45.393700000000003</v>
      </c>
      <c r="H36" s="18">
        <f>Reference!F106</f>
        <v>28857.143</v>
      </c>
      <c r="I36" s="18">
        <f>Reference!G106</f>
        <v>4.556</v>
      </c>
      <c r="J36" s="19">
        <f t="shared" si="7"/>
        <v>8.0158730555555557</v>
      </c>
      <c r="L36" s="17">
        <f>Test!B106</f>
        <v>1780.9680000000001</v>
      </c>
      <c r="M36" s="18">
        <f>Test!C106</f>
        <v>37.102899999999998</v>
      </c>
      <c r="N36" s="18">
        <f>Test!D106</f>
        <v>45.185099999999998</v>
      </c>
      <c r="O36" s="18">
        <f>Test!E106</f>
        <v>45.397300000000001</v>
      </c>
      <c r="P36" s="18">
        <f>Test!F106</f>
        <v>30249.998</v>
      </c>
      <c r="Q36" s="18">
        <f>Test!G106</f>
        <v>4.7770000000000001</v>
      </c>
      <c r="R36" s="19">
        <f t="shared" si="8"/>
        <v>8.4027772222222215</v>
      </c>
      <c r="S36" s="17">
        <f t="shared" si="2"/>
        <v>1.0482672522363008</v>
      </c>
      <c r="T36" s="18">
        <f t="shared" si="2"/>
        <v>1.0485074626865671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Reference!B107</f>
        <v>839.98800000000006</v>
      </c>
      <c r="E37" s="18">
        <f>Reference!C107</f>
        <v>35.155099999999997</v>
      </c>
      <c r="F37" s="18">
        <f>Reference!D107</f>
        <v>43.876800000000003</v>
      </c>
      <c r="G37" s="18">
        <f>Reference!E107</f>
        <v>44.140799999999999</v>
      </c>
      <c r="H37" s="18">
        <f>Reference!F107</f>
        <v>16078.487999999999</v>
      </c>
      <c r="I37" s="18">
        <f>Reference!G107</f>
        <v>4.0910000000000002</v>
      </c>
      <c r="J37" s="19">
        <f t="shared" si="7"/>
        <v>4.4662466666666667</v>
      </c>
      <c r="L37" s="17">
        <f>Test!B107</f>
        <v>840.65599999999995</v>
      </c>
      <c r="M37" s="18">
        <f>Test!C107</f>
        <v>35.151699999999998</v>
      </c>
      <c r="N37" s="18">
        <f>Test!D107</f>
        <v>43.887599999999999</v>
      </c>
      <c r="O37" s="18">
        <f>Test!E107</f>
        <v>44.1434</v>
      </c>
      <c r="P37" s="18">
        <f>Test!F107</f>
        <v>16534.914000000001</v>
      </c>
      <c r="Q37" s="18">
        <f>Test!G107</f>
        <v>4.2539999999999996</v>
      </c>
      <c r="R37" s="19">
        <f t="shared" si="8"/>
        <v>4.5930316666666666</v>
      </c>
      <c r="S37" s="17">
        <f t="shared" si="2"/>
        <v>1.0283873707527724</v>
      </c>
      <c r="T37" s="18">
        <f t="shared" si="2"/>
        <v>1.0398435590320214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Reference!B108</f>
        <v>400.084</v>
      </c>
      <c r="E38" s="23">
        <f>Reference!C108</f>
        <v>32.481000000000002</v>
      </c>
      <c r="F38" s="23">
        <f>Reference!D108</f>
        <v>42.230400000000003</v>
      </c>
      <c r="G38" s="23">
        <f>Reference!E108</f>
        <v>42.519199999999998</v>
      </c>
      <c r="H38" s="23">
        <f>Reference!F108</f>
        <v>8058.6180000000004</v>
      </c>
      <c r="I38" s="23">
        <f>Reference!G108</f>
        <v>3.427</v>
      </c>
      <c r="J38" s="24">
        <f t="shared" si="7"/>
        <v>2.238505</v>
      </c>
      <c r="L38" s="22">
        <f>Test!B108</f>
        <v>399.09199999999998</v>
      </c>
      <c r="M38" s="23">
        <f>Test!C108</f>
        <v>32.479599999999998</v>
      </c>
      <c r="N38" s="23">
        <f>Test!D108</f>
        <v>42.230800000000002</v>
      </c>
      <c r="O38" s="23">
        <f>Test!E108</f>
        <v>42.509700000000002</v>
      </c>
      <c r="P38" s="23">
        <f>Test!F108</f>
        <v>8493.6710000000003</v>
      </c>
      <c r="Q38" s="23">
        <f>Test!G108</f>
        <v>3.472</v>
      </c>
      <c r="R38" s="24">
        <f t="shared" si="8"/>
        <v>2.3593530555555557</v>
      </c>
      <c r="S38" s="17">
        <f t="shared" si="2"/>
        <v>1.0539860556735658</v>
      </c>
      <c r="T38" s="18">
        <f t="shared" si="2"/>
        <v>1.0131310183834257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Reference!B109</f>
        <v>2425.9920000000002</v>
      </c>
      <c r="E39" s="13">
        <f>Reference!C109</f>
        <v>40.654299999999999</v>
      </c>
      <c r="F39" s="13">
        <f>Reference!D109</f>
        <v>46.145200000000003</v>
      </c>
      <c r="G39" s="13">
        <f>Reference!E109</f>
        <v>47.328400000000002</v>
      </c>
      <c r="H39" s="13">
        <f>Reference!F109</f>
        <v>43269.548999999999</v>
      </c>
      <c r="I39" s="13">
        <f>Reference!G109</f>
        <v>5.657</v>
      </c>
      <c r="J39" s="14">
        <f t="shared" si="7"/>
        <v>12.019319166666666</v>
      </c>
      <c r="L39" s="12">
        <f>Test!B109</f>
        <v>2420.9960000000001</v>
      </c>
      <c r="M39" s="13">
        <f>Test!C109</f>
        <v>40.651800000000001</v>
      </c>
      <c r="N39" s="13">
        <f>Test!D109</f>
        <v>46.147599999999997</v>
      </c>
      <c r="O39" s="13">
        <f>Test!E109</f>
        <v>47.3337</v>
      </c>
      <c r="P39" s="13">
        <f>Test!F109</f>
        <v>44758.591999999997</v>
      </c>
      <c r="Q39" s="13">
        <f>Test!G109</f>
        <v>5.8310000000000004</v>
      </c>
      <c r="R39" s="14">
        <f t="shared" si="8"/>
        <v>12.432942222222222</v>
      </c>
      <c r="S39" s="17">
        <f t="shared" si="2"/>
        <v>1.0344131851247167</v>
      </c>
      <c r="T39" s="18">
        <f t="shared" si="2"/>
        <v>1.0307583524836486</v>
      </c>
      <c r="U39" s="91"/>
      <c r="V39" s="37">
        <f>bdrate($D39:$D42,E39:E42,$L39:$L42,M39:M42)</f>
        <v>-1.5815689885491091E-3</v>
      </c>
      <c r="W39" s="42">
        <f>bdrate($D39:$D42,F39:F42,$L39:$L42,N39:N42)</f>
        <v>2.054576784491946E-3</v>
      </c>
      <c r="X39" s="42">
        <f>bdrate($D39:$D42,G39:G42,$L39:$L42,O39:O42)</f>
        <v>6.2697202263484186E-4</v>
      </c>
      <c r="Y39" s="40">
        <f>bdrateOld($D39:$D42,E39:E42,$L39:$L42,M39:M42)</f>
        <v>-1.4187615269652953E-3</v>
      </c>
      <c r="Z39" s="44">
        <f>bdrateOld($D39:$D42,F39:F42,$L39:$L42,N39:N42)</f>
        <v>3.9304977921104101E-3</v>
      </c>
      <c r="AA39" s="45">
        <f>bdrateOld($D39:$D42,G39:G42,$L39:$L42,O39:O42)</f>
        <v>1.7682531900968801E-3</v>
      </c>
    </row>
    <row r="40" spans="1:27" x14ac:dyDescent="0.2">
      <c r="A40" s="16"/>
      <c r="B40" s="85"/>
      <c r="C40" s="16">
        <v>32</v>
      </c>
      <c r="D40" s="17">
        <f>Reference!B110</f>
        <v>1089.576</v>
      </c>
      <c r="E40" s="18">
        <f>Reference!C110</f>
        <v>39.504800000000003</v>
      </c>
      <c r="F40" s="18">
        <f>Reference!D110</f>
        <v>45.5672</v>
      </c>
      <c r="G40" s="18">
        <f>Reference!E110</f>
        <v>46.040599999999998</v>
      </c>
      <c r="H40" s="18">
        <f>Reference!F110</f>
        <v>23768.14</v>
      </c>
      <c r="I40" s="18">
        <f>Reference!G110</f>
        <v>5.1929999999999996</v>
      </c>
      <c r="J40" s="19">
        <f t="shared" si="7"/>
        <v>6.6022611111111109</v>
      </c>
      <c r="L40" s="17">
        <f>Test!B110</f>
        <v>1087.24</v>
      </c>
      <c r="M40" s="18">
        <f>Test!C110</f>
        <v>39.504600000000003</v>
      </c>
      <c r="N40" s="18">
        <f>Test!D110</f>
        <v>45.573900000000002</v>
      </c>
      <c r="O40" s="18">
        <f>Test!E110</f>
        <v>46.055300000000003</v>
      </c>
      <c r="P40" s="18">
        <f>Test!F110</f>
        <v>24163.109</v>
      </c>
      <c r="Q40" s="18">
        <f>Test!G110</f>
        <v>5.0940000000000003</v>
      </c>
      <c r="R40" s="19">
        <f t="shared" si="8"/>
        <v>6.7119747222222221</v>
      </c>
      <c r="S40" s="17">
        <f t="shared" si="2"/>
        <v>1.016617581350497</v>
      </c>
      <c r="T40" s="18">
        <f t="shared" si="2"/>
        <v>0.98093587521663794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Reference!B111</f>
        <v>515.31600000000003</v>
      </c>
      <c r="E41" s="18">
        <f>Reference!C111</f>
        <v>37.945099999999996</v>
      </c>
      <c r="F41" s="18">
        <f>Reference!D111</f>
        <v>44.795999999999999</v>
      </c>
      <c r="G41" s="18">
        <f>Reference!E111</f>
        <v>44.499400000000001</v>
      </c>
      <c r="H41" s="18">
        <f>Reference!F111</f>
        <v>12061.73</v>
      </c>
      <c r="I41" s="18">
        <f>Reference!G111</f>
        <v>4.1689999999999996</v>
      </c>
      <c r="J41" s="19">
        <f t="shared" si="7"/>
        <v>3.3504805555555555</v>
      </c>
      <c r="L41" s="17">
        <f>Test!B111</f>
        <v>514.976</v>
      </c>
      <c r="M41" s="18">
        <f>Test!C111</f>
        <v>37.945</v>
      </c>
      <c r="N41" s="18">
        <f>Test!D111</f>
        <v>44.786299999999997</v>
      </c>
      <c r="O41" s="18">
        <f>Test!E111</f>
        <v>44.479700000000001</v>
      </c>
      <c r="P41" s="18">
        <f>Test!F111</f>
        <v>12594.987999999999</v>
      </c>
      <c r="Q41" s="18">
        <f>Test!G111</f>
        <v>4.3070000000000004</v>
      </c>
      <c r="R41" s="19">
        <f t="shared" si="8"/>
        <v>3.4986077777777775</v>
      </c>
      <c r="S41" s="17">
        <f t="shared" si="2"/>
        <v>1.04421073925548</v>
      </c>
      <c r="T41" s="18">
        <f t="shared" si="2"/>
        <v>1.033101463180619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Reference!B112</f>
        <v>233.3</v>
      </c>
      <c r="E42" s="23">
        <f>Reference!C112</f>
        <v>35.849200000000003</v>
      </c>
      <c r="F42" s="23">
        <f>Reference!D112</f>
        <v>43.615299999999998</v>
      </c>
      <c r="G42" s="23">
        <f>Reference!E112</f>
        <v>42.397100000000002</v>
      </c>
      <c r="H42" s="23">
        <f>Reference!F112</f>
        <v>5930.5649999999996</v>
      </c>
      <c r="I42" s="23">
        <f>Reference!G112</f>
        <v>3.8180000000000001</v>
      </c>
      <c r="J42" s="24">
        <f t="shared" si="7"/>
        <v>1.6473791666666666</v>
      </c>
      <c r="L42" s="22">
        <f>Test!B112</f>
        <v>232.80799999999999</v>
      </c>
      <c r="M42" s="23">
        <f>Test!C112</f>
        <v>35.855800000000002</v>
      </c>
      <c r="N42" s="23">
        <f>Test!D112</f>
        <v>43.595599999999997</v>
      </c>
      <c r="O42" s="23">
        <f>Test!E112</f>
        <v>42.378999999999998</v>
      </c>
      <c r="P42" s="23">
        <f>Test!F112</f>
        <v>6223.0370000000003</v>
      </c>
      <c r="Q42" s="23">
        <f>Test!G112</f>
        <v>3.778</v>
      </c>
      <c r="R42" s="24">
        <f t="shared" si="8"/>
        <v>1.7286213888888891</v>
      </c>
      <c r="S42" s="17">
        <f t="shared" si="2"/>
        <v>1.049316043243772</v>
      </c>
      <c r="T42" s="18">
        <f t="shared" si="2"/>
        <v>0.98952331063383969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Reference!B113</f>
        <v>922.76800000000003</v>
      </c>
      <c r="E43" s="13">
        <f>Reference!C113</f>
        <v>43.542400000000001</v>
      </c>
      <c r="F43" s="13">
        <f>Reference!D113</f>
        <v>47.266100000000002</v>
      </c>
      <c r="G43" s="13">
        <f>Reference!E113</f>
        <v>48.2973</v>
      </c>
      <c r="H43" s="13">
        <f>Reference!F113</f>
        <v>18809.621999999999</v>
      </c>
      <c r="I43" s="13">
        <f>Reference!G113</f>
        <v>4.2729999999999997</v>
      </c>
      <c r="J43" s="14">
        <f t="shared" si="7"/>
        <v>5.2248950000000001</v>
      </c>
      <c r="L43" s="12">
        <f>Test!B113</f>
        <v>920.9</v>
      </c>
      <c r="M43" s="13">
        <f>Test!C113</f>
        <v>43.544400000000003</v>
      </c>
      <c r="N43" s="13">
        <f>Test!D113</f>
        <v>47.270600000000002</v>
      </c>
      <c r="O43" s="13">
        <f>Test!E113</f>
        <v>48.276499999999999</v>
      </c>
      <c r="P43" s="13">
        <f>Test!F113</f>
        <v>19332.793000000001</v>
      </c>
      <c r="Q43" s="13">
        <f>Test!G113</f>
        <v>4.3129999999999997</v>
      </c>
      <c r="R43" s="14">
        <f t="shared" si="8"/>
        <v>5.3702202777777783</v>
      </c>
      <c r="S43" s="17">
        <f t="shared" si="2"/>
        <v>1.0278140092342101</v>
      </c>
      <c r="T43" s="18">
        <f t="shared" si="2"/>
        <v>1.0093611046103441</v>
      </c>
      <c r="U43" s="91"/>
      <c r="V43" s="37">
        <f>bdrate($D43:$D46,E43:E46,$L43:$L46,M43:M46)</f>
        <v>7.2612508617608817E-4</v>
      </c>
      <c r="W43" s="42">
        <f>bdrate($D43:$D46,F43:F46,$L43:$L46,N43:N46)</f>
        <v>-3.1137112922708932E-3</v>
      </c>
      <c r="X43" s="42">
        <f>bdrate($D43:$D46,G43:G46,$L43:$L46,O43:O46)</f>
        <v>5.4010841557188272E-3</v>
      </c>
      <c r="Y43" s="40">
        <f>bdrateOld($D43:$D46,E43:E46,$L43:$L46,M43:M46)</f>
        <v>4.6915338785535887E-4</v>
      </c>
      <c r="Z43" s="44">
        <f>bdrateOld($D43:$D46,F43:F46,$L43:$L46,N43:N46)</f>
        <v>-2.8926463434760796E-3</v>
      </c>
      <c r="AA43" s="45">
        <f>bdrateOld($D43:$D46,G43:G46,$L43:$L46,O43:O46)</f>
        <v>4.4857361346000157E-3</v>
      </c>
    </row>
    <row r="44" spans="1:27" x14ac:dyDescent="0.2">
      <c r="A44" s="16"/>
      <c r="B44" s="85"/>
      <c r="C44" s="16">
        <v>32</v>
      </c>
      <c r="D44" s="17">
        <f>Reference!B114</f>
        <v>505.84399999999999</v>
      </c>
      <c r="E44" s="18">
        <f>Reference!C114</f>
        <v>42.268099999999997</v>
      </c>
      <c r="F44" s="18">
        <f>Reference!D114</f>
        <v>46.544800000000002</v>
      </c>
      <c r="G44" s="18">
        <f>Reference!E114</f>
        <v>47.351399999999998</v>
      </c>
      <c r="H44" s="18">
        <f>Reference!F114</f>
        <v>10451.950000000001</v>
      </c>
      <c r="I44" s="18">
        <f>Reference!G114</f>
        <v>3.9580000000000002</v>
      </c>
      <c r="J44" s="19">
        <f t="shared" si="7"/>
        <v>2.9033194444444446</v>
      </c>
      <c r="L44" s="17">
        <f>Test!B114</f>
        <v>506.55599999999998</v>
      </c>
      <c r="M44" s="18">
        <f>Test!C114</f>
        <v>42.264800000000001</v>
      </c>
      <c r="N44" s="18">
        <f>Test!D114</f>
        <v>46.553400000000003</v>
      </c>
      <c r="O44" s="18">
        <f>Test!E114</f>
        <v>47.3292</v>
      </c>
      <c r="P44" s="18">
        <f>Test!F114</f>
        <v>10722.285</v>
      </c>
      <c r="Q44" s="18">
        <f>Test!G114</f>
        <v>4.0910000000000002</v>
      </c>
      <c r="R44" s="19">
        <f t="shared" si="8"/>
        <v>2.9784125000000001</v>
      </c>
      <c r="S44" s="150">
        <f t="shared" si="2"/>
        <v>1.0258645515908513</v>
      </c>
      <c r="T44" s="151">
        <f t="shared" si="2"/>
        <v>1.0336028297119757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Reference!B115</f>
        <v>290.04399999999998</v>
      </c>
      <c r="E45" s="18">
        <f>Reference!C115</f>
        <v>40.489600000000003</v>
      </c>
      <c r="F45" s="18">
        <f>Reference!D115</f>
        <v>45.544800000000002</v>
      </c>
      <c r="G45" s="18">
        <f>Reference!E115</f>
        <v>46.074100000000001</v>
      </c>
      <c r="H45" s="18">
        <f>Reference!F115</f>
        <v>5884.4080000000004</v>
      </c>
      <c r="I45" s="18">
        <f>Reference!G115</f>
        <v>3.6230000000000002</v>
      </c>
      <c r="J45" s="19">
        <f t="shared" si="7"/>
        <v>1.6345577777777778</v>
      </c>
      <c r="L45" s="17">
        <f>Test!B115</f>
        <v>290.78399999999999</v>
      </c>
      <c r="M45" s="18">
        <f>Test!C115</f>
        <v>40.492699999999999</v>
      </c>
      <c r="N45" s="18">
        <f>Test!D115</f>
        <v>45.558</v>
      </c>
      <c r="O45" s="18">
        <f>Test!E115</f>
        <v>46.071300000000001</v>
      </c>
      <c r="P45" s="18">
        <f>Test!F115</f>
        <v>6027.1279999999997</v>
      </c>
      <c r="Q45" s="18">
        <f>Test!G115</f>
        <v>3.8170000000000002</v>
      </c>
      <c r="R45" s="19">
        <f t="shared" si="8"/>
        <v>1.6742022222222221</v>
      </c>
      <c r="S45" s="150">
        <f t="shared" si="2"/>
        <v>1.024253926648186</v>
      </c>
      <c r="T45" s="151">
        <f t="shared" si="2"/>
        <v>1.0535467844327906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Reference!B116</f>
        <v>163.44</v>
      </c>
      <c r="E46" s="23">
        <f>Reference!C116</f>
        <v>37.929900000000004</v>
      </c>
      <c r="F46" s="23">
        <f>Reference!D116</f>
        <v>43.895299999999999</v>
      </c>
      <c r="G46" s="23">
        <f>Reference!E116</f>
        <v>43.986699999999999</v>
      </c>
      <c r="H46" s="23">
        <f>Reference!F116</f>
        <v>3435.0320000000002</v>
      </c>
      <c r="I46" s="23">
        <f>Reference!G116</f>
        <v>3.61</v>
      </c>
      <c r="J46" s="24">
        <f t="shared" si="7"/>
        <v>0.95417555555555555</v>
      </c>
      <c r="L46" s="22">
        <f>Test!B116</f>
        <v>163.012</v>
      </c>
      <c r="M46" s="23">
        <f>Test!C116</f>
        <v>37.932099999999998</v>
      </c>
      <c r="N46" s="23">
        <f>Test!D116</f>
        <v>43.880400000000002</v>
      </c>
      <c r="O46" s="23">
        <f>Test!E116</f>
        <v>43.987299999999998</v>
      </c>
      <c r="P46" s="23">
        <f>Test!F116</f>
        <v>3561.2020000000002</v>
      </c>
      <c r="Q46" s="23">
        <f>Test!G116</f>
        <v>3.7069999999999999</v>
      </c>
      <c r="R46" s="24">
        <f t="shared" si="8"/>
        <v>0.9892227777777779</v>
      </c>
      <c r="S46" s="17">
        <f t="shared" si="2"/>
        <v>1.0367303710707789</v>
      </c>
      <c r="T46" s="18">
        <f t="shared" si="2"/>
        <v>1.0268698060941828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Reference!B117</f>
        <v>1282.78</v>
      </c>
      <c r="E47" s="13">
        <f>Reference!C117</f>
        <v>42.9146</v>
      </c>
      <c r="F47" s="13">
        <f>Reference!D117</f>
        <v>49.038800000000002</v>
      </c>
      <c r="G47" s="13">
        <f>Reference!E117</f>
        <v>48.691200000000002</v>
      </c>
      <c r="H47" s="13">
        <f>Reference!F117</f>
        <v>21413.208999999999</v>
      </c>
      <c r="I47" s="13">
        <f>Reference!G117</f>
        <v>4.1909999999999998</v>
      </c>
      <c r="J47" s="14">
        <f>H47/3600</f>
        <v>5.9481136111111113</v>
      </c>
      <c r="L47" s="12">
        <f>Test!B117</f>
        <v>1284.4000000000001</v>
      </c>
      <c r="M47" s="13">
        <f>Test!C117</f>
        <v>42.917999999999999</v>
      </c>
      <c r="N47" s="13">
        <f>Test!D117</f>
        <v>49.037399999999998</v>
      </c>
      <c r="O47" s="13">
        <f>Test!E117</f>
        <v>48.689100000000003</v>
      </c>
      <c r="P47" s="13">
        <f>Test!F117</f>
        <v>22578.5</v>
      </c>
      <c r="Q47" s="13">
        <f>Test!G117</f>
        <v>4.266</v>
      </c>
      <c r="R47" s="14">
        <f>P47/3600</f>
        <v>6.2718055555555559</v>
      </c>
      <c r="S47" s="17">
        <f t="shared" ref="S47:T62" si="9">P47/H47</f>
        <v>1.0544192605601523</v>
      </c>
      <c r="T47" s="18">
        <f t="shared" si="9"/>
        <v>1.0178954903364352</v>
      </c>
      <c r="U47" s="91"/>
      <c r="V47" s="72">
        <f>bdrate($D47:$D50,E47:E50,$L47:$L50,M47:M50)</f>
        <v>-1.5298637658213154E-3</v>
      </c>
      <c r="W47" s="73">
        <f>bdrate($D47:$D50,F47:F50,$L47:$L50,N47:N50)</f>
        <v>1.3005910136264731E-2</v>
      </c>
      <c r="X47" s="74">
        <f>bdrate($D47:$D50,G47:G50,$L47:$L50,O47:O50)</f>
        <v>-3.0029940776715724E-3</v>
      </c>
      <c r="Y47" s="37">
        <f>bdrateOld($D47:$D50,E47:E50,$L47:$L50,M47:M50)</f>
        <v>-1.1622884295094948E-3</v>
      </c>
      <c r="Z47" s="42">
        <f>bdrateOld($D47:$D50,F47:F50,$L47:$L50,N47:N50)</f>
        <v>1.1845127603449246E-2</v>
      </c>
      <c r="AA47" s="43">
        <f>bdrateOld($D47:$D50,G47:G50,$L47:$L50,O47:O50)</f>
        <v>-9.9190759624667724E-4</v>
      </c>
    </row>
    <row r="48" spans="1:27" x14ac:dyDescent="0.2">
      <c r="A48" s="16"/>
      <c r="B48" s="85"/>
      <c r="C48" s="16">
        <v>32</v>
      </c>
      <c r="D48" s="17">
        <f>Reference!B118</f>
        <v>691.64800000000002</v>
      </c>
      <c r="E48" s="18">
        <f>Reference!C118</f>
        <v>41.625599999999999</v>
      </c>
      <c r="F48" s="18">
        <f>Reference!D118</f>
        <v>48.256599999999999</v>
      </c>
      <c r="G48" s="18">
        <f>Reference!E118</f>
        <v>47.727699999999999</v>
      </c>
      <c r="H48" s="18">
        <f>Reference!F118</f>
        <v>12472.735000000001</v>
      </c>
      <c r="I48" s="18">
        <f>Reference!G118</f>
        <v>3.7519999999999998</v>
      </c>
      <c r="J48" s="19">
        <f t="shared" ref="J48:J70" si="10">H48/3600</f>
        <v>3.4646486111111114</v>
      </c>
      <c r="L48" s="17">
        <f>Test!B118</f>
        <v>691.46799999999996</v>
      </c>
      <c r="M48" s="18">
        <f>Test!C118</f>
        <v>41.630099999999999</v>
      </c>
      <c r="N48" s="18">
        <f>Test!D118</f>
        <v>48.224299999999999</v>
      </c>
      <c r="O48" s="18">
        <f>Test!E118</f>
        <v>47.747300000000003</v>
      </c>
      <c r="P48" s="18">
        <f>Test!F118</f>
        <v>12777.124</v>
      </c>
      <c r="Q48" s="18">
        <f>Test!G118</f>
        <v>4.0259999999999998</v>
      </c>
      <c r="R48" s="19">
        <f t="shared" ref="R48:R70" si="11">P48/3600</f>
        <v>3.549201111111111</v>
      </c>
      <c r="S48" s="17">
        <f t="shared" si="9"/>
        <v>1.0244043507698992</v>
      </c>
      <c r="T48" s="18">
        <f t="shared" si="9"/>
        <v>1.0730277185501067</v>
      </c>
      <c r="U48" s="91"/>
      <c r="V48" s="75"/>
      <c r="W48" s="76"/>
      <c r="X48" s="77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Reference!B119</f>
        <v>393.80799999999999</v>
      </c>
      <c r="E49" s="18">
        <f>Reference!C119</f>
        <v>39.769599999999997</v>
      </c>
      <c r="F49" s="18">
        <f>Reference!D119</f>
        <v>47.268000000000001</v>
      </c>
      <c r="G49" s="18">
        <f>Reference!E119</f>
        <v>46.258299999999998</v>
      </c>
      <c r="H49" s="18">
        <f>Reference!F119</f>
        <v>7132.7389999999996</v>
      </c>
      <c r="I49" s="18">
        <f>Reference!G119</f>
        <v>3.581</v>
      </c>
      <c r="J49" s="19">
        <f t="shared" si="10"/>
        <v>1.9813163888888887</v>
      </c>
      <c r="L49" s="17">
        <f>Test!B119</f>
        <v>393.84800000000001</v>
      </c>
      <c r="M49" s="18">
        <f>Test!C119</f>
        <v>39.775799999999997</v>
      </c>
      <c r="N49" s="18">
        <f>Test!D119</f>
        <v>47.233499999999999</v>
      </c>
      <c r="O49" s="18">
        <f>Test!E119</f>
        <v>46.255400000000002</v>
      </c>
      <c r="P49" s="18">
        <f>Test!F119</f>
        <v>7362.8140000000003</v>
      </c>
      <c r="Q49" s="18">
        <f>Test!G119</f>
        <v>3.839</v>
      </c>
      <c r="R49" s="19">
        <f t="shared" si="11"/>
        <v>2.0452261111111114</v>
      </c>
      <c r="S49" s="17">
        <f t="shared" si="9"/>
        <v>1.0322561921864799</v>
      </c>
      <c r="T49" s="18">
        <f t="shared" si="9"/>
        <v>1.0720469142697571</v>
      </c>
      <c r="U49" s="91"/>
      <c r="V49" s="75"/>
      <c r="W49" s="76"/>
      <c r="X49" s="77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Reference!B120</f>
        <v>219.56</v>
      </c>
      <c r="E50" s="23">
        <f>Reference!C120</f>
        <v>37.060499999999998</v>
      </c>
      <c r="F50" s="23">
        <f>Reference!D120</f>
        <v>45.668500000000002</v>
      </c>
      <c r="G50" s="23">
        <f>Reference!E120</f>
        <v>43.982700000000001</v>
      </c>
      <c r="H50" s="23">
        <f>Reference!F120</f>
        <v>4169.7650000000003</v>
      </c>
      <c r="I50" s="23">
        <f>Reference!G120</f>
        <v>3.5419999999999998</v>
      </c>
      <c r="J50" s="24">
        <f t="shared" si="10"/>
        <v>1.1582680555555556</v>
      </c>
      <c r="L50" s="22">
        <f>Test!B120</f>
        <v>218.71199999999999</v>
      </c>
      <c r="M50" s="23">
        <f>Test!C120</f>
        <v>37.045299999999997</v>
      </c>
      <c r="N50" s="23">
        <f>Test!D120</f>
        <v>45.666600000000003</v>
      </c>
      <c r="O50" s="23">
        <f>Test!E120</f>
        <v>43.997399999999999</v>
      </c>
      <c r="P50" s="23">
        <f>Test!F120</f>
        <v>4278.3270000000002</v>
      </c>
      <c r="Q50" s="23">
        <f>Test!G120</f>
        <v>3.74</v>
      </c>
      <c r="R50" s="24">
        <f t="shared" si="11"/>
        <v>1.1884241666666668</v>
      </c>
      <c r="S50" s="22">
        <f t="shared" si="9"/>
        <v>1.0260355199873374</v>
      </c>
      <c r="T50" s="23">
        <f t="shared" si="9"/>
        <v>1.0559006211180126</v>
      </c>
      <c r="U50" s="92"/>
      <c r="V50" s="78"/>
      <c r="W50" s="79"/>
      <c r="X50" s="80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Reference!B121</f>
        <v>0</v>
      </c>
      <c r="E51" s="13">
        <f>Reference!C121</f>
        <v>0</v>
      </c>
      <c r="F51" s="13">
        <f>Reference!D121</f>
        <v>0</v>
      </c>
      <c r="G51" s="13">
        <f>Reference!E121</f>
        <v>0</v>
      </c>
      <c r="H51" s="13">
        <f>Reference!F121</f>
        <v>0</v>
      </c>
      <c r="I51" s="13">
        <f>Reference!G121</f>
        <v>0</v>
      </c>
      <c r="J51" s="14">
        <f t="shared" si="10"/>
        <v>0</v>
      </c>
      <c r="L51" s="12">
        <f>Test!B121</f>
        <v>0</v>
      </c>
      <c r="M51" s="13">
        <f>Test!C121</f>
        <v>0</v>
      </c>
      <c r="N51" s="13">
        <f>Test!D121</f>
        <v>0</v>
      </c>
      <c r="O51" s="13">
        <f>Test!E121</f>
        <v>0</v>
      </c>
      <c r="P51" s="13">
        <f>Test!F121</f>
        <v>0</v>
      </c>
      <c r="Q51" s="13">
        <f>Test!G121</f>
        <v>0</v>
      </c>
      <c r="R51" s="14">
        <f t="shared" si="11"/>
        <v>0</v>
      </c>
      <c r="S51" s="12" t="e">
        <f t="shared" si="9"/>
        <v>#DIV/0!</v>
      </c>
      <c r="T51" s="13" t="e">
        <f t="shared" si="9"/>
        <v>#DIV/0!</v>
      </c>
      <c r="U51" s="90"/>
      <c r="V51" s="72" t="e">
        <f>bdrate($D51:$D54,E51:E54,$L51:$L54,M51:M54)</f>
        <v>#VALUE!</v>
      </c>
      <c r="W51" s="73" t="e">
        <f>bdrate($D51:$D54,F51:F54,$L51:$L54,N51:N54)</f>
        <v>#VALUE!</v>
      </c>
      <c r="X51" s="73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Reference!B122</f>
        <v>0</v>
      </c>
      <c r="E52" s="18">
        <f>Reference!C122</f>
        <v>0</v>
      </c>
      <c r="F52" s="18">
        <f>Reference!D122</f>
        <v>0</v>
      </c>
      <c r="G52" s="18">
        <f>Reference!E122</f>
        <v>0</v>
      </c>
      <c r="H52" s="18">
        <f>Reference!F122</f>
        <v>0</v>
      </c>
      <c r="I52" s="18">
        <f>Reference!G122</f>
        <v>0</v>
      </c>
      <c r="J52" s="19">
        <f t="shared" si="10"/>
        <v>0</v>
      </c>
      <c r="L52" s="17">
        <f>Test!B122</f>
        <v>0</v>
      </c>
      <c r="M52" s="18">
        <f>Test!C122</f>
        <v>0</v>
      </c>
      <c r="N52" s="18">
        <f>Test!D122</f>
        <v>0</v>
      </c>
      <c r="O52" s="18">
        <f>Test!E122</f>
        <v>0</v>
      </c>
      <c r="P52" s="18">
        <f>Test!F122</f>
        <v>0</v>
      </c>
      <c r="Q52" s="18">
        <f>Test!G122</f>
        <v>0</v>
      </c>
      <c r="R52" s="19">
        <f t="shared" si="11"/>
        <v>0</v>
      </c>
      <c r="S52" s="17" t="e">
        <f t="shared" si="9"/>
        <v>#DIV/0!</v>
      </c>
      <c r="T52" s="18" t="e">
        <f t="shared" si="9"/>
        <v>#DIV/0!</v>
      </c>
      <c r="U52" s="91"/>
      <c r="V52" s="75"/>
      <c r="W52" s="76"/>
      <c r="X52" s="76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Reference!B123</f>
        <v>0</v>
      </c>
      <c r="E53" s="18">
        <f>Reference!C123</f>
        <v>0</v>
      </c>
      <c r="F53" s="18">
        <f>Reference!D123</f>
        <v>0</v>
      </c>
      <c r="G53" s="18">
        <f>Reference!E123</f>
        <v>0</v>
      </c>
      <c r="H53" s="18">
        <f>Reference!F123</f>
        <v>0</v>
      </c>
      <c r="I53" s="18">
        <f>Reference!G123</f>
        <v>0</v>
      </c>
      <c r="J53" s="19">
        <f t="shared" si="10"/>
        <v>0</v>
      </c>
      <c r="L53" s="17">
        <f>Test!B123</f>
        <v>0</v>
      </c>
      <c r="M53" s="18">
        <f>Test!C123</f>
        <v>0</v>
      </c>
      <c r="N53" s="18">
        <f>Test!D123</f>
        <v>0</v>
      </c>
      <c r="O53" s="18">
        <f>Test!E123</f>
        <v>0</v>
      </c>
      <c r="P53" s="18">
        <f>Test!F123</f>
        <v>0</v>
      </c>
      <c r="Q53" s="18">
        <f>Test!G123</f>
        <v>0</v>
      </c>
      <c r="R53" s="19">
        <f t="shared" si="11"/>
        <v>0</v>
      </c>
      <c r="S53" s="17" t="e">
        <f t="shared" si="9"/>
        <v>#DIV/0!</v>
      </c>
      <c r="T53" s="18" t="e">
        <f t="shared" si="9"/>
        <v>#DIV/0!</v>
      </c>
      <c r="U53" s="91"/>
      <c r="V53" s="75"/>
      <c r="W53" s="76"/>
      <c r="X53" s="76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Reference!B124</f>
        <v>0</v>
      </c>
      <c r="E54" s="23">
        <f>Reference!C124</f>
        <v>0</v>
      </c>
      <c r="F54" s="23">
        <f>Reference!D124</f>
        <v>0</v>
      </c>
      <c r="G54" s="23">
        <f>Reference!E124</f>
        <v>0</v>
      </c>
      <c r="H54" s="23">
        <f>Reference!F124</f>
        <v>0</v>
      </c>
      <c r="I54" s="23">
        <f>Reference!G124</f>
        <v>0</v>
      </c>
      <c r="J54" s="24">
        <f t="shared" si="10"/>
        <v>0</v>
      </c>
      <c r="L54" s="22">
        <f>Test!B124</f>
        <v>0</v>
      </c>
      <c r="M54" s="23">
        <f>Test!C124</f>
        <v>0</v>
      </c>
      <c r="N54" s="23">
        <f>Test!D124</f>
        <v>0</v>
      </c>
      <c r="O54" s="23">
        <f>Test!E124</f>
        <v>0</v>
      </c>
      <c r="P54" s="23">
        <f>Test!F124</f>
        <v>0</v>
      </c>
      <c r="Q54" s="23">
        <f>Test!G124</f>
        <v>0</v>
      </c>
      <c r="R54" s="24">
        <f t="shared" si="11"/>
        <v>0</v>
      </c>
      <c r="S54" s="17" t="e">
        <f t="shared" si="9"/>
        <v>#DIV/0!</v>
      </c>
      <c r="T54" s="18" t="e">
        <f t="shared" si="9"/>
        <v>#DIV/0!</v>
      </c>
      <c r="U54" s="91"/>
      <c r="V54" s="78"/>
      <c r="W54" s="79"/>
      <c r="X54" s="79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Reference!B125</f>
        <v>0</v>
      </c>
      <c r="E55" s="13">
        <f>Reference!C125</f>
        <v>0</v>
      </c>
      <c r="F55" s="13">
        <f>Reference!D125</f>
        <v>0</v>
      </c>
      <c r="G55" s="13">
        <f>Reference!E125</f>
        <v>0</v>
      </c>
      <c r="H55" s="13">
        <f>Reference!F125</f>
        <v>0</v>
      </c>
      <c r="I55" s="13">
        <f>Reference!G125</f>
        <v>0</v>
      </c>
      <c r="J55" s="14">
        <f t="shared" si="10"/>
        <v>0</v>
      </c>
      <c r="L55" s="12">
        <f>Test!B125</f>
        <v>0</v>
      </c>
      <c r="M55" s="13">
        <f>Test!C125</f>
        <v>0</v>
      </c>
      <c r="N55" s="13">
        <f>Test!D125</f>
        <v>0</v>
      </c>
      <c r="O55" s="13">
        <f>Test!E125</f>
        <v>0</v>
      </c>
      <c r="P55" s="13">
        <f>Test!F125</f>
        <v>0</v>
      </c>
      <c r="Q55" s="13">
        <f>Test!G125</f>
        <v>0</v>
      </c>
      <c r="R55" s="14">
        <f t="shared" si="11"/>
        <v>0</v>
      </c>
      <c r="S55" s="17" t="e">
        <f t="shared" si="9"/>
        <v>#DIV/0!</v>
      </c>
      <c r="T55" s="18" t="e">
        <f t="shared" si="9"/>
        <v>#DIV/0!</v>
      </c>
      <c r="U55" s="91"/>
      <c r="V55" s="72" t="e">
        <f>bdrate($D55:$D58,E55:E58,$L55:$L58,M55:M58)</f>
        <v>#VALUE!</v>
      </c>
      <c r="W55" s="73" t="e">
        <f>bdrate($D55:$D58,F55:F58,$L55:$L58,N55:N58)</f>
        <v>#VALUE!</v>
      </c>
      <c r="X55" s="73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Reference!B126</f>
        <v>0</v>
      </c>
      <c r="E56" s="18">
        <f>Reference!C126</f>
        <v>0</v>
      </c>
      <c r="F56" s="18">
        <f>Reference!D126</f>
        <v>0</v>
      </c>
      <c r="G56" s="18">
        <f>Reference!E126</f>
        <v>0</v>
      </c>
      <c r="H56" s="18">
        <f>Reference!F126</f>
        <v>0</v>
      </c>
      <c r="I56" s="18">
        <f>Reference!G126</f>
        <v>0</v>
      </c>
      <c r="J56" s="19">
        <f t="shared" si="10"/>
        <v>0</v>
      </c>
      <c r="L56" s="17">
        <f>Test!B126</f>
        <v>0</v>
      </c>
      <c r="M56" s="18">
        <f>Test!C126</f>
        <v>0</v>
      </c>
      <c r="N56" s="18">
        <f>Test!D126</f>
        <v>0</v>
      </c>
      <c r="O56" s="18">
        <f>Test!E126</f>
        <v>0</v>
      </c>
      <c r="P56" s="18">
        <f>Test!F126</f>
        <v>0</v>
      </c>
      <c r="Q56" s="18">
        <f>Test!G126</f>
        <v>0</v>
      </c>
      <c r="R56" s="19">
        <f t="shared" si="11"/>
        <v>0</v>
      </c>
      <c r="S56" s="17" t="e">
        <f t="shared" si="9"/>
        <v>#DIV/0!</v>
      </c>
      <c r="T56" s="18" t="e">
        <f t="shared" si="9"/>
        <v>#DIV/0!</v>
      </c>
      <c r="U56" s="91"/>
      <c r="V56" s="75"/>
      <c r="W56" s="76"/>
      <c r="X56" s="76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Reference!B127</f>
        <v>0</v>
      </c>
      <c r="E57" s="18">
        <f>Reference!C127</f>
        <v>0</v>
      </c>
      <c r="F57" s="18">
        <f>Reference!D127</f>
        <v>0</v>
      </c>
      <c r="G57" s="18">
        <f>Reference!E127</f>
        <v>0</v>
      </c>
      <c r="H57" s="18">
        <f>Reference!F127</f>
        <v>0</v>
      </c>
      <c r="I57" s="18">
        <f>Reference!G127</f>
        <v>0</v>
      </c>
      <c r="J57" s="19">
        <f t="shared" si="10"/>
        <v>0</v>
      </c>
      <c r="L57" s="17">
        <f>Test!B127</f>
        <v>0</v>
      </c>
      <c r="M57" s="18">
        <f>Test!C127</f>
        <v>0</v>
      </c>
      <c r="N57" s="18">
        <f>Test!D127</f>
        <v>0</v>
      </c>
      <c r="O57" s="18">
        <f>Test!E127</f>
        <v>0</v>
      </c>
      <c r="P57" s="18">
        <f>Test!F127</f>
        <v>0</v>
      </c>
      <c r="Q57" s="18">
        <f>Test!G127</f>
        <v>0</v>
      </c>
      <c r="R57" s="19">
        <f t="shared" si="11"/>
        <v>0</v>
      </c>
      <c r="S57" s="17" t="e">
        <f t="shared" si="9"/>
        <v>#DIV/0!</v>
      </c>
      <c r="T57" s="18" t="e">
        <f t="shared" si="9"/>
        <v>#DIV/0!</v>
      </c>
      <c r="U57" s="91"/>
      <c r="V57" s="75"/>
      <c r="W57" s="76"/>
      <c r="X57" s="76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Reference!B128</f>
        <v>0</v>
      </c>
      <c r="E58" s="23">
        <f>Reference!C128</f>
        <v>0</v>
      </c>
      <c r="F58" s="23">
        <f>Reference!D128</f>
        <v>0</v>
      </c>
      <c r="G58" s="23">
        <f>Reference!E128</f>
        <v>0</v>
      </c>
      <c r="H58" s="23">
        <f>Reference!F128</f>
        <v>0</v>
      </c>
      <c r="I58" s="23">
        <f>Reference!G128</f>
        <v>0</v>
      </c>
      <c r="J58" s="24">
        <f t="shared" si="10"/>
        <v>0</v>
      </c>
      <c r="L58" s="22">
        <f>Test!B128</f>
        <v>0</v>
      </c>
      <c r="M58" s="23">
        <f>Test!C128</f>
        <v>0</v>
      </c>
      <c r="N58" s="23">
        <f>Test!D128</f>
        <v>0</v>
      </c>
      <c r="O58" s="23">
        <f>Test!E128</f>
        <v>0</v>
      </c>
      <c r="P58" s="23">
        <f>Test!F128</f>
        <v>0</v>
      </c>
      <c r="Q58" s="23">
        <f>Test!G128</f>
        <v>0</v>
      </c>
      <c r="R58" s="24">
        <f t="shared" si="11"/>
        <v>0</v>
      </c>
      <c r="S58" s="22" t="e">
        <f t="shared" si="9"/>
        <v>#DIV/0!</v>
      </c>
      <c r="T58" s="23" t="e">
        <f t="shared" si="9"/>
        <v>#DIV/0!</v>
      </c>
      <c r="U58" s="92"/>
      <c r="V58" s="78"/>
      <c r="W58" s="79"/>
      <c r="X58" s="79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Reference!B129</f>
        <v>0</v>
      </c>
      <c r="E59" s="13">
        <f>Reference!C129</f>
        <v>0</v>
      </c>
      <c r="F59" s="13">
        <f>Reference!D129</f>
        <v>0</v>
      </c>
      <c r="G59" s="13">
        <f>Reference!E129</f>
        <v>0</v>
      </c>
      <c r="H59" s="13">
        <f>Reference!F129</f>
        <v>0</v>
      </c>
      <c r="I59" s="13">
        <f>Reference!G129</f>
        <v>0</v>
      </c>
      <c r="J59" s="14">
        <f t="shared" si="10"/>
        <v>0</v>
      </c>
      <c r="L59" s="12">
        <f>Test!B129</f>
        <v>0</v>
      </c>
      <c r="M59" s="13">
        <f>Test!C129</f>
        <v>0</v>
      </c>
      <c r="N59" s="13">
        <f>Test!D129</f>
        <v>0</v>
      </c>
      <c r="O59" s="13">
        <f>Test!E129</f>
        <v>0</v>
      </c>
      <c r="P59" s="13">
        <f>Test!F129</f>
        <v>0</v>
      </c>
      <c r="Q59" s="13">
        <f>Test!G129</f>
        <v>0</v>
      </c>
      <c r="R59" s="14">
        <f t="shared" si="11"/>
        <v>0</v>
      </c>
      <c r="S59" s="12" t="e">
        <f t="shared" si="9"/>
        <v>#DIV/0!</v>
      </c>
      <c r="T59" s="13" t="e">
        <f t="shared" si="9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Reference!B130</f>
        <v>0</v>
      </c>
      <c r="E60" s="18">
        <f>Reference!C130</f>
        <v>0</v>
      </c>
      <c r="F60" s="18">
        <f>Reference!D130</f>
        <v>0</v>
      </c>
      <c r="G60" s="18">
        <f>Reference!E130</f>
        <v>0</v>
      </c>
      <c r="H60" s="18">
        <f>Reference!F130</f>
        <v>0</v>
      </c>
      <c r="I60" s="18">
        <f>Reference!G130</f>
        <v>0</v>
      </c>
      <c r="J60" s="19">
        <f t="shared" si="10"/>
        <v>0</v>
      </c>
      <c r="L60" s="17">
        <f>Test!B130</f>
        <v>0</v>
      </c>
      <c r="M60" s="18">
        <f>Test!C130</f>
        <v>0</v>
      </c>
      <c r="N60" s="18">
        <f>Test!D130</f>
        <v>0</v>
      </c>
      <c r="O60" s="18">
        <f>Test!E130</f>
        <v>0</v>
      </c>
      <c r="P60" s="18">
        <f>Test!F130</f>
        <v>0</v>
      </c>
      <c r="Q60" s="18">
        <f>Test!G130</f>
        <v>0</v>
      </c>
      <c r="R60" s="19">
        <f t="shared" si="11"/>
        <v>0</v>
      </c>
      <c r="S60" s="17" t="e">
        <f t="shared" si="9"/>
        <v>#DIV/0!</v>
      </c>
      <c r="T60" s="18" t="e">
        <f t="shared" si="9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Reference!B131</f>
        <v>0</v>
      </c>
      <c r="E61" s="18">
        <f>Reference!C131</f>
        <v>0</v>
      </c>
      <c r="F61" s="18">
        <f>Reference!D131</f>
        <v>0</v>
      </c>
      <c r="G61" s="18">
        <f>Reference!E131</f>
        <v>0</v>
      </c>
      <c r="H61" s="18">
        <f>Reference!F131</f>
        <v>0</v>
      </c>
      <c r="I61" s="18">
        <f>Reference!G131</f>
        <v>0</v>
      </c>
      <c r="J61" s="19">
        <f t="shared" si="10"/>
        <v>0</v>
      </c>
      <c r="L61" s="17">
        <f>Test!B131</f>
        <v>0</v>
      </c>
      <c r="M61" s="18">
        <f>Test!C131</f>
        <v>0</v>
      </c>
      <c r="N61" s="18">
        <f>Test!D131</f>
        <v>0</v>
      </c>
      <c r="O61" s="18">
        <f>Test!E131</f>
        <v>0</v>
      </c>
      <c r="P61" s="18">
        <f>Test!F131</f>
        <v>0</v>
      </c>
      <c r="Q61" s="18">
        <f>Test!G131</f>
        <v>0</v>
      </c>
      <c r="R61" s="19">
        <f t="shared" si="11"/>
        <v>0</v>
      </c>
      <c r="S61" s="17" t="e">
        <f t="shared" si="9"/>
        <v>#DIV/0!</v>
      </c>
      <c r="T61" s="18" t="e">
        <f t="shared" si="9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Reference!B132</f>
        <v>0</v>
      </c>
      <c r="E62" s="23">
        <f>Reference!C132</f>
        <v>0</v>
      </c>
      <c r="F62" s="23">
        <f>Reference!D132</f>
        <v>0</v>
      </c>
      <c r="G62" s="23">
        <f>Reference!E132</f>
        <v>0</v>
      </c>
      <c r="H62" s="23">
        <f>Reference!F132</f>
        <v>0</v>
      </c>
      <c r="I62" s="23">
        <f>Reference!G132</f>
        <v>0</v>
      </c>
      <c r="J62" s="24">
        <f t="shared" si="10"/>
        <v>0</v>
      </c>
      <c r="L62" s="22">
        <f>Test!B132</f>
        <v>0</v>
      </c>
      <c r="M62" s="23">
        <f>Test!C132</f>
        <v>0</v>
      </c>
      <c r="N62" s="23">
        <f>Test!D132</f>
        <v>0</v>
      </c>
      <c r="O62" s="23">
        <f>Test!E132</f>
        <v>0</v>
      </c>
      <c r="P62" s="23">
        <f>Test!F132</f>
        <v>0</v>
      </c>
      <c r="Q62" s="23">
        <f>Test!G132</f>
        <v>0</v>
      </c>
      <c r="R62" s="24">
        <f t="shared" si="11"/>
        <v>0</v>
      </c>
      <c r="S62" s="17" t="e">
        <f t="shared" si="9"/>
        <v>#DIV/0!</v>
      </c>
      <c r="T62" s="18" t="e">
        <f t="shared" si="9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Reference!B133</f>
        <v>0</v>
      </c>
      <c r="E63" s="13">
        <f>Reference!C133</f>
        <v>0</v>
      </c>
      <c r="F63" s="13">
        <f>Reference!D133</f>
        <v>0</v>
      </c>
      <c r="G63" s="13">
        <f>Reference!E133</f>
        <v>0</v>
      </c>
      <c r="H63" s="13">
        <f>Reference!F133</f>
        <v>0</v>
      </c>
      <c r="I63" s="13">
        <f>Reference!G133</f>
        <v>0</v>
      </c>
      <c r="J63" s="14">
        <f t="shared" si="10"/>
        <v>0</v>
      </c>
      <c r="L63" s="12">
        <f>Test!B133</f>
        <v>0</v>
      </c>
      <c r="M63" s="13">
        <f>Test!C133</f>
        <v>0</v>
      </c>
      <c r="N63" s="13">
        <f>Test!D133</f>
        <v>0</v>
      </c>
      <c r="O63" s="13">
        <f>Test!E133</f>
        <v>0</v>
      </c>
      <c r="P63" s="13">
        <f>Test!F133</f>
        <v>0</v>
      </c>
      <c r="Q63" s="13">
        <f>Test!G133</f>
        <v>0</v>
      </c>
      <c r="R63" s="14">
        <f t="shared" si="11"/>
        <v>0</v>
      </c>
      <c r="S63" s="17" t="e">
        <f t="shared" ref="S63:S74" si="12">P63/H63</f>
        <v>#DIV/0!</v>
      </c>
      <c r="T63" s="18" t="e">
        <f t="shared" ref="T63:T74" si="13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Reference!B134</f>
        <v>0</v>
      </c>
      <c r="E64" s="18">
        <f>Reference!C134</f>
        <v>0</v>
      </c>
      <c r="F64" s="18">
        <f>Reference!D134</f>
        <v>0</v>
      </c>
      <c r="G64" s="18">
        <f>Reference!E134</f>
        <v>0</v>
      </c>
      <c r="H64" s="18">
        <f>Reference!F134</f>
        <v>0</v>
      </c>
      <c r="I64" s="18">
        <f>Reference!G134</f>
        <v>0</v>
      </c>
      <c r="J64" s="19">
        <f t="shared" si="10"/>
        <v>0</v>
      </c>
      <c r="L64" s="17">
        <f>Test!B134</f>
        <v>0</v>
      </c>
      <c r="M64" s="18">
        <f>Test!C134</f>
        <v>0</v>
      </c>
      <c r="N64" s="18">
        <f>Test!D134</f>
        <v>0</v>
      </c>
      <c r="O64" s="18">
        <f>Test!E134</f>
        <v>0</v>
      </c>
      <c r="P64" s="18">
        <f>Test!F134</f>
        <v>0</v>
      </c>
      <c r="Q64" s="18">
        <f>Test!G134</f>
        <v>0</v>
      </c>
      <c r="R64" s="19">
        <f t="shared" si="11"/>
        <v>0</v>
      </c>
      <c r="S64" s="17" t="e">
        <f t="shared" si="12"/>
        <v>#DIV/0!</v>
      </c>
      <c r="T64" s="18" t="e">
        <f t="shared" si="13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Reference!B135</f>
        <v>0</v>
      </c>
      <c r="E65" s="18">
        <f>Reference!C135</f>
        <v>0</v>
      </c>
      <c r="F65" s="18">
        <f>Reference!D135</f>
        <v>0</v>
      </c>
      <c r="G65" s="18">
        <f>Reference!E135</f>
        <v>0</v>
      </c>
      <c r="H65" s="18">
        <f>Reference!F135</f>
        <v>0</v>
      </c>
      <c r="I65" s="18">
        <f>Reference!G135</f>
        <v>0</v>
      </c>
      <c r="J65" s="19">
        <f t="shared" si="10"/>
        <v>0</v>
      </c>
      <c r="L65" s="17">
        <f>Test!B135</f>
        <v>0</v>
      </c>
      <c r="M65" s="18">
        <f>Test!C135</f>
        <v>0</v>
      </c>
      <c r="N65" s="18">
        <f>Test!D135</f>
        <v>0</v>
      </c>
      <c r="O65" s="18">
        <f>Test!E135</f>
        <v>0</v>
      </c>
      <c r="P65" s="18">
        <f>Test!F135</f>
        <v>0</v>
      </c>
      <c r="Q65" s="18">
        <f>Test!G135</f>
        <v>0</v>
      </c>
      <c r="R65" s="19">
        <f t="shared" si="11"/>
        <v>0</v>
      </c>
      <c r="S65" s="17" t="e">
        <f t="shared" si="12"/>
        <v>#DIV/0!</v>
      </c>
      <c r="T65" s="18" t="e">
        <f t="shared" si="13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Reference!B136</f>
        <v>0</v>
      </c>
      <c r="E66" s="23">
        <f>Reference!C136</f>
        <v>0</v>
      </c>
      <c r="F66" s="23">
        <f>Reference!D136</f>
        <v>0</v>
      </c>
      <c r="G66" s="23">
        <f>Reference!E136</f>
        <v>0</v>
      </c>
      <c r="H66" s="23">
        <f>Reference!F136</f>
        <v>0</v>
      </c>
      <c r="I66" s="23">
        <f>Reference!G136</f>
        <v>0</v>
      </c>
      <c r="J66" s="24">
        <f t="shared" si="10"/>
        <v>0</v>
      </c>
      <c r="L66" s="22">
        <f>Test!B136</f>
        <v>0</v>
      </c>
      <c r="M66" s="23">
        <f>Test!C136</f>
        <v>0</v>
      </c>
      <c r="N66" s="23">
        <f>Test!D136</f>
        <v>0</v>
      </c>
      <c r="O66" s="23">
        <f>Test!E136</f>
        <v>0</v>
      </c>
      <c r="P66" s="23">
        <f>Test!F136</f>
        <v>0</v>
      </c>
      <c r="Q66" s="23">
        <f>Test!G136</f>
        <v>0</v>
      </c>
      <c r="R66" s="24">
        <f t="shared" si="11"/>
        <v>0</v>
      </c>
      <c r="S66" s="17" t="e">
        <f t="shared" si="12"/>
        <v>#DIV/0!</v>
      </c>
      <c r="T66" s="18" t="e">
        <f t="shared" si="13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Reference!B137</f>
        <v>0</v>
      </c>
      <c r="E67" s="13">
        <f>Reference!C137</f>
        <v>0</v>
      </c>
      <c r="F67" s="13">
        <f>Reference!D137</f>
        <v>0</v>
      </c>
      <c r="G67" s="13">
        <f>Reference!E137</f>
        <v>0</v>
      </c>
      <c r="H67" s="13">
        <f>Reference!F137</f>
        <v>0</v>
      </c>
      <c r="I67" s="13">
        <f>Reference!G137</f>
        <v>0</v>
      </c>
      <c r="J67" s="14">
        <f t="shared" si="10"/>
        <v>0</v>
      </c>
      <c r="L67" s="12">
        <f>Test!B137</f>
        <v>0</v>
      </c>
      <c r="M67" s="13">
        <f>Test!C137</f>
        <v>0</v>
      </c>
      <c r="N67" s="13">
        <f>Test!D137</f>
        <v>0</v>
      </c>
      <c r="O67" s="13">
        <f>Test!E137</f>
        <v>0</v>
      </c>
      <c r="P67" s="13">
        <f>Test!F137</f>
        <v>0</v>
      </c>
      <c r="Q67" s="13">
        <f>Test!G137</f>
        <v>0</v>
      </c>
      <c r="R67" s="14">
        <f t="shared" si="11"/>
        <v>0</v>
      </c>
      <c r="S67" s="17" t="e">
        <f t="shared" si="12"/>
        <v>#DIV/0!</v>
      </c>
      <c r="T67" s="18" t="e">
        <f t="shared" si="13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Reference!B138</f>
        <v>0</v>
      </c>
      <c r="E68" s="18">
        <f>Reference!C138</f>
        <v>0</v>
      </c>
      <c r="F68" s="18">
        <f>Reference!D138</f>
        <v>0</v>
      </c>
      <c r="G68" s="18">
        <f>Reference!E138</f>
        <v>0</v>
      </c>
      <c r="H68" s="18">
        <f>Reference!F138</f>
        <v>0</v>
      </c>
      <c r="I68" s="18">
        <f>Reference!G138</f>
        <v>0</v>
      </c>
      <c r="J68" s="19">
        <f t="shared" si="10"/>
        <v>0</v>
      </c>
      <c r="L68" s="17">
        <f>Test!B138</f>
        <v>0</v>
      </c>
      <c r="M68" s="18">
        <f>Test!C138</f>
        <v>0</v>
      </c>
      <c r="N68" s="18">
        <f>Test!D138</f>
        <v>0</v>
      </c>
      <c r="O68" s="18">
        <f>Test!E138</f>
        <v>0</v>
      </c>
      <c r="P68" s="18">
        <f>Test!F138</f>
        <v>0</v>
      </c>
      <c r="Q68" s="18">
        <f>Test!G138</f>
        <v>0</v>
      </c>
      <c r="R68" s="19">
        <f t="shared" si="11"/>
        <v>0</v>
      </c>
      <c r="S68" s="17" t="e">
        <f t="shared" si="12"/>
        <v>#DIV/0!</v>
      </c>
      <c r="T68" s="18" t="e">
        <f t="shared" si="13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Reference!B139</f>
        <v>0</v>
      </c>
      <c r="E69" s="18">
        <f>Reference!C139</f>
        <v>0</v>
      </c>
      <c r="F69" s="18">
        <f>Reference!D139</f>
        <v>0</v>
      </c>
      <c r="G69" s="18">
        <f>Reference!E139</f>
        <v>0</v>
      </c>
      <c r="H69" s="18">
        <f>Reference!F139</f>
        <v>0</v>
      </c>
      <c r="I69" s="18">
        <f>Reference!G139</f>
        <v>0</v>
      </c>
      <c r="J69" s="19">
        <f t="shared" si="10"/>
        <v>0</v>
      </c>
      <c r="L69" s="17">
        <f>Test!B139</f>
        <v>0</v>
      </c>
      <c r="M69" s="18">
        <f>Test!C139</f>
        <v>0</v>
      </c>
      <c r="N69" s="18">
        <f>Test!D139</f>
        <v>0</v>
      </c>
      <c r="O69" s="18">
        <f>Test!E139</f>
        <v>0</v>
      </c>
      <c r="P69" s="18">
        <f>Test!F139</f>
        <v>0</v>
      </c>
      <c r="Q69" s="18">
        <f>Test!G139</f>
        <v>0</v>
      </c>
      <c r="R69" s="19">
        <f t="shared" si="11"/>
        <v>0</v>
      </c>
      <c r="S69" s="17" t="e">
        <f t="shared" si="12"/>
        <v>#DIV/0!</v>
      </c>
      <c r="T69" s="18" t="e">
        <f t="shared" si="13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Reference!B140</f>
        <v>0</v>
      </c>
      <c r="E70" s="23">
        <f>Reference!C140</f>
        <v>0</v>
      </c>
      <c r="F70" s="23">
        <f>Reference!D140</f>
        <v>0</v>
      </c>
      <c r="G70" s="23">
        <f>Reference!E140</f>
        <v>0</v>
      </c>
      <c r="H70" s="23">
        <f>Reference!F140</f>
        <v>0</v>
      </c>
      <c r="I70" s="23">
        <f>Reference!G140</f>
        <v>0</v>
      </c>
      <c r="J70" s="24">
        <f t="shared" si="10"/>
        <v>0</v>
      </c>
      <c r="L70" s="22">
        <f>Test!B140</f>
        <v>0</v>
      </c>
      <c r="M70" s="23">
        <f>Test!C140</f>
        <v>0</v>
      </c>
      <c r="N70" s="23">
        <f>Test!D140</f>
        <v>0</v>
      </c>
      <c r="O70" s="23">
        <f>Test!E140</f>
        <v>0</v>
      </c>
      <c r="P70" s="23">
        <f>Test!F140</f>
        <v>0</v>
      </c>
      <c r="Q70" s="23">
        <f>Test!G140</f>
        <v>0</v>
      </c>
      <c r="R70" s="24">
        <f t="shared" si="11"/>
        <v>0</v>
      </c>
      <c r="S70" s="17" t="e">
        <f t="shared" si="12"/>
        <v>#DIV/0!</v>
      </c>
      <c r="T70" s="18" t="e">
        <f t="shared" si="13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Reference!B141</f>
        <v>0</v>
      </c>
      <c r="E71" s="13">
        <f>Reference!C141</f>
        <v>0</v>
      </c>
      <c r="F71" s="13">
        <f>Reference!D141</f>
        <v>0</v>
      </c>
      <c r="G71" s="13">
        <f>Reference!E141</f>
        <v>0</v>
      </c>
      <c r="H71" s="13">
        <f>Reference!F141</f>
        <v>0</v>
      </c>
      <c r="I71" s="13">
        <f>Reference!G141</f>
        <v>0</v>
      </c>
      <c r="J71" s="14">
        <f>H71/3600</f>
        <v>0</v>
      </c>
      <c r="L71" s="12">
        <f>Test!B141</f>
        <v>0</v>
      </c>
      <c r="M71" s="13">
        <f>Test!C141</f>
        <v>0</v>
      </c>
      <c r="N71" s="13">
        <f>Test!D141</f>
        <v>0</v>
      </c>
      <c r="O71" s="13">
        <f>Test!E141</f>
        <v>0</v>
      </c>
      <c r="P71" s="13">
        <f>Test!F141</f>
        <v>0</v>
      </c>
      <c r="Q71" s="13">
        <f>Test!G141</f>
        <v>0</v>
      </c>
      <c r="R71" s="14">
        <f>P71/3600</f>
        <v>0</v>
      </c>
      <c r="S71" s="17" t="e">
        <f t="shared" si="12"/>
        <v>#DIV/0!</v>
      </c>
      <c r="T71" s="18" t="e">
        <f t="shared" si="13"/>
        <v>#DIV/0!</v>
      </c>
      <c r="U71" s="91"/>
      <c r="V71" s="72" t="e">
        <f>bdrate($D71:$D74,E71:E74,$L71:$L74,M71:M74)</f>
        <v>#VALUE!</v>
      </c>
      <c r="W71" s="73" t="e">
        <f>bdrate($D71:$D74,F71:F74,$L71:$L74,N71:N74)</f>
        <v>#VALUE!</v>
      </c>
      <c r="X71" s="74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Reference!B142</f>
        <v>0</v>
      </c>
      <c r="E72" s="18">
        <f>Reference!C142</f>
        <v>0</v>
      </c>
      <c r="F72" s="18">
        <f>Reference!D142</f>
        <v>0</v>
      </c>
      <c r="G72" s="18">
        <f>Reference!E142</f>
        <v>0</v>
      </c>
      <c r="H72" s="18">
        <f>Reference!F142</f>
        <v>0</v>
      </c>
      <c r="I72" s="18">
        <f>Reference!G142</f>
        <v>0</v>
      </c>
      <c r="J72" s="19">
        <f t="shared" ref="J72:J74" si="14">H72/3600</f>
        <v>0</v>
      </c>
      <c r="L72" s="17">
        <f>Test!B142</f>
        <v>0</v>
      </c>
      <c r="M72" s="18">
        <f>Test!C142</f>
        <v>0</v>
      </c>
      <c r="N72" s="18">
        <f>Test!D142</f>
        <v>0</v>
      </c>
      <c r="O72" s="18">
        <f>Test!E142</f>
        <v>0</v>
      </c>
      <c r="P72" s="18">
        <f>Test!F142</f>
        <v>0</v>
      </c>
      <c r="Q72" s="18">
        <f>Test!G142</f>
        <v>0</v>
      </c>
      <c r="R72" s="19">
        <f t="shared" ref="R72:R74" si="15">P72/3600</f>
        <v>0</v>
      </c>
      <c r="S72" s="17" t="e">
        <f t="shared" si="12"/>
        <v>#DIV/0!</v>
      </c>
      <c r="T72" s="18" t="e">
        <f t="shared" si="13"/>
        <v>#DIV/0!</v>
      </c>
      <c r="U72" s="91"/>
      <c r="V72" s="75"/>
      <c r="W72" s="76"/>
      <c r="X72" s="77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Reference!B143</f>
        <v>0</v>
      </c>
      <c r="E73" s="18">
        <f>Reference!C143</f>
        <v>0</v>
      </c>
      <c r="F73" s="18">
        <f>Reference!D143</f>
        <v>0</v>
      </c>
      <c r="G73" s="18">
        <f>Reference!E143</f>
        <v>0</v>
      </c>
      <c r="H73" s="18">
        <f>Reference!F143</f>
        <v>0</v>
      </c>
      <c r="I73" s="18">
        <f>Reference!G143</f>
        <v>0</v>
      </c>
      <c r="J73" s="19">
        <f t="shared" si="14"/>
        <v>0</v>
      </c>
      <c r="L73" s="17">
        <f>Test!B143</f>
        <v>0</v>
      </c>
      <c r="M73" s="18">
        <f>Test!C143</f>
        <v>0</v>
      </c>
      <c r="N73" s="18">
        <f>Test!D143</f>
        <v>0</v>
      </c>
      <c r="O73" s="18">
        <f>Test!E143</f>
        <v>0</v>
      </c>
      <c r="P73" s="18">
        <f>Test!F143</f>
        <v>0</v>
      </c>
      <c r="Q73" s="18">
        <f>Test!G143</f>
        <v>0</v>
      </c>
      <c r="R73" s="19">
        <f t="shared" si="15"/>
        <v>0</v>
      </c>
      <c r="S73" s="17" t="e">
        <f t="shared" si="12"/>
        <v>#DIV/0!</v>
      </c>
      <c r="T73" s="18" t="e">
        <f t="shared" si="13"/>
        <v>#DIV/0!</v>
      </c>
      <c r="U73" s="91"/>
      <c r="V73" s="75"/>
      <c r="W73" s="76"/>
      <c r="X73" s="77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Reference!B144</f>
        <v>0</v>
      </c>
      <c r="E74" s="23">
        <f>Reference!C144</f>
        <v>0</v>
      </c>
      <c r="F74" s="23">
        <f>Reference!D144</f>
        <v>0</v>
      </c>
      <c r="G74" s="23">
        <f>Reference!E144</f>
        <v>0</v>
      </c>
      <c r="H74" s="23">
        <f>Reference!F144</f>
        <v>0</v>
      </c>
      <c r="I74" s="23">
        <f>Reference!G144</f>
        <v>0</v>
      </c>
      <c r="J74" s="24">
        <f t="shared" si="14"/>
        <v>0</v>
      </c>
      <c r="L74" s="22">
        <f>Test!B144</f>
        <v>0</v>
      </c>
      <c r="M74" s="23">
        <f>Test!C144</f>
        <v>0</v>
      </c>
      <c r="N74" s="23">
        <f>Test!D144</f>
        <v>0</v>
      </c>
      <c r="O74" s="23">
        <f>Test!E144</f>
        <v>0</v>
      </c>
      <c r="P74" s="23">
        <f>Test!F144</f>
        <v>0</v>
      </c>
      <c r="Q74" s="23">
        <f>Test!G144</f>
        <v>0</v>
      </c>
      <c r="R74" s="24">
        <f t="shared" si="15"/>
        <v>0</v>
      </c>
      <c r="S74" s="22" t="e">
        <f t="shared" si="12"/>
        <v>#DIV/0!</v>
      </c>
      <c r="T74" s="23" t="e">
        <f t="shared" si="13"/>
        <v>#DIV/0!</v>
      </c>
      <c r="U74" s="92"/>
      <c r="V74" s="78"/>
      <c r="W74" s="79"/>
      <c r="X74" s="80"/>
      <c r="Y74" s="39"/>
      <c r="Z74" s="51"/>
      <c r="AA74" s="52"/>
    </row>
    <row r="75" spans="1:27" x14ac:dyDescent="0.2">
      <c r="B75" s="89" t="s">
        <v>46</v>
      </c>
      <c r="I75" s="15">
        <f>GEOMEAN(I3:I18)</f>
        <v>43.951135869855172</v>
      </c>
      <c r="J75" s="15">
        <f>GEOMEAN(J3:J18)</f>
        <v>55.305434604646507</v>
      </c>
      <c r="Q75" s="15">
        <f>GEOMEAN(Q3:Q18)</f>
        <v>44.092442019191942</v>
      </c>
      <c r="R75" s="15">
        <f>GEOMEAN(R3:R18)</f>
        <v>56.053569047744404</v>
      </c>
      <c r="S75" s="15">
        <f>GEOMEAN(S3:S18)</f>
        <v>1.0135273223770136</v>
      </c>
      <c r="T75" s="15">
        <f>GEOMEAN(T3:T18)</f>
        <v>1.0032150738892207</v>
      </c>
      <c r="V75" s="37">
        <f>AVERAGE(V3:V18)</f>
        <v>-2.2050810340373816E-5</v>
      </c>
      <c r="W75" s="42">
        <f t="shared" ref="W75:AA75" si="16">AVERAGE(W3:W18)</f>
        <v>2.4864843108635126E-4</v>
      </c>
      <c r="X75" s="42">
        <f t="shared" si="16"/>
        <v>2.0208028619505547E-3</v>
      </c>
      <c r="Y75" s="37">
        <f>AVERAGE(Y3:Y18)</f>
        <v>-6.8456438154784749E-6</v>
      </c>
      <c r="Z75" s="42">
        <f t="shared" si="16"/>
        <v>9.8743522983343879E-4</v>
      </c>
      <c r="AA75" s="43">
        <f t="shared" si="16"/>
        <v>2.3722005986560601E-3</v>
      </c>
    </row>
    <row r="76" spans="1:27" x14ac:dyDescent="0.2">
      <c r="B76" s="89" t="s">
        <v>47</v>
      </c>
      <c r="I76" s="15">
        <f>GEOMEAN(I19:I34)</f>
        <v>11.024864826749402</v>
      </c>
      <c r="J76" s="15">
        <f>GEOMEAN(J19:J34)</f>
        <v>13.680315867675628</v>
      </c>
      <c r="Q76" s="15">
        <f>GEOMEAN(Q19:Q34)</f>
        <v>11.280621877462726</v>
      </c>
      <c r="R76" s="15">
        <f>GEOMEAN(R19:R34)</f>
        <v>13.974945892699088</v>
      </c>
      <c r="S76" s="15">
        <f>GEOMEAN(S19:S34)</f>
        <v>1.0215367852521318</v>
      </c>
      <c r="T76" s="15">
        <f>GEOMEAN(T19:T34)</f>
        <v>1.023198202856219</v>
      </c>
      <c r="V76" s="40">
        <f>AVERAGE(V19:V34)</f>
        <v>4.2347578002321917E-4</v>
      </c>
      <c r="W76" s="44">
        <f t="shared" ref="W76:AA76" si="17">AVERAGE(W19:W34)</f>
        <v>6.0530834837363434E-4</v>
      </c>
      <c r="X76" s="44">
        <f t="shared" si="17"/>
        <v>2.9661401514183838E-3</v>
      </c>
      <c r="Y76" s="40">
        <f t="shared" si="17"/>
        <v>3.7826376813068774E-4</v>
      </c>
      <c r="Z76" s="44">
        <f t="shared" si="17"/>
        <v>9.8220043433247528E-4</v>
      </c>
      <c r="AA76" s="45">
        <f t="shared" si="17"/>
        <v>3.3056567141573068E-3</v>
      </c>
    </row>
    <row r="77" spans="1:27" x14ac:dyDescent="0.2">
      <c r="B77" s="89" t="s">
        <v>51</v>
      </c>
      <c r="I77" s="15">
        <f>GEOMEAN(I35:I50)</f>
        <v>4.1373863863082043</v>
      </c>
      <c r="J77" s="15">
        <f>GEOMEAN(J35:J50)</f>
        <v>3.5337496000057675</v>
      </c>
      <c r="Q77" s="15">
        <f>GEOMEAN(Q35:Q50)</f>
        <v>4.2663291980476368</v>
      </c>
      <c r="R77" s="15">
        <f>GEOMEAN(R35:R50)</f>
        <v>3.6544754558644819</v>
      </c>
      <c r="S77" s="15">
        <f>GEOMEAN(S35:S50)</f>
        <v>1.0341636701871908</v>
      </c>
      <c r="T77" s="15">
        <f>GEOMEAN(T35:T50)</f>
        <v>1.0311652815811791</v>
      </c>
      <c r="V77" s="40">
        <f>AVERAGE(V35:V50)</f>
        <v>-3.9543697795374477E-4</v>
      </c>
      <c r="W77" s="44">
        <f t="shared" ref="W77:AA77" si="18">AVERAGE(W35:W50)</f>
        <v>2.1341356493454755E-3</v>
      </c>
      <c r="X77" s="44">
        <f t="shared" si="18"/>
        <v>9.5718304989464431E-4</v>
      </c>
      <c r="Y77" s="40">
        <f t="shared" si="18"/>
        <v>-3.4191726028878766E-4</v>
      </c>
      <c r="Z77" s="44">
        <f t="shared" si="18"/>
        <v>2.3693132384879356E-3</v>
      </c>
      <c r="AA77" s="45">
        <f t="shared" si="18"/>
        <v>1.594608726139729E-3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9">AVERAGE(W51:W58)</f>
        <v>#VALUE!</v>
      </c>
      <c r="X78" s="44" t="e">
        <f t="shared" si="19"/>
        <v>#VALUE!</v>
      </c>
      <c r="Y78" s="40" t="e">
        <f t="shared" si="19"/>
        <v>#VALUE!</v>
      </c>
      <c r="Z78" s="44" t="e">
        <f t="shared" si="19"/>
        <v>#VALUE!</v>
      </c>
      <c r="AA78" s="45" t="e">
        <f t="shared" si="19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0">GEOMEAN(S59:S74)</f>
        <v>#DIV/0!</v>
      </c>
      <c r="T79" s="15" t="e">
        <f t="shared" si="20"/>
        <v>#DIV/0!</v>
      </c>
      <c r="V79" s="40" t="e">
        <f>AVERAGE(V59:V74)</f>
        <v>#VALUE!</v>
      </c>
      <c r="W79" s="44" t="e">
        <f t="shared" ref="W79:AA79" si="21">AVERAGE(W59:W74)</f>
        <v>#VALUE!</v>
      </c>
      <c r="X79" s="44" t="e">
        <f t="shared" si="21"/>
        <v>#VALUE!</v>
      </c>
      <c r="Y79" s="40" t="e">
        <f t="shared" si="21"/>
        <v>#VALUE!</v>
      </c>
      <c r="Z79" s="44" t="e">
        <f t="shared" si="21"/>
        <v>#VALUE!</v>
      </c>
      <c r="AA79" s="45" t="e">
        <f t="shared" si="21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12.609266371241503</v>
      </c>
      <c r="J80" s="54">
        <f xml:space="preserve"> GEOMEAN(J3:J50)</f>
        <v>13.879268228285667</v>
      </c>
      <c r="K80" s="4"/>
      <c r="L80" s="4"/>
      <c r="M80" s="4"/>
      <c r="N80" s="4"/>
      <c r="O80" s="4"/>
      <c r="P80" s="4"/>
      <c r="Q80" s="54">
        <f xml:space="preserve"> GEOMEAN(Q3:Q50)</f>
        <v>12.850415967269432</v>
      </c>
      <c r="R80" s="54">
        <f xml:space="preserve"> GEOMEAN(R3:R50)</f>
        <v>14.199056421939657</v>
      </c>
      <c r="S80" s="54">
        <f>GEOMEAN(S3:S50)</f>
        <v>1.0230407099563268</v>
      </c>
      <c r="T80" s="54">
        <f>GEOMEAN(T3:T50)</f>
        <v>1.0191247919528394</v>
      </c>
      <c r="U80" s="4"/>
      <c r="V80" s="41">
        <f>AVERAGE(V3:V50)</f>
        <v>1.995997243033528E-6</v>
      </c>
      <c r="W80" s="46">
        <f t="shared" ref="W80:AA80" si="22">AVERAGE(W3:W50)</f>
        <v>9.9603080960182044E-4</v>
      </c>
      <c r="X80" s="47">
        <f t="shared" si="22"/>
        <v>1.9813753544211943E-3</v>
      </c>
      <c r="Y80" s="46">
        <f t="shared" si="22"/>
        <v>9.8336213421405337E-6</v>
      </c>
      <c r="Z80" s="46">
        <f t="shared" si="22"/>
        <v>1.4463163008846165E-3</v>
      </c>
      <c r="AA80" s="47">
        <f t="shared" si="22"/>
        <v>2.4241553463176988E-3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539" priority="583" operator="greaterThan">
      <formula>0.03</formula>
    </cfRule>
    <cfRule type="cellIs" dxfId="538" priority="584" stopIfTrue="1" operator="lessThan">
      <formula>-0.03</formula>
    </cfRule>
  </conditionalFormatting>
  <conditionalFormatting sqref="Z11">
    <cfRule type="cellIs" dxfId="537" priority="579" operator="greaterThan">
      <formula>0.03</formula>
    </cfRule>
    <cfRule type="cellIs" dxfId="536" priority="580" stopIfTrue="1" operator="lessThan">
      <formula>-0.03</formula>
    </cfRule>
  </conditionalFormatting>
  <conditionalFormatting sqref="Y6:Z6">
    <cfRule type="cellIs" dxfId="535" priority="569" operator="greaterThan">
      <formula>0.03</formula>
    </cfRule>
    <cfRule type="cellIs" dxfId="534" priority="570" stopIfTrue="1" operator="lessThan">
      <formula>-0.03</formula>
    </cfRule>
  </conditionalFormatting>
  <conditionalFormatting sqref="Y14:Z14">
    <cfRule type="cellIs" dxfId="533" priority="565" operator="greaterThan">
      <formula>0.03</formula>
    </cfRule>
    <cfRule type="cellIs" dxfId="532" priority="566" stopIfTrue="1" operator="lessThan">
      <formula>-0.03</formula>
    </cfRule>
  </conditionalFormatting>
  <conditionalFormatting sqref="Y23">
    <cfRule type="cellIs" dxfId="531" priority="483" operator="greaterThan">
      <formula>0.03</formula>
    </cfRule>
    <cfRule type="cellIs" dxfId="530" priority="484" stopIfTrue="1" operator="lessThan">
      <formula>-0.03</formula>
    </cfRule>
  </conditionalFormatting>
  <conditionalFormatting sqref="Z19">
    <cfRule type="cellIs" dxfId="529" priority="487" operator="greaterThan">
      <formula>0.03</formula>
    </cfRule>
    <cfRule type="cellIs" dxfId="528" priority="488" stopIfTrue="1" operator="lessThan">
      <formula>-0.03</formula>
    </cfRule>
  </conditionalFormatting>
  <conditionalFormatting sqref="AA19">
    <cfRule type="cellIs" dxfId="527" priority="485" operator="greaterThan">
      <formula>0.03</formula>
    </cfRule>
    <cfRule type="cellIs" dxfId="526" priority="486" stopIfTrue="1" operator="lessThan">
      <formula>-0.03</formula>
    </cfRule>
  </conditionalFormatting>
  <conditionalFormatting sqref="Z35">
    <cfRule type="cellIs" dxfId="525" priority="393" operator="greaterThan">
      <formula>0.03</formula>
    </cfRule>
    <cfRule type="cellIs" dxfId="524" priority="394" stopIfTrue="1" operator="lessThan">
      <formula>-0.03</formula>
    </cfRule>
  </conditionalFormatting>
  <conditionalFormatting sqref="Y31">
    <cfRule type="cellIs" dxfId="523" priority="401" operator="greaterThan">
      <formula>0.03</formula>
    </cfRule>
    <cfRule type="cellIs" dxfId="522" priority="402" stopIfTrue="1" operator="lessThan">
      <formula>-0.03</formula>
    </cfRule>
  </conditionalFormatting>
  <conditionalFormatting sqref="AA27">
    <cfRule type="cellIs" dxfId="521" priority="417" operator="greaterThan">
      <formula>0.03</formula>
    </cfRule>
    <cfRule type="cellIs" dxfId="520" priority="418" stopIfTrue="1" operator="lessThan">
      <formula>-0.03</formula>
    </cfRule>
  </conditionalFormatting>
  <conditionalFormatting sqref="Y30:Z30">
    <cfRule type="cellIs" dxfId="519" priority="415" operator="greaterThan">
      <formula>0.03</formula>
    </cfRule>
    <cfRule type="cellIs" dxfId="518" priority="416" stopIfTrue="1" operator="lessThan">
      <formula>-0.03</formula>
    </cfRule>
  </conditionalFormatting>
  <conditionalFormatting sqref="AA35">
    <cfRule type="cellIs" dxfId="517" priority="391" operator="greaterThan">
      <formula>0.03</formula>
    </cfRule>
    <cfRule type="cellIs" dxfId="516" priority="392" stopIfTrue="1" operator="lessThan">
      <formula>-0.03</formula>
    </cfRule>
  </conditionalFormatting>
  <conditionalFormatting sqref="Y34:Z34">
    <cfRule type="cellIs" dxfId="515" priority="389" operator="greaterThan">
      <formula>0.03</formula>
    </cfRule>
    <cfRule type="cellIs" dxfId="514" priority="390" stopIfTrue="1" operator="lessThan">
      <formula>-0.03</formula>
    </cfRule>
  </conditionalFormatting>
  <conditionalFormatting sqref="Y38:Z38">
    <cfRule type="cellIs" dxfId="513" priority="387" operator="greaterThan">
      <formula>0.03</formula>
    </cfRule>
    <cfRule type="cellIs" dxfId="512" priority="388" stopIfTrue="1" operator="lessThan">
      <formula>-0.03</formula>
    </cfRule>
  </conditionalFormatting>
  <conditionalFormatting sqref="V31:X38">
    <cfRule type="cellIs" dxfId="511" priority="403" operator="greaterThan">
      <formula>0.03</formula>
    </cfRule>
    <cfRule type="cellIs" dxfId="510" priority="404" stopIfTrue="1" operator="lessThan">
      <formula>-0.03</formula>
    </cfRule>
  </conditionalFormatting>
  <conditionalFormatting sqref="Z31">
    <cfRule type="cellIs" dxfId="509" priority="399" operator="greaterThan">
      <formula>0.03</formula>
    </cfRule>
    <cfRule type="cellIs" dxfId="508" priority="400" stopIfTrue="1" operator="lessThan">
      <formula>-0.03</formula>
    </cfRule>
  </conditionalFormatting>
  <conditionalFormatting sqref="AA31">
    <cfRule type="cellIs" dxfId="507" priority="397" operator="greaterThan">
      <formula>0.03</formula>
    </cfRule>
    <cfRule type="cellIs" dxfId="506" priority="398" stopIfTrue="1" operator="lessThan">
      <formula>-0.03</formula>
    </cfRule>
  </conditionalFormatting>
  <conditionalFormatting sqref="Y35">
    <cfRule type="cellIs" dxfId="505" priority="395" operator="greaterThan">
      <formula>0.03</formula>
    </cfRule>
    <cfRule type="cellIs" dxfId="504" priority="396" stopIfTrue="1" operator="lessThan">
      <formula>-0.03</formula>
    </cfRule>
  </conditionalFormatting>
  <conditionalFormatting sqref="V39:X46">
    <cfRule type="cellIs" dxfId="503" priority="365" operator="greaterThan">
      <formula>0.03</formula>
    </cfRule>
    <cfRule type="cellIs" dxfId="502" priority="366" stopIfTrue="1" operator="lessThan">
      <formula>-0.03</formula>
    </cfRule>
  </conditionalFormatting>
  <conditionalFormatting sqref="Y39">
    <cfRule type="cellIs" dxfId="501" priority="363" operator="greaterThan">
      <formula>0.03</formula>
    </cfRule>
    <cfRule type="cellIs" dxfId="500" priority="364" stopIfTrue="1" operator="lessThan">
      <formula>-0.03</formula>
    </cfRule>
  </conditionalFormatting>
  <conditionalFormatting sqref="Z39">
    <cfRule type="cellIs" dxfId="499" priority="361" operator="greaterThan">
      <formula>0.03</formula>
    </cfRule>
    <cfRule type="cellIs" dxfId="498" priority="362" stopIfTrue="1" operator="lessThan">
      <formula>-0.03</formula>
    </cfRule>
  </conditionalFormatting>
  <conditionalFormatting sqref="AA39">
    <cfRule type="cellIs" dxfId="497" priority="359" operator="greaterThan">
      <formula>0.03</formula>
    </cfRule>
    <cfRule type="cellIs" dxfId="496" priority="360" stopIfTrue="1" operator="lessThan">
      <formula>-0.03</formula>
    </cfRule>
  </conditionalFormatting>
  <conditionalFormatting sqref="Y43">
    <cfRule type="cellIs" dxfId="495" priority="357" operator="greaterThan">
      <formula>0.03</formula>
    </cfRule>
    <cfRule type="cellIs" dxfId="494" priority="358" stopIfTrue="1" operator="lessThan">
      <formula>-0.03</formula>
    </cfRule>
  </conditionalFormatting>
  <conditionalFormatting sqref="Z43">
    <cfRule type="cellIs" dxfId="493" priority="355" operator="greaterThan">
      <formula>0.03</formula>
    </cfRule>
    <cfRule type="cellIs" dxfId="492" priority="356" stopIfTrue="1" operator="lessThan">
      <formula>-0.03</formula>
    </cfRule>
  </conditionalFormatting>
  <conditionalFormatting sqref="AA43">
    <cfRule type="cellIs" dxfId="491" priority="353" operator="greaterThan">
      <formula>0.03</formula>
    </cfRule>
    <cfRule type="cellIs" dxfId="490" priority="354" stopIfTrue="1" operator="lessThan">
      <formula>-0.03</formula>
    </cfRule>
  </conditionalFormatting>
  <conditionalFormatting sqref="Y42:Z42">
    <cfRule type="cellIs" dxfId="489" priority="351" operator="greaterThan">
      <formula>0.03</formula>
    </cfRule>
    <cfRule type="cellIs" dxfId="488" priority="352" stopIfTrue="1" operator="lessThan">
      <formula>-0.03</formula>
    </cfRule>
  </conditionalFormatting>
  <conditionalFormatting sqref="Y46:Z46">
    <cfRule type="cellIs" dxfId="487" priority="349" operator="greaterThan">
      <formula>0.03</formula>
    </cfRule>
    <cfRule type="cellIs" dxfId="486" priority="350" stopIfTrue="1" operator="lessThan">
      <formula>-0.03</formula>
    </cfRule>
  </conditionalFormatting>
  <conditionalFormatting sqref="V47:X58">
    <cfRule type="cellIs" dxfId="485" priority="327" operator="greaterThan">
      <formula>0.03</formula>
    </cfRule>
    <cfRule type="cellIs" dxfId="484" priority="328" stopIfTrue="1" operator="lessThan">
      <formula>-0.03</formula>
    </cfRule>
  </conditionalFormatting>
  <conditionalFormatting sqref="Y47">
    <cfRule type="cellIs" dxfId="483" priority="325" operator="greaterThan">
      <formula>0.03</formula>
    </cfRule>
    <cfRule type="cellIs" dxfId="482" priority="326" stopIfTrue="1" operator="lessThan">
      <formula>-0.03</formula>
    </cfRule>
  </conditionalFormatting>
  <conditionalFormatting sqref="Z47">
    <cfRule type="cellIs" dxfId="481" priority="323" operator="greaterThan">
      <formula>0.03</formula>
    </cfRule>
    <cfRule type="cellIs" dxfId="480" priority="324" stopIfTrue="1" operator="lessThan">
      <formula>-0.03</formula>
    </cfRule>
  </conditionalFormatting>
  <conditionalFormatting sqref="AA47">
    <cfRule type="cellIs" dxfId="479" priority="321" operator="greaterThan">
      <formula>0.03</formula>
    </cfRule>
    <cfRule type="cellIs" dxfId="478" priority="322" stopIfTrue="1" operator="lessThan">
      <formula>-0.03</formula>
    </cfRule>
  </conditionalFormatting>
  <conditionalFormatting sqref="Y51">
    <cfRule type="cellIs" dxfId="477" priority="319" operator="greaterThan">
      <formula>0.03</formula>
    </cfRule>
    <cfRule type="cellIs" dxfId="476" priority="320" stopIfTrue="1" operator="lessThan">
      <formula>-0.03</formula>
    </cfRule>
  </conditionalFormatting>
  <conditionalFormatting sqref="Z51">
    <cfRule type="cellIs" dxfId="475" priority="317" operator="greaterThan">
      <formula>0.03</formula>
    </cfRule>
    <cfRule type="cellIs" dxfId="474" priority="318" stopIfTrue="1" operator="lessThan">
      <formula>-0.03</formula>
    </cfRule>
  </conditionalFormatting>
  <conditionalFormatting sqref="AA51">
    <cfRule type="cellIs" dxfId="473" priority="315" operator="greaterThan">
      <formula>0.03</formula>
    </cfRule>
    <cfRule type="cellIs" dxfId="472" priority="316" stopIfTrue="1" operator="lessThan">
      <formula>-0.03</formula>
    </cfRule>
  </conditionalFormatting>
  <conditionalFormatting sqref="Y55">
    <cfRule type="cellIs" dxfId="471" priority="313" operator="greaterThan">
      <formula>0.03</formula>
    </cfRule>
    <cfRule type="cellIs" dxfId="470" priority="314" stopIfTrue="1" operator="lessThan">
      <formula>-0.03</formula>
    </cfRule>
  </conditionalFormatting>
  <conditionalFormatting sqref="Z55">
    <cfRule type="cellIs" dxfId="469" priority="311" operator="greaterThan">
      <formula>0.03</formula>
    </cfRule>
    <cfRule type="cellIs" dxfId="468" priority="312" stopIfTrue="1" operator="lessThan">
      <formula>-0.03</formula>
    </cfRule>
  </conditionalFormatting>
  <conditionalFormatting sqref="AA55">
    <cfRule type="cellIs" dxfId="467" priority="309" operator="greaterThan">
      <formula>0.03</formula>
    </cfRule>
    <cfRule type="cellIs" dxfId="466" priority="310" stopIfTrue="1" operator="lessThan">
      <formula>-0.03</formula>
    </cfRule>
  </conditionalFormatting>
  <conditionalFormatting sqref="Y54:Z54">
    <cfRule type="cellIs" dxfId="465" priority="299" operator="greaterThan">
      <formula>0.03</formula>
    </cfRule>
    <cfRule type="cellIs" dxfId="464" priority="300" stopIfTrue="1" operator="lessThan">
      <formula>-0.03</formula>
    </cfRule>
  </conditionalFormatting>
  <conditionalFormatting sqref="Y50:Z50">
    <cfRule type="cellIs" dxfId="463" priority="301" operator="greaterThan">
      <formula>0.03</formula>
    </cfRule>
    <cfRule type="cellIs" dxfId="462" priority="302" stopIfTrue="1" operator="lessThan">
      <formula>-0.03</formula>
    </cfRule>
  </conditionalFormatting>
  <conditionalFormatting sqref="Y58:Z58">
    <cfRule type="cellIs" dxfId="461" priority="297" operator="greaterThan">
      <formula>0.03</formula>
    </cfRule>
    <cfRule type="cellIs" dxfId="460" priority="298" stopIfTrue="1" operator="lessThan">
      <formula>-0.03</formula>
    </cfRule>
  </conditionalFormatting>
  <conditionalFormatting sqref="V3:X14">
    <cfRule type="cellIs" dxfId="459" priority="595" operator="greaterThan">
      <formula>0.03</formula>
    </cfRule>
    <cfRule type="cellIs" dxfId="458" priority="596" stopIfTrue="1" operator="lessThan">
      <formula>-0.03</formula>
    </cfRule>
  </conditionalFormatting>
  <conditionalFormatting sqref="Y3">
    <cfRule type="cellIs" dxfId="457" priority="593" operator="greaterThan">
      <formula>0.03</formula>
    </cfRule>
    <cfRule type="cellIs" dxfId="456" priority="594" stopIfTrue="1" operator="lessThan">
      <formula>-0.03</formula>
    </cfRule>
  </conditionalFormatting>
  <conditionalFormatting sqref="Z3">
    <cfRule type="cellIs" dxfId="455" priority="591" operator="greaterThan">
      <formula>0.03</formula>
    </cfRule>
    <cfRule type="cellIs" dxfId="454" priority="592" stopIfTrue="1" operator="lessThan">
      <formula>-0.03</formula>
    </cfRule>
  </conditionalFormatting>
  <conditionalFormatting sqref="AA3">
    <cfRule type="cellIs" dxfId="453" priority="589" operator="greaterThan">
      <formula>0.03</formula>
    </cfRule>
    <cfRule type="cellIs" dxfId="452" priority="590" stopIfTrue="1" operator="lessThan">
      <formula>-0.03</formula>
    </cfRule>
  </conditionalFormatting>
  <conditionalFormatting sqref="Y7">
    <cfRule type="cellIs" dxfId="451" priority="587" operator="greaterThan">
      <formula>0.03</formula>
    </cfRule>
    <cfRule type="cellIs" dxfId="450" priority="588" stopIfTrue="1" operator="lessThan">
      <formula>-0.03</formula>
    </cfRule>
  </conditionalFormatting>
  <conditionalFormatting sqref="Z7">
    <cfRule type="cellIs" dxfId="449" priority="585" operator="greaterThan">
      <formula>0.03</formula>
    </cfRule>
    <cfRule type="cellIs" dxfId="448" priority="586" stopIfTrue="1" operator="lessThan">
      <formula>-0.03</formula>
    </cfRule>
  </conditionalFormatting>
  <conditionalFormatting sqref="Y11">
    <cfRule type="cellIs" dxfId="447" priority="581" operator="greaterThan">
      <formula>0.03</formula>
    </cfRule>
    <cfRule type="cellIs" dxfId="446" priority="582" stopIfTrue="1" operator="lessThan">
      <formula>-0.03</formula>
    </cfRule>
  </conditionalFormatting>
  <conditionalFormatting sqref="AA11">
    <cfRule type="cellIs" dxfId="445" priority="577" operator="greaterThan">
      <formula>0.03</formula>
    </cfRule>
    <cfRule type="cellIs" dxfId="444" priority="578" stopIfTrue="1" operator="lessThan">
      <formula>-0.03</formula>
    </cfRule>
  </conditionalFormatting>
  <conditionalFormatting sqref="Y10:Z10">
    <cfRule type="cellIs" dxfId="443" priority="567" operator="greaterThan">
      <formula>0.03</formula>
    </cfRule>
    <cfRule type="cellIs" dxfId="442" priority="568" stopIfTrue="1" operator="lessThan">
      <formula>-0.03</formula>
    </cfRule>
  </conditionalFormatting>
  <conditionalFormatting sqref="Y19">
    <cfRule type="cellIs" dxfId="441" priority="489" operator="greaterThan">
      <formula>0.03</formula>
    </cfRule>
    <cfRule type="cellIs" dxfId="440" priority="490" stopIfTrue="1" operator="lessThan">
      <formula>-0.03</formula>
    </cfRule>
  </conditionalFormatting>
  <conditionalFormatting sqref="V15:X26">
    <cfRule type="cellIs" dxfId="439" priority="497" operator="greaterThan">
      <formula>0.03</formula>
    </cfRule>
    <cfRule type="cellIs" dxfId="438" priority="498" stopIfTrue="1" operator="lessThan">
      <formula>-0.03</formula>
    </cfRule>
  </conditionalFormatting>
  <conditionalFormatting sqref="Y15">
    <cfRule type="cellIs" dxfId="437" priority="495" operator="greaterThan">
      <formula>0.03</formula>
    </cfRule>
    <cfRule type="cellIs" dxfId="436" priority="496" stopIfTrue="1" operator="lessThan">
      <formula>-0.03</formula>
    </cfRule>
  </conditionalFormatting>
  <conditionalFormatting sqref="Z15">
    <cfRule type="cellIs" dxfId="435" priority="493" operator="greaterThan">
      <formula>0.03</formula>
    </cfRule>
    <cfRule type="cellIs" dxfId="434" priority="494" stopIfTrue="1" operator="lessThan">
      <formula>-0.03</formula>
    </cfRule>
  </conditionalFormatting>
  <conditionalFormatting sqref="AA15">
    <cfRule type="cellIs" dxfId="433" priority="491" operator="greaterThan">
      <formula>0.03</formula>
    </cfRule>
    <cfRule type="cellIs" dxfId="432" priority="492" stopIfTrue="1" operator="lessThan">
      <formula>-0.03</formula>
    </cfRule>
  </conditionalFormatting>
  <conditionalFormatting sqref="Z23">
    <cfRule type="cellIs" dxfId="431" priority="481" operator="greaterThan">
      <formula>0.03</formula>
    </cfRule>
    <cfRule type="cellIs" dxfId="430" priority="482" stopIfTrue="1" operator="lessThan">
      <formula>-0.03</formula>
    </cfRule>
  </conditionalFormatting>
  <conditionalFormatting sqref="AA23">
    <cfRule type="cellIs" dxfId="429" priority="479" operator="greaterThan">
      <formula>0.03</formula>
    </cfRule>
    <cfRule type="cellIs" dxfId="428" priority="480" stopIfTrue="1" operator="lessThan">
      <formula>-0.03</formula>
    </cfRule>
  </conditionalFormatting>
  <conditionalFormatting sqref="Y18:Z18">
    <cfRule type="cellIs" dxfId="427" priority="471" operator="greaterThan">
      <formula>0.03</formula>
    </cfRule>
    <cfRule type="cellIs" dxfId="426" priority="472" stopIfTrue="1" operator="lessThan">
      <formula>-0.03</formula>
    </cfRule>
  </conditionalFormatting>
  <conditionalFormatting sqref="Y22:Z22">
    <cfRule type="cellIs" dxfId="425" priority="469" operator="greaterThan">
      <formula>0.03</formula>
    </cfRule>
    <cfRule type="cellIs" dxfId="424" priority="470" stopIfTrue="1" operator="lessThan">
      <formula>-0.03</formula>
    </cfRule>
  </conditionalFormatting>
  <conditionalFormatting sqref="Y26:Z26">
    <cfRule type="cellIs" dxfId="423" priority="467" operator="greaterThan">
      <formula>0.03</formula>
    </cfRule>
    <cfRule type="cellIs" dxfId="422" priority="468" stopIfTrue="1" operator="lessThan">
      <formula>-0.03</formula>
    </cfRule>
  </conditionalFormatting>
  <conditionalFormatting sqref="V27:X30">
    <cfRule type="cellIs" dxfId="421" priority="423" operator="greaterThan">
      <formula>0.03</formula>
    </cfRule>
    <cfRule type="cellIs" dxfId="420" priority="424" stopIfTrue="1" operator="lessThan">
      <formula>-0.03</formula>
    </cfRule>
  </conditionalFormatting>
  <conditionalFormatting sqref="Y27">
    <cfRule type="cellIs" dxfId="419" priority="421" operator="greaterThan">
      <formula>0.03</formula>
    </cfRule>
    <cfRule type="cellIs" dxfId="418" priority="422" stopIfTrue="1" operator="lessThan">
      <formula>-0.03</formula>
    </cfRule>
  </conditionalFormatting>
  <conditionalFormatting sqref="Z27">
    <cfRule type="cellIs" dxfId="417" priority="419" operator="greaterThan">
      <formula>0.03</formula>
    </cfRule>
    <cfRule type="cellIs" dxfId="416" priority="420" stopIfTrue="1" operator="lessThan">
      <formula>-0.03</formula>
    </cfRule>
  </conditionalFormatting>
  <conditionalFormatting sqref="V75:X78">
    <cfRule type="cellIs" dxfId="415" priority="49" operator="greaterThan">
      <formula>0.03</formula>
    </cfRule>
    <cfRule type="cellIs" dxfId="414" priority="50" stopIfTrue="1" operator="lessThan">
      <formula>-0.03</formula>
    </cfRule>
  </conditionalFormatting>
  <conditionalFormatting sqref="Y75:AA78">
    <cfRule type="cellIs" dxfId="413" priority="47" operator="greaterThan">
      <formula>0.03</formula>
    </cfRule>
    <cfRule type="cellIs" dxfId="412" priority="48" stopIfTrue="1" operator="lessThan">
      <formula>-0.03</formula>
    </cfRule>
  </conditionalFormatting>
  <conditionalFormatting sqref="V80:AA80">
    <cfRule type="cellIs" dxfId="411" priority="43" operator="greaterThan">
      <formula>0.03</formula>
    </cfRule>
    <cfRule type="cellIs" dxfId="410" priority="44" stopIfTrue="1" operator="lessThan">
      <formula>-0.03</formula>
    </cfRule>
  </conditionalFormatting>
  <conditionalFormatting sqref="Z59">
    <cfRule type="cellIs" dxfId="409" priority="37" operator="greaterThan">
      <formula>0.03</formula>
    </cfRule>
    <cfRule type="cellIs" dxfId="408" priority="38" stopIfTrue="1" operator="lessThan">
      <formula>-0.03</formula>
    </cfRule>
  </conditionalFormatting>
  <conditionalFormatting sqref="AA59">
    <cfRule type="cellIs" dxfId="407" priority="35" operator="greaterThan">
      <formula>0.03</formula>
    </cfRule>
    <cfRule type="cellIs" dxfId="406" priority="36" stopIfTrue="1" operator="lessThan">
      <formula>-0.03</formula>
    </cfRule>
  </conditionalFormatting>
  <conditionalFormatting sqref="Y62:Z62">
    <cfRule type="cellIs" dxfId="405" priority="33" operator="greaterThan">
      <formula>0.03</formula>
    </cfRule>
    <cfRule type="cellIs" dxfId="404" priority="34" stopIfTrue="1" operator="lessThan">
      <formula>-0.03</formula>
    </cfRule>
  </conditionalFormatting>
  <conditionalFormatting sqref="V59:X62">
    <cfRule type="cellIs" dxfId="403" priority="41" operator="greaterThan">
      <formula>0.03</formula>
    </cfRule>
    <cfRule type="cellIs" dxfId="402" priority="42" stopIfTrue="1" operator="lessThan">
      <formula>-0.03</formula>
    </cfRule>
  </conditionalFormatting>
  <conditionalFormatting sqref="Y59">
    <cfRule type="cellIs" dxfId="401" priority="39" operator="greaterThan">
      <formula>0.03</formula>
    </cfRule>
    <cfRule type="cellIs" dxfId="400" priority="40" stopIfTrue="1" operator="lessThan">
      <formula>-0.03</formula>
    </cfRule>
  </conditionalFormatting>
  <conditionalFormatting sqref="V63:X70">
    <cfRule type="cellIs" dxfId="399" priority="31" operator="greaterThan">
      <formula>0.03</formula>
    </cfRule>
    <cfRule type="cellIs" dxfId="398" priority="32" stopIfTrue="1" operator="lessThan">
      <formula>-0.03</formula>
    </cfRule>
  </conditionalFormatting>
  <conditionalFormatting sqref="Y63">
    <cfRule type="cellIs" dxfId="397" priority="29" operator="greaterThan">
      <formula>0.03</formula>
    </cfRule>
    <cfRule type="cellIs" dxfId="396" priority="30" stopIfTrue="1" operator="lessThan">
      <formula>-0.03</formula>
    </cfRule>
  </conditionalFormatting>
  <conditionalFormatting sqref="Z63">
    <cfRule type="cellIs" dxfId="395" priority="27" operator="greaterThan">
      <formula>0.03</formula>
    </cfRule>
    <cfRule type="cellIs" dxfId="394" priority="28" stopIfTrue="1" operator="lessThan">
      <formula>-0.03</formula>
    </cfRule>
  </conditionalFormatting>
  <conditionalFormatting sqref="AA63">
    <cfRule type="cellIs" dxfId="393" priority="25" operator="greaterThan">
      <formula>0.03</formula>
    </cfRule>
    <cfRule type="cellIs" dxfId="392" priority="26" stopIfTrue="1" operator="lessThan">
      <formula>-0.03</formula>
    </cfRule>
  </conditionalFormatting>
  <conditionalFormatting sqref="Y67">
    <cfRule type="cellIs" dxfId="391" priority="23" operator="greaterThan">
      <formula>0.03</formula>
    </cfRule>
    <cfRule type="cellIs" dxfId="390" priority="24" stopIfTrue="1" operator="lessThan">
      <formula>-0.03</formula>
    </cfRule>
  </conditionalFormatting>
  <conditionalFormatting sqref="Z67">
    <cfRule type="cellIs" dxfId="389" priority="21" operator="greaterThan">
      <formula>0.03</formula>
    </cfRule>
    <cfRule type="cellIs" dxfId="388" priority="22" stopIfTrue="1" operator="lessThan">
      <formula>-0.03</formula>
    </cfRule>
  </conditionalFormatting>
  <conditionalFormatting sqref="AA67">
    <cfRule type="cellIs" dxfId="387" priority="19" operator="greaterThan">
      <formula>0.03</formula>
    </cfRule>
    <cfRule type="cellIs" dxfId="386" priority="20" stopIfTrue="1" operator="lessThan">
      <formula>-0.03</formula>
    </cfRule>
  </conditionalFormatting>
  <conditionalFormatting sqref="Y66:Z66">
    <cfRule type="cellIs" dxfId="385" priority="17" operator="greaterThan">
      <formula>0.03</formula>
    </cfRule>
    <cfRule type="cellIs" dxfId="384" priority="18" stopIfTrue="1" operator="lessThan">
      <formula>-0.03</formula>
    </cfRule>
  </conditionalFormatting>
  <conditionalFormatting sqref="Y70:Z70">
    <cfRule type="cellIs" dxfId="383" priority="15" operator="greaterThan">
      <formula>0.03</formula>
    </cfRule>
    <cfRule type="cellIs" dxfId="382" priority="16" stopIfTrue="1" operator="lessThan">
      <formula>-0.03</formula>
    </cfRule>
  </conditionalFormatting>
  <conditionalFormatting sqref="V71:X74">
    <cfRule type="cellIs" dxfId="381" priority="13" operator="greaterThan">
      <formula>0.03</formula>
    </cfRule>
    <cfRule type="cellIs" dxfId="380" priority="14" stopIfTrue="1" operator="lessThan">
      <formula>-0.03</formula>
    </cfRule>
  </conditionalFormatting>
  <conditionalFormatting sqref="Y71">
    <cfRule type="cellIs" dxfId="379" priority="11" operator="greaterThan">
      <formula>0.03</formula>
    </cfRule>
    <cfRule type="cellIs" dxfId="378" priority="12" stopIfTrue="1" operator="lessThan">
      <formula>-0.03</formula>
    </cfRule>
  </conditionalFormatting>
  <conditionalFormatting sqref="Z71">
    <cfRule type="cellIs" dxfId="377" priority="9" operator="greaterThan">
      <formula>0.03</formula>
    </cfRule>
    <cfRule type="cellIs" dxfId="376" priority="10" stopIfTrue="1" operator="lessThan">
      <formula>-0.03</formula>
    </cfRule>
  </conditionalFormatting>
  <conditionalFormatting sqref="AA71">
    <cfRule type="cellIs" dxfId="375" priority="7" operator="greaterThan">
      <formula>0.03</formula>
    </cfRule>
    <cfRule type="cellIs" dxfId="374" priority="8" stopIfTrue="1" operator="lessThan">
      <formula>-0.03</formula>
    </cfRule>
  </conditionalFormatting>
  <conditionalFormatting sqref="Y74:Z74">
    <cfRule type="cellIs" dxfId="373" priority="5" operator="greaterThan">
      <formula>0.03</formula>
    </cfRule>
    <cfRule type="cellIs" dxfId="372" priority="6" stopIfTrue="1" operator="lessThan">
      <formula>-0.03</formula>
    </cfRule>
  </conditionalFormatting>
  <conditionalFormatting sqref="V79:X79">
    <cfRule type="cellIs" dxfId="371" priority="3" operator="greaterThan">
      <formula>0.03</formula>
    </cfRule>
    <cfRule type="cellIs" dxfId="370" priority="4" stopIfTrue="1" operator="lessThan">
      <formula>-0.03</formula>
    </cfRule>
  </conditionalFormatting>
  <conditionalFormatting sqref="Y79:AA79">
    <cfRule type="cellIs" dxfId="369" priority="1" operator="greaterThan">
      <formula>0.03</formula>
    </cfRule>
    <cfRule type="cellIs" dxfId="36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AA83"/>
  <sheetViews>
    <sheetView zoomScale="85" zoomScaleNormal="85" workbookViewId="0">
      <selection activeCell="I44" sqref="I44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19" width="8.3984375" style="1" customWidth="1"/>
    <col min="20" max="20" width="8.5" style="1" customWidth="1"/>
    <col min="21" max="21" width="7.199218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5" t="s">
        <v>5</v>
      </c>
      <c r="E1" s="156"/>
      <c r="F1" s="156"/>
      <c r="G1" s="156"/>
      <c r="H1" s="156"/>
      <c r="I1" s="156"/>
      <c r="J1" s="157"/>
      <c r="L1" s="155" t="s">
        <v>6</v>
      </c>
      <c r="M1" s="156"/>
      <c r="N1" s="156"/>
      <c r="O1" s="156"/>
      <c r="P1" s="156"/>
      <c r="Q1" s="156"/>
      <c r="R1" s="157"/>
      <c r="S1" s="35"/>
      <c r="T1" s="35"/>
      <c r="U1" s="2"/>
      <c r="V1" s="155" t="s">
        <v>17</v>
      </c>
      <c r="W1" s="156"/>
      <c r="X1" s="157"/>
      <c r="Y1" s="155" t="s">
        <v>18</v>
      </c>
      <c r="Z1" s="156"/>
      <c r="AA1" s="157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Reference!B145</f>
        <v>17070.168000000001</v>
      </c>
      <c r="E3" s="13">
        <f>Reference!C145</f>
        <v>40.171100000000003</v>
      </c>
      <c r="F3" s="13">
        <f>Reference!D145</f>
        <v>48.753500000000003</v>
      </c>
      <c r="G3" s="13">
        <f>Reference!E145</f>
        <v>46.677999999999997</v>
      </c>
      <c r="H3" s="13">
        <f>Reference!F145</f>
        <v>203919.625</v>
      </c>
      <c r="I3" s="13">
        <f>Reference!G145</f>
        <v>27.786999999999999</v>
      </c>
      <c r="J3" s="14">
        <f>H3/3600</f>
        <v>56.644340277777779</v>
      </c>
      <c r="L3" s="12">
        <f>Test!B145</f>
        <v>17062.216</v>
      </c>
      <c r="M3" s="13">
        <f>Test!C145</f>
        <v>40.1706</v>
      </c>
      <c r="N3" s="13">
        <f>Test!D145</f>
        <v>48.770099999999999</v>
      </c>
      <c r="O3" s="13">
        <f>Test!E145</f>
        <v>46.6783</v>
      </c>
      <c r="P3" s="13">
        <f>Test!F145</f>
        <v>211899.29699999999</v>
      </c>
      <c r="Q3" s="13">
        <f>Test!G145</f>
        <v>28.091000000000001</v>
      </c>
      <c r="R3" s="14">
        <f>P3/3600</f>
        <v>58.86091583333333</v>
      </c>
      <c r="S3" s="12">
        <f t="shared" ref="S3:T3" si="0">P3/H3</f>
        <v>1.0391314568178516</v>
      </c>
      <c r="T3" s="13">
        <f t="shared" si="0"/>
        <v>1.0109403677978912</v>
      </c>
      <c r="U3" s="90"/>
      <c r="V3" s="37">
        <f>bdrate($D3:$D6,E3:E6,$L3:$L6,M3:M6)</f>
        <v>-2.9797584150270673E-4</v>
      </c>
      <c r="W3" s="42">
        <f>bdrate($D3:$D6,F3:F6,$L3:$L6,N3:N6)</f>
        <v>-1.0748162120410742E-2</v>
      </c>
      <c r="X3" s="43">
        <f>bdrate($D3:$D6,G3:G6,$L3:$L6,O3:O6)</f>
        <v>-3.9839662590460678E-3</v>
      </c>
      <c r="Y3" s="37">
        <f>bdrateOld($D3:$D6,E3:E6,$L3:$L6,M3:M6)</f>
        <v>-3.2724319629318099E-4</v>
      </c>
      <c r="Z3" s="42">
        <f>bdrateOld($D3:$D6,F3:F6,$L3:$L6,N3:N6)</f>
        <v>-1.2729989775103312E-2</v>
      </c>
      <c r="AA3" s="43">
        <f>bdrateOld($D3:$D6,G3:G6,$L3:$L6,O3:O6)</f>
        <v>-3.265542648638764E-3</v>
      </c>
    </row>
    <row r="4" spans="1:27" x14ac:dyDescent="0.2">
      <c r="A4" s="16" t="s">
        <v>34</v>
      </c>
      <c r="B4" s="85"/>
      <c r="C4" s="16">
        <v>48</v>
      </c>
      <c r="D4" s="17">
        <f>Reference!B146</f>
        <v>8441.7999999999993</v>
      </c>
      <c r="E4" s="18">
        <f>Reference!C146</f>
        <v>39.565300000000001</v>
      </c>
      <c r="F4" s="18">
        <f>Reference!D146</f>
        <v>47.950200000000002</v>
      </c>
      <c r="G4" s="18">
        <f>Reference!E146</f>
        <v>45.532299999999999</v>
      </c>
      <c r="H4" s="18">
        <f>Reference!F146</f>
        <v>114692.773</v>
      </c>
      <c r="I4" s="18">
        <f>Reference!G146</f>
        <v>24.707999999999998</v>
      </c>
      <c r="J4" s="19">
        <f t="shared" ref="J4:J14" si="1">H4/3600</f>
        <v>31.859103611111113</v>
      </c>
      <c r="L4" s="17">
        <f>Test!B146</f>
        <v>8439.9279999999999</v>
      </c>
      <c r="M4" s="18">
        <f>Test!C146</f>
        <v>39.564900000000002</v>
      </c>
      <c r="N4" s="18">
        <f>Test!D146</f>
        <v>47.939599999999999</v>
      </c>
      <c r="O4" s="18">
        <f>Test!E146</f>
        <v>45.555300000000003</v>
      </c>
      <c r="P4" s="18">
        <f>Test!F146</f>
        <v>119119.06200000001</v>
      </c>
      <c r="Q4" s="18">
        <f>Test!G146</f>
        <v>25.091999999999999</v>
      </c>
      <c r="R4" s="19">
        <f t="shared" ref="R4:R14" si="2">P4/3600</f>
        <v>33.088628333333332</v>
      </c>
      <c r="S4" s="17">
        <f t="shared" ref="S4:S26" si="3">P4/H4</f>
        <v>1.0385925711291331</v>
      </c>
      <c r="T4" s="18">
        <f t="shared" ref="T4:T26" si="4">Q4/I4</f>
        <v>1.0155415250121418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Reference!B147</f>
        <v>4596.96</v>
      </c>
      <c r="E5" s="18">
        <f>Reference!C147</f>
        <v>38.576999999999998</v>
      </c>
      <c r="F5" s="18">
        <f>Reference!D147</f>
        <v>46.903100000000002</v>
      </c>
      <c r="G5" s="18">
        <f>Reference!E147</f>
        <v>44.168100000000003</v>
      </c>
      <c r="H5" s="18">
        <f>Reference!F147</f>
        <v>61833.91</v>
      </c>
      <c r="I5" s="18">
        <f>Reference!G147</f>
        <v>21.664000000000001</v>
      </c>
      <c r="J5" s="19">
        <f t="shared" si="1"/>
        <v>17.176086111111111</v>
      </c>
      <c r="L5" s="17">
        <f>Test!B147</f>
        <v>4595.616</v>
      </c>
      <c r="M5" s="18">
        <f>Test!C147</f>
        <v>38.577199999999998</v>
      </c>
      <c r="N5" s="18">
        <f>Test!D147</f>
        <v>46.936700000000002</v>
      </c>
      <c r="O5" s="18">
        <f>Test!E147</f>
        <v>44.170400000000001</v>
      </c>
      <c r="P5" s="18">
        <f>Test!F147</f>
        <v>62405.913999999997</v>
      </c>
      <c r="Q5" s="18">
        <f>Test!G147</f>
        <v>21.097000000000001</v>
      </c>
      <c r="R5" s="19">
        <f t="shared" si="2"/>
        <v>17.334976111111111</v>
      </c>
      <c r="S5" s="17">
        <f t="shared" si="3"/>
        <v>1.0092506522715448</v>
      </c>
      <c r="T5" s="18">
        <f t="shared" si="4"/>
        <v>0.97382754800590843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Reference!B148</f>
        <v>2501.6799999999998</v>
      </c>
      <c r="E6" s="23">
        <f>Reference!C148</f>
        <v>37.0351</v>
      </c>
      <c r="F6" s="23">
        <f>Reference!D148</f>
        <v>45.561399999999999</v>
      </c>
      <c r="G6" s="23">
        <f>Reference!E148</f>
        <v>42.4816</v>
      </c>
      <c r="H6" s="23">
        <f>Reference!F148</f>
        <v>32113.641</v>
      </c>
      <c r="I6" s="23">
        <f>Reference!G148</f>
        <v>18.802</v>
      </c>
      <c r="J6" s="24">
        <f t="shared" si="1"/>
        <v>8.9204558333333335</v>
      </c>
      <c r="L6" s="22">
        <f>Test!B148</f>
        <v>2500</v>
      </c>
      <c r="M6" s="23">
        <f>Test!C148</f>
        <v>37.035299999999999</v>
      </c>
      <c r="N6" s="23">
        <f>Test!D148</f>
        <v>45.613900000000001</v>
      </c>
      <c r="O6" s="23">
        <f>Test!E148</f>
        <v>42.470799999999997</v>
      </c>
      <c r="P6" s="23">
        <f>Test!F148</f>
        <v>32743.298999999999</v>
      </c>
      <c r="Q6" s="23">
        <f>Test!G148</f>
        <v>18.765999999999998</v>
      </c>
      <c r="R6" s="24">
        <f t="shared" si="2"/>
        <v>9.0953608333333325</v>
      </c>
      <c r="S6" s="17">
        <f t="shared" si="3"/>
        <v>1.0196071818826149</v>
      </c>
      <c r="T6" s="18">
        <f t="shared" si="4"/>
        <v>0.9980853100733964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Reference!B149</f>
        <v>91155.728000000003</v>
      </c>
      <c r="E7" s="13">
        <f>Reference!C149</f>
        <v>41.737099999999998</v>
      </c>
      <c r="F7" s="13">
        <f>Reference!D149</f>
        <v>36.691600000000001</v>
      </c>
      <c r="G7" s="13">
        <f>Reference!E149</f>
        <v>37.7104</v>
      </c>
      <c r="H7" s="13">
        <f>Reference!F149</f>
        <v>353513.09399999998</v>
      </c>
      <c r="I7" s="13">
        <f>Reference!G149</f>
        <v>30.756</v>
      </c>
      <c r="J7" s="14">
        <f t="shared" si="1"/>
        <v>98.198081666666667</v>
      </c>
      <c r="L7" s="12">
        <f>Test!B149</f>
        <v>91132.528000000006</v>
      </c>
      <c r="M7" s="13">
        <f>Test!C149</f>
        <v>41.736600000000003</v>
      </c>
      <c r="N7" s="13">
        <f>Test!D149</f>
        <v>36.689799999999998</v>
      </c>
      <c r="O7" s="13">
        <f>Test!E149</f>
        <v>37.711199999999998</v>
      </c>
      <c r="P7" s="13">
        <f>Test!F149</f>
        <v>349206.375</v>
      </c>
      <c r="Q7" s="13">
        <f>Test!G149</f>
        <v>30.815000000000001</v>
      </c>
      <c r="R7" s="14">
        <f t="shared" si="2"/>
        <v>97.001770833333339</v>
      </c>
      <c r="S7" s="17">
        <f t="shared" si="3"/>
        <v>0.98781737063465047</v>
      </c>
      <c r="T7" s="18">
        <f t="shared" si="4"/>
        <v>1.0019183248796983</v>
      </c>
      <c r="U7" s="91"/>
      <c r="V7" s="37">
        <f>bdrate($D7:$D10,E7:E10,$L7:$L10,M7:M10)</f>
        <v>-4.7733721012088726E-4</v>
      </c>
      <c r="W7" s="42">
        <f>bdrate($D7:$D10,F7:F10,$L7:$L10,N7:N10)</f>
        <v>-1.4291708012635906E-3</v>
      </c>
      <c r="X7" s="43">
        <f>bdrate($D7:$D10,G7:G10,$L7:$L10,O7:O10)</f>
        <v>-2.3313967786373624E-3</v>
      </c>
      <c r="Y7" s="37">
        <f>bdrateOld($D7:$D10,E7:E10,$L7:$L10,M7:M10)</f>
        <v>-4.7121525908588868E-4</v>
      </c>
      <c r="Z7" s="42">
        <f>bdrateOld($D7:$D10,F7:F10,$L7:$L10,N7:N10)</f>
        <v>-1.4846323112430726E-3</v>
      </c>
      <c r="AA7" s="43">
        <f>bdrateOld($D7:$D10,G7:G10,$L7:$L10,O7:O10)</f>
        <v>-2.3118017437478988E-3</v>
      </c>
    </row>
    <row r="8" spans="1:27" x14ac:dyDescent="0.2">
      <c r="A8" s="16"/>
      <c r="B8" s="85"/>
      <c r="C8" s="16">
        <v>48</v>
      </c>
      <c r="D8" s="17">
        <f>Reference!B150</f>
        <v>46662.248</v>
      </c>
      <c r="E8" s="18">
        <f>Reference!C150</f>
        <v>38.941600000000001</v>
      </c>
      <c r="F8" s="18">
        <f>Reference!D150</f>
        <v>34.414900000000003</v>
      </c>
      <c r="G8" s="18">
        <f>Reference!E150</f>
        <v>35.797499999999999</v>
      </c>
      <c r="H8" s="18">
        <f>Reference!F150</f>
        <v>245635.21900000001</v>
      </c>
      <c r="I8" s="18">
        <f>Reference!G150</f>
        <v>26.32</v>
      </c>
      <c r="J8" s="19">
        <f t="shared" si="1"/>
        <v>68.232005277777787</v>
      </c>
      <c r="L8" s="17">
        <f>Test!B150</f>
        <v>46623.512000000002</v>
      </c>
      <c r="M8" s="18">
        <f>Test!C150</f>
        <v>38.9422</v>
      </c>
      <c r="N8" s="18">
        <f>Test!D150</f>
        <v>34.4236</v>
      </c>
      <c r="O8" s="18">
        <f>Test!E150</f>
        <v>35.803600000000003</v>
      </c>
      <c r="P8" s="18">
        <f>Test!F150</f>
        <v>246618.75</v>
      </c>
      <c r="Q8" s="18">
        <f>Test!G150</f>
        <v>25.875</v>
      </c>
      <c r="R8" s="19">
        <f t="shared" si="2"/>
        <v>68.505208333333329</v>
      </c>
      <c r="S8" s="17">
        <f t="shared" si="3"/>
        <v>1.004004030871485</v>
      </c>
      <c r="T8" s="18">
        <f t="shared" si="4"/>
        <v>0.98309270516717329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Reference!B151</f>
        <v>21694.335999999999</v>
      </c>
      <c r="E9" s="18">
        <f>Reference!C151</f>
        <v>35.843499999999999</v>
      </c>
      <c r="F9" s="18">
        <f>Reference!D151</f>
        <v>32.5105</v>
      </c>
      <c r="G9" s="18">
        <f>Reference!E151</f>
        <v>34.191299999999998</v>
      </c>
      <c r="H9" s="18">
        <f>Reference!F151</f>
        <v>161778.15599999999</v>
      </c>
      <c r="I9" s="18">
        <f>Reference!G151</f>
        <v>22.448</v>
      </c>
      <c r="J9" s="19">
        <f t="shared" si="1"/>
        <v>44.938376666666663</v>
      </c>
      <c r="L9" s="17">
        <f>Test!B151</f>
        <v>21678.103999999999</v>
      </c>
      <c r="M9" s="18">
        <f>Test!C151</f>
        <v>35.842300000000002</v>
      </c>
      <c r="N9" s="18">
        <f>Test!D151</f>
        <v>32.510899999999999</v>
      </c>
      <c r="O9" s="18">
        <f>Test!E151</f>
        <v>34.195099999999996</v>
      </c>
      <c r="P9" s="18">
        <f>Test!F151</f>
        <v>165853.766</v>
      </c>
      <c r="Q9" s="18">
        <f>Test!G151</f>
        <v>22.448</v>
      </c>
      <c r="R9" s="19">
        <f t="shared" si="2"/>
        <v>46.070490555555558</v>
      </c>
      <c r="S9" s="17">
        <f t="shared" si="3"/>
        <v>1.0251925853327195</v>
      </c>
      <c r="T9" s="18">
        <f t="shared" si="4"/>
        <v>1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Reference!B152</f>
        <v>9164.4</v>
      </c>
      <c r="E10" s="23">
        <f>Reference!C152</f>
        <v>32.828099999999999</v>
      </c>
      <c r="F10" s="23">
        <f>Reference!D152</f>
        <v>30.808700000000002</v>
      </c>
      <c r="G10" s="23">
        <f>Reference!E152</f>
        <v>32.814</v>
      </c>
      <c r="H10" s="23">
        <f>Reference!F152</f>
        <v>91877.695000000007</v>
      </c>
      <c r="I10" s="23">
        <f>Reference!G152</f>
        <v>19.463999999999999</v>
      </c>
      <c r="J10" s="24">
        <f t="shared" si="1"/>
        <v>25.521581944444446</v>
      </c>
      <c r="L10" s="22">
        <f>Test!B152</f>
        <v>9161.6319999999996</v>
      </c>
      <c r="M10" s="23">
        <f>Test!C152</f>
        <v>32.825400000000002</v>
      </c>
      <c r="N10" s="23">
        <f>Test!D152</f>
        <v>30.8004</v>
      </c>
      <c r="O10" s="23">
        <f>Test!E152</f>
        <v>32.8125</v>
      </c>
      <c r="P10" s="23">
        <f>Test!F152</f>
        <v>92766.5</v>
      </c>
      <c r="Q10" s="23">
        <f>Test!G152</f>
        <v>20.405999999999999</v>
      </c>
      <c r="R10" s="24">
        <f t="shared" si="2"/>
        <v>25.768472222222222</v>
      </c>
      <c r="S10" s="17">
        <f t="shared" si="3"/>
        <v>1.0096737842628725</v>
      </c>
      <c r="T10" s="18">
        <f t="shared" si="4"/>
        <v>1.0483970406905057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Reference!B153</f>
        <v>45095.807999999997</v>
      </c>
      <c r="E11" s="13">
        <f>Reference!C153</f>
        <v>38.879199999999997</v>
      </c>
      <c r="F11" s="13">
        <f>Reference!D153</f>
        <v>41.2179</v>
      </c>
      <c r="G11" s="13">
        <f>Reference!E153</f>
        <v>41.491399999999999</v>
      </c>
      <c r="H11" s="13">
        <f>Reference!F153</f>
        <v>188482.40599999999</v>
      </c>
      <c r="I11" s="13">
        <f>Reference!G153</f>
        <v>16.978999999999999</v>
      </c>
      <c r="J11" s="14">
        <f t="shared" si="1"/>
        <v>52.356223888888884</v>
      </c>
      <c r="L11" s="12">
        <f>Test!B153</f>
        <v>45109</v>
      </c>
      <c r="M11" s="13">
        <f>Test!C153</f>
        <v>38.879600000000003</v>
      </c>
      <c r="N11" s="13">
        <f>Test!D153</f>
        <v>41.220500000000001</v>
      </c>
      <c r="O11" s="13">
        <f>Test!E153</f>
        <v>41.496600000000001</v>
      </c>
      <c r="P11" s="13">
        <f>Test!F153</f>
        <v>195470.641</v>
      </c>
      <c r="Q11" s="13">
        <f>Test!G153</f>
        <v>17.350999999999999</v>
      </c>
      <c r="R11" s="14">
        <f t="shared" si="2"/>
        <v>54.297400277777776</v>
      </c>
      <c r="S11" s="17">
        <f t="shared" si="3"/>
        <v>1.037076325309642</v>
      </c>
      <c r="T11" s="18">
        <f t="shared" si="4"/>
        <v>1.0219094175157548</v>
      </c>
      <c r="U11" s="91"/>
      <c r="V11" s="37">
        <f>bdrate($D11:$D14,E11:E14,$L11:$L14,M11:M14)</f>
        <v>-3.1728970649302912E-4</v>
      </c>
      <c r="W11" s="42">
        <f>bdrate($D11:$D14,F11:F14,$L11:$L14,N11:N14)</f>
        <v>-1.7068719435742175E-4</v>
      </c>
      <c r="X11" s="43">
        <f>bdrate($D11:$D14,G11:G14,$L11:$L14,O11:O14)</f>
        <v>-3.2987651980660448E-3</v>
      </c>
      <c r="Y11" s="37">
        <f>bdrateOld($D11:$D14,E11:E14,$L11:$L14,M11:M14)</f>
        <v>-3.364331930009179E-4</v>
      </c>
      <c r="Z11" s="42">
        <f>bdrateOld($D11:$D14,F11:F14,$L11:$L14,N11:N14)</f>
        <v>-1.9293541698173211E-4</v>
      </c>
      <c r="AA11" s="43">
        <f>bdrateOld($D11:$D14,G11:G14,$L11:$L14,O11:O14)</f>
        <v>-3.2637976571913141E-3</v>
      </c>
    </row>
    <row r="12" spans="1:27" x14ac:dyDescent="0.2">
      <c r="A12" s="34"/>
      <c r="B12" s="83"/>
      <c r="C12" s="16">
        <v>48</v>
      </c>
      <c r="D12" s="17">
        <f>Reference!B154</f>
        <v>22161.552</v>
      </c>
      <c r="E12" s="18">
        <f>Reference!C154</f>
        <v>37.521299999999997</v>
      </c>
      <c r="F12" s="18">
        <f>Reference!D154</f>
        <v>38.649900000000002</v>
      </c>
      <c r="G12" s="18">
        <f>Reference!E154</f>
        <v>40.113100000000003</v>
      </c>
      <c r="H12" s="18">
        <f>Reference!F154</f>
        <v>115579.961</v>
      </c>
      <c r="I12" s="18">
        <f>Reference!G154</f>
        <v>13.746</v>
      </c>
      <c r="J12" s="19">
        <f t="shared" si="1"/>
        <v>32.10554472222222</v>
      </c>
      <c r="L12" s="17">
        <f>Test!B154</f>
        <v>22146.536</v>
      </c>
      <c r="M12" s="18">
        <f>Test!C154</f>
        <v>37.520200000000003</v>
      </c>
      <c r="N12" s="18">
        <f>Test!D154</f>
        <v>38.652900000000002</v>
      </c>
      <c r="O12" s="18">
        <f>Test!E154</f>
        <v>40.118499999999997</v>
      </c>
      <c r="P12" s="18">
        <f>Test!F154</f>
        <v>115905.016</v>
      </c>
      <c r="Q12" s="18">
        <f>Test!G154</f>
        <v>14.101000000000001</v>
      </c>
      <c r="R12" s="19">
        <f t="shared" si="2"/>
        <v>32.195837777777776</v>
      </c>
      <c r="S12" s="17">
        <f t="shared" si="3"/>
        <v>1.0028123819837593</v>
      </c>
      <c r="T12" s="18">
        <f t="shared" si="4"/>
        <v>1.025825694747563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Reference!B155</f>
        <v>11565.152</v>
      </c>
      <c r="E13" s="18">
        <f>Reference!C155</f>
        <v>35.9681</v>
      </c>
      <c r="F13" s="18">
        <f>Reference!D155</f>
        <v>36.411900000000003</v>
      </c>
      <c r="G13" s="18">
        <f>Reference!E155</f>
        <v>38.676000000000002</v>
      </c>
      <c r="H13" s="18">
        <f>Reference!F155</f>
        <v>73237.960999999996</v>
      </c>
      <c r="I13" s="18">
        <f>Reference!G155</f>
        <v>12.053000000000001</v>
      </c>
      <c r="J13" s="19">
        <f t="shared" si="1"/>
        <v>20.343878055555553</v>
      </c>
      <c r="L13" s="17">
        <f>Test!B155</f>
        <v>11560.856</v>
      </c>
      <c r="M13" s="18">
        <f>Test!C155</f>
        <v>35.968299999999999</v>
      </c>
      <c r="N13" s="18">
        <f>Test!D155</f>
        <v>36.405900000000003</v>
      </c>
      <c r="O13" s="18">
        <f>Test!E155</f>
        <v>38.681800000000003</v>
      </c>
      <c r="P13" s="18">
        <f>Test!F155</f>
        <v>74235.108999999997</v>
      </c>
      <c r="Q13" s="18">
        <f>Test!G155</f>
        <v>12.436</v>
      </c>
      <c r="R13" s="19">
        <f t="shared" si="2"/>
        <v>20.620863611111112</v>
      </c>
      <c r="S13" s="17">
        <f t="shared" si="3"/>
        <v>1.013615179701685</v>
      </c>
      <c r="T13" s="18">
        <f t="shared" si="4"/>
        <v>1.0317763212478221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Reference!B156</f>
        <v>5673.8720000000003</v>
      </c>
      <c r="E14" s="23">
        <f>Reference!C156</f>
        <v>34.048499999999997</v>
      </c>
      <c r="F14" s="23">
        <f>Reference!D156</f>
        <v>33.981999999999999</v>
      </c>
      <c r="G14" s="23">
        <f>Reference!E156</f>
        <v>36.909500000000001</v>
      </c>
      <c r="H14" s="23">
        <f>Reference!F156</f>
        <v>43574.535000000003</v>
      </c>
      <c r="I14" s="23">
        <f>Reference!G156</f>
        <v>10.784000000000001</v>
      </c>
      <c r="J14" s="24">
        <f t="shared" si="1"/>
        <v>12.1040375</v>
      </c>
      <c r="L14" s="22">
        <f>Test!B156</f>
        <v>5677.7920000000004</v>
      </c>
      <c r="M14" s="23">
        <f>Test!C156</f>
        <v>34.052</v>
      </c>
      <c r="N14" s="23">
        <f>Test!D156</f>
        <v>33.985199999999999</v>
      </c>
      <c r="O14" s="23">
        <f>Test!E156</f>
        <v>36.924900000000001</v>
      </c>
      <c r="P14" s="23">
        <f>Test!F156</f>
        <v>43873.902000000002</v>
      </c>
      <c r="Q14" s="23">
        <f>Test!G156</f>
        <v>11.1</v>
      </c>
      <c r="R14" s="24">
        <f t="shared" si="2"/>
        <v>12.187195000000001</v>
      </c>
      <c r="S14" s="17">
        <f t="shared" si="3"/>
        <v>1.0068702282193027</v>
      </c>
      <c r="T14" s="18">
        <f t="shared" si="4"/>
        <v>1.0293026706231454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Reference!B157</f>
        <v>24500.968000000001</v>
      </c>
      <c r="E15" s="13">
        <f>Reference!C157</f>
        <v>37.540300000000002</v>
      </c>
      <c r="F15" s="13">
        <f>Reference!D157</f>
        <v>45.035699999999999</v>
      </c>
      <c r="G15" s="13">
        <f>Reference!E157</f>
        <v>42.8018</v>
      </c>
      <c r="H15" s="13">
        <f>Reference!F157</f>
        <v>274301.06199999998</v>
      </c>
      <c r="I15" s="13">
        <f>Reference!G157</f>
        <v>27.655999999999999</v>
      </c>
      <c r="J15" s="14">
        <f>H15/3600</f>
        <v>76.194739444444437</v>
      </c>
      <c r="L15" s="12">
        <f>Test!B157</f>
        <v>24496.256000000001</v>
      </c>
      <c r="M15" s="13">
        <f>Test!C157</f>
        <v>37.540300000000002</v>
      </c>
      <c r="N15" s="13">
        <f>Test!D157</f>
        <v>45.025599999999997</v>
      </c>
      <c r="O15" s="13">
        <f>Test!E157</f>
        <v>42.796999999999997</v>
      </c>
      <c r="P15" s="13">
        <f>Test!F157</f>
        <v>278961</v>
      </c>
      <c r="Q15" s="13">
        <f>Test!G157</f>
        <v>27.361999999999998</v>
      </c>
      <c r="R15" s="14">
        <f>P15/3600</f>
        <v>77.489166666666662</v>
      </c>
      <c r="S15" s="17">
        <f t="shared" si="3"/>
        <v>1.0169884067018304</v>
      </c>
      <c r="T15" s="18">
        <f t="shared" si="4"/>
        <v>0.98936939542956315</v>
      </c>
      <c r="U15" s="91"/>
      <c r="V15" s="37">
        <f>bdrate($D15:$D18,E15:E18,$L15:$L18,M15:M18)</f>
        <v>-4.1842746123399444E-5</v>
      </c>
      <c r="W15" s="42">
        <f>bdrate($D15:$D18,F15:F18,$L15:$L18,N15:N18)</f>
        <v>7.8409067504809915E-3</v>
      </c>
      <c r="X15" s="43">
        <f>bdrate($D15:$D18,G15:G18,$L15:$L18,O15:O18)</f>
        <v>5.8057828930260236E-3</v>
      </c>
      <c r="Y15" s="37">
        <f>bdrateOld($D15:$D18,E15:E18,$L15:$L18,M15:M18)</f>
        <v>5.942059213559503E-7</v>
      </c>
      <c r="Z15" s="42">
        <f>bdrateOld($D15:$D18,F15:F18,$L15:$L18,N15:N18)</f>
        <v>7.0701046362988684E-3</v>
      </c>
      <c r="AA15" s="43">
        <f>bdrateOld($D15:$D18,G15:G18,$L15:$L18,O15:O18)</f>
        <v>5.3819058935957731E-3</v>
      </c>
    </row>
    <row r="16" spans="1:27" x14ac:dyDescent="0.2">
      <c r="A16" s="16"/>
      <c r="B16" s="85"/>
      <c r="C16" s="16">
        <v>48</v>
      </c>
      <c r="D16" s="17">
        <f>Reference!B158</f>
        <v>10320.304</v>
      </c>
      <c r="E16" s="18">
        <f>Reference!C158</f>
        <v>36.917499999999997</v>
      </c>
      <c r="F16" s="18">
        <f>Reference!D158</f>
        <v>44.389299999999999</v>
      </c>
      <c r="G16" s="18">
        <f>Reference!E158</f>
        <v>42.0869</v>
      </c>
      <c r="H16" s="18">
        <f>Reference!F158</f>
        <v>151623.54699999999</v>
      </c>
      <c r="I16" s="18">
        <f>Reference!G158</f>
        <v>23.286999999999999</v>
      </c>
      <c r="J16" s="19">
        <f t="shared" ref="J16:J26" si="5">H16/3600</f>
        <v>42.117651944444439</v>
      </c>
      <c r="L16" s="17">
        <f>Test!B158</f>
        <v>10322.495999999999</v>
      </c>
      <c r="M16" s="18">
        <f>Test!C158</f>
        <v>36.917999999999999</v>
      </c>
      <c r="N16" s="18">
        <f>Test!D158</f>
        <v>44.376600000000003</v>
      </c>
      <c r="O16" s="18">
        <f>Test!E158</f>
        <v>42.078499999999998</v>
      </c>
      <c r="P16" s="18">
        <f>Test!F158</f>
        <v>153430.859</v>
      </c>
      <c r="Q16" s="18">
        <f>Test!G158</f>
        <v>23.199000000000002</v>
      </c>
      <c r="R16" s="19">
        <f t="shared" ref="R16:R26" si="6">P16/3600</f>
        <v>42.619683055555555</v>
      </c>
      <c r="S16" s="17">
        <f t="shared" si="3"/>
        <v>1.0119197317023589</v>
      </c>
      <c r="T16" s="18">
        <f t="shared" si="4"/>
        <v>0.99622106754841766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Reference!B159</f>
        <v>5155.6880000000001</v>
      </c>
      <c r="E17" s="18">
        <f>Reference!C159</f>
        <v>35.905999999999999</v>
      </c>
      <c r="F17" s="18">
        <f>Reference!D159</f>
        <v>43.4709</v>
      </c>
      <c r="G17" s="18">
        <f>Reference!E159</f>
        <v>41.149099999999997</v>
      </c>
      <c r="H17" s="18">
        <f>Reference!F159</f>
        <v>81867.875</v>
      </c>
      <c r="I17" s="18">
        <f>Reference!G159</f>
        <v>18.448</v>
      </c>
      <c r="J17" s="19">
        <f t="shared" si="5"/>
        <v>22.741076388888889</v>
      </c>
      <c r="L17" s="17">
        <f>Test!B159</f>
        <v>5155.7759999999998</v>
      </c>
      <c r="M17" s="18">
        <f>Test!C159</f>
        <v>35.906300000000002</v>
      </c>
      <c r="N17" s="18">
        <f>Test!D159</f>
        <v>43.460599999999999</v>
      </c>
      <c r="O17" s="18">
        <f>Test!E159</f>
        <v>41.1387</v>
      </c>
      <c r="P17" s="18">
        <f>Test!F159</f>
        <v>82685.070000000007</v>
      </c>
      <c r="Q17" s="18">
        <f>Test!G159</f>
        <v>19.553000000000001</v>
      </c>
      <c r="R17" s="19">
        <f t="shared" si="6"/>
        <v>22.968075000000002</v>
      </c>
      <c r="S17" s="17">
        <f t="shared" si="3"/>
        <v>1.0099818762854174</v>
      </c>
      <c r="T17" s="18">
        <f t="shared" si="4"/>
        <v>1.059898091934085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Reference!B160</f>
        <v>2560.0880000000002</v>
      </c>
      <c r="E18" s="23">
        <f>Reference!C160</f>
        <v>34.327399999999997</v>
      </c>
      <c r="F18" s="23">
        <f>Reference!D160</f>
        <v>42.154800000000002</v>
      </c>
      <c r="G18" s="23">
        <f>Reference!E160</f>
        <v>40.0107</v>
      </c>
      <c r="H18" s="23">
        <f>Reference!F160</f>
        <v>41587.559000000001</v>
      </c>
      <c r="I18" s="23">
        <f>Reference!G160</f>
        <v>14.887</v>
      </c>
      <c r="J18" s="24">
        <f t="shared" si="5"/>
        <v>11.552099722222222</v>
      </c>
      <c r="L18" s="22">
        <f>Test!B160</f>
        <v>2561.4560000000001</v>
      </c>
      <c r="M18" s="23">
        <f>Test!C160</f>
        <v>34.327199999999998</v>
      </c>
      <c r="N18" s="23">
        <f>Test!D160</f>
        <v>42.158000000000001</v>
      </c>
      <c r="O18" s="23">
        <f>Test!E160</f>
        <v>40.0169</v>
      </c>
      <c r="P18" s="23">
        <f>Test!F160</f>
        <v>42056.258000000002</v>
      </c>
      <c r="Q18" s="23">
        <f>Test!G160</f>
        <v>15.09</v>
      </c>
      <c r="R18" s="24">
        <f t="shared" si="6"/>
        <v>11.682293888888889</v>
      </c>
      <c r="S18" s="17">
        <f t="shared" si="3"/>
        <v>1.0112701733708391</v>
      </c>
      <c r="T18" s="18">
        <f t="shared" si="4"/>
        <v>1.0136360583059045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Reference!B161</f>
        <v>7975.5551999999998</v>
      </c>
      <c r="E19" s="13">
        <f>Reference!C161</f>
        <v>38.023899999999998</v>
      </c>
      <c r="F19" s="13">
        <f>Reference!D161</f>
        <v>39.7393</v>
      </c>
      <c r="G19" s="13">
        <f>Reference!E161</f>
        <v>42.8294</v>
      </c>
      <c r="H19" s="13">
        <f>Reference!F161</f>
        <v>315817.31199999998</v>
      </c>
      <c r="I19" s="13">
        <f>Reference!G161</f>
        <v>25.189</v>
      </c>
      <c r="J19" s="14">
        <f t="shared" si="5"/>
        <v>87.727031111111103</v>
      </c>
      <c r="L19" s="12">
        <f>Test!B161</f>
        <v>7976.4096</v>
      </c>
      <c r="M19" s="13">
        <f>Test!C161</f>
        <v>38.024999999999999</v>
      </c>
      <c r="N19" s="13">
        <f>Test!D161</f>
        <v>39.7423</v>
      </c>
      <c r="O19" s="13">
        <f>Test!E161</f>
        <v>42.825000000000003</v>
      </c>
      <c r="P19" s="13">
        <f>Test!F161</f>
        <v>318000.5</v>
      </c>
      <c r="Q19" s="13">
        <f>Test!G161</f>
        <v>24.446999999999999</v>
      </c>
      <c r="R19" s="14">
        <f t="shared" si="6"/>
        <v>88.333472222222227</v>
      </c>
      <c r="S19" s="12">
        <f t="shared" si="3"/>
        <v>1.0069128192693884</v>
      </c>
      <c r="T19" s="13">
        <f t="shared" si="4"/>
        <v>0.97054269720909914</v>
      </c>
      <c r="U19" s="90"/>
      <c r="V19" s="37">
        <f>bdrate($D19:$D22,E19:E22,$L19:$L22,M19:M22)</f>
        <v>2.9717737344348016E-4</v>
      </c>
      <c r="W19" s="42">
        <f>bdrate($D19:$D22,F19:F22,$L19:$L22,N19:N22)</f>
        <v>1.7214516146462078E-3</v>
      </c>
      <c r="X19" s="43">
        <f>bdrate($D19:$D22,G19:G22,$L19:$L22,O19:O22)</f>
        <v>9.6748257050793818E-4</v>
      </c>
      <c r="Y19" s="37">
        <f>bdrateOld($D19:$D22,E19:E22,$L19:$L22,M19:M22)</f>
        <v>1.8324872123343106E-4</v>
      </c>
      <c r="Z19" s="42">
        <f>bdrateOld($D19:$D22,F19:F22,$L19:$L22,N19:N22)</f>
        <v>1.5089179253318097E-3</v>
      </c>
      <c r="AA19" s="43">
        <f>bdrateOld($D19:$D22,G19:G22,$L19:$L22,O19:O22)</f>
        <v>1.2440650871203829E-3</v>
      </c>
    </row>
    <row r="20" spans="1:27" x14ac:dyDescent="0.2">
      <c r="A20" s="16" t="s">
        <v>48</v>
      </c>
      <c r="B20" s="85"/>
      <c r="C20" s="16">
        <v>32</v>
      </c>
      <c r="D20" s="17">
        <f>Reference!B162</f>
        <v>3756.7808</v>
      </c>
      <c r="E20" s="18">
        <f>Reference!C162</f>
        <v>36.681100000000001</v>
      </c>
      <c r="F20" s="18">
        <f>Reference!D162</f>
        <v>39.101199999999999</v>
      </c>
      <c r="G20" s="18">
        <f>Reference!E162</f>
        <v>41.656100000000002</v>
      </c>
      <c r="H20" s="18">
        <f>Reference!F162</f>
        <v>192482</v>
      </c>
      <c r="I20" s="18">
        <f>Reference!G162</f>
        <v>20.878</v>
      </c>
      <c r="J20" s="19">
        <f t="shared" si="5"/>
        <v>53.467222222222219</v>
      </c>
      <c r="L20" s="17">
        <f>Test!B162</f>
        <v>3762.6016</v>
      </c>
      <c r="M20" s="18">
        <f>Test!C162</f>
        <v>36.682600000000001</v>
      </c>
      <c r="N20" s="18">
        <f>Test!D162</f>
        <v>39.100200000000001</v>
      </c>
      <c r="O20" s="18">
        <f>Test!E162</f>
        <v>41.665199999999999</v>
      </c>
      <c r="P20" s="18">
        <f>Test!F162</f>
        <v>197970.375</v>
      </c>
      <c r="Q20" s="18">
        <f>Test!G162</f>
        <v>20.907</v>
      </c>
      <c r="R20" s="19">
        <f t="shared" si="6"/>
        <v>54.991770833333334</v>
      </c>
      <c r="S20" s="17">
        <f t="shared" si="3"/>
        <v>1.028513705177627</v>
      </c>
      <c r="T20" s="18">
        <f t="shared" si="4"/>
        <v>1.0013890219369672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Reference!B163</f>
        <v>1844.6415999999999</v>
      </c>
      <c r="E21" s="18">
        <f>Reference!C163</f>
        <v>34.813000000000002</v>
      </c>
      <c r="F21" s="18">
        <f>Reference!D163</f>
        <v>38.273600000000002</v>
      </c>
      <c r="G21" s="18">
        <f>Reference!E163</f>
        <v>40.192599999999999</v>
      </c>
      <c r="H21" s="18">
        <f>Reference!F163</f>
        <v>117964.93799999999</v>
      </c>
      <c r="I21" s="18">
        <f>Reference!G163</f>
        <v>17.817</v>
      </c>
      <c r="J21" s="19">
        <f t="shared" si="5"/>
        <v>32.76803833333333</v>
      </c>
      <c r="L21" s="17">
        <f>Test!B163</f>
        <v>1844.4896000000001</v>
      </c>
      <c r="M21" s="18">
        <f>Test!C163</f>
        <v>34.812199999999997</v>
      </c>
      <c r="N21" s="18">
        <f>Test!D163</f>
        <v>38.270499999999998</v>
      </c>
      <c r="O21" s="18">
        <f>Test!E163</f>
        <v>40.179099999999998</v>
      </c>
      <c r="P21" s="18">
        <f>Test!F163</f>
        <v>118207.56200000001</v>
      </c>
      <c r="Q21" s="18">
        <f>Test!G163</f>
        <v>17.13</v>
      </c>
      <c r="R21" s="19">
        <f t="shared" si="6"/>
        <v>32.835433888888893</v>
      </c>
      <c r="S21" s="17">
        <f t="shared" si="3"/>
        <v>1.002056746725879</v>
      </c>
      <c r="T21" s="18">
        <f t="shared" si="4"/>
        <v>0.96144132008755678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Reference!B164</f>
        <v>881.34720000000004</v>
      </c>
      <c r="E22" s="23">
        <f>Reference!C164</f>
        <v>32.496699999999997</v>
      </c>
      <c r="F22" s="23">
        <f>Reference!D164</f>
        <v>37.268099999999997</v>
      </c>
      <c r="G22" s="23">
        <f>Reference!E164</f>
        <v>38.512099999999997</v>
      </c>
      <c r="H22" s="23">
        <f>Reference!F164</f>
        <v>67245.820000000007</v>
      </c>
      <c r="I22" s="23">
        <f>Reference!G164</f>
        <v>14.164999999999999</v>
      </c>
      <c r="J22" s="24">
        <f t="shared" si="5"/>
        <v>18.679394444444448</v>
      </c>
      <c r="L22" s="22">
        <f>Test!B164</f>
        <v>882.17600000000004</v>
      </c>
      <c r="M22" s="23">
        <f>Test!C164</f>
        <v>32.499699999999997</v>
      </c>
      <c r="N22" s="23">
        <f>Test!D164</f>
        <v>37.267200000000003</v>
      </c>
      <c r="O22" s="23">
        <f>Test!E164</f>
        <v>38.528100000000002</v>
      </c>
      <c r="P22" s="23">
        <f>Test!F164</f>
        <v>66939.016000000003</v>
      </c>
      <c r="Q22" s="23">
        <f>Test!G164</f>
        <v>13.933999999999999</v>
      </c>
      <c r="R22" s="24">
        <f t="shared" si="6"/>
        <v>18.594171111111113</v>
      </c>
      <c r="S22" s="17">
        <f t="shared" si="3"/>
        <v>0.99543757515337006</v>
      </c>
      <c r="T22" s="18">
        <f t="shared" si="4"/>
        <v>0.98369219908224503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Reference!B165</f>
        <v>9098.1872000000003</v>
      </c>
      <c r="E23" s="13">
        <f>Reference!C165</f>
        <v>38.740400000000001</v>
      </c>
      <c r="F23" s="13">
        <f>Reference!D165</f>
        <v>43.691400000000002</v>
      </c>
      <c r="G23" s="13">
        <f>Reference!E165</f>
        <v>44.623899999999999</v>
      </c>
      <c r="H23" s="13">
        <f>Reference!F165</f>
        <v>340053.84399999998</v>
      </c>
      <c r="I23" s="13">
        <f>Reference!G165</f>
        <v>31.335999999999999</v>
      </c>
      <c r="J23" s="14">
        <f t="shared" si="5"/>
        <v>94.459401111111106</v>
      </c>
      <c r="L23" s="12">
        <f>Test!B165</f>
        <v>9106.1808000000001</v>
      </c>
      <c r="M23" s="13">
        <f>Test!C165</f>
        <v>38.741300000000003</v>
      </c>
      <c r="N23" s="13">
        <f>Test!D165</f>
        <v>43.691699999999997</v>
      </c>
      <c r="O23" s="13">
        <f>Test!E165</f>
        <v>44.622700000000002</v>
      </c>
      <c r="P23" s="13">
        <f>Test!F165</f>
        <v>348038.375</v>
      </c>
      <c r="Q23" s="13">
        <f>Test!G165</f>
        <v>31.963999999999999</v>
      </c>
      <c r="R23" s="14">
        <f t="shared" si="6"/>
        <v>96.677326388888886</v>
      </c>
      <c r="S23" s="17">
        <f t="shared" si="3"/>
        <v>1.0234801962715059</v>
      </c>
      <c r="T23" s="18">
        <f t="shared" si="4"/>
        <v>1.0200408475874394</v>
      </c>
      <c r="U23" s="91"/>
      <c r="V23" s="37">
        <f>bdrate($D23:$D26,E23:E26,$L23:$L26,M23:M26)</f>
        <v>-2.8143479646747238E-5</v>
      </c>
      <c r="W23" s="42">
        <f>bdrate($D23:$D26,F23:F26,$L23:$L26,N23:N26)</f>
        <v>-1.9363355507907576E-3</v>
      </c>
      <c r="X23" s="43">
        <f>bdrate($D23:$D26,G23:G26,$L23:$L26,O23:O26)</f>
        <v>5.4531435317117793E-3</v>
      </c>
      <c r="Y23" s="37">
        <f>bdrateOld($D23:$D26,E23:E26,$L23:$L26,M23:M26)</f>
        <v>-5.5049079515701038E-5</v>
      </c>
      <c r="Z23" s="42">
        <f>bdrateOld($D23:$D26,F23:F26,$L23:$L26,N23:N26)</f>
        <v>-1.7590459085479182E-3</v>
      </c>
      <c r="AA23" s="43">
        <f>bdrateOld($D23:$D26,G23:G26,$L23:$L26,O23:O26)</f>
        <v>5.532243174354079E-3</v>
      </c>
    </row>
    <row r="24" spans="1:27" x14ac:dyDescent="0.2">
      <c r="A24" s="34"/>
      <c r="B24" s="85"/>
      <c r="C24" s="16">
        <v>32</v>
      </c>
      <c r="D24" s="17">
        <f>Reference!B166</f>
        <v>4704.5871999999999</v>
      </c>
      <c r="E24" s="18">
        <f>Reference!C166</f>
        <v>37.535299999999999</v>
      </c>
      <c r="F24" s="18">
        <f>Reference!D166</f>
        <v>42.713700000000003</v>
      </c>
      <c r="G24" s="18">
        <f>Reference!E166</f>
        <v>43.125999999999998</v>
      </c>
      <c r="H24" s="18">
        <f>Reference!F166</f>
        <v>213285.95300000001</v>
      </c>
      <c r="I24" s="18">
        <f>Reference!G166</f>
        <v>26.832000000000001</v>
      </c>
      <c r="J24" s="19">
        <f t="shared" si="5"/>
        <v>59.246098055555557</v>
      </c>
      <c r="L24" s="17">
        <f>Test!B166</f>
        <v>4705.6815999999999</v>
      </c>
      <c r="M24" s="18">
        <f>Test!C166</f>
        <v>37.536000000000001</v>
      </c>
      <c r="N24" s="18">
        <f>Test!D166</f>
        <v>42.721899999999998</v>
      </c>
      <c r="O24" s="18">
        <f>Test!E166</f>
        <v>43.1203</v>
      </c>
      <c r="P24" s="18">
        <f>Test!F166</f>
        <v>216279.95300000001</v>
      </c>
      <c r="Q24" s="18">
        <f>Test!G166</f>
        <v>26.44</v>
      </c>
      <c r="R24" s="19">
        <f t="shared" si="6"/>
        <v>60.077764722222227</v>
      </c>
      <c r="S24" s="17">
        <f t="shared" si="3"/>
        <v>1.0140374926613194</v>
      </c>
      <c r="T24" s="18">
        <f t="shared" si="4"/>
        <v>0.98539057841383426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Reference!B167</f>
        <v>2397.5680000000002</v>
      </c>
      <c r="E25" s="18">
        <f>Reference!C167</f>
        <v>35.856099999999998</v>
      </c>
      <c r="F25" s="18">
        <f>Reference!D167</f>
        <v>41.487299999999998</v>
      </c>
      <c r="G25" s="18">
        <f>Reference!E167</f>
        <v>41.3994</v>
      </c>
      <c r="H25" s="18">
        <f>Reference!F167</f>
        <v>128304.734</v>
      </c>
      <c r="I25" s="18">
        <f>Reference!G167</f>
        <v>22.25</v>
      </c>
      <c r="J25" s="19">
        <f t="shared" si="5"/>
        <v>35.640203888888891</v>
      </c>
      <c r="L25" s="17">
        <f>Test!B167</f>
        <v>2396.8496</v>
      </c>
      <c r="M25" s="18">
        <f>Test!C167</f>
        <v>35.856200000000001</v>
      </c>
      <c r="N25" s="18">
        <f>Test!D167</f>
        <v>41.488300000000002</v>
      </c>
      <c r="O25" s="18">
        <f>Test!E167</f>
        <v>41.377499999999998</v>
      </c>
      <c r="P25" s="18">
        <f>Test!F167</f>
        <v>129255.141</v>
      </c>
      <c r="Q25" s="18">
        <f>Test!G167</f>
        <v>22.524999999999999</v>
      </c>
      <c r="R25" s="19">
        <f t="shared" si="6"/>
        <v>35.904205833333336</v>
      </c>
      <c r="S25" s="17">
        <f t="shared" si="3"/>
        <v>1.0074074195890543</v>
      </c>
      <c r="T25" s="18">
        <f t="shared" si="4"/>
        <v>1.0123595505617977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Reference!B168</f>
        <v>1187.904</v>
      </c>
      <c r="E26" s="23">
        <f>Reference!C168</f>
        <v>33.766500000000001</v>
      </c>
      <c r="F26" s="23">
        <f>Reference!D168</f>
        <v>40.118299999999998</v>
      </c>
      <c r="G26" s="23">
        <f>Reference!E168</f>
        <v>39.478499999999997</v>
      </c>
      <c r="H26" s="23">
        <f>Reference!F168</f>
        <v>71520.445000000007</v>
      </c>
      <c r="I26" s="23">
        <f>Reference!G168</f>
        <v>18.263999999999999</v>
      </c>
      <c r="J26" s="24">
        <f t="shared" si="5"/>
        <v>19.866790277777781</v>
      </c>
      <c r="L26" s="22">
        <f>Test!B168</f>
        <v>1189.3456000000001</v>
      </c>
      <c r="M26" s="23">
        <f>Test!C168</f>
        <v>33.767899999999997</v>
      </c>
      <c r="N26" s="23">
        <f>Test!D168</f>
        <v>40.122</v>
      </c>
      <c r="O26" s="23">
        <f>Test!E168</f>
        <v>39.459400000000002</v>
      </c>
      <c r="P26" s="23">
        <f>Test!F168</f>
        <v>72657.625</v>
      </c>
      <c r="Q26" s="23">
        <f>Test!G168</f>
        <v>18.864999999999998</v>
      </c>
      <c r="R26" s="24">
        <f t="shared" si="6"/>
        <v>20.18267361111111</v>
      </c>
      <c r="S26" s="17">
        <f t="shared" si="3"/>
        <v>1.0159000688544373</v>
      </c>
      <c r="T26" s="18">
        <f t="shared" si="4"/>
        <v>1.0329062636881297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Reference!B169</f>
        <v>6358.5087999999996</v>
      </c>
      <c r="E27" s="13">
        <f>Reference!C169</f>
        <v>39.8339</v>
      </c>
      <c r="F27" s="13">
        <f>Reference!D169</f>
        <v>43.804099999999998</v>
      </c>
      <c r="G27" s="13">
        <f>Reference!E169</f>
        <v>44.508299999999998</v>
      </c>
      <c r="H27" s="13">
        <f>Reference!F169</f>
        <v>305559.40600000002</v>
      </c>
      <c r="I27" s="13">
        <f>Reference!G169</f>
        <v>32.112000000000002</v>
      </c>
      <c r="J27" s="14">
        <f>H27/3600</f>
        <v>84.877612777777784</v>
      </c>
      <c r="L27" s="12">
        <f>Test!B169</f>
        <v>6360.2479999999996</v>
      </c>
      <c r="M27" s="13">
        <f>Test!C169</f>
        <v>39.8339</v>
      </c>
      <c r="N27" s="13">
        <f>Test!D169</f>
        <v>43.796399999999998</v>
      </c>
      <c r="O27" s="13">
        <f>Test!E169</f>
        <v>44.505000000000003</v>
      </c>
      <c r="P27" s="13">
        <f>Test!F169</f>
        <v>311732.875</v>
      </c>
      <c r="Q27" s="13">
        <f>Test!G169</f>
        <v>31.189</v>
      </c>
      <c r="R27" s="14">
        <f>P27/3600</f>
        <v>86.592465277777777</v>
      </c>
      <c r="S27" s="17">
        <f t="shared" ref="S27:T46" si="7">P27/H27</f>
        <v>1.0202038257660442</v>
      </c>
      <c r="T27" s="18">
        <f t="shared" si="7"/>
        <v>0.97125685102142501</v>
      </c>
      <c r="U27" s="91"/>
      <c r="V27" s="37">
        <f>bdrate($D27:$D30,E27:E30,$L27:$L30,M27:M30)</f>
        <v>-9.7952325616768032E-4</v>
      </c>
      <c r="W27" s="42">
        <f>bdrate($D27:$D30,F27:F30,$L27:$L30,N27:N30)</f>
        <v>2.9902477101999558E-3</v>
      </c>
      <c r="X27" s="43">
        <f>bdrate($D27:$D30,G27:G30,$L27:$L30,O27:O30)</f>
        <v>-8.6193370613329989E-5</v>
      </c>
      <c r="Y27" s="37">
        <f>bdrateOld($D27:$D30,E27:E30,$L27:$L30,M27:M30)</f>
        <v>-1.0901866934002191E-3</v>
      </c>
      <c r="Z27" s="42">
        <f>bdrateOld($D27:$D30,F27:F30,$L27:$L30,N27:N30)</f>
        <v>3.1541598551809713E-3</v>
      </c>
      <c r="AA27" s="43">
        <f>bdrateOld($D27:$D30,G27:G30,$L27:$L30,O27:O30)</f>
        <v>-3.5412960732728038E-6</v>
      </c>
    </row>
    <row r="28" spans="1:27" x14ac:dyDescent="0.2">
      <c r="A28" s="16"/>
      <c r="B28" s="85"/>
      <c r="C28" s="16">
        <v>48</v>
      </c>
      <c r="D28" s="17">
        <f>Reference!B170</f>
        <v>3030.1968000000002</v>
      </c>
      <c r="E28" s="18">
        <f>Reference!C170</f>
        <v>38.537700000000001</v>
      </c>
      <c r="F28" s="18">
        <f>Reference!D170</f>
        <v>42.933500000000002</v>
      </c>
      <c r="G28" s="18">
        <f>Reference!E170</f>
        <v>43.659799999999997</v>
      </c>
      <c r="H28" s="18">
        <f>Reference!F170</f>
        <v>178516.04699999999</v>
      </c>
      <c r="I28" s="18">
        <f>Reference!G170</f>
        <v>25.238</v>
      </c>
      <c r="J28" s="19">
        <f t="shared" ref="J28:J46" si="8">H28/3600</f>
        <v>49.587790833333329</v>
      </c>
      <c r="L28" s="17">
        <f>Test!B170</f>
        <v>3029.6687999999999</v>
      </c>
      <c r="M28" s="18">
        <f>Test!C170</f>
        <v>38.537399999999998</v>
      </c>
      <c r="N28" s="18">
        <f>Test!D170</f>
        <v>42.933199999999999</v>
      </c>
      <c r="O28" s="18">
        <f>Test!E170</f>
        <v>43.6631</v>
      </c>
      <c r="P28" s="18">
        <f>Test!F170</f>
        <v>181611.5</v>
      </c>
      <c r="Q28" s="18">
        <f>Test!G170</f>
        <v>25.248000000000001</v>
      </c>
      <c r="R28" s="19">
        <f t="shared" ref="R28:R46" si="9">P28/3600</f>
        <v>50.447638888888889</v>
      </c>
      <c r="S28" s="17">
        <f t="shared" si="7"/>
        <v>1.0173399145456095</v>
      </c>
      <c r="T28" s="18">
        <f t="shared" si="7"/>
        <v>1.000396227910294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Reference!B171</f>
        <v>1462.6768</v>
      </c>
      <c r="E29" s="18">
        <f>Reference!C171</f>
        <v>36.720999999999997</v>
      </c>
      <c r="F29" s="18">
        <f>Reference!D171</f>
        <v>41.8369</v>
      </c>
      <c r="G29" s="18">
        <f>Reference!E171</f>
        <v>42.421599999999998</v>
      </c>
      <c r="H29" s="18">
        <f>Reference!F171</f>
        <v>100943.359</v>
      </c>
      <c r="I29" s="18">
        <f>Reference!G171</f>
        <v>21.579000000000001</v>
      </c>
      <c r="J29" s="19">
        <f t="shared" si="8"/>
        <v>28.039821944444444</v>
      </c>
      <c r="L29" s="17">
        <f>Test!B171</f>
        <v>1460.9584</v>
      </c>
      <c r="M29" s="18">
        <f>Test!C171</f>
        <v>36.724899999999998</v>
      </c>
      <c r="N29" s="18">
        <f>Test!D171</f>
        <v>41.831000000000003</v>
      </c>
      <c r="O29" s="18">
        <f>Test!E171</f>
        <v>42.415700000000001</v>
      </c>
      <c r="P29" s="18">
        <f>Test!F171</f>
        <v>104579.18799999999</v>
      </c>
      <c r="Q29" s="18">
        <f>Test!G171</f>
        <v>22.902000000000001</v>
      </c>
      <c r="R29" s="19">
        <f t="shared" si="9"/>
        <v>29.049774444444441</v>
      </c>
      <c r="S29" s="17">
        <f t="shared" si="7"/>
        <v>1.0360185061802827</v>
      </c>
      <c r="T29" s="18">
        <f t="shared" si="7"/>
        <v>1.0613096065619352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Reference!B172</f>
        <v>686.36800000000005</v>
      </c>
      <c r="E30" s="23">
        <f>Reference!C172</f>
        <v>34.432099999999998</v>
      </c>
      <c r="F30" s="23">
        <f>Reference!D172</f>
        <v>40.6858</v>
      </c>
      <c r="G30" s="23">
        <f>Reference!E172</f>
        <v>41.043599999999998</v>
      </c>
      <c r="H30" s="23">
        <f>Reference!F172</f>
        <v>53545.48</v>
      </c>
      <c r="I30" s="23">
        <f>Reference!G172</f>
        <v>17.419</v>
      </c>
      <c r="J30" s="24">
        <f t="shared" si="8"/>
        <v>14.873744444444446</v>
      </c>
      <c r="L30" s="22">
        <f>Test!B172</f>
        <v>686.63679999999999</v>
      </c>
      <c r="M30" s="23">
        <f>Test!C172</f>
        <v>34.429200000000002</v>
      </c>
      <c r="N30" s="23">
        <f>Test!D172</f>
        <v>40.674300000000002</v>
      </c>
      <c r="O30" s="23">
        <f>Test!E172</f>
        <v>41.051299999999998</v>
      </c>
      <c r="P30" s="23">
        <f>Test!F172</f>
        <v>54297.02</v>
      </c>
      <c r="Q30" s="23">
        <f>Test!G172</f>
        <v>17.972999999999999</v>
      </c>
      <c r="R30" s="24">
        <f t="shared" si="9"/>
        <v>15.082505555555555</v>
      </c>
      <c r="S30" s="17">
        <f t="shared" si="7"/>
        <v>1.0140355451104368</v>
      </c>
      <c r="T30" s="18">
        <f t="shared" si="7"/>
        <v>1.0318043515701245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Reference!B173</f>
        <v>6708.232</v>
      </c>
      <c r="E31" s="13">
        <f>Reference!C173</f>
        <v>43.389400000000002</v>
      </c>
      <c r="F31" s="13">
        <f>Reference!D173</f>
        <v>46.723700000000001</v>
      </c>
      <c r="G31" s="13">
        <f>Reference!E173</f>
        <v>47.319499999999998</v>
      </c>
      <c r="H31" s="13">
        <f>Reference!F173</f>
        <v>256379</v>
      </c>
      <c r="I31" s="13">
        <f>Reference!G173</f>
        <v>32.25</v>
      </c>
      <c r="J31" s="14">
        <f t="shared" si="8"/>
        <v>71.216388888888886</v>
      </c>
      <c r="L31" s="12">
        <f>Test!B173</f>
        <v>6708.2640000000001</v>
      </c>
      <c r="M31" s="13">
        <f>Test!C173</f>
        <v>43.389400000000002</v>
      </c>
      <c r="N31" s="13">
        <f>Test!D173</f>
        <v>46.726100000000002</v>
      </c>
      <c r="O31" s="13">
        <f>Test!E173</f>
        <v>47.3172</v>
      </c>
      <c r="P31" s="13">
        <f>Test!F173</f>
        <v>257282.875</v>
      </c>
      <c r="Q31" s="13">
        <f>Test!G173</f>
        <v>32.021000000000001</v>
      </c>
      <c r="R31" s="14">
        <f t="shared" si="9"/>
        <v>71.467465277777777</v>
      </c>
      <c r="S31" s="17">
        <f t="shared" si="7"/>
        <v>1.003525542263602</v>
      </c>
      <c r="T31" s="18">
        <f t="shared" si="7"/>
        <v>0.99289922480620163</v>
      </c>
      <c r="U31" s="91"/>
      <c r="V31" s="37">
        <f>bdrate($D31:$D34,E31:E34,$L31:$L34,M31:M34)</f>
        <v>-2.0321274100953968E-4</v>
      </c>
      <c r="W31" s="42">
        <f>bdrate($D31:$D34,F31:F34,$L31:$L34,N31:N34)</f>
        <v>-4.3922138399502542E-3</v>
      </c>
      <c r="X31" s="42">
        <f>bdrate($D31:$D34,G31:G34,$L31:$L34,O31:O34)</f>
        <v>1.8150278158193256E-3</v>
      </c>
      <c r="Y31" s="40">
        <f>bdrateOld($D31:$D34,E31:E34,$L31:$L34,M31:M34)</f>
        <v>-1.7812232742231426E-4</v>
      </c>
      <c r="Z31" s="44">
        <f>bdrateOld($D31:$D34,F31:F34,$L31:$L34,N31:N34)</f>
        <v>-4.3000647606115106E-3</v>
      </c>
      <c r="AA31" s="45">
        <f>bdrateOld($D31:$D34,G31:G34,$L31:$L34,O31:O34)</f>
        <v>1.8135160926058269E-3</v>
      </c>
    </row>
    <row r="32" spans="1:27" x14ac:dyDescent="0.2">
      <c r="A32" s="16"/>
      <c r="B32" s="85"/>
      <c r="C32" s="16">
        <v>48</v>
      </c>
      <c r="D32" s="17">
        <f>Reference!B174</f>
        <v>4085.5455999999999</v>
      </c>
      <c r="E32" s="18">
        <f>Reference!C174</f>
        <v>41.072200000000002</v>
      </c>
      <c r="F32" s="18">
        <f>Reference!D174</f>
        <v>45.262799999999999</v>
      </c>
      <c r="G32" s="18">
        <f>Reference!E174</f>
        <v>45.640799999999999</v>
      </c>
      <c r="H32" s="18">
        <f>Reference!F174</f>
        <v>180170.734</v>
      </c>
      <c r="I32" s="18">
        <f>Reference!G174</f>
        <v>28.957999999999998</v>
      </c>
      <c r="J32" s="19">
        <f t="shared" si="8"/>
        <v>50.047426111111108</v>
      </c>
      <c r="L32" s="17">
        <f>Test!B174</f>
        <v>4086.4160000000002</v>
      </c>
      <c r="M32" s="18">
        <f>Test!C174</f>
        <v>41.075699999999998</v>
      </c>
      <c r="N32" s="18">
        <f>Test!D174</f>
        <v>45.276600000000002</v>
      </c>
      <c r="O32" s="18">
        <f>Test!E174</f>
        <v>45.6267</v>
      </c>
      <c r="P32" s="18">
        <f>Test!F174</f>
        <v>181359.391</v>
      </c>
      <c r="Q32" s="18">
        <f>Test!G174</f>
        <v>28.363</v>
      </c>
      <c r="R32" s="19">
        <f t="shared" si="9"/>
        <v>50.377608611111114</v>
      </c>
      <c r="S32" s="17">
        <f t="shared" si="7"/>
        <v>1.0065973922268641</v>
      </c>
      <c r="T32" s="18">
        <f t="shared" si="7"/>
        <v>0.97945300089785214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Reference!B175</f>
        <v>2258.0464000000002</v>
      </c>
      <c r="E33" s="18">
        <f>Reference!C175</f>
        <v>38.269100000000002</v>
      </c>
      <c r="F33" s="18">
        <f>Reference!D175</f>
        <v>43.609499999999997</v>
      </c>
      <c r="G33" s="18">
        <f>Reference!E175</f>
        <v>43.7849</v>
      </c>
      <c r="H33" s="18">
        <f>Reference!F175</f>
        <v>115133.367</v>
      </c>
      <c r="I33" s="18">
        <f>Reference!G175</f>
        <v>24.803000000000001</v>
      </c>
      <c r="J33" s="19">
        <f t="shared" si="8"/>
        <v>31.981490833333332</v>
      </c>
      <c r="L33" s="17">
        <f>Test!B175</f>
        <v>2257.9520000000002</v>
      </c>
      <c r="M33" s="18">
        <f>Test!C175</f>
        <v>38.2682</v>
      </c>
      <c r="N33" s="18">
        <f>Test!D175</f>
        <v>43.6143</v>
      </c>
      <c r="O33" s="18">
        <f>Test!E175</f>
        <v>43.777999999999999</v>
      </c>
      <c r="P33" s="18">
        <f>Test!F175</f>
        <v>117341.375</v>
      </c>
      <c r="Q33" s="18">
        <f>Test!G175</f>
        <v>25.251000000000001</v>
      </c>
      <c r="R33" s="19">
        <f t="shared" si="9"/>
        <v>32.59482638888889</v>
      </c>
      <c r="S33" s="17">
        <f t="shared" si="7"/>
        <v>1.0191778287870275</v>
      </c>
      <c r="T33" s="18">
        <f t="shared" si="7"/>
        <v>1.0180623311696166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Reference!B176</f>
        <v>1174.8208</v>
      </c>
      <c r="E34" s="23">
        <f>Reference!C176</f>
        <v>35.308</v>
      </c>
      <c r="F34" s="23">
        <f>Reference!D176</f>
        <v>41.942399999999999</v>
      </c>
      <c r="G34" s="23">
        <f>Reference!E176</f>
        <v>41.872999999999998</v>
      </c>
      <c r="H34" s="23">
        <f>Reference!F176</f>
        <v>66505.25</v>
      </c>
      <c r="I34" s="23">
        <f>Reference!G176</f>
        <v>20.053000000000001</v>
      </c>
      <c r="J34" s="24">
        <f t="shared" si="8"/>
        <v>18.473680555555557</v>
      </c>
      <c r="L34" s="22">
        <f>Test!B176</f>
        <v>1174.0992000000001</v>
      </c>
      <c r="M34" s="23">
        <f>Test!C176</f>
        <v>35.308</v>
      </c>
      <c r="N34" s="23">
        <f>Test!D176</f>
        <v>41.9773</v>
      </c>
      <c r="O34" s="23">
        <f>Test!E176</f>
        <v>41.888199999999998</v>
      </c>
      <c r="P34" s="23">
        <f>Test!F176</f>
        <v>67215.327999999994</v>
      </c>
      <c r="Q34" s="23">
        <f>Test!G176</f>
        <v>20.544</v>
      </c>
      <c r="R34" s="24">
        <f t="shared" si="9"/>
        <v>18.670924444444442</v>
      </c>
      <c r="S34" s="17">
        <f t="shared" si="7"/>
        <v>1.0106770217388852</v>
      </c>
      <c r="T34" s="18">
        <f t="shared" si="7"/>
        <v>1.0244851144467162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Reference!B177</f>
        <v>4672.9567999999999</v>
      </c>
      <c r="E35" s="13">
        <f>Reference!C177</f>
        <v>38.456099999999999</v>
      </c>
      <c r="F35" s="13">
        <f>Reference!D177</f>
        <v>45.520600000000002</v>
      </c>
      <c r="G35" s="13">
        <f>Reference!E177</f>
        <v>45.731099999999998</v>
      </c>
      <c r="H35" s="13">
        <f>Reference!F177</f>
        <v>178096.484</v>
      </c>
      <c r="I35" s="13">
        <f>Reference!G177</f>
        <v>14.079000000000001</v>
      </c>
      <c r="J35" s="14">
        <f t="shared" si="8"/>
        <v>49.471245555555555</v>
      </c>
      <c r="L35" s="12">
        <f>Test!B177</f>
        <v>4676.3711999999996</v>
      </c>
      <c r="M35" s="13">
        <f>Test!C177</f>
        <v>38.456600000000002</v>
      </c>
      <c r="N35" s="13">
        <f>Test!D177</f>
        <v>45.529499999999999</v>
      </c>
      <c r="O35" s="13">
        <f>Test!E177</f>
        <v>45.737099999999998</v>
      </c>
      <c r="P35" s="13">
        <f>Test!F177</f>
        <v>176719.42199999999</v>
      </c>
      <c r="Q35" s="13">
        <f>Test!G177</f>
        <v>13.958</v>
      </c>
      <c r="R35" s="14">
        <f t="shared" si="9"/>
        <v>49.088728333333329</v>
      </c>
      <c r="S35" s="12">
        <f t="shared" si="7"/>
        <v>0.99226788778154651</v>
      </c>
      <c r="T35" s="13">
        <f t="shared" si="7"/>
        <v>0.99140563960508554</v>
      </c>
      <c r="U35" s="90"/>
      <c r="V35" s="37">
        <f>bdrate($D35:$D38,E35:E38,$L35:$L38,M35:M38)</f>
        <v>-3.6888649557753617E-5</v>
      </c>
      <c r="W35" s="42">
        <f>bdrate($D35:$D38,F35:F38,$L35:$L38,N35:N38)</f>
        <v>6.6022784841865967E-3</v>
      </c>
      <c r="X35" s="42">
        <f>bdrate($D35:$D38,G35:G38,$L35:$L38,O35:O38)</f>
        <v>1.46346005365805E-3</v>
      </c>
      <c r="Y35" s="40">
        <f>bdrateOld($D35:$D38,E35:E38,$L35:$L38,M35:M38)</f>
        <v>2.3056115983188796E-4</v>
      </c>
      <c r="Z35" s="44">
        <f>bdrateOld($D35:$D38,F35:F38,$L35:$L38,N35:N38)</f>
        <v>6.5620667038002178E-3</v>
      </c>
      <c r="AA35" s="45">
        <f>bdrateOld($D35:$D38,G35:G38,$L35:$L38,O35:O38)</f>
        <v>1.4510297201963951E-3</v>
      </c>
    </row>
    <row r="36" spans="1:27" x14ac:dyDescent="0.2">
      <c r="A36" s="16" t="s">
        <v>52</v>
      </c>
      <c r="B36" s="85"/>
      <c r="C36" s="16">
        <v>32</v>
      </c>
      <c r="D36" s="17">
        <f>Reference!B178</f>
        <v>1631.5072</v>
      </c>
      <c r="E36" s="18">
        <f>Reference!C178</f>
        <v>36.460099999999997</v>
      </c>
      <c r="F36" s="18">
        <f>Reference!D178</f>
        <v>44.547899999999998</v>
      </c>
      <c r="G36" s="18">
        <f>Reference!E178</f>
        <v>44.764899999999997</v>
      </c>
      <c r="H36" s="18">
        <f>Reference!F178</f>
        <v>89564.202999999994</v>
      </c>
      <c r="I36" s="18">
        <f>Reference!G178</f>
        <v>10.167</v>
      </c>
      <c r="J36" s="19">
        <f t="shared" si="8"/>
        <v>24.878945277777778</v>
      </c>
      <c r="L36" s="17">
        <f>Test!B178</f>
        <v>1633.4559999999999</v>
      </c>
      <c r="M36" s="18">
        <f>Test!C178</f>
        <v>36.4649</v>
      </c>
      <c r="N36" s="18">
        <f>Test!D178</f>
        <v>44.539000000000001</v>
      </c>
      <c r="O36" s="18">
        <f>Test!E178</f>
        <v>44.749200000000002</v>
      </c>
      <c r="P36" s="18">
        <f>Test!F178</f>
        <v>90400.710999999996</v>
      </c>
      <c r="Q36" s="18">
        <f>Test!G178</f>
        <v>10.474</v>
      </c>
      <c r="R36" s="19">
        <f t="shared" si="9"/>
        <v>25.111308611111109</v>
      </c>
      <c r="S36" s="17">
        <f t="shared" si="7"/>
        <v>1.0093397582067469</v>
      </c>
      <c r="T36" s="18">
        <f t="shared" si="7"/>
        <v>1.0301957312874988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Reference!B179</f>
        <v>651.71519999999998</v>
      </c>
      <c r="E37" s="18">
        <f>Reference!C179</f>
        <v>34.033799999999999</v>
      </c>
      <c r="F37" s="18">
        <f>Reference!D179</f>
        <v>43.205399999999997</v>
      </c>
      <c r="G37" s="18">
        <f>Reference!E179</f>
        <v>43.345199999999998</v>
      </c>
      <c r="H37" s="18">
        <f>Reference!F179</f>
        <v>51116.722999999998</v>
      </c>
      <c r="I37" s="18">
        <f>Reference!G179</f>
        <v>7.8540000000000001</v>
      </c>
      <c r="J37" s="19">
        <f t="shared" si="8"/>
        <v>14.199089722222222</v>
      </c>
      <c r="L37" s="17">
        <f>Test!B179</f>
        <v>653.10239999999999</v>
      </c>
      <c r="M37" s="18">
        <f>Test!C179</f>
        <v>34.035299999999999</v>
      </c>
      <c r="N37" s="18">
        <f>Test!D179</f>
        <v>43.1965</v>
      </c>
      <c r="O37" s="18">
        <f>Test!E179</f>
        <v>43.357100000000003</v>
      </c>
      <c r="P37" s="18">
        <f>Test!F179</f>
        <v>52331.245999999999</v>
      </c>
      <c r="Q37" s="18">
        <f>Test!G179</f>
        <v>8.1859999999999999</v>
      </c>
      <c r="R37" s="19">
        <f t="shared" si="9"/>
        <v>14.536457222222221</v>
      </c>
      <c r="S37" s="17">
        <f t="shared" si="7"/>
        <v>1.0237597977475983</v>
      </c>
      <c r="T37" s="18">
        <f t="shared" si="7"/>
        <v>1.04227145403616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Reference!B180</f>
        <v>275.03680000000003</v>
      </c>
      <c r="E38" s="23">
        <f>Reference!C180</f>
        <v>31.0291</v>
      </c>
      <c r="F38" s="23">
        <f>Reference!D180</f>
        <v>41.9285</v>
      </c>
      <c r="G38" s="23">
        <f>Reference!E180</f>
        <v>42.004899999999999</v>
      </c>
      <c r="H38" s="23">
        <f>Reference!F180</f>
        <v>29530.125</v>
      </c>
      <c r="I38" s="23">
        <f>Reference!G180</f>
        <v>6.3630000000000004</v>
      </c>
      <c r="J38" s="24">
        <f t="shared" si="8"/>
        <v>8.2028125000000003</v>
      </c>
      <c r="L38" s="22">
        <f>Test!B180</f>
        <v>273.42079999999999</v>
      </c>
      <c r="M38" s="23">
        <f>Test!C180</f>
        <v>31.017800000000001</v>
      </c>
      <c r="N38" s="23">
        <f>Test!D180</f>
        <v>41.906500000000001</v>
      </c>
      <c r="O38" s="23">
        <f>Test!E180</f>
        <v>42.000599999999999</v>
      </c>
      <c r="P38" s="23">
        <f>Test!F180</f>
        <v>29783.812000000002</v>
      </c>
      <c r="Q38" s="23">
        <f>Test!G180</f>
        <v>6.3810000000000002</v>
      </c>
      <c r="R38" s="24">
        <f t="shared" si="9"/>
        <v>8.2732811111111122</v>
      </c>
      <c r="S38" s="17">
        <f t="shared" si="7"/>
        <v>1.0085907865273176</v>
      </c>
      <c r="T38" s="18">
        <f t="shared" si="7"/>
        <v>1.0028288543140027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Reference!B181</f>
        <v>3773.4335999999998</v>
      </c>
      <c r="E39" s="13">
        <f>Reference!C181</f>
        <v>40.5336</v>
      </c>
      <c r="F39" s="13">
        <f>Reference!D181</f>
        <v>45.262799999999999</v>
      </c>
      <c r="G39" s="13">
        <f>Reference!E181</f>
        <v>46.059800000000003</v>
      </c>
      <c r="H39" s="13">
        <f>Reference!F181</f>
        <v>153004.45300000001</v>
      </c>
      <c r="I39" s="13">
        <f>Reference!G181</f>
        <v>15.148999999999999</v>
      </c>
      <c r="J39" s="14">
        <f t="shared" si="8"/>
        <v>42.50123694444445</v>
      </c>
      <c r="L39" s="12">
        <f>Test!B181</f>
        <v>3767.8224</v>
      </c>
      <c r="M39" s="13">
        <f>Test!C181</f>
        <v>40.534300000000002</v>
      </c>
      <c r="N39" s="13">
        <f>Test!D181</f>
        <v>45.2575</v>
      </c>
      <c r="O39" s="13">
        <f>Test!E181</f>
        <v>46.063000000000002</v>
      </c>
      <c r="P39" s="13">
        <f>Test!F181</f>
        <v>157236.609</v>
      </c>
      <c r="Q39" s="13">
        <f>Test!G181</f>
        <v>15.319000000000001</v>
      </c>
      <c r="R39" s="14">
        <f t="shared" si="9"/>
        <v>43.676835833333335</v>
      </c>
      <c r="S39" s="17">
        <f t="shared" si="7"/>
        <v>1.027660345284199</v>
      </c>
      <c r="T39" s="18">
        <f t="shared" si="7"/>
        <v>1.0112218628292298</v>
      </c>
      <c r="U39" s="91"/>
      <c r="V39" s="37">
        <f>bdrate($D39:$D42,E39:E42,$L39:$L42,M39:M42)</f>
        <v>-3.8437964103010813E-4</v>
      </c>
      <c r="W39" s="42">
        <f>bdrate($D39:$D42,F39:F42,$L39:$L42,N39:N42)</f>
        <v>1.3245301470918847E-3</v>
      </c>
      <c r="X39" s="42">
        <f>bdrate($D39:$D42,G39:G42,$L39:$L42,O39:O42)</f>
        <v>-5.4717070243895938E-3</v>
      </c>
      <c r="Y39" s="40">
        <f>bdrateOld($D39:$D42,E39:E42,$L39:$L42,M39:M42)</f>
        <v>-4.3224275204289953E-4</v>
      </c>
      <c r="Z39" s="44">
        <f>bdrateOld($D39:$D42,F39:F42,$L39:$L42,N39:N42)</f>
        <v>1.7081472681625964E-3</v>
      </c>
      <c r="AA39" s="45">
        <f>bdrateOld($D39:$D42,G39:G42,$L39:$L42,O39:O42)</f>
        <v>-5.5656584984711266E-3</v>
      </c>
    </row>
    <row r="40" spans="1:27" x14ac:dyDescent="0.2">
      <c r="A40" s="16"/>
      <c r="B40" s="85"/>
      <c r="C40" s="16">
        <v>32</v>
      </c>
      <c r="D40" s="17">
        <f>Reference!B182</f>
        <v>1703.84</v>
      </c>
      <c r="E40" s="18">
        <f>Reference!C182</f>
        <v>38.878799999999998</v>
      </c>
      <c r="F40" s="18">
        <f>Reference!D182</f>
        <v>44.4407</v>
      </c>
      <c r="G40" s="18">
        <f>Reference!E182</f>
        <v>44.523299999999999</v>
      </c>
      <c r="H40" s="18">
        <f>Reference!F182</f>
        <v>89647.539000000004</v>
      </c>
      <c r="I40" s="18">
        <f>Reference!G182</f>
        <v>12.471</v>
      </c>
      <c r="J40" s="19">
        <f t="shared" si="8"/>
        <v>24.902094166666668</v>
      </c>
      <c r="L40" s="17">
        <f>Test!B182</f>
        <v>1702.5871999999999</v>
      </c>
      <c r="M40" s="18">
        <f>Test!C182</f>
        <v>38.877299999999998</v>
      </c>
      <c r="N40" s="18">
        <f>Test!D182</f>
        <v>44.440199999999997</v>
      </c>
      <c r="O40" s="18">
        <f>Test!E182</f>
        <v>44.5274</v>
      </c>
      <c r="P40" s="18">
        <f>Test!F182</f>
        <v>89953.952999999994</v>
      </c>
      <c r="Q40" s="18">
        <f>Test!G182</f>
        <v>12.452999999999999</v>
      </c>
      <c r="R40" s="19">
        <f t="shared" si="9"/>
        <v>24.987209166666666</v>
      </c>
      <c r="S40" s="17">
        <f t="shared" si="7"/>
        <v>1.003417985629254</v>
      </c>
      <c r="T40" s="18">
        <f t="shared" si="7"/>
        <v>0.99855665143132066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Reference!B183</f>
        <v>813.72</v>
      </c>
      <c r="E41" s="18">
        <f>Reference!C183</f>
        <v>36.9131</v>
      </c>
      <c r="F41" s="18">
        <f>Reference!D183</f>
        <v>43.4193</v>
      </c>
      <c r="G41" s="18">
        <f>Reference!E183</f>
        <v>42.713799999999999</v>
      </c>
      <c r="H41" s="18">
        <f>Reference!F183</f>
        <v>49676.906000000003</v>
      </c>
      <c r="I41" s="18">
        <f>Reference!G183</f>
        <v>9.6989999999999998</v>
      </c>
      <c r="J41" s="19">
        <f t="shared" si="8"/>
        <v>13.799140555555557</v>
      </c>
      <c r="L41" s="17">
        <f>Test!B183</f>
        <v>813.76639999999998</v>
      </c>
      <c r="M41" s="18">
        <f>Test!C183</f>
        <v>36.912799999999997</v>
      </c>
      <c r="N41" s="18">
        <f>Test!D183</f>
        <v>43.408700000000003</v>
      </c>
      <c r="O41" s="18">
        <f>Test!E183</f>
        <v>42.727200000000003</v>
      </c>
      <c r="P41" s="18">
        <f>Test!F183</f>
        <v>50413.101999999999</v>
      </c>
      <c r="Q41" s="18">
        <f>Test!G183</f>
        <v>10.116</v>
      </c>
      <c r="R41" s="19">
        <f t="shared" si="9"/>
        <v>14.003639444444444</v>
      </c>
      <c r="S41" s="17">
        <f t="shared" si="7"/>
        <v>1.0148196830132696</v>
      </c>
      <c r="T41" s="18">
        <f t="shared" si="7"/>
        <v>1.0429941231054747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Reference!B184</f>
        <v>380.64800000000002</v>
      </c>
      <c r="E42" s="23">
        <f>Reference!C184</f>
        <v>34.6661</v>
      </c>
      <c r="F42" s="23">
        <f>Reference!D184</f>
        <v>42.103299999999997</v>
      </c>
      <c r="G42" s="23">
        <f>Reference!E184</f>
        <v>40.647599999999997</v>
      </c>
      <c r="H42" s="23">
        <f>Reference!F184</f>
        <v>26083.521000000001</v>
      </c>
      <c r="I42" s="23">
        <f>Reference!G184</f>
        <v>7.569</v>
      </c>
      <c r="J42" s="24">
        <f t="shared" si="8"/>
        <v>7.2454225000000001</v>
      </c>
      <c r="L42" s="22">
        <f>Test!B184</f>
        <v>381.30239999999998</v>
      </c>
      <c r="M42" s="23">
        <f>Test!C184</f>
        <v>34.676400000000001</v>
      </c>
      <c r="N42" s="23">
        <f>Test!D184</f>
        <v>42.1325</v>
      </c>
      <c r="O42" s="23">
        <f>Test!E184</f>
        <v>40.694800000000001</v>
      </c>
      <c r="P42" s="23">
        <f>Test!F184</f>
        <v>26554.708999999999</v>
      </c>
      <c r="Q42" s="23">
        <f>Test!G184</f>
        <v>7.84</v>
      </c>
      <c r="R42" s="24">
        <f t="shared" si="9"/>
        <v>7.3763080555555556</v>
      </c>
      <c r="S42" s="17">
        <f t="shared" si="7"/>
        <v>1.0180645856822781</v>
      </c>
      <c r="T42" s="18">
        <f t="shared" si="7"/>
        <v>1.0358039371119039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Reference!B185</f>
        <v>917.99519999999995</v>
      </c>
      <c r="E43" s="13">
        <f>Reference!C185</f>
        <v>42.971499999999999</v>
      </c>
      <c r="F43" s="13">
        <f>Reference!D185</f>
        <v>46.786200000000001</v>
      </c>
      <c r="G43" s="13">
        <f>Reference!E185</f>
        <v>47.612699999999997</v>
      </c>
      <c r="H43" s="13">
        <f>Reference!F185</f>
        <v>59687.188000000002</v>
      </c>
      <c r="I43" s="13">
        <f>Reference!G185</f>
        <v>7.8250000000000002</v>
      </c>
      <c r="J43" s="14">
        <f t="shared" si="8"/>
        <v>16.579774444444446</v>
      </c>
      <c r="L43" s="12">
        <f>Test!B185</f>
        <v>917.28959999999995</v>
      </c>
      <c r="M43" s="13">
        <f>Test!C185</f>
        <v>42.974899999999998</v>
      </c>
      <c r="N43" s="13">
        <f>Test!D185</f>
        <v>46.779699999999998</v>
      </c>
      <c r="O43" s="13">
        <f>Test!E185</f>
        <v>47.596899999999998</v>
      </c>
      <c r="P43" s="13">
        <f>Test!F185</f>
        <v>59765.476999999999</v>
      </c>
      <c r="Q43" s="13">
        <f>Test!G185</f>
        <v>8.0280000000000005</v>
      </c>
      <c r="R43" s="14">
        <f t="shared" si="9"/>
        <v>16.601521388888887</v>
      </c>
      <c r="S43" s="17">
        <f t="shared" si="7"/>
        <v>1.0013116550238552</v>
      </c>
      <c r="T43" s="18">
        <f t="shared" si="7"/>
        <v>1.0259424920127795</v>
      </c>
      <c r="U43" s="91"/>
      <c r="V43" s="37">
        <f>bdrate($D43:$D46,E43:E46,$L43:$L46,M43:M46)</f>
        <v>-1.7922435960595617E-3</v>
      </c>
      <c r="W43" s="42">
        <f>bdrate($D43:$D46,F43:F46,$L43:$L46,N43:N46)</f>
        <v>-5.6721672505792853E-3</v>
      </c>
      <c r="X43" s="42">
        <f>bdrate($D43:$D46,G43:G46,$L43:$L46,O43:O46)</f>
        <v>-2.7552425742061182E-4</v>
      </c>
      <c r="Y43" s="40">
        <f>bdrateOld($D43:$D46,E43:E46,$L43:$L46,M43:M46)</f>
        <v>-1.9259554920634248E-3</v>
      </c>
      <c r="Z43" s="44">
        <f>bdrateOld($D43:$D46,F43:F46,$L43:$L46,N43:N46)</f>
        <v>-3.1083652019351371E-3</v>
      </c>
      <c r="AA43" s="45">
        <f>bdrateOld($D43:$D46,G43:G46,$L43:$L46,O43:O46)</f>
        <v>-9.0517357059549663E-4</v>
      </c>
    </row>
    <row r="44" spans="1:27" x14ac:dyDescent="0.2">
      <c r="A44" s="16"/>
      <c r="B44" s="85"/>
      <c r="C44" s="16">
        <v>32</v>
      </c>
      <c r="D44" s="17">
        <f>Reference!B186</f>
        <v>468.488</v>
      </c>
      <c r="E44" s="18">
        <f>Reference!C186</f>
        <v>41.298499999999997</v>
      </c>
      <c r="F44" s="18">
        <f>Reference!D186</f>
        <v>45.937600000000003</v>
      </c>
      <c r="G44" s="18">
        <f>Reference!E186</f>
        <v>46.558799999999998</v>
      </c>
      <c r="H44" s="18">
        <f>Reference!F186</f>
        <v>35041.226999999999</v>
      </c>
      <c r="I44" s="18">
        <f>Reference!G186</f>
        <v>6.5789999999999997</v>
      </c>
      <c r="J44" s="19">
        <f t="shared" si="8"/>
        <v>9.7336741666666668</v>
      </c>
      <c r="L44" s="17">
        <f>Test!B186</f>
        <v>468.89600000000002</v>
      </c>
      <c r="M44" s="18">
        <f>Test!C186</f>
        <v>41.303400000000003</v>
      </c>
      <c r="N44" s="18">
        <f>Test!D186</f>
        <v>45.967799999999997</v>
      </c>
      <c r="O44" s="18">
        <f>Test!E186</f>
        <v>46.5488</v>
      </c>
      <c r="P44" s="18">
        <f>Test!F186</f>
        <v>35705.711000000003</v>
      </c>
      <c r="Q44" s="18">
        <f>Test!G186</f>
        <v>6.7009999999999996</v>
      </c>
      <c r="R44" s="19">
        <f t="shared" si="9"/>
        <v>9.9182530555555566</v>
      </c>
      <c r="S44" s="17">
        <f t="shared" si="7"/>
        <v>1.0189629204479627</v>
      </c>
      <c r="T44" s="18">
        <f t="shared" si="7"/>
        <v>1.0185438516491867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Reference!B187</f>
        <v>249.78720000000001</v>
      </c>
      <c r="E45" s="18">
        <f>Reference!C187</f>
        <v>39.070500000000003</v>
      </c>
      <c r="F45" s="18">
        <f>Reference!D187</f>
        <v>44.763100000000001</v>
      </c>
      <c r="G45" s="18">
        <f>Reference!E187</f>
        <v>45.157600000000002</v>
      </c>
      <c r="H45" s="18">
        <f>Reference!F187</f>
        <v>20151.692999999999</v>
      </c>
      <c r="I45" s="18">
        <f>Reference!G187</f>
        <v>5.5069999999999997</v>
      </c>
      <c r="J45" s="19">
        <f t="shared" si="8"/>
        <v>5.5976925</v>
      </c>
      <c r="L45" s="17">
        <f>Test!B187</f>
        <v>249.4864</v>
      </c>
      <c r="M45" s="18">
        <f>Test!C187</f>
        <v>39.0762</v>
      </c>
      <c r="N45" s="18">
        <f>Test!D187</f>
        <v>44.75</v>
      </c>
      <c r="O45" s="18">
        <f>Test!E187</f>
        <v>45.170900000000003</v>
      </c>
      <c r="P45" s="18">
        <f>Test!F187</f>
        <v>20411.171999999999</v>
      </c>
      <c r="Q45" s="18">
        <f>Test!G187</f>
        <v>5.7320000000000002</v>
      </c>
      <c r="R45" s="19">
        <f t="shared" si="9"/>
        <v>5.6697699999999998</v>
      </c>
      <c r="S45" s="17">
        <f t="shared" si="7"/>
        <v>1.012876287863258</v>
      </c>
      <c r="T45" s="18">
        <f t="shared" si="7"/>
        <v>1.0408570909751227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Reference!B188</f>
        <v>135.88319999999999</v>
      </c>
      <c r="E46" s="23">
        <f>Reference!C188</f>
        <v>36.289499999999997</v>
      </c>
      <c r="F46" s="23">
        <f>Reference!D188</f>
        <v>43.033999999999999</v>
      </c>
      <c r="G46" s="23">
        <f>Reference!E188</f>
        <v>43.249200000000002</v>
      </c>
      <c r="H46" s="23">
        <f>Reference!F188</f>
        <v>11772.521000000001</v>
      </c>
      <c r="I46" s="23">
        <f>Reference!G188</f>
        <v>4.7699999999999996</v>
      </c>
      <c r="J46" s="24">
        <f t="shared" si="8"/>
        <v>3.2701447222222222</v>
      </c>
      <c r="L46" s="22">
        <f>Test!B188</f>
        <v>135.82079999999999</v>
      </c>
      <c r="M46" s="23">
        <f>Test!C188</f>
        <v>36.292200000000001</v>
      </c>
      <c r="N46" s="23">
        <f>Test!D188</f>
        <v>43.099299999999999</v>
      </c>
      <c r="O46" s="23">
        <f>Test!E188</f>
        <v>43.247100000000003</v>
      </c>
      <c r="P46" s="23">
        <f>Test!F188</f>
        <v>11933.683999999999</v>
      </c>
      <c r="Q46" s="23">
        <f>Test!G188</f>
        <v>5.101</v>
      </c>
      <c r="R46" s="24">
        <f t="shared" si="9"/>
        <v>3.314912222222222</v>
      </c>
      <c r="S46" s="17">
        <f t="shared" si="7"/>
        <v>1.0136897610970494</v>
      </c>
      <c r="T46" s="18">
        <f t="shared" si="7"/>
        <v>1.069392033542977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Reference!B189</f>
        <v>1257.3599999999999</v>
      </c>
      <c r="E47" s="13">
        <f>Reference!C189</f>
        <v>42.676299999999998</v>
      </c>
      <c r="F47" s="13">
        <f>Reference!D189</f>
        <v>48.558199999999999</v>
      </c>
      <c r="G47" s="13">
        <f>Reference!E189</f>
        <v>47.600299999999997</v>
      </c>
      <c r="H47" s="13">
        <f>Reference!F189</f>
        <v>65798.820000000007</v>
      </c>
      <c r="I47" s="13">
        <f>Reference!G189</f>
        <v>8.6999999999999993</v>
      </c>
      <c r="J47" s="14">
        <f>H47/3600</f>
        <v>18.277450000000002</v>
      </c>
      <c r="L47" s="12">
        <f>Test!B189</f>
        <v>1255.3552</v>
      </c>
      <c r="M47" s="13">
        <f>Test!C189</f>
        <v>42.682499999999997</v>
      </c>
      <c r="N47" s="13">
        <f>Test!D189</f>
        <v>48.537700000000001</v>
      </c>
      <c r="O47" s="13">
        <f>Test!E189</f>
        <v>47.673699999999997</v>
      </c>
      <c r="P47" s="13">
        <f>Test!F189</f>
        <v>65672.327999999994</v>
      </c>
      <c r="Q47" s="13">
        <f>Test!G189</f>
        <v>8.8800000000000008</v>
      </c>
      <c r="R47" s="14">
        <f>P47/3600</f>
        <v>18.242313333333332</v>
      </c>
      <c r="S47" s="17">
        <f t="shared" ref="S47:T62" si="10">P47/H47</f>
        <v>0.99807759470458568</v>
      </c>
      <c r="T47" s="18">
        <f t="shared" si="10"/>
        <v>1.0206896551724141</v>
      </c>
      <c r="U47" s="91"/>
      <c r="V47" s="37">
        <f>bdrate($D47:$D50,E47:E50,$L47:$L50,M47:M50)</f>
        <v>-1.3091132788960458E-3</v>
      </c>
      <c r="W47" s="42">
        <f>bdrate($D47:$D50,F47:F50,$L47:$L50,N47:N50)</f>
        <v>-6.5806614920635997E-3</v>
      </c>
      <c r="X47" s="43">
        <f>bdrate($D47:$D50,G47:G50,$L47:$L50,O47:O50)</f>
        <v>2.5727327706687619E-2</v>
      </c>
      <c r="Y47" s="37">
        <f>bdrateOld($D47:$D50,E47:E50,$L47:$L50,M47:M50)</f>
        <v>-1.2974725398106068E-3</v>
      </c>
      <c r="Z47" s="42">
        <f>bdrateOld($D47:$D50,F47:F50,$L47:$L50,N47:N50)</f>
        <v>-6.0728224533038722E-3</v>
      </c>
      <c r="AA47" s="43">
        <f>bdrateOld($D47:$D50,G47:G50,$L47:$L50,O47:O50)</f>
        <v>5.9064216095605637E-4</v>
      </c>
    </row>
    <row r="48" spans="1:27" x14ac:dyDescent="0.2">
      <c r="A48" s="16"/>
      <c r="B48" s="85"/>
      <c r="C48" s="16">
        <v>32</v>
      </c>
      <c r="D48" s="17">
        <f>Reference!B190</f>
        <v>606.52</v>
      </c>
      <c r="E48" s="18">
        <f>Reference!C190</f>
        <v>40.899700000000003</v>
      </c>
      <c r="F48" s="18">
        <f>Reference!D190</f>
        <v>47.768500000000003</v>
      </c>
      <c r="G48" s="18">
        <f>Reference!E190</f>
        <v>46.985199999999999</v>
      </c>
      <c r="H48" s="18">
        <f>Reference!F190</f>
        <v>37507.902000000002</v>
      </c>
      <c r="I48" s="18">
        <f>Reference!G190</f>
        <v>6.4989999999999997</v>
      </c>
      <c r="J48" s="19">
        <f t="shared" ref="J48:J70" si="11">H48/3600</f>
        <v>10.418861666666666</v>
      </c>
      <c r="L48" s="17">
        <f>Test!B190</f>
        <v>607.04160000000002</v>
      </c>
      <c r="M48" s="18">
        <f>Test!C190</f>
        <v>40.908900000000003</v>
      </c>
      <c r="N48" s="18">
        <f>Test!D190</f>
        <v>47.771500000000003</v>
      </c>
      <c r="O48" s="18">
        <f>Test!E190</f>
        <v>46.862699999999997</v>
      </c>
      <c r="P48" s="18">
        <f>Test!F190</f>
        <v>38928.546999999999</v>
      </c>
      <c r="Q48" s="18">
        <f>Test!G190</f>
        <v>6.6529999999999996</v>
      </c>
      <c r="R48" s="19">
        <f t="shared" ref="R48:R70" si="12">P48/3600</f>
        <v>10.813485277777778</v>
      </c>
      <c r="S48" s="17">
        <f t="shared" si="10"/>
        <v>1.0378758854600825</v>
      </c>
      <c r="T48" s="18">
        <f t="shared" si="10"/>
        <v>1.0236959532235728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Reference!B191</f>
        <v>322.7072</v>
      </c>
      <c r="E49" s="18">
        <f>Reference!C191</f>
        <v>38.521700000000003</v>
      </c>
      <c r="F49" s="18">
        <f>Reference!D191</f>
        <v>46.616799999999998</v>
      </c>
      <c r="G49" s="18">
        <f>Reference!E191</f>
        <v>45.488500000000002</v>
      </c>
      <c r="H49" s="18">
        <f>Reference!F191</f>
        <v>21859.859</v>
      </c>
      <c r="I49" s="18">
        <f>Reference!G191</f>
        <v>5.5629999999999997</v>
      </c>
      <c r="J49" s="19">
        <f t="shared" si="11"/>
        <v>6.0721830555555556</v>
      </c>
      <c r="L49" s="17">
        <f>Test!B191</f>
        <v>322.50560000000002</v>
      </c>
      <c r="M49" s="18">
        <f>Test!C191</f>
        <v>38.5199</v>
      </c>
      <c r="N49" s="18">
        <f>Test!D191</f>
        <v>46.643500000000003</v>
      </c>
      <c r="O49" s="18">
        <f>Test!E191</f>
        <v>45.448599999999999</v>
      </c>
      <c r="P49" s="18">
        <f>Test!F191</f>
        <v>22373.094000000001</v>
      </c>
      <c r="Q49" s="18">
        <f>Test!G191</f>
        <v>5.8949999999999996</v>
      </c>
      <c r="R49" s="19">
        <f t="shared" si="12"/>
        <v>6.2147483333333335</v>
      </c>
      <c r="S49" s="17">
        <f t="shared" si="10"/>
        <v>1.0234784222533184</v>
      </c>
      <c r="T49" s="18">
        <f t="shared" si="10"/>
        <v>1.0596800287614596</v>
      </c>
      <c r="U49" s="91"/>
      <c r="V49" s="38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Reference!B192</f>
        <v>176.328</v>
      </c>
      <c r="E50" s="23">
        <f>Reference!C192</f>
        <v>35.425899999999999</v>
      </c>
      <c r="F50" s="23">
        <f>Reference!D192</f>
        <v>45.2301</v>
      </c>
      <c r="G50" s="23">
        <f>Reference!E192</f>
        <v>43.411499999999997</v>
      </c>
      <c r="H50" s="23">
        <f>Reference!F192</f>
        <v>13439.754000000001</v>
      </c>
      <c r="I50" s="23">
        <f>Reference!G192</f>
        <v>5.42</v>
      </c>
      <c r="J50" s="24">
        <f t="shared" si="11"/>
        <v>3.7332650000000003</v>
      </c>
      <c r="L50" s="22">
        <f>Test!B192</f>
        <v>176.1584</v>
      </c>
      <c r="M50" s="23">
        <f>Test!C192</f>
        <v>35.426299999999998</v>
      </c>
      <c r="N50" s="23">
        <f>Test!D192</f>
        <v>45.253700000000002</v>
      </c>
      <c r="O50" s="23">
        <f>Test!E192</f>
        <v>43.334600000000002</v>
      </c>
      <c r="P50" s="23">
        <f>Test!F192</f>
        <v>13775.691000000001</v>
      </c>
      <c r="Q50" s="23">
        <f>Test!G192</f>
        <v>4.9619999999999997</v>
      </c>
      <c r="R50" s="24">
        <f t="shared" si="12"/>
        <v>3.8265808333333333</v>
      </c>
      <c r="S50" s="22">
        <f t="shared" si="10"/>
        <v>1.0249957700118617</v>
      </c>
      <c r="T50" s="23">
        <f t="shared" si="10"/>
        <v>0.91549815498154974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Reference!B193</f>
        <v>0</v>
      </c>
      <c r="E51" s="13">
        <f>Reference!C193</f>
        <v>0</v>
      </c>
      <c r="F51" s="13">
        <f>Reference!D193</f>
        <v>0</v>
      </c>
      <c r="G51" s="13">
        <f>Reference!E193</f>
        <v>0</v>
      </c>
      <c r="H51" s="13">
        <f>Reference!F193</f>
        <v>0</v>
      </c>
      <c r="I51" s="13">
        <f>Reference!G193</f>
        <v>0</v>
      </c>
      <c r="J51" s="14">
        <f t="shared" si="11"/>
        <v>0</v>
      </c>
      <c r="L51" s="12">
        <f>Test!B193</f>
        <v>0</v>
      </c>
      <c r="M51" s="13">
        <f>Test!C193</f>
        <v>0</v>
      </c>
      <c r="N51" s="13">
        <f>Test!D193</f>
        <v>0</v>
      </c>
      <c r="O51" s="13">
        <f>Test!E193</f>
        <v>0</v>
      </c>
      <c r="P51" s="13">
        <f>Test!F193</f>
        <v>0</v>
      </c>
      <c r="Q51" s="13">
        <f>Test!G193</f>
        <v>0</v>
      </c>
      <c r="R51" s="14">
        <f t="shared" si="12"/>
        <v>0</v>
      </c>
      <c r="S51" s="12" t="e">
        <f t="shared" si="10"/>
        <v>#DIV/0!</v>
      </c>
      <c r="T51" s="13" t="e">
        <f t="shared" si="10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Reference!B194</f>
        <v>0</v>
      </c>
      <c r="E52" s="18">
        <f>Reference!C194</f>
        <v>0</v>
      </c>
      <c r="F52" s="18">
        <f>Reference!D194</f>
        <v>0</v>
      </c>
      <c r="G52" s="18">
        <f>Reference!E194</f>
        <v>0</v>
      </c>
      <c r="H52" s="18">
        <f>Reference!F194</f>
        <v>0</v>
      </c>
      <c r="I52" s="18">
        <f>Reference!G194</f>
        <v>0</v>
      </c>
      <c r="J52" s="19">
        <f t="shared" si="11"/>
        <v>0</v>
      </c>
      <c r="L52" s="17">
        <f>Test!B194</f>
        <v>0</v>
      </c>
      <c r="M52" s="18">
        <f>Test!C194</f>
        <v>0</v>
      </c>
      <c r="N52" s="18">
        <f>Test!D194</f>
        <v>0</v>
      </c>
      <c r="O52" s="18">
        <f>Test!E194</f>
        <v>0</v>
      </c>
      <c r="P52" s="18">
        <f>Test!F194</f>
        <v>0</v>
      </c>
      <c r="Q52" s="18">
        <f>Test!G194</f>
        <v>0</v>
      </c>
      <c r="R52" s="19">
        <f t="shared" si="12"/>
        <v>0</v>
      </c>
      <c r="S52" s="17" t="e">
        <f t="shared" si="10"/>
        <v>#DIV/0!</v>
      </c>
      <c r="T52" s="18" t="e">
        <f t="shared" si="10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Reference!B195</f>
        <v>0</v>
      </c>
      <c r="E53" s="18">
        <f>Reference!C195</f>
        <v>0</v>
      </c>
      <c r="F53" s="18">
        <f>Reference!D195</f>
        <v>0</v>
      </c>
      <c r="G53" s="18">
        <f>Reference!E195</f>
        <v>0</v>
      </c>
      <c r="H53" s="18">
        <f>Reference!F195</f>
        <v>0</v>
      </c>
      <c r="I53" s="18">
        <f>Reference!G195</f>
        <v>0</v>
      </c>
      <c r="J53" s="19">
        <f t="shared" si="11"/>
        <v>0</v>
      </c>
      <c r="L53" s="17">
        <f>Test!B195</f>
        <v>0</v>
      </c>
      <c r="M53" s="18">
        <f>Test!C195</f>
        <v>0</v>
      </c>
      <c r="N53" s="18">
        <f>Test!D195</f>
        <v>0</v>
      </c>
      <c r="O53" s="18">
        <f>Test!E195</f>
        <v>0</v>
      </c>
      <c r="P53" s="18">
        <f>Test!F195</f>
        <v>0</v>
      </c>
      <c r="Q53" s="18">
        <f>Test!G195</f>
        <v>0</v>
      </c>
      <c r="R53" s="19">
        <f t="shared" si="12"/>
        <v>0</v>
      </c>
      <c r="S53" s="17" t="e">
        <f t="shared" si="10"/>
        <v>#DIV/0!</v>
      </c>
      <c r="T53" s="18" t="e">
        <f t="shared" si="10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Reference!B196</f>
        <v>0</v>
      </c>
      <c r="E54" s="23">
        <f>Reference!C196</f>
        <v>0</v>
      </c>
      <c r="F54" s="23">
        <f>Reference!D196</f>
        <v>0</v>
      </c>
      <c r="G54" s="23">
        <f>Reference!E196</f>
        <v>0</v>
      </c>
      <c r="H54" s="23">
        <f>Reference!F196</f>
        <v>0</v>
      </c>
      <c r="I54" s="23">
        <f>Reference!G196</f>
        <v>0</v>
      </c>
      <c r="J54" s="24">
        <f t="shared" si="11"/>
        <v>0</v>
      </c>
      <c r="L54" s="22">
        <f>Test!B196</f>
        <v>0</v>
      </c>
      <c r="M54" s="23">
        <f>Test!C196</f>
        <v>0</v>
      </c>
      <c r="N54" s="23">
        <f>Test!D196</f>
        <v>0</v>
      </c>
      <c r="O54" s="23">
        <f>Test!E196</f>
        <v>0</v>
      </c>
      <c r="P54" s="23">
        <f>Test!F196</f>
        <v>0</v>
      </c>
      <c r="Q54" s="23">
        <f>Test!G196</f>
        <v>0</v>
      </c>
      <c r="R54" s="24">
        <f t="shared" si="12"/>
        <v>0</v>
      </c>
      <c r="S54" s="17" t="e">
        <f t="shared" si="10"/>
        <v>#DIV/0!</v>
      </c>
      <c r="T54" s="18" t="e">
        <f t="shared" si="10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Reference!B197</f>
        <v>0</v>
      </c>
      <c r="E55" s="13">
        <f>Reference!C197</f>
        <v>0</v>
      </c>
      <c r="F55" s="13">
        <f>Reference!D197</f>
        <v>0</v>
      </c>
      <c r="G55" s="13">
        <f>Reference!E197</f>
        <v>0</v>
      </c>
      <c r="H55" s="13">
        <f>Reference!F197</f>
        <v>0</v>
      </c>
      <c r="I55" s="13">
        <f>Reference!G197</f>
        <v>0</v>
      </c>
      <c r="J55" s="14">
        <f t="shared" si="11"/>
        <v>0</v>
      </c>
      <c r="L55" s="12">
        <f>Test!B197</f>
        <v>0</v>
      </c>
      <c r="M55" s="13">
        <f>Test!C197</f>
        <v>0</v>
      </c>
      <c r="N55" s="13">
        <f>Test!D197</f>
        <v>0</v>
      </c>
      <c r="O55" s="13">
        <f>Test!E197</f>
        <v>0</v>
      </c>
      <c r="P55" s="13">
        <f>Test!F197</f>
        <v>0</v>
      </c>
      <c r="Q55" s="13">
        <f>Test!G197</f>
        <v>0</v>
      </c>
      <c r="R55" s="14">
        <f t="shared" si="12"/>
        <v>0</v>
      </c>
      <c r="S55" s="17" t="e">
        <f t="shared" si="10"/>
        <v>#DIV/0!</v>
      </c>
      <c r="T55" s="18" t="e">
        <f t="shared" si="10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Reference!B198</f>
        <v>0</v>
      </c>
      <c r="E56" s="18">
        <f>Reference!C198</f>
        <v>0</v>
      </c>
      <c r="F56" s="18">
        <f>Reference!D198</f>
        <v>0</v>
      </c>
      <c r="G56" s="18">
        <f>Reference!E198</f>
        <v>0</v>
      </c>
      <c r="H56" s="18">
        <f>Reference!F198</f>
        <v>0</v>
      </c>
      <c r="I56" s="18">
        <f>Reference!G198</f>
        <v>0</v>
      </c>
      <c r="J56" s="19">
        <f t="shared" si="11"/>
        <v>0</v>
      </c>
      <c r="L56" s="17">
        <f>Test!B198</f>
        <v>0</v>
      </c>
      <c r="M56" s="18">
        <f>Test!C198</f>
        <v>0</v>
      </c>
      <c r="N56" s="18">
        <f>Test!D198</f>
        <v>0</v>
      </c>
      <c r="O56" s="18">
        <f>Test!E198</f>
        <v>0</v>
      </c>
      <c r="P56" s="18">
        <f>Test!F198</f>
        <v>0</v>
      </c>
      <c r="Q56" s="18">
        <f>Test!G198</f>
        <v>0</v>
      </c>
      <c r="R56" s="19">
        <f t="shared" si="12"/>
        <v>0</v>
      </c>
      <c r="S56" s="17" t="e">
        <f t="shared" si="10"/>
        <v>#DIV/0!</v>
      </c>
      <c r="T56" s="18" t="e">
        <f t="shared" si="10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Reference!B199</f>
        <v>0</v>
      </c>
      <c r="E57" s="18">
        <f>Reference!C199</f>
        <v>0</v>
      </c>
      <c r="F57" s="18">
        <f>Reference!D199</f>
        <v>0</v>
      </c>
      <c r="G57" s="18">
        <f>Reference!E199</f>
        <v>0</v>
      </c>
      <c r="H57" s="18">
        <f>Reference!F199</f>
        <v>0</v>
      </c>
      <c r="I57" s="18">
        <f>Reference!G199</f>
        <v>0</v>
      </c>
      <c r="J57" s="19">
        <f t="shared" si="11"/>
        <v>0</v>
      </c>
      <c r="L57" s="17">
        <f>Test!B199</f>
        <v>0</v>
      </c>
      <c r="M57" s="18">
        <f>Test!C199</f>
        <v>0</v>
      </c>
      <c r="N57" s="18">
        <f>Test!D199</f>
        <v>0</v>
      </c>
      <c r="O57" s="18">
        <f>Test!E199</f>
        <v>0</v>
      </c>
      <c r="P57" s="18">
        <f>Test!F199</f>
        <v>0</v>
      </c>
      <c r="Q57" s="18">
        <f>Test!G199</f>
        <v>0</v>
      </c>
      <c r="R57" s="19">
        <f t="shared" si="12"/>
        <v>0</v>
      </c>
      <c r="S57" s="17" t="e">
        <f t="shared" si="10"/>
        <v>#DIV/0!</v>
      </c>
      <c r="T57" s="18" t="e">
        <f t="shared" si="10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Reference!B200</f>
        <v>0</v>
      </c>
      <c r="E58" s="23">
        <f>Reference!C200</f>
        <v>0</v>
      </c>
      <c r="F58" s="23">
        <f>Reference!D200</f>
        <v>0</v>
      </c>
      <c r="G58" s="23">
        <f>Reference!E200</f>
        <v>0</v>
      </c>
      <c r="H58" s="23">
        <f>Reference!F200</f>
        <v>0</v>
      </c>
      <c r="I58" s="23">
        <f>Reference!G200</f>
        <v>0</v>
      </c>
      <c r="J58" s="24">
        <f t="shared" si="11"/>
        <v>0</v>
      </c>
      <c r="L58" s="22">
        <f>Test!B200</f>
        <v>0</v>
      </c>
      <c r="M58" s="23">
        <f>Test!C200</f>
        <v>0</v>
      </c>
      <c r="N58" s="23">
        <f>Test!D200</f>
        <v>0</v>
      </c>
      <c r="O58" s="23">
        <f>Test!E200</f>
        <v>0</v>
      </c>
      <c r="P58" s="23">
        <f>Test!F200</f>
        <v>0</v>
      </c>
      <c r="Q58" s="23">
        <f>Test!G200</f>
        <v>0</v>
      </c>
      <c r="R58" s="24">
        <f t="shared" si="12"/>
        <v>0</v>
      </c>
      <c r="S58" s="22" t="e">
        <f t="shared" si="10"/>
        <v>#DIV/0!</v>
      </c>
      <c r="T58" s="23" t="e">
        <f t="shared" si="10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Reference!B201</f>
        <v>0</v>
      </c>
      <c r="E59" s="13">
        <f>Reference!C201</f>
        <v>0</v>
      </c>
      <c r="F59" s="13">
        <f>Reference!D201</f>
        <v>0</v>
      </c>
      <c r="G59" s="13">
        <f>Reference!E201</f>
        <v>0</v>
      </c>
      <c r="H59" s="13">
        <f>Reference!F201</f>
        <v>0</v>
      </c>
      <c r="I59" s="13">
        <f>Reference!G201</f>
        <v>0</v>
      </c>
      <c r="J59" s="14">
        <f t="shared" si="11"/>
        <v>0</v>
      </c>
      <c r="L59" s="12">
        <f>Test!B201</f>
        <v>0</v>
      </c>
      <c r="M59" s="13">
        <f>Test!C201</f>
        <v>0</v>
      </c>
      <c r="N59" s="13">
        <f>Test!D201</f>
        <v>0</v>
      </c>
      <c r="O59" s="13">
        <f>Test!E201</f>
        <v>0</v>
      </c>
      <c r="P59" s="13">
        <f>Test!F201</f>
        <v>0</v>
      </c>
      <c r="Q59" s="13">
        <f>Test!G201</f>
        <v>0</v>
      </c>
      <c r="R59" s="14">
        <f t="shared" si="12"/>
        <v>0</v>
      </c>
      <c r="S59" s="12" t="e">
        <f t="shared" si="10"/>
        <v>#DIV/0!</v>
      </c>
      <c r="T59" s="13" t="e">
        <f t="shared" si="10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Reference!B202</f>
        <v>0</v>
      </c>
      <c r="E60" s="18">
        <f>Reference!C202</f>
        <v>0</v>
      </c>
      <c r="F60" s="18">
        <f>Reference!D202</f>
        <v>0</v>
      </c>
      <c r="G60" s="18">
        <f>Reference!E202</f>
        <v>0</v>
      </c>
      <c r="H60" s="18">
        <f>Reference!F202</f>
        <v>0</v>
      </c>
      <c r="I60" s="18">
        <f>Reference!G202</f>
        <v>0</v>
      </c>
      <c r="J60" s="19">
        <f t="shared" si="11"/>
        <v>0</v>
      </c>
      <c r="L60" s="17">
        <f>Test!B202</f>
        <v>0</v>
      </c>
      <c r="M60" s="18">
        <f>Test!C202</f>
        <v>0</v>
      </c>
      <c r="N60" s="18">
        <f>Test!D202</f>
        <v>0</v>
      </c>
      <c r="O60" s="18">
        <f>Test!E202</f>
        <v>0</v>
      </c>
      <c r="P60" s="18">
        <f>Test!F202</f>
        <v>0</v>
      </c>
      <c r="Q60" s="18">
        <f>Test!G202</f>
        <v>0</v>
      </c>
      <c r="R60" s="19">
        <f t="shared" si="12"/>
        <v>0</v>
      </c>
      <c r="S60" s="17" t="e">
        <f t="shared" si="10"/>
        <v>#DIV/0!</v>
      </c>
      <c r="T60" s="18" t="e">
        <f t="shared" si="10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Reference!B203</f>
        <v>0</v>
      </c>
      <c r="E61" s="18">
        <f>Reference!C203</f>
        <v>0</v>
      </c>
      <c r="F61" s="18">
        <f>Reference!D203</f>
        <v>0</v>
      </c>
      <c r="G61" s="18">
        <f>Reference!E203</f>
        <v>0</v>
      </c>
      <c r="H61" s="18">
        <f>Reference!F203</f>
        <v>0</v>
      </c>
      <c r="I61" s="18">
        <f>Reference!G203</f>
        <v>0</v>
      </c>
      <c r="J61" s="19">
        <f t="shared" si="11"/>
        <v>0</v>
      </c>
      <c r="L61" s="17">
        <f>Test!B203</f>
        <v>0</v>
      </c>
      <c r="M61" s="18">
        <f>Test!C203</f>
        <v>0</v>
      </c>
      <c r="N61" s="18">
        <f>Test!D203</f>
        <v>0</v>
      </c>
      <c r="O61" s="18">
        <f>Test!E203</f>
        <v>0</v>
      </c>
      <c r="P61" s="18">
        <f>Test!F203</f>
        <v>0</v>
      </c>
      <c r="Q61" s="18">
        <f>Test!G203</f>
        <v>0</v>
      </c>
      <c r="R61" s="19">
        <f t="shared" si="12"/>
        <v>0</v>
      </c>
      <c r="S61" s="17" t="e">
        <f t="shared" si="10"/>
        <v>#DIV/0!</v>
      </c>
      <c r="T61" s="18" t="e">
        <f t="shared" si="10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Reference!B204</f>
        <v>0</v>
      </c>
      <c r="E62" s="23">
        <f>Reference!C204</f>
        <v>0</v>
      </c>
      <c r="F62" s="23">
        <f>Reference!D204</f>
        <v>0</v>
      </c>
      <c r="G62" s="23">
        <f>Reference!E204</f>
        <v>0</v>
      </c>
      <c r="H62" s="23">
        <f>Reference!F204</f>
        <v>0</v>
      </c>
      <c r="I62" s="23">
        <f>Reference!G204</f>
        <v>0</v>
      </c>
      <c r="J62" s="24">
        <f t="shared" si="11"/>
        <v>0</v>
      </c>
      <c r="L62" s="22">
        <f>Test!B204</f>
        <v>0</v>
      </c>
      <c r="M62" s="23">
        <f>Test!C204</f>
        <v>0</v>
      </c>
      <c r="N62" s="23">
        <f>Test!D204</f>
        <v>0</v>
      </c>
      <c r="O62" s="23">
        <f>Test!E204</f>
        <v>0</v>
      </c>
      <c r="P62" s="23">
        <f>Test!F204</f>
        <v>0</v>
      </c>
      <c r="Q62" s="23">
        <f>Test!G204</f>
        <v>0</v>
      </c>
      <c r="R62" s="24">
        <f t="shared" si="12"/>
        <v>0</v>
      </c>
      <c r="S62" s="17" t="e">
        <f t="shared" si="10"/>
        <v>#DIV/0!</v>
      </c>
      <c r="T62" s="18" t="e">
        <f t="shared" si="10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Reference!B205</f>
        <v>0</v>
      </c>
      <c r="E63" s="13">
        <f>Reference!C205</f>
        <v>0</v>
      </c>
      <c r="F63" s="13">
        <f>Reference!D205</f>
        <v>0</v>
      </c>
      <c r="G63" s="13">
        <f>Reference!E205</f>
        <v>0</v>
      </c>
      <c r="H63" s="13">
        <f>Reference!F205</f>
        <v>0</v>
      </c>
      <c r="I63" s="13">
        <f>Reference!G205</f>
        <v>0</v>
      </c>
      <c r="J63" s="14">
        <f t="shared" si="11"/>
        <v>0</v>
      </c>
      <c r="L63" s="12">
        <f>Test!B205</f>
        <v>0</v>
      </c>
      <c r="M63" s="13">
        <f>Test!C205</f>
        <v>0</v>
      </c>
      <c r="N63" s="13">
        <f>Test!D205</f>
        <v>0</v>
      </c>
      <c r="O63" s="13">
        <f>Test!E205</f>
        <v>0</v>
      </c>
      <c r="P63" s="13">
        <f>Test!F205</f>
        <v>0</v>
      </c>
      <c r="Q63" s="13">
        <f>Test!G205</f>
        <v>0</v>
      </c>
      <c r="R63" s="14">
        <f t="shared" si="12"/>
        <v>0</v>
      </c>
      <c r="S63" s="17" t="e">
        <f t="shared" ref="S63:S74" si="13">P63/H63</f>
        <v>#DIV/0!</v>
      </c>
      <c r="T63" s="18" t="e">
        <f t="shared" ref="T63:T74" si="14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Reference!B206</f>
        <v>0</v>
      </c>
      <c r="E64" s="18">
        <f>Reference!C206</f>
        <v>0</v>
      </c>
      <c r="F64" s="18">
        <f>Reference!D206</f>
        <v>0</v>
      </c>
      <c r="G64" s="18">
        <f>Reference!E206</f>
        <v>0</v>
      </c>
      <c r="H64" s="18">
        <f>Reference!F206</f>
        <v>0</v>
      </c>
      <c r="I64" s="18">
        <f>Reference!G206</f>
        <v>0</v>
      </c>
      <c r="J64" s="19">
        <f t="shared" si="11"/>
        <v>0</v>
      </c>
      <c r="L64" s="17">
        <f>Test!B206</f>
        <v>0</v>
      </c>
      <c r="M64" s="18">
        <f>Test!C206</f>
        <v>0</v>
      </c>
      <c r="N64" s="18">
        <f>Test!D206</f>
        <v>0</v>
      </c>
      <c r="O64" s="18">
        <f>Test!E206</f>
        <v>0</v>
      </c>
      <c r="P64" s="18">
        <f>Test!F206</f>
        <v>0</v>
      </c>
      <c r="Q64" s="18">
        <f>Test!G206</f>
        <v>0</v>
      </c>
      <c r="R64" s="19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Reference!B207</f>
        <v>0</v>
      </c>
      <c r="E65" s="18">
        <f>Reference!C207</f>
        <v>0</v>
      </c>
      <c r="F65" s="18">
        <f>Reference!D207</f>
        <v>0</v>
      </c>
      <c r="G65" s="18">
        <f>Reference!E207</f>
        <v>0</v>
      </c>
      <c r="H65" s="18">
        <f>Reference!F207</f>
        <v>0</v>
      </c>
      <c r="I65" s="18">
        <f>Reference!G207</f>
        <v>0</v>
      </c>
      <c r="J65" s="19">
        <f t="shared" si="11"/>
        <v>0</v>
      </c>
      <c r="L65" s="17">
        <f>Test!B207</f>
        <v>0</v>
      </c>
      <c r="M65" s="18">
        <f>Test!C207</f>
        <v>0</v>
      </c>
      <c r="N65" s="18">
        <f>Test!D207</f>
        <v>0</v>
      </c>
      <c r="O65" s="18">
        <f>Test!E207</f>
        <v>0</v>
      </c>
      <c r="P65" s="18">
        <f>Test!F207</f>
        <v>0</v>
      </c>
      <c r="Q65" s="18">
        <f>Test!G207</f>
        <v>0</v>
      </c>
      <c r="R65" s="19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Reference!B208</f>
        <v>0</v>
      </c>
      <c r="E66" s="23">
        <f>Reference!C208</f>
        <v>0</v>
      </c>
      <c r="F66" s="23">
        <f>Reference!D208</f>
        <v>0</v>
      </c>
      <c r="G66" s="23">
        <f>Reference!E208</f>
        <v>0</v>
      </c>
      <c r="H66" s="23">
        <f>Reference!F208</f>
        <v>0</v>
      </c>
      <c r="I66" s="23">
        <f>Reference!G208</f>
        <v>0</v>
      </c>
      <c r="J66" s="24">
        <f t="shared" si="11"/>
        <v>0</v>
      </c>
      <c r="L66" s="22">
        <f>Test!B208</f>
        <v>0</v>
      </c>
      <c r="M66" s="23">
        <f>Test!C208</f>
        <v>0</v>
      </c>
      <c r="N66" s="23">
        <f>Test!D208</f>
        <v>0</v>
      </c>
      <c r="O66" s="23">
        <f>Test!E208</f>
        <v>0</v>
      </c>
      <c r="P66" s="23">
        <f>Test!F208</f>
        <v>0</v>
      </c>
      <c r="Q66" s="23">
        <f>Test!G208</f>
        <v>0</v>
      </c>
      <c r="R66" s="24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Reference!B209</f>
        <v>0</v>
      </c>
      <c r="E67" s="13">
        <f>Reference!C209</f>
        <v>0</v>
      </c>
      <c r="F67" s="13">
        <f>Reference!D209</f>
        <v>0</v>
      </c>
      <c r="G67" s="13">
        <f>Reference!E209</f>
        <v>0</v>
      </c>
      <c r="H67" s="13">
        <f>Reference!F209</f>
        <v>0</v>
      </c>
      <c r="I67" s="13">
        <f>Reference!G209</f>
        <v>0</v>
      </c>
      <c r="J67" s="14">
        <f t="shared" si="11"/>
        <v>0</v>
      </c>
      <c r="L67" s="12">
        <f>Test!B209</f>
        <v>0</v>
      </c>
      <c r="M67" s="13">
        <f>Test!C209</f>
        <v>0</v>
      </c>
      <c r="N67" s="13">
        <f>Test!D209</f>
        <v>0</v>
      </c>
      <c r="O67" s="13">
        <f>Test!E209</f>
        <v>0</v>
      </c>
      <c r="P67" s="13">
        <f>Test!F209</f>
        <v>0</v>
      </c>
      <c r="Q67" s="13">
        <f>Test!G209</f>
        <v>0</v>
      </c>
      <c r="R67" s="14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Reference!B210</f>
        <v>0</v>
      </c>
      <c r="E68" s="18">
        <f>Reference!C210</f>
        <v>0</v>
      </c>
      <c r="F68" s="18">
        <f>Reference!D210</f>
        <v>0</v>
      </c>
      <c r="G68" s="18">
        <f>Reference!E210</f>
        <v>0</v>
      </c>
      <c r="H68" s="18">
        <f>Reference!F210</f>
        <v>0</v>
      </c>
      <c r="I68" s="18">
        <f>Reference!G210</f>
        <v>0</v>
      </c>
      <c r="J68" s="19">
        <f t="shared" si="11"/>
        <v>0</v>
      </c>
      <c r="L68" s="17">
        <f>Test!B210</f>
        <v>0</v>
      </c>
      <c r="M68" s="18">
        <f>Test!C210</f>
        <v>0</v>
      </c>
      <c r="N68" s="18">
        <f>Test!D210</f>
        <v>0</v>
      </c>
      <c r="O68" s="18">
        <f>Test!E210</f>
        <v>0</v>
      </c>
      <c r="P68" s="18">
        <f>Test!F210</f>
        <v>0</v>
      </c>
      <c r="Q68" s="18">
        <f>Test!G210</f>
        <v>0</v>
      </c>
      <c r="R68" s="19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Reference!B211</f>
        <v>0</v>
      </c>
      <c r="E69" s="18">
        <f>Reference!C211</f>
        <v>0</v>
      </c>
      <c r="F69" s="18">
        <f>Reference!D211</f>
        <v>0</v>
      </c>
      <c r="G69" s="18">
        <f>Reference!E211</f>
        <v>0</v>
      </c>
      <c r="H69" s="18">
        <f>Reference!F211</f>
        <v>0</v>
      </c>
      <c r="I69" s="18">
        <f>Reference!G211</f>
        <v>0</v>
      </c>
      <c r="J69" s="19">
        <f t="shared" si="11"/>
        <v>0</v>
      </c>
      <c r="L69" s="17">
        <f>Test!B211</f>
        <v>0</v>
      </c>
      <c r="M69" s="18">
        <f>Test!C211</f>
        <v>0</v>
      </c>
      <c r="N69" s="18">
        <f>Test!D211</f>
        <v>0</v>
      </c>
      <c r="O69" s="18">
        <f>Test!E211</f>
        <v>0</v>
      </c>
      <c r="P69" s="18">
        <f>Test!F211</f>
        <v>0</v>
      </c>
      <c r="Q69" s="18">
        <f>Test!G211</f>
        <v>0</v>
      </c>
      <c r="R69" s="19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Reference!B212</f>
        <v>0</v>
      </c>
      <c r="E70" s="23">
        <f>Reference!C212</f>
        <v>0</v>
      </c>
      <c r="F70" s="23">
        <f>Reference!D212</f>
        <v>0</v>
      </c>
      <c r="G70" s="23">
        <f>Reference!E212</f>
        <v>0</v>
      </c>
      <c r="H70" s="23">
        <f>Reference!F212</f>
        <v>0</v>
      </c>
      <c r="I70" s="23">
        <f>Reference!G212</f>
        <v>0</v>
      </c>
      <c r="J70" s="24">
        <f t="shared" si="11"/>
        <v>0</v>
      </c>
      <c r="L70" s="22">
        <f>Test!B212</f>
        <v>0</v>
      </c>
      <c r="M70" s="23">
        <f>Test!C212</f>
        <v>0</v>
      </c>
      <c r="N70" s="23">
        <f>Test!D212</f>
        <v>0</v>
      </c>
      <c r="O70" s="23">
        <f>Test!E212</f>
        <v>0</v>
      </c>
      <c r="P70" s="23">
        <f>Test!F212</f>
        <v>0</v>
      </c>
      <c r="Q70" s="23">
        <f>Test!G212</f>
        <v>0</v>
      </c>
      <c r="R70" s="24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Reference!B213</f>
        <v>0</v>
      </c>
      <c r="E71" s="13">
        <f>Reference!C213</f>
        <v>0</v>
      </c>
      <c r="F71" s="13">
        <f>Reference!D213</f>
        <v>0</v>
      </c>
      <c r="G71" s="13">
        <f>Reference!E213</f>
        <v>0</v>
      </c>
      <c r="H71" s="13">
        <f>Reference!F213</f>
        <v>0</v>
      </c>
      <c r="I71" s="13">
        <f>Reference!G213</f>
        <v>0</v>
      </c>
      <c r="J71" s="14">
        <f>H71/3600</f>
        <v>0</v>
      </c>
      <c r="L71" s="12">
        <f>Test!B213</f>
        <v>0</v>
      </c>
      <c r="M71" s="13">
        <f>Test!C213</f>
        <v>0</v>
      </c>
      <c r="N71" s="13">
        <f>Test!D213</f>
        <v>0</v>
      </c>
      <c r="O71" s="13">
        <f>Test!E213</f>
        <v>0</v>
      </c>
      <c r="P71" s="13">
        <f>Test!F213</f>
        <v>0</v>
      </c>
      <c r="Q71" s="13">
        <f>Test!G213</f>
        <v>0</v>
      </c>
      <c r="R71" s="14">
        <f>P71/3600</f>
        <v>0</v>
      </c>
      <c r="S71" s="17" t="e">
        <f t="shared" si="13"/>
        <v>#DIV/0!</v>
      </c>
      <c r="T71" s="18" t="e">
        <f t="shared" si="14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Reference!B214</f>
        <v>0</v>
      </c>
      <c r="E72" s="18">
        <f>Reference!C214</f>
        <v>0</v>
      </c>
      <c r="F72" s="18">
        <f>Reference!D214</f>
        <v>0</v>
      </c>
      <c r="G72" s="18">
        <f>Reference!E214</f>
        <v>0</v>
      </c>
      <c r="H72" s="18">
        <f>Reference!F214</f>
        <v>0</v>
      </c>
      <c r="I72" s="18">
        <f>Reference!G214</f>
        <v>0</v>
      </c>
      <c r="J72" s="19">
        <f t="shared" ref="J72:J74" si="15">H72/3600</f>
        <v>0</v>
      </c>
      <c r="L72" s="17">
        <f>Test!B214</f>
        <v>0</v>
      </c>
      <c r="M72" s="18">
        <f>Test!C214</f>
        <v>0</v>
      </c>
      <c r="N72" s="18">
        <f>Test!D214</f>
        <v>0</v>
      </c>
      <c r="O72" s="18">
        <f>Test!E214</f>
        <v>0</v>
      </c>
      <c r="P72" s="18">
        <f>Test!F214</f>
        <v>0</v>
      </c>
      <c r="Q72" s="18">
        <f>Test!G214</f>
        <v>0</v>
      </c>
      <c r="R72" s="19">
        <f t="shared" ref="R72:R74" si="16">P72/3600</f>
        <v>0</v>
      </c>
      <c r="S72" s="17" t="e">
        <f t="shared" si="13"/>
        <v>#DIV/0!</v>
      </c>
      <c r="T72" s="18" t="e">
        <f t="shared" si="14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Reference!B215</f>
        <v>0</v>
      </c>
      <c r="E73" s="18">
        <f>Reference!C215</f>
        <v>0</v>
      </c>
      <c r="F73" s="18">
        <f>Reference!D215</f>
        <v>0</v>
      </c>
      <c r="G73" s="18">
        <f>Reference!E215</f>
        <v>0</v>
      </c>
      <c r="H73" s="18">
        <f>Reference!F215</f>
        <v>0</v>
      </c>
      <c r="I73" s="18">
        <f>Reference!G215</f>
        <v>0</v>
      </c>
      <c r="J73" s="19">
        <f t="shared" si="15"/>
        <v>0</v>
      </c>
      <c r="L73" s="17">
        <f>Test!B215</f>
        <v>0</v>
      </c>
      <c r="M73" s="18">
        <f>Test!C215</f>
        <v>0</v>
      </c>
      <c r="N73" s="18">
        <f>Test!D215</f>
        <v>0</v>
      </c>
      <c r="O73" s="18">
        <f>Test!E215</f>
        <v>0</v>
      </c>
      <c r="P73" s="18">
        <f>Test!F215</f>
        <v>0</v>
      </c>
      <c r="Q73" s="18">
        <f>Test!G215</f>
        <v>0</v>
      </c>
      <c r="R73" s="19">
        <f t="shared" si="16"/>
        <v>0</v>
      </c>
      <c r="S73" s="17" t="e">
        <f t="shared" si="13"/>
        <v>#DIV/0!</v>
      </c>
      <c r="T73" s="18" t="e">
        <f t="shared" si="14"/>
        <v>#DIV/0!</v>
      </c>
      <c r="U73" s="91"/>
      <c r="V73" s="38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Reference!B216</f>
        <v>0</v>
      </c>
      <c r="E74" s="23">
        <f>Reference!C216</f>
        <v>0</v>
      </c>
      <c r="F74" s="23">
        <f>Reference!D216</f>
        <v>0</v>
      </c>
      <c r="G74" s="23">
        <f>Reference!E216</f>
        <v>0</v>
      </c>
      <c r="H74" s="23">
        <f>Reference!F216</f>
        <v>0</v>
      </c>
      <c r="I74" s="23">
        <f>Reference!G216</f>
        <v>0</v>
      </c>
      <c r="J74" s="24">
        <f t="shared" si="15"/>
        <v>0</v>
      </c>
      <c r="L74" s="22">
        <f>Test!B216</f>
        <v>0</v>
      </c>
      <c r="M74" s="23">
        <f>Test!C216</f>
        <v>0</v>
      </c>
      <c r="N74" s="23">
        <f>Test!D216</f>
        <v>0</v>
      </c>
      <c r="O74" s="23">
        <f>Test!E216</f>
        <v>0</v>
      </c>
      <c r="P74" s="23">
        <f>Test!F216</f>
        <v>0</v>
      </c>
      <c r="Q74" s="23">
        <f>Test!G216</f>
        <v>0</v>
      </c>
      <c r="R74" s="24">
        <f t="shared" si="16"/>
        <v>0</v>
      </c>
      <c r="S74" s="22" t="e">
        <f t="shared" si="13"/>
        <v>#DIV/0!</v>
      </c>
      <c r="T74" s="23" t="e">
        <f t="shared" si="14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19.738056791758993</v>
      </c>
      <c r="J75" s="15">
        <f>GEOMEAN(J3:J18)</f>
        <v>31.037067492533328</v>
      </c>
      <c r="Q75" s="15">
        <f>GEOMEAN(Q3:Q18)</f>
        <v>19.979548792651258</v>
      </c>
      <c r="R75" s="15">
        <f>GEOMEAN(R3:R18)</f>
        <v>31.507200331571369</v>
      </c>
      <c r="S75" s="15">
        <f>GEOMEAN(S3:S18)</f>
        <v>1.0151474632437856</v>
      </c>
      <c r="T75" s="15">
        <f>GEOMEAN(T3:T18)</f>
        <v>1.0122348417293587</v>
      </c>
      <c r="V75" s="37">
        <f>AVERAGE(V3:V18)</f>
        <v>-2.8361137606000564E-4</v>
      </c>
      <c r="W75" s="42">
        <f t="shared" ref="W75:AA75" si="17">AVERAGE(W3:W18)</f>
        <v>-1.1267783413876908E-3</v>
      </c>
      <c r="X75" s="42">
        <f t="shared" si="17"/>
        <v>-9.5208633568086287E-4</v>
      </c>
      <c r="Y75" s="37">
        <f>AVERAGE(Y3:Y18)</f>
        <v>-2.8357436061465791E-4</v>
      </c>
      <c r="Z75" s="42">
        <f t="shared" si="17"/>
        <v>-1.8343632167573121E-3</v>
      </c>
      <c r="AA75" s="43">
        <f t="shared" si="17"/>
        <v>-8.6480903899555095E-4</v>
      </c>
    </row>
    <row r="76" spans="1:27" x14ac:dyDescent="0.2">
      <c r="B76" s="89" t="s">
        <v>47</v>
      </c>
      <c r="I76" s="15">
        <f>GEOMEAN(I19:I34)</f>
        <v>23.065255018728433</v>
      </c>
      <c r="J76" s="15">
        <f>GEOMEAN(J19:J34)</f>
        <v>39.947216836380726</v>
      </c>
      <c r="Q76" s="15">
        <f>GEOMEAN(Q19:Q34)</f>
        <v>23.125531948912265</v>
      </c>
      <c r="R76" s="15">
        <f>GEOMEAN(R19:R34)</f>
        <v>40.497798467539205</v>
      </c>
      <c r="S76" s="15">
        <f>GEOMEAN(S19:S34)</f>
        <v>1.0137827281788767</v>
      </c>
      <c r="T76" s="15">
        <f>GEOMEAN(T19:T34)</f>
        <v>1.0026133216448241</v>
      </c>
      <c r="V76" s="38">
        <f>AVERAGE(V19:V34)</f>
        <v>-2.2842552584512177E-4</v>
      </c>
      <c r="W76" s="25">
        <f t="shared" ref="W76:AA76" si="18">AVERAGE(W19:W34)</f>
        <v>-4.0421251647371204E-4</v>
      </c>
      <c r="X76" s="25">
        <f t="shared" si="18"/>
        <v>2.0373651368564283E-3</v>
      </c>
      <c r="Y76" s="38">
        <f t="shared" si="18"/>
        <v>-2.8502734477620084E-4</v>
      </c>
      <c r="Z76" s="25">
        <f t="shared" si="18"/>
        <v>-3.4900822216166194E-4</v>
      </c>
      <c r="AA76" s="50">
        <f t="shared" si="18"/>
        <v>2.146570764501754E-3</v>
      </c>
    </row>
    <row r="77" spans="1:27" x14ac:dyDescent="0.2">
      <c r="B77" s="89" t="s">
        <v>51</v>
      </c>
      <c r="I77" s="15">
        <f>GEOMEAN(I35:I50)</f>
        <v>7.8969156494416755</v>
      </c>
      <c r="J77" s="15">
        <f>GEOMEAN(J35:J50)</f>
        <v>12.034003743104918</v>
      </c>
      <c r="Q77" s="15">
        <f>GEOMEAN(Q35:Q50)</f>
        <v>8.0549494188567383</v>
      </c>
      <c r="R77" s="15">
        <f>GEOMEAN(R35:R50)</f>
        <v>12.205583891425194</v>
      </c>
      <c r="S77" s="15">
        <f>GEOMEAN(S35:S50)</f>
        <v>1.0142579437386816</v>
      </c>
      <c r="T77" s="15">
        <f>GEOMEAN(T35:T50)</f>
        <v>1.020012087811301</v>
      </c>
      <c r="V77" s="38">
        <f>AVERAGE(V35:V50)</f>
        <v>-8.8065629138586732E-4</v>
      </c>
      <c r="W77" s="25">
        <f t="shared" ref="W77:AA77" si="19">AVERAGE(W35:W50)</f>
        <v>-1.0815050278411009E-3</v>
      </c>
      <c r="X77" s="25">
        <f t="shared" si="19"/>
        <v>5.3608891196338659E-3</v>
      </c>
      <c r="Y77" s="38">
        <f t="shared" si="19"/>
        <v>-8.5627740602126079E-4</v>
      </c>
      <c r="Z77" s="25">
        <f t="shared" si="19"/>
        <v>-2.2774342081904875E-4</v>
      </c>
      <c r="AA77" s="50">
        <f t="shared" si="19"/>
        <v>-1.1072900469785429E-3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38" t="e">
        <f>AVERAGE(V51:V58)</f>
        <v>#VALUE!</v>
      </c>
      <c r="W78" s="25" t="e">
        <f t="shared" ref="W78:AA78" si="20">AVERAGE(W51:W58)</f>
        <v>#VALUE!</v>
      </c>
      <c r="X78" s="25" t="e">
        <f t="shared" si="20"/>
        <v>#VALUE!</v>
      </c>
      <c r="Y78" s="38" t="e">
        <f t="shared" si="20"/>
        <v>#VALUE!</v>
      </c>
      <c r="Z78" s="25" t="e">
        <f t="shared" si="20"/>
        <v>#VALUE!</v>
      </c>
      <c r="AA78" s="50" t="e">
        <f t="shared" si="20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1">GEOMEAN(S59:S74)</f>
        <v>#DIV/0!</v>
      </c>
      <c r="T79" s="15" t="e">
        <f t="shared" si="21"/>
        <v>#DIV/0!</v>
      </c>
      <c r="V79" s="40" t="e">
        <f>AVERAGE(V59:V74)</f>
        <v>#VALUE!</v>
      </c>
      <c r="W79" s="44" t="e">
        <f t="shared" ref="W79:AA79" si="22">AVERAGE(W59:W74)</f>
        <v>#VALUE!</v>
      </c>
      <c r="X79" s="44" t="e">
        <f t="shared" si="22"/>
        <v>#VALUE!</v>
      </c>
      <c r="Y79" s="40" t="e">
        <f t="shared" si="22"/>
        <v>#VALUE!</v>
      </c>
      <c r="Z79" s="44" t="e">
        <f t="shared" si="22"/>
        <v>#VALUE!</v>
      </c>
      <c r="AA79" s="45" t="e">
        <f t="shared" si="22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15.319339868670507</v>
      </c>
      <c r="J80" s="54">
        <f xml:space="preserve"> GEOMEAN(J3:J50)</f>
        <v>24.618359910655624</v>
      </c>
      <c r="K80" s="4"/>
      <c r="L80" s="4"/>
      <c r="M80" s="4"/>
      <c r="N80" s="4"/>
      <c r="O80" s="4"/>
      <c r="P80" s="4"/>
      <c r="Q80" s="54">
        <f xml:space="preserve"> GEOMEAN(Q3:Q50)</f>
        <v>15.496968195370279</v>
      </c>
      <c r="R80" s="54">
        <f xml:space="preserve"> GEOMEAN(R3:R50)</f>
        <v>24.972763047120267</v>
      </c>
      <c r="S80" s="54">
        <f>GEOMEAN(S3:S50)</f>
        <v>1.0143958873682422</v>
      </c>
      <c r="T80" s="54">
        <f>GEOMEAN(T3:T50)</f>
        <v>1.0115950379208596</v>
      </c>
      <c r="U80" s="4"/>
      <c r="V80" s="41">
        <f>AVERAGE(V3:V50)</f>
        <v>-4.6423106443033157E-4</v>
      </c>
      <c r="W80" s="46">
        <f t="shared" ref="W80:AA80" si="23">AVERAGE(W3:W50)</f>
        <v>-8.7083196190083456E-4</v>
      </c>
      <c r="X80" s="47">
        <f t="shared" si="23"/>
        <v>2.1487226402698103E-3</v>
      </c>
      <c r="Y80" s="46">
        <f t="shared" si="23"/>
        <v>-4.7495970380403985E-4</v>
      </c>
      <c r="Z80" s="46">
        <f t="shared" si="23"/>
        <v>-8.0370495324600755E-4</v>
      </c>
      <c r="AA80" s="47">
        <f t="shared" si="23"/>
        <v>5.81572261758867E-5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6:Z6">
    <cfRule type="cellIs" dxfId="367" priority="619" operator="greaterThan">
      <formula>0.03</formula>
    </cfRule>
    <cfRule type="cellIs" dxfId="366" priority="620" stopIfTrue="1" operator="lessThan">
      <formula>-0.03</formula>
    </cfRule>
  </conditionalFormatting>
  <conditionalFormatting sqref="Y14:Z14">
    <cfRule type="cellIs" dxfId="365" priority="615" operator="greaterThan">
      <formula>0.03</formula>
    </cfRule>
    <cfRule type="cellIs" dxfId="364" priority="616" stopIfTrue="1" operator="lessThan">
      <formula>-0.03</formula>
    </cfRule>
  </conditionalFormatting>
  <conditionalFormatting sqref="Y26:Z26">
    <cfRule type="cellIs" dxfId="363" priority="517" operator="greaterThan">
      <formula>0.03</formula>
    </cfRule>
    <cfRule type="cellIs" dxfId="362" priority="518" stopIfTrue="1" operator="lessThan">
      <formula>-0.03</formula>
    </cfRule>
  </conditionalFormatting>
  <conditionalFormatting sqref="Y18:Z18">
    <cfRule type="cellIs" dxfId="361" priority="521" operator="greaterThan">
      <formula>0.03</formula>
    </cfRule>
    <cfRule type="cellIs" dxfId="360" priority="522" stopIfTrue="1" operator="lessThan">
      <formula>-0.03</formula>
    </cfRule>
  </conditionalFormatting>
  <conditionalFormatting sqref="Y22:Z22">
    <cfRule type="cellIs" dxfId="359" priority="519" operator="greaterThan">
      <formula>0.03</formula>
    </cfRule>
    <cfRule type="cellIs" dxfId="358" priority="520" stopIfTrue="1" operator="lessThan">
      <formula>-0.03</formula>
    </cfRule>
  </conditionalFormatting>
  <conditionalFormatting sqref="Z35">
    <cfRule type="cellIs" dxfId="357" priority="443" operator="greaterThan">
      <formula>0.03</formula>
    </cfRule>
    <cfRule type="cellIs" dxfId="356" priority="444" stopIfTrue="1" operator="lessThan">
      <formula>-0.03</formula>
    </cfRule>
  </conditionalFormatting>
  <conditionalFormatting sqref="Y31">
    <cfRule type="cellIs" dxfId="355" priority="451" operator="greaterThan">
      <formula>0.03</formula>
    </cfRule>
    <cfRule type="cellIs" dxfId="354" priority="452" stopIfTrue="1" operator="lessThan">
      <formula>-0.03</formula>
    </cfRule>
  </conditionalFormatting>
  <conditionalFormatting sqref="AA27">
    <cfRule type="cellIs" dxfId="353" priority="467" operator="greaterThan">
      <formula>0.03</formula>
    </cfRule>
    <cfRule type="cellIs" dxfId="352" priority="468" stopIfTrue="1" operator="lessThan">
      <formula>-0.03</formula>
    </cfRule>
  </conditionalFormatting>
  <conditionalFormatting sqref="Y30:Z30">
    <cfRule type="cellIs" dxfId="351" priority="465" operator="greaterThan">
      <formula>0.03</formula>
    </cfRule>
    <cfRule type="cellIs" dxfId="350" priority="466" stopIfTrue="1" operator="lessThan">
      <formula>-0.03</formula>
    </cfRule>
  </conditionalFormatting>
  <conditionalFormatting sqref="AA35">
    <cfRule type="cellIs" dxfId="349" priority="441" operator="greaterThan">
      <formula>0.03</formula>
    </cfRule>
    <cfRule type="cellIs" dxfId="348" priority="442" stopIfTrue="1" operator="lessThan">
      <formula>-0.03</formula>
    </cfRule>
  </conditionalFormatting>
  <conditionalFormatting sqref="Y34:Z34">
    <cfRule type="cellIs" dxfId="347" priority="439" operator="greaterThan">
      <formula>0.03</formula>
    </cfRule>
    <cfRule type="cellIs" dxfId="346" priority="440" stopIfTrue="1" operator="lessThan">
      <formula>-0.03</formula>
    </cfRule>
  </conditionalFormatting>
  <conditionalFormatting sqref="Y38:Z38">
    <cfRule type="cellIs" dxfId="345" priority="437" operator="greaterThan">
      <formula>0.03</formula>
    </cfRule>
    <cfRule type="cellIs" dxfId="344" priority="438" stopIfTrue="1" operator="lessThan">
      <formula>-0.03</formula>
    </cfRule>
  </conditionalFormatting>
  <conditionalFormatting sqref="V31:X38">
    <cfRule type="cellIs" dxfId="343" priority="453" operator="greaterThan">
      <formula>0.03</formula>
    </cfRule>
    <cfRule type="cellIs" dxfId="342" priority="454" stopIfTrue="1" operator="lessThan">
      <formula>-0.03</formula>
    </cfRule>
  </conditionalFormatting>
  <conditionalFormatting sqref="Z31">
    <cfRule type="cellIs" dxfId="341" priority="449" operator="greaterThan">
      <formula>0.03</formula>
    </cfRule>
    <cfRule type="cellIs" dxfId="340" priority="450" stopIfTrue="1" operator="lessThan">
      <formula>-0.03</formula>
    </cfRule>
  </conditionalFormatting>
  <conditionalFormatting sqref="AA31">
    <cfRule type="cellIs" dxfId="339" priority="447" operator="greaterThan">
      <formula>0.03</formula>
    </cfRule>
    <cfRule type="cellIs" dxfId="338" priority="448" stopIfTrue="1" operator="lessThan">
      <formula>-0.03</formula>
    </cfRule>
  </conditionalFormatting>
  <conditionalFormatting sqref="Y35">
    <cfRule type="cellIs" dxfId="337" priority="445" operator="greaterThan">
      <formula>0.03</formula>
    </cfRule>
    <cfRule type="cellIs" dxfId="336" priority="446" stopIfTrue="1" operator="lessThan">
      <formula>-0.03</formula>
    </cfRule>
  </conditionalFormatting>
  <conditionalFormatting sqref="V39:X46">
    <cfRule type="cellIs" dxfId="335" priority="415" operator="greaterThan">
      <formula>0.03</formula>
    </cfRule>
    <cfRule type="cellIs" dxfId="334" priority="416" stopIfTrue="1" operator="lessThan">
      <formula>-0.03</formula>
    </cfRule>
  </conditionalFormatting>
  <conditionalFormatting sqref="Y39">
    <cfRule type="cellIs" dxfId="333" priority="413" operator="greaterThan">
      <formula>0.03</formula>
    </cfRule>
    <cfRule type="cellIs" dxfId="332" priority="414" stopIfTrue="1" operator="lessThan">
      <formula>-0.03</formula>
    </cfRule>
  </conditionalFormatting>
  <conditionalFormatting sqref="Z39">
    <cfRule type="cellIs" dxfId="331" priority="411" operator="greaterThan">
      <formula>0.03</formula>
    </cfRule>
    <cfRule type="cellIs" dxfId="330" priority="412" stopIfTrue="1" operator="lessThan">
      <formula>-0.03</formula>
    </cfRule>
  </conditionalFormatting>
  <conditionalFormatting sqref="AA39">
    <cfRule type="cellIs" dxfId="329" priority="409" operator="greaterThan">
      <formula>0.03</formula>
    </cfRule>
    <cfRule type="cellIs" dxfId="328" priority="410" stopIfTrue="1" operator="lessThan">
      <formula>-0.03</formula>
    </cfRule>
  </conditionalFormatting>
  <conditionalFormatting sqref="Y43">
    <cfRule type="cellIs" dxfId="327" priority="407" operator="greaterThan">
      <formula>0.03</formula>
    </cfRule>
    <cfRule type="cellIs" dxfId="326" priority="408" stopIfTrue="1" operator="lessThan">
      <formula>-0.03</formula>
    </cfRule>
  </conditionalFormatting>
  <conditionalFormatting sqref="Z43">
    <cfRule type="cellIs" dxfId="325" priority="405" operator="greaterThan">
      <formula>0.03</formula>
    </cfRule>
    <cfRule type="cellIs" dxfId="324" priority="406" stopIfTrue="1" operator="lessThan">
      <formula>-0.03</formula>
    </cfRule>
  </conditionalFormatting>
  <conditionalFormatting sqref="AA43">
    <cfRule type="cellIs" dxfId="323" priority="403" operator="greaterThan">
      <formula>0.03</formula>
    </cfRule>
    <cfRule type="cellIs" dxfId="322" priority="404" stopIfTrue="1" operator="lessThan">
      <formula>-0.03</formula>
    </cfRule>
  </conditionalFormatting>
  <conditionalFormatting sqref="Y42:Z42">
    <cfRule type="cellIs" dxfId="321" priority="401" operator="greaterThan">
      <formula>0.03</formula>
    </cfRule>
    <cfRule type="cellIs" dxfId="320" priority="402" stopIfTrue="1" operator="lessThan">
      <formula>-0.03</formula>
    </cfRule>
  </conditionalFormatting>
  <conditionalFormatting sqref="Y46:Z46">
    <cfRule type="cellIs" dxfId="319" priority="399" operator="greaterThan">
      <formula>0.03</formula>
    </cfRule>
    <cfRule type="cellIs" dxfId="318" priority="400" stopIfTrue="1" operator="lessThan">
      <formula>-0.03</formula>
    </cfRule>
  </conditionalFormatting>
  <conditionalFormatting sqref="V47:X58">
    <cfRule type="cellIs" dxfId="317" priority="377" operator="greaterThan">
      <formula>0.03</formula>
    </cfRule>
    <cfRule type="cellIs" dxfId="316" priority="378" stopIfTrue="1" operator="lessThan">
      <formula>-0.03</formula>
    </cfRule>
  </conditionalFormatting>
  <conditionalFormatting sqref="Y47">
    <cfRule type="cellIs" dxfId="315" priority="375" operator="greaterThan">
      <formula>0.03</formula>
    </cfRule>
    <cfRule type="cellIs" dxfId="314" priority="376" stopIfTrue="1" operator="lessThan">
      <formula>-0.03</formula>
    </cfRule>
  </conditionalFormatting>
  <conditionalFormatting sqref="Z47">
    <cfRule type="cellIs" dxfId="313" priority="373" operator="greaterThan">
      <formula>0.03</formula>
    </cfRule>
    <cfRule type="cellIs" dxfId="312" priority="374" stopIfTrue="1" operator="lessThan">
      <formula>-0.03</formula>
    </cfRule>
  </conditionalFormatting>
  <conditionalFormatting sqref="AA47">
    <cfRule type="cellIs" dxfId="311" priority="371" operator="greaterThan">
      <formula>0.03</formula>
    </cfRule>
    <cfRule type="cellIs" dxfId="310" priority="372" stopIfTrue="1" operator="lessThan">
      <formula>-0.03</formula>
    </cfRule>
  </conditionalFormatting>
  <conditionalFormatting sqref="Y51">
    <cfRule type="cellIs" dxfId="309" priority="369" operator="greaterThan">
      <formula>0.03</formula>
    </cfRule>
    <cfRule type="cellIs" dxfId="308" priority="370" stopIfTrue="1" operator="lessThan">
      <formula>-0.03</formula>
    </cfRule>
  </conditionalFormatting>
  <conditionalFormatting sqref="Z51">
    <cfRule type="cellIs" dxfId="307" priority="367" operator="greaterThan">
      <formula>0.03</formula>
    </cfRule>
    <cfRule type="cellIs" dxfId="306" priority="368" stopIfTrue="1" operator="lessThan">
      <formula>-0.03</formula>
    </cfRule>
  </conditionalFormatting>
  <conditionalFormatting sqref="AA51">
    <cfRule type="cellIs" dxfId="305" priority="365" operator="greaterThan">
      <formula>0.03</formula>
    </cfRule>
    <cfRule type="cellIs" dxfId="304" priority="366" stopIfTrue="1" operator="lessThan">
      <formula>-0.03</formula>
    </cfRule>
  </conditionalFormatting>
  <conditionalFormatting sqref="Y55">
    <cfRule type="cellIs" dxfId="303" priority="363" operator="greaterThan">
      <formula>0.03</formula>
    </cfRule>
    <cfRule type="cellIs" dxfId="302" priority="364" stopIfTrue="1" operator="lessThan">
      <formula>-0.03</formula>
    </cfRule>
  </conditionalFormatting>
  <conditionalFormatting sqref="Z55">
    <cfRule type="cellIs" dxfId="301" priority="361" operator="greaterThan">
      <formula>0.03</formula>
    </cfRule>
    <cfRule type="cellIs" dxfId="300" priority="362" stopIfTrue="1" operator="lessThan">
      <formula>-0.03</formula>
    </cfRule>
  </conditionalFormatting>
  <conditionalFormatting sqref="AA55">
    <cfRule type="cellIs" dxfId="299" priority="359" operator="greaterThan">
      <formula>0.03</formula>
    </cfRule>
    <cfRule type="cellIs" dxfId="298" priority="360" stopIfTrue="1" operator="lessThan">
      <formula>-0.03</formula>
    </cfRule>
  </conditionalFormatting>
  <conditionalFormatting sqref="Y50:Z50">
    <cfRule type="cellIs" dxfId="297" priority="351" operator="greaterThan">
      <formula>0.03</formula>
    </cfRule>
    <cfRule type="cellIs" dxfId="296" priority="352" stopIfTrue="1" operator="lessThan">
      <formula>-0.03</formula>
    </cfRule>
  </conditionalFormatting>
  <conditionalFormatting sqref="Y54:Z54">
    <cfRule type="cellIs" dxfId="295" priority="349" operator="greaterThan">
      <formula>0.03</formula>
    </cfRule>
    <cfRule type="cellIs" dxfId="294" priority="350" stopIfTrue="1" operator="lessThan">
      <formula>-0.03</formula>
    </cfRule>
  </conditionalFormatting>
  <conditionalFormatting sqref="Y58:Z58">
    <cfRule type="cellIs" dxfId="293" priority="347" operator="greaterThan">
      <formula>0.03</formula>
    </cfRule>
    <cfRule type="cellIs" dxfId="292" priority="348" stopIfTrue="1" operator="lessThan">
      <formula>-0.03</formula>
    </cfRule>
  </conditionalFormatting>
  <conditionalFormatting sqref="V4:X6 V8:X10 V12:X14">
    <cfRule type="cellIs" dxfId="291" priority="645" operator="greaterThan">
      <formula>0.03</formula>
    </cfRule>
    <cfRule type="cellIs" dxfId="290" priority="646" stopIfTrue="1" operator="lessThan">
      <formula>-0.03</formula>
    </cfRule>
  </conditionalFormatting>
  <conditionalFormatting sqref="Y10:Z10">
    <cfRule type="cellIs" dxfId="289" priority="617" operator="greaterThan">
      <formula>0.03</formula>
    </cfRule>
    <cfRule type="cellIs" dxfId="288" priority="618" stopIfTrue="1" operator="lessThan">
      <formula>-0.03</formula>
    </cfRule>
  </conditionalFormatting>
  <conditionalFormatting sqref="V16:X18 V20:X22 V24:X26">
    <cfRule type="cellIs" dxfId="287" priority="547" operator="greaterThan">
      <formula>0.03</formula>
    </cfRule>
    <cfRule type="cellIs" dxfId="286" priority="548" stopIfTrue="1" operator="lessThan">
      <formula>-0.03</formula>
    </cfRule>
  </conditionalFormatting>
  <conditionalFormatting sqref="V27:X30">
    <cfRule type="cellIs" dxfId="285" priority="473" operator="greaterThan">
      <formula>0.03</formula>
    </cfRule>
    <cfRule type="cellIs" dxfId="284" priority="474" stopIfTrue="1" operator="lessThan">
      <formula>-0.03</formula>
    </cfRule>
  </conditionalFormatting>
  <conditionalFormatting sqref="Y27">
    <cfRule type="cellIs" dxfId="283" priority="471" operator="greaterThan">
      <formula>0.03</formula>
    </cfRule>
    <cfRule type="cellIs" dxfId="282" priority="472" stopIfTrue="1" operator="lessThan">
      <formula>-0.03</formula>
    </cfRule>
  </conditionalFormatting>
  <conditionalFormatting sqref="Z27">
    <cfRule type="cellIs" dxfId="281" priority="469" operator="greaterThan">
      <formula>0.03</formula>
    </cfRule>
    <cfRule type="cellIs" dxfId="280" priority="470" stopIfTrue="1" operator="lessThan">
      <formula>-0.03</formula>
    </cfRule>
  </conditionalFormatting>
  <conditionalFormatting sqref="Y3">
    <cfRule type="cellIs" dxfId="279" priority="87" operator="greaterThan">
      <formula>0.03</formula>
    </cfRule>
    <cfRule type="cellIs" dxfId="278" priority="88" stopIfTrue="1" operator="lessThan">
      <formula>-0.03</formula>
    </cfRule>
  </conditionalFormatting>
  <conditionalFormatting sqref="V7:X7">
    <cfRule type="cellIs" dxfId="277" priority="81" operator="greaterThan">
      <formula>0.03</formula>
    </cfRule>
    <cfRule type="cellIs" dxfId="276" priority="82" stopIfTrue="1" operator="lessThan">
      <formula>-0.03</formula>
    </cfRule>
  </conditionalFormatting>
  <conditionalFormatting sqref="V3:X3">
    <cfRule type="cellIs" dxfId="275" priority="89" operator="greaterThan">
      <formula>0.03</formula>
    </cfRule>
    <cfRule type="cellIs" dxfId="274" priority="90" stopIfTrue="1" operator="lessThan">
      <formula>-0.03</formula>
    </cfRule>
  </conditionalFormatting>
  <conditionalFormatting sqref="V80:AA80">
    <cfRule type="cellIs" dxfId="273" priority="91" operator="greaterThan">
      <formula>0.03</formula>
    </cfRule>
    <cfRule type="cellIs" dxfId="272" priority="92" stopIfTrue="1" operator="lessThan">
      <formula>-0.03</formula>
    </cfRule>
  </conditionalFormatting>
  <conditionalFormatting sqref="AA3">
    <cfRule type="cellIs" dxfId="271" priority="83" operator="greaterThan">
      <formula>0.03</formula>
    </cfRule>
    <cfRule type="cellIs" dxfId="270" priority="84" stopIfTrue="1" operator="lessThan">
      <formula>-0.03</formula>
    </cfRule>
  </conditionalFormatting>
  <conditionalFormatting sqref="Y7">
    <cfRule type="cellIs" dxfId="269" priority="79" operator="greaterThan">
      <formula>0.03</formula>
    </cfRule>
    <cfRule type="cellIs" dxfId="268" priority="80" stopIfTrue="1" operator="lessThan">
      <formula>-0.03</formula>
    </cfRule>
  </conditionalFormatting>
  <conditionalFormatting sqref="Z7">
    <cfRule type="cellIs" dxfId="267" priority="77" operator="greaterThan">
      <formula>0.03</formula>
    </cfRule>
    <cfRule type="cellIs" dxfId="266" priority="78" stopIfTrue="1" operator="lessThan">
      <formula>-0.03</formula>
    </cfRule>
  </conditionalFormatting>
  <conditionalFormatting sqref="AA7">
    <cfRule type="cellIs" dxfId="265" priority="75" operator="greaterThan">
      <formula>0.03</formula>
    </cfRule>
    <cfRule type="cellIs" dxfId="264" priority="76" stopIfTrue="1" operator="lessThan">
      <formula>-0.03</formula>
    </cfRule>
  </conditionalFormatting>
  <conditionalFormatting sqref="V75:X78">
    <cfRule type="cellIs" dxfId="263" priority="95" operator="greaterThan">
      <formula>0.03</formula>
    </cfRule>
    <cfRule type="cellIs" dxfId="262" priority="96" stopIfTrue="1" operator="lessThan">
      <formula>-0.03</formula>
    </cfRule>
  </conditionalFormatting>
  <conditionalFormatting sqref="Y75:AA78">
    <cfRule type="cellIs" dxfId="261" priority="93" operator="greaterThan">
      <formula>0.03</formula>
    </cfRule>
    <cfRule type="cellIs" dxfId="260" priority="94" stopIfTrue="1" operator="lessThan">
      <formula>-0.03</formula>
    </cfRule>
  </conditionalFormatting>
  <conditionalFormatting sqref="Z3">
    <cfRule type="cellIs" dxfId="259" priority="85" operator="greaterThan">
      <formula>0.03</formula>
    </cfRule>
    <cfRule type="cellIs" dxfId="258" priority="86" stopIfTrue="1" operator="lessThan">
      <formula>-0.03</formula>
    </cfRule>
  </conditionalFormatting>
  <conditionalFormatting sqref="V11:X11">
    <cfRule type="cellIs" dxfId="257" priority="73" operator="greaterThan">
      <formula>0.03</formula>
    </cfRule>
    <cfRule type="cellIs" dxfId="256" priority="74" stopIfTrue="1" operator="lessThan">
      <formula>-0.03</formula>
    </cfRule>
  </conditionalFormatting>
  <conditionalFormatting sqref="Z23">
    <cfRule type="cellIs" dxfId="255" priority="45" operator="greaterThan">
      <formula>0.03</formula>
    </cfRule>
    <cfRule type="cellIs" dxfId="254" priority="46" stopIfTrue="1" operator="lessThan">
      <formula>-0.03</formula>
    </cfRule>
  </conditionalFormatting>
  <conditionalFormatting sqref="AA23">
    <cfRule type="cellIs" dxfId="253" priority="43" operator="greaterThan">
      <formula>0.03</formula>
    </cfRule>
    <cfRule type="cellIs" dxfId="252" priority="44" stopIfTrue="1" operator="lessThan">
      <formula>-0.03</formula>
    </cfRule>
  </conditionalFormatting>
  <conditionalFormatting sqref="AA11">
    <cfRule type="cellIs" dxfId="251" priority="67" operator="greaterThan">
      <formula>0.03</formula>
    </cfRule>
    <cfRule type="cellIs" dxfId="250" priority="68" stopIfTrue="1" operator="lessThan">
      <formula>-0.03</formula>
    </cfRule>
  </conditionalFormatting>
  <conditionalFormatting sqref="Y11">
    <cfRule type="cellIs" dxfId="249" priority="71" operator="greaterThan">
      <formula>0.03</formula>
    </cfRule>
    <cfRule type="cellIs" dxfId="248" priority="72" stopIfTrue="1" operator="lessThan">
      <formula>-0.03</formula>
    </cfRule>
  </conditionalFormatting>
  <conditionalFormatting sqref="Z11">
    <cfRule type="cellIs" dxfId="247" priority="69" operator="greaterThan">
      <formula>0.03</formula>
    </cfRule>
    <cfRule type="cellIs" dxfId="246" priority="70" stopIfTrue="1" operator="lessThan">
      <formula>-0.03</formula>
    </cfRule>
  </conditionalFormatting>
  <conditionalFormatting sqref="AA15">
    <cfRule type="cellIs" dxfId="245" priority="59" operator="greaterThan">
      <formula>0.03</formula>
    </cfRule>
    <cfRule type="cellIs" dxfId="244" priority="60" stopIfTrue="1" operator="lessThan">
      <formula>-0.03</formula>
    </cfRule>
  </conditionalFormatting>
  <conditionalFormatting sqref="V15:X15">
    <cfRule type="cellIs" dxfId="243" priority="65" operator="greaterThan">
      <formula>0.03</formula>
    </cfRule>
    <cfRule type="cellIs" dxfId="242" priority="66" stopIfTrue="1" operator="lessThan">
      <formula>-0.03</formula>
    </cfRule>
  </conditionalFormatting>
  <conditionalFormatting sqref="Y15">
    <cfRule type="cellIs" dxfId="241" priority="63" operator="greaterThan">
      <formula>0.03</formula>
    </cfRule>
    <cfRule type="cellIs" dxfId="240" priority="64" stopIfTrue="1" operator="lessThan">
      <formula>-0.03</formula>
    </cfRule>
  </conditionalFormatting>
  <conditionalFormatting sqref="Z15">
    <cfRule type="cellIs" dxfId="239" priority="61" operator="greaterThan">
      <formula>0.03</formula>
    </cfRule>
    <cfRule type="cellIs" dxfId="238" priority="62" stopIfTrue="1" operator="lessThan">
      <formula>-0.03</formula>
    </cfRule>
  </conditionalFormatting>
  <conditionalFormatting sqref="AA19">
    <cfRule type="cellIs" dxfId="237" priority="51" operator="greaterThan">
      <formula>0.03</formula>
    </cfRule>
    <cfRule type="cellIs" dxfId="236" priority="52" stopIfTrue="1" operator="lessThan">
      <formula>-0.03</formula>
    </cfRule>
  </conditionalFormatting>
  <conditionalFormatting sqref="V19:X19">
    <cfRule type="cellIs" dxfId="235" priority="57" operator="greaterThan">
      <formula>0.03</formula>
    </cfRule>
    <cfRule type="cellIs" dxfId="234" priority="58" stopIfTrue="1" operator="lessThan">
      <formula>-0.03</formula>
    </cfRule>
  </conditionalFormatting>
  <conditionalFormatting sqref="Y19">
    <cfRule type="cellIs" dxfId="233" priority="55" operator="greaterThan">
      <formula>0.03</formula>
    </cfRule>
    <cfRule type="cellIs" dxfId="232" priority="56" stopIfTrue="1" operator="lessThan">
      <formula>-0.03</formula>
    </cfRule>
  </conditionalFormatting>
  <conditionalFormatting sqref="Z19">
    <cfRule type="cellIs" dxfId="231" priority="53" operator="greaterThan">
      <formula>0.03</formula>
    </cfRule>
    <cfRule type="cellIs" dxfId="230" priority="54" stopIfTrue="1" operator="lessThan">
      <formula>-0.03</formula>
    </cfRule>
  </conditionalFormatting>
  <conditionalFormatting sqref="V23:X23">
    <cfRule type="cellIs" dxfId="229" priority="49" operator="greaterThan">
      <formula>0.03</formula>
    </cfRule>
    <cfRule type="cellIs" dxfId="228" priority="50" stopIfTrue="1" operator="lessThan">
      <formula>-0.03</formula>
    </cfRule>
  </conditionalFormatting>
  <conditionalFormatting sqref="Y23">
    <cfRule type="cellIs" dxfId="227" priority="47" operator="greaterThan">
      <formula>0.03</formula>
    </cfRule>
    <cfRule type="cellIs" dxfId="226" priority="48" stopIfTrue="1" operator="lessThan">
      <formula>-0.03</formula>
    </cfRule>
  </conditionalFormatting>
  <conditionalFormatting sqref="Z59">
    <cfRule type="cellIs" dxfId="225" priority="37" operator="greaterThan">
      <formula>0.03</formula>
    </cfRule>
    <cfRule type="cellIs" dxfId="224" priority="38" stopIfTrue="1" operator="lessThan">
      <formula>-0.03</formula>
    </cfRule>
  </conditionalFormatting>
  <conditionalFormatting sqref="AA59">
    <cfRule type="cellIs" dxfId="223" priority="35" operator="greaterThan">
      <formula>0.03</formula>
    </cfRule>
    <cfRule type="cellIs" dxfId="222" priority="36" stopIfTrue="1" operator="lessThan">
      <formula>-0.03</formula>
    </cfRule>
  </conditionalFormatting>
  <conditionalFormatting sqref="Y62:Z62">
    <cfRule type="cellIs" dxfId="221" priority="33" operator="greaterThan">
      <formula>0.03</formula>
    </cfRule>
    <cfRule type="cellIs" dxfId="220" priority="34" stopIfTrue="1" operator="lessThan">
      <formula>-0.03</formula>
    </cfRule>
  </conditionalFormatting>
  <conditionalFormatting sqref="V59:X62">
    <cfRule type="cellIs" dxfId="219" priority="41" operator="greaterThan">
      <formula>0.03</formula>
    </cfRule>
    <cfRule type="cellIs" dxfId="218" priority="42" stopIfTrue="1" operator="lessThan">
      <formula>-0.03</formula>
    </cfRule>
  </conditionalFormatting>
  <conditionalFormatting sqref="Y59">
    <cfRule type="cellIs" dxfId="217" priority="39" operator="greaterThan">
      <formula>0.03</formula>
    </cfRule>
    <cfRule type="cellIs" dxfId="216" priority="40" stopIfTrue="1" operator="lessThan">
      <formula>-0.03</formula>
    </cfRule>
  </conditionalFormatting>
  <conditionalFormatting sqref="V63:X70">
    <cfRule type="cellIs" dxfId="215" priority="31" operator="greaterThan">
      <formula>0.03</formula>
    </cfRule>
    <cfRule type="cellIs" dxfId="214" priority="32" stopIfTrue="1" operator="lessThan">
      <formula>-0.03</formula>
    </cfRule>
  </conditionalFormatting>
  <conditionalFormatting sqref="Y63">
    <cfRule type="cellIs" dxfId="213" priority="29" operator="greaterThan">
      <formula>0.03</formula>
    </cfRule>
    <cfRule type="cellIs" dxfId="212" priority="30" stopIfTrue="1" operator="lessThan">
      <formula>-0.03</formula>
    </cfRule>
  </conditionalFormatting>
  <conditionalFormatting sqref="Z63">
    <cfRule type="cellIs" dxfId="211" priority="27" operator="greaterThan">
      <formula>0.03</formula>
    </cfRule>
    <cfRule type="cellIs" dxfId="210" priority="28" stopIfTrue="1" operator="lessThan">
      <formula>-0.03</formula>
    </cfRule>
  </conditionalFormatting>
  <conditionalFormatting sqref="AA63">
    <cfRule type="cellIs" dxfId="209" priority="25" operator="greaterThan">
      <formula>0.03</formula>
    </cfRule>
    <cfRule type="cellIs" dxfId="208" priority="26" stopIfTrue="1" operator="lessThan">
      <formula>-0.03</formula>
    </cfRule>
  </conditionalFormatting>
  <conditionalFormatting sqref="Y67">
    <cfRule type="cellIs" dxfId="207" priority="23" operator="greaterThan">
      <formula>0.03</formula>
    </cfRule>
    <cfRule type="cellIs" dxfId="206" priority="24" stopIfTrue="1" operator="lessThan">
      <formula>-0.03</formula>
    </cfRule>
  </conditionalFormatting>
  <conditionalFormatting sqref="Z6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AA67">
    <cfRule type="cellIs" dxfId="203" priority="19" operator="greaterThan">
      <formula>0.03</formula>
    </cfRule>
    <cfRule type="cellIs" dxfId="202" priority="20" stopIfTrue="1" operator="lessThan">
      <formula>-0.03</formula>
    </cfRule>
  </conditionalFormatting>
  <conditionalFormatting sqref="Y66:Z66">
    <cfRule type="cellIs" dxfId="201" priority="17" operator="greaterThan">
      <formula>0.03</formula>
    </cfRule>
    <cfRule type="cellIs" dxfId="200" priority="18" stopIfTrue="1" operator="lessThan">
      <formula>-0.03</formula>
    </cfRule>
  </conditionalFormatting>
  <conditionalFormatting sqref="Y70:Z70">
    <cfRule type="cellIs" dxfId="199" priority="15" operator="greaterThan">
      <formula>0.03</formula>
    </cfRule>
    <cfRule type="cellIs" dxfId="198" priority="16" stopIfTrue="1" operator="lessThan">
      <formula>-0.03</formula>
    </cfRule>
  </conditionalFormatting>
  <conditionalFormatting sqref="V71:X74">
    <cfRule type="cellIs" dxfId="197" priority="13" operator="greaterThan">
      <formula>0.03</formula>
    </cfRule>
    <cfRule type="cellIs" dxfId="196" priority="14" stopIfTrue="1" operator="lessThan">
      <formula>-0.03</formula>
    </cfRule>
  </conditionalFormatting>
  <conditionalFormatting sqref="Y71">
    <cfRule type="cellIs" dxfId="195" priority="11" operator="greaterThan">
      <formula>0.03</formula>
    </cfRule>
    <cfRule type="cellIs" dxfId="194" priority="12" stopIfTrue="1" operator="lessThan">
      <formula>-0.03</formula>
    </cfRule>
  </conditionalFormatting>
  <conditionalFormatting sqref="Z71">
    <cfRule type="cellIs" dxfId="193" priority="9" operator="greaterThan">
      <formula>0.03</formula>
    </cfRule>
    <cfRule type="cellIs" dxfId="192" priority="10" stopIfTrue="1" operator="lessThan">
      <formula>-0.03</formula>
    </cfRule>
  </conditionalFormatting>
  <conditionalFormatting sqref="AA71">
    <cfRule type="cellIs" dxfId="191" priority="7" operator="greaterThan">
      <formula>0.03</formula>
    </cfRule>
    <cfRule type="cellIs" dxfId="190" priority="8" stopIfTrue="1" operator="lessThan">
      <formula>-0.03</formula>
    </cfRule>
  </conditionalFormatting>
  <conditionalFormatting sqref="Y74:Z74">
    <cfRule type="cellIs" dxfId="189" priority="5" operator="greaterThan">
      <formula>0.03</formula>
    </cfRule>
    <cfRule type="cellIs" dxfId="188" priority="6" stopIfTrue="1" operator="lessThan">
      <formula>-0.03</formula>
    </cfRule>
  </conditionalFormatting>
  <conditionalFormatting sqref="V79:X7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Y79:AA79">
    <cfRule type="cellIs" dxfId="185" priority="1" operator="greaterThan">
      <formula>0.03</formula>
    </cfRule>
    <cfRule type="cellIs" dxfId="18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83"/>
  <sheetViews>
    <sheetView zoomScale="85" zoomScaleNormal="85" workbookViewId="0">
      <selection activeCell="D74" sqref="D74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5" t="s">
        <v>5</v>
      </c>
      <c r="E1" s="156"/>
      <c r="F1" s="156"/>
      <c r="G1" s="156"/>
      <c r="H1" s="156"/>
      <c r="I1" s="156"/>
      <c r="J1" s="157"/>
      <c r="L1" s="155" t="s">
        <v>6</v>
      </c>
      <c r="M1" s="156"/>
      <c r="N1" s="156"/>
      <c r="O1" s="156"/>
      <c r="P1" s="156"/>
      <c r="Q1" s="156"/>
      <c r="R1" s="157"/>
      <c r="S1" s="35"/>
      <c r="T1" s="35"/>
      <c r="U1" s="2"/>
      <c r="V1" s="155" t="s">
        <v>17</v>
      </c>
      <c r="W1" s="156"/>
      <c r="X1" s="157"/>
      <c r="Y1" s="155" t="s">
        <v>18</v>
      </c>
      <c r="Z1" s="156"/>
      <c r="AA1" s="157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Reference!B217</f>
        <v>0</v>
      </c>
      <c r="E3" s="13">
        <f>Reference!C217</f>
        <v>0</v>
      </c>
      <c r="F3" s="13">
        <f>Reference!D217</f>
        <v>0</v>
      </c>
      <c r="G3" s="13">
        <f>Reference!E217</f>
        <v>0</v>
      </c>
      <c r="H3" s="13">
        <f>Reference!F217</f>
        <v>0</v>
      </c>
      <c r="I3" s="13">
        <f>Reference!G217</f>
        <v>0</v>
      </c>
      <c r="J3" s="14">
        <f>H3/3600</f>
        <v>0</v>
      </c>
      <c r="L3" s="12">
        <f>Test!B217</f>
        <v>0</v>
      </c>
      <c r="M3" s="13">
        <f>Test!C217</f>
        <v>0</v>
      </c>
      <c r="N3" s="13">
        <f>Test!D217</f>
        <v>0</v>
      </c>
      <c r="O3" s="13">
        <f>Test!E217</f>
        <v>0</v>
      </c>
      <c r="P3" s="13">
        <f>Test!F217</f>
        <v>0</v>
      </c>
      <c r="Q3" s="13">
        <f>Test!G217</f>
        <v>0</v>
      </c>
      <c r="R3" s="14">
        <f>P3/3600</f>
        <v>0</v>
      </c>
      <c r="S3" s="12" t="e">
        <f t="shared" ref="S3" si="0">P3/H3</f>
        <v>#DIV/0!</v>
      </c>
      <c r="T3" s="13" t="e">
        <f t="shared" ref="T3" si="1">Q3/I3</f>
        <v>#DIV/0!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Reference!B218</f>
        <v>0</v>
      </c>
      <c r="E4" s="18">
        <f>Reference!C218</f>
        <v>0</v>
      </c>
      <c r="F4" s="18">
        <f>Reference!D218</f>
        <v>0</v>
      </c>
      <c r="G4" s="18">
        <f>Reference!E218</f>
        <v>0</v>
      </c>
      <c r="H4" s="18">
        <f>Reference!F218</f>
        <v>0</v>
      </c>
      <c r="I4" s="18">
        <f>Reference!G218</f>
        <v>0</v>
      </c>
      <c r="J4" s="19">
        <f t="shared" ref="J4:J58" si="2">H4/3600</f>
        <v>0</v>
      </c>
      <c r="L4" s="17">
        <f>Test!B218</f>
        <v>0</v>
      </c>
      <c r="M4" s="18">
        <f>Test!C218</f>
        <v>0</v>
      </c>
      <c r="N4" s="18">
        <f>Test!D218</f>
        <v>0</v>
      </c>
      <c r="O4" s="18">
        <f>Test!E218</f>
        <v>0</v>
      </c>
      <c r="P4" s="18">
        <f>Test!F218</f>
        <v>0</v>
      </c>
      <c r="Q4" s="18">
        <f>Test!G218</f>
        <v>0</v>
      </c>
      <c r="R4" s="19">
        <f t="shared" ref="R4:R58" si="3">P4/3600</f>
        <v>0</v>
      </c>
      <c r="S4" s="17" t="e">
        <f t="shared" ref="S4:S26" si="4">P4/H4</f>
        <v>#DIV/0!</v>
      </c>
      <c r="T4" s="18" t="e">
        <f t="shared" ref="T4:T26" si="5">Q4/I4</f>
        <v>#DIV/0!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Reference!B219</f>
        <v>0</v>
      </c>
      <c r="E5" s="18">
        <f>Reference!C219</f>
        <v>0</v>
      </c>
      <c r="F5" s="18">
        <f>Reference!D219</f>
        <v>0</v>
      </c>
      <c r="G5" s="18">
        <f>Reference!E219</f>
        <v>0</v>
      </c>
      <c r="H5" s="18">
        <f>Reference!F219</f>
        <v>0</v>
      </c>
      <c r="I5" s="18">
        <f>Reference!G219</f>
        <v>0</v>
      </c>
      <c r="J5" s="19">
        <f t="shared" si="2"/>
        <v>0</v>
      </c>
      <c r="L5" s="17">
        <f>Test!B219</f>
        <v>0</v>
      </c>
      <c r="M5" s="18">
        <f>Test!C219</f>
        <v>0</v>
      </c>
      <c r="N5" s="18">
        <f>Test!D219</f>
        <v>0</v>
      </c>
      <c r="O5" s="18">
        <f>Test!E219</f>
        <v>0</v>
      </c>
      <c r="P5" s="18">
        <f>Test!F219</f>
        <v>0</v>
      </c>
      <c r="Q5" s="18">
        <f>Test!G219</f>
        <v>0</v>
      </c>
      <c r="R5" s="19">
        <f t="shared" si="3"/>
        <v>0</v>
      </c>
      <c r="S5" s="17" t="e">
        <f t="shared" si="4"/>
        <v>#DIV/0!</v>
      </c>
      <c r="T5" s="18" t="e">
        <f t="shared" si="5"/>
        <v>#DIV/0!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Reference!B220</f>
        <v>0</v>
      </c>
      <c r="E6" s="23">
        <f>Reference!C220</f>
        <v>0</v>
      </c>
      <c r="F6" s="23">
        <f>Reference!D220</f>
        <v>0</v>
      </c>
      <c r="G6" s="23">
        <f>Reference!E220</f>
        <v>0</v>
      </c>
      <c r="H6" s="23">
        <f>Reference!F220</f>
        <v>0</v>
      </c>
      <c r="I6" s="23">
        <f>Reference!G220</f>
        <v>0</v>
      </c>
      <c r="J6" s="24">
        <f t="shared" si="2"/>
        <v>0</v>
      </c>
      <c r="L6" s="22">
        <f>Test!B220</f>
        <v>0</v>
      </c>
      <c r="M6" s="23">
        <f>Test!C220</f>
        <v>0</v>
      </c>
      <c r="N6" s="23">
        <f>Test!D220</f>
        <v>0</v>
      </c>
      <c r="O6" s="23">
        <f>Test!E220</f>
        <v>0</v>
      </c>
      <c r="P6" s="23">
        <f>Test!F220</f>
        <v>0</v>
      </c>
      <c r="Q6" s="23">
        <f>Test!G220</f>
        <v>0</v>
      </c>
      <c r="R6" s="24">
        <f t="shared" si="3"/>
        <v>0</v>
      </c>
      <c r="S6" s="17" t="e">
        <f t="shared" si="4"/>
        <v>#DIV/0!</v>
      </c>
      <c r="T6" s="18" t="e">
        <f t="shared" si="5"/>
        <v>#DIV/0!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Reference!B221</f>
        <v>0</v>
      </c>
      <c r="E7" s="13">
        <f>Reference!C221</f>
        <v>0</v>
      </c>
      <c r="F7" s="13">
        <f>Reference!D221</f>
        <v>0</v>
      </c>
      <c r="G7" s="13">
        <f>Reference!E221</f>
        <v>0</v>
      </c>
      <c r="H7" s="13">
        <f>Reference!F221</f>
        <v>0</v>
      </c>
      <c r="I7" s="13">
        <f>Reference!G221</f>
        <v>0</v>
      </c>
      <c r="J7" s="14">
        <f t="shared" si="2"/>
        <v>0</v>
      </c>
      <c r="L7" s="12">
        <f>Test!B221</f>
        <v>0</v>
      </c>
      <c r="M7" s="13">
        <f>Test!C221</f>
        <v>0</v>
      </c>
      <c r="N7" s="13">
        <f>Test!D221</f>
        <v>0</v>
      </c>
      <c r="O7" s="13">
        <f>Test!E221</f>
        <v>0</v>
      </c>
      <c r="P7" s="13">
        <f>Test!F221</f>
        <v>0</v>
      </c>
      <c r="Q7" s="13">
        <f>Test!G221</f>
        <v>0</v>
      </c>
      <c r="R7" s="14">
        <f t="shared" si="3"/>
        <v>0</v>
      </c>
      <c r="S7" s="17" t="e">
        <f t="shared" si="4"/>
        <v>#DIV/0!</v>
      </c>
      <c r="T7" s="18" t="e">
        <f t="shared" si="5"/>
        <v>#DIV/0!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Reference!B222</f>
        <v>0</v>
      </c>
      <c r="E8" s="18">
        <f>Reference!C222</f>
        <v>0</v>
      </c>
      <c r="F8" s="18">
        <f>Reference!D222</f>
        <v>0</v>
      </c>
      <c r="G8" s="18">
        <f>Reference!E222</f>
        <v>0</v>
      </c>
      <c r="H8" s="18">
        <f>Reference!F222</f>
        <v>0</v>
      </c>
      <c r="I8" s="18">
        <f>Reference!G222</f>
        <v>0</v>
      </c>
      <c r="J8" s="19">
        <f t="shared" si="2"/>
        <v>0</v>
      </c>
      <c r="L8" s="17">
        <f>Test!B222</f>
        <v>0</v>
      </c>
      <c r="M8" s="18">
        <f>Test!C222</f>
        <v>0</v>
      </c>
      <c r="N8" s="18">
        <f>Test!D222</f>
        <v>0</v>
      </c>
      <c r="O8" s="18">
        <f>Test!E222</f>
        <v>0</v>
      </c>
      <c r="P8" s="18">
        <f>Test!F222</f>
        <v>0</v>
      </c>
      <c r="Q8" s="18">
        <f>Test!G222</f>
        <v>0</v>
      </c>
      <c r="R8" s="19">
        <f t="shared" si="3"/>
        <v>0</v>
      </c>
      <c r="S8" s="17" t="e">
        <f t="shared" si="4"/>
        <v>#DIV/0!</v>
      </c>
      <c r="T8" s="18" t="e">
        <f t="shared" si="5"/>
        <v>#DIV/0!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Reference!B223</f>
        <v>0</v>
      </c>
      <c r="E9" s="18">
        <f>Reference!C223</f>
        <v>0</v>
      </c>
      <c r="F9" s="18">
        <f>Reference!D223</f>
        <v>0</v>
      </c>
      <c r="G9" s="18">
        <f>Reference!E223</f>
        <v>0</v>
      </c>
      <c r="H9" s="18">
        <f>Reference!F223</f>
        <v>0</v>
      </c>
      <c r="I9" s="18">
        <f>Reference!G223</f>
        <v>0</v>
      </c>
      <c r="J9" s="19">
        <f t="shared" si="2"/>
        <v>0</v>
      </c>
      <c r="L9" s="17">
        <f>Test!B223</f>
        <v>0</v>
      </c>
      <c r="M9" s="18">
        <f>Test!C223</f>
        <v>0</v>
      </c>
      <c r="N9" s="18">
        <f>Test!D223</f>
        <v>0</v>
      </c>
      <c r="O9" s="18">
        <f>Test!E223</f>
        <v>0</v>
      </c>
      <c r="P9" s="18">
        <f>Test!F223</f>
        <v>0</v>
      </c>
      <c r="Q9" s="18">
        <f>Test!G223</f>
        <v>0</v>
      </c>
      <c r="R9" s="19">
        <f t="shared" si="3"/>
        <v>0</v>
      </c>
      <c r="S9" s="17" t="e">
        <f t="shared" si="4"/>
        <v>#DIV/0!</v>
      </c>
      <c r="T9" s="18" t="e">
        <f t="shared" si="5"/>
        <v>#DIV/0!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Reference!B224</f>
        <v>0</v>
      </c>
      <c r="E10" s="23">
        <f>Reference!C224</f>
        <v>0</v>
      </c>
      <c r="F10" s="23">
        <f>Reference!D224</f>
        <v>0</v>
      </c>
      <c r="G10" s="23">
        <f>Reference!E224</f>
        <v>0</v>
      </c>
      <c r="H10" s="23">
        <f>Reference!F224</f>
        <v>0</v>
      </c>
      <c r="I10" s="23">
        <f>Reference!G224</f>
        <v>0</v>
      </c>
      <c r="J10" s="24">
        <f t="shared" si="2"/>
        <v>0</v>
      </c>
      <c r="L10" s="22">
        <f>Test!B224</f>
        <v>0</v>
      </c>
      <c r="M10" s="23">
        <f>Test!C224</f>
        <v>0</v>
      </c>
      <c r="N10" s="23">
        <f>Test!D224</f>
        <v>0</v>
      </c>
      <c r="O10" s="23">
        <f>Test!E224</f>
        <v>0</v>
      </c>
      <c r="P10" s="23">
        <f>Test!F224</f>
        <v>0</v>
      </c>
      <c r="Q10" s="23">
        <f>Test!G224</f>
        <v>0</v>
      </c>
      <c r="R10" s="24">
        <f t="shared" si="3"/>
        <v>0</v>
      </c>
      <c r="S10" s="17" t="e">
        <f t="shared" si="4"/>
        <v>#DIV/0!</v>
      </c>
      <c r="T10" s="18" t="e">
        <f t="shared" si="5"/>
        <v>#DIV/0!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Reference!B225</f>
        <v>0</v>
      </c>
      <c r="E11" s="13">
        <f>Reference!C225</f>
        <v>0</v>
      </c>
      <c r="F11" s="13">
        <f>Reference!D225</f>
        <v>0</v>
      </c>
      <c r="G11" s="13">
        <f>Reference!E225</f>
        <v>0</v>
      </c>
      <c r="H11" s="13">
        <f>Reference!F225</f>
        <v>0</v>
      </c>
      <c r="I11" s="13">
        <f>Reference!G225</f>
        <v>0</v>
      </c>
      <c r="J11" s="14">
        <f t="shared" si="2"/>
        <v>0</v>
      </c>
      <c r="L11" s="12">
        <f>Test!B225</f>
        <v>0</v>
      </c>
      <c r="M11" s="13">
        <f>Test!C225</f>
        <v>0</v>
      </c>
      <c r="N11" s="13">
        <f>Test!D225</f>
        <v>0</v>
      </c>
      <c r="O11" s="13">
        <f>Test!E225</f>
        <v>0</v>
      </c>
      <c r="P11" s="13">
        <f>Test!F225</f>
        <v>0</v>
      </c>
      <c r="Q11" s="13">
        <f>Test!G225</f>
        <v>0</v>
      </c>
      <c r="R11" s="14">
        <f t="shared" si="3"/>
        <v>0</v>
      </c>
      <c r="S11" s="17" t="e">
        <f t="shared" si="4"/>
        <v>#DIV/0!</v>
      </c>
      <c r="T11" s="18" t="e">
        <f t="shared" si="5"/>
        <v>#DIV/0!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Reference!B226</f>
        <v>0</v>
      </c>
      <c r="E12" s="18">
        <f>Reference!C226</f>
        <v>0</v>
      </c>
      <c r="F12" s="18">
        <f>Reference!D226</f>
        <v>0</v>
      </c>
      <c r="G12" s="18">
        <f>Reference!E226</f>
        <v>0</v>
      </c>
      <c r="H12" s="18">
        <f>Reference!F226</f>
        <v>0</v>
      </c>
      <c r="I12" s="18">
        <f>Reference!G226</f>
        <v>0</v>
      </c>
      <c r="J12" s="19">
        <f t="shared" si="2"/>
        <v>0</v>
      </c>
      <c r="L12" s="17">
        <f>Test!B226</f>
        <v>0</v>
      </c>
      <c r="M12" s="18">
        <f>Test!C226</f>
        <v>0</v>
      </c>
      <c r="N12" s="18">
        <f>Test!D226</f>
        <v>0</v>
      </c>
      <c r="O12" s="18">
        <f>Test!E226</f>
        <v>0</v>
      </c>
      <c r="P12" s="18">
        <f>Test!F226</f>
        <v>0</v>
      </c>
      <c r="Q12" s="18">
        <f>Test!G226</f>
        <v>0</v>
      </c>
      <c r="R12" s="19">
        <f t="shared" si="3"/>
        <v>0</v>
      </c>
      <c r="S12" s="17" t="e">
        <f t="shared" si="4"/>
        <v>#DIV/0!</v>
      </c>
      <c r="T12" s="18" t="e">
        <f t="shared" si="5"/>
        <v>#DIV/0!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Reference!B227</f>
        <v>0</v>
      </c>
      <c r="E13" s="18">
        <f>Reference!C227</f>
        <v>0</v>
      </c>
      <c r="F13" s="18">
        <f>Reference!D227</f>
        <v>0</v>
      </c>
      <c r="G13" s="18">
        <f>Reference!E227</f>
        <v>0</v>
      </c>
      <c r="H13" s="18">
        <f>Reference!F227</f>
        <v>0</v>
      </c>
      <c r="I13" s="18">
        <f>Reference!G227</f>
        <v>0</v>
      </c>
      <c r="J13" s="19">
        <f t="shared" si="2"/>
        <v>0</v>
      </c>
      <c r="L13" s="17">
        <f>Test!B227</f>
        <v>0</v>
      </c>
      <c r="M13" s="18">
        <f>Test!C227</f>
        <v>0</v>
      </c>
      <c r="N13" s="18">
        <f>Test!D227</f>
        <v>0</v>
      </c>
      <c r="O13" s="18">
        <f>Test!E227</f>
        <v>0</v>
      </c>
      <c r="P13" s="18">
        <f>Test!F227</f>
        <v>0</v>
      </c>
      <c r="Q13" s="18">
        <f>Test!G227</f>
        <v>0</v>
      </c>
      <c r="R13" s="19">
        <f t="shared" si="3"/>
        <v>0</v>
      </c>
      <c r="S13" s="17" t="e">
        <f t="shared" si="4"/>
        <v>#DIV/0!</v>
      </c>
      <c r="T13" s="18" t="e">
        <f t="shared" si="5"/>
        <v>#DIV/0!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Reference!B228</f>
        <v>0</v>
      </c>
      <c r="E14" s="23">
        <f>Reference!C228</f>
        <v>0</v>
      </c>
      <c r="F14" s="23">
        <f>Reference!D228</f>
        <v>0</v>
      </c>
      <c r="G14" s="23">
        <f>Reference!E228</f>
        <v>0</v>
      </c>
      <c r="H14" s="23">
        <f>Reference!F228</f>
        <v>0</v>
      </c>
      <c r="I14" s="23">
        <f>Reference!G228</f>
        <v>0</v>
      </c>
      <c r="J14" s="24">
        <f t="shared" si="2"/>
        <v>0</v>
      </c>
      <c r="L14" s="22">
        <f>Test!B228</f>
        <v>0</v>
      </c>
      <c r="M14" s="23">
        <f>Test!C228</f>
        <v>0</v>
      </c>
      <c r="N14" s="23">
        <f>Test!D228</f>
        <v>0</v>
      </c>
      <c r="O14" s="23">
        <f>Test!E228</f>
        <v>0</v>
      </c>
      <c r="P14" s="23">
        <f>Test!F228</f>
        <v>0</v>
      </c>
      <c r="Q14" s="23">
        <f>Test!G228</f>
        <v>0</v>
      </c>
      <c r="R14" s="24">
        <f t="shared" si="3"/>
        <v>0</v>
      </c>
      <c r="S14" s="17" t="e">
        <f t="shared" si="4"/>
        <v>#DIV/0!</v>
      </c>
      <c r="T14" s="18" t="e">
        <f t="shared" si="5"/>
        <v>#DIV/0!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Reference!B229</f>
        <v>0</v>
      </c>
      <c r="E15" s="13">
        <f>Reference!C229</f>
        <v>0</v>
      </c>
      <c r="F15" s="13">
        <f>Reference!D229</f>
        <v>0</v>
      </c>
      <c r="G15" s="13">
        <f>Reference!E229</f>
        <v>0</v>
      </c>
      <c r="H15" s="13">
        <f>Reference!F229</f>
        <v>0</v>
      </c>
      <c r="I15" s="13">
        <f>Reference!G229</f>
        <v>0</v>
      </c>
      <c r="J15" s="14">
        <f t="shared" si="2"/>
        <v>0</v>
      </c>
      <c r="L15" s="12">
        <f>Test!B229</f>
        <v>0</v>
      </c>
      <c r="M15" s="13">
        <f>Test!C229</f>
        <v>0</v>
      </c>
      <c r="N15" s="13">
        <f>Test!D229</f>
        <v>0</v>
      </c>
      <c r="O15" s="13">
        <f>Test!E229</f>
        <v>0</v>
      </c>
      <c r="P15" s="13">
        <f>Test!F229</f>
        <v>0</v>
      </c>
      <c r="Q15" s="13">
        <f>Test!G229</f>
        <v>0</v>
      </c>
      <c r="R15" s="14">
        <f t="shared" si="3"/>
        <v>0</v>
      </c>
      <c r="S15" s="17" t="e">
        <f t="shared" si="4"/>
        <v>#DIV/0!</v>
      </c>
      <c r="T15" s="18" t="e">
        <f t="shared" si="5"/>
        <v>#DIV/0!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Reference!B230</f>
        <v>0</v>
      </c>
      <c r="E16" s="18">
        <f>Reference!C230</f>
        <v>0</v>
      </c>
      <c r="F16" s="18">
        <f>Reference!D230</f>
        <v>0</v>
      </c>
      <c r="G16" s="18">
        <f>Reference!E230</f>
        <v>0</v>
      </c>
      <c r="H16" s="18">
        <f>Reference!F230</f>
        <v>0</v>
      </c>
      <c r="I16" s="18">
        <f>Reference!G230</f>
        <v>0</v>
      </c>
      <c r="J16" s="19">
        <f t="shared" si="2"/>
        <v>0</v>
      </c>
      <c r="L16" s="17">
        <f>Test!B230</f>
        <v>0</v>
      </c>
      <c r="M16" s="18">
        <f>Test!C230</f>
        <v>0</v>
      </c>
      <c r="N16" s="18">
        <f>Test!D230</f>
        <v>0</v>
      </c>
      <c r="O16" s="18">
        <f>Test!E230</f>
        <v>0</v>
      </c>
      <c r="P16" s="18">
        <f>Test!F230</f>
        <v>0</v>
      </c>
      <c r="Q16" s="18">
        <f>Test!G230</f>
        <v>0</v>
      </c>
      <c r="R16" s="19">
        <f t="shared" si="3"/>
        <v>0</v>
      </c>
      <c r="S16" s="17" t="e">
        <f t="shared" si="4"/>
        <v>#DIV/0!</v>
      </c>
      <c r="T16" s="18" t="e">
        <f t="shared" si="5"/>
        <v>#DIV/0!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Reference!B231</f>
        <v>0</v>
      </c>
      <c r="E17" s="18">
        <f>Reference!C231</f>
        <v>0</v>
      </c>
      <c r="F17" s="18">
        <f>Reference!D231</f>
        <v>0</v>
      </c>
      <c r="G17" s="18">
        <f>Reference!E231</f>
        <v>0</v>
      </c>
      <c r="H17" s="18">
        <f>Reference!F231</f>
        <v>0</v>
      </c>
      <c r="I17" s="18">
        <f>Reference!G231</f>
        <v>0</v>
      </c>
      <c r="J17" s="19">
        <f t="shared" si="2"/>
        <v>0</v>
      </c>
      <c r="L17" s="17">
        <f>Test!B231</f>
        <v>0</v>
      </c>
      <c r="M17" s="18">
        <f>Test!C231</f>
        <v>0</v>
      </c>
      <c r="N17" s="18">
        <f>Test!D231</f>
        <v>0</v>
      </c>
      <c r="O17" s="18">
        <f>Test!E231</f>
        <v>0</v>
      </c>
      <c r="P17" s="18">
        <f>Test!F231</f>
        <v>0</v>
      </c>
      <c r="Q17" s="18">
        <f>Test!G231</f>
        <v>0</v>
      </c>
      <c r="R17" s="19">
        <f t="shared" si="3"/>
        <v>0</v>
      </c>
      <c r="S17" s="17" t="e">
        <f t="shared" si="4"/>
        <v>#DIV/0!</v>
      </c>
      <c r="T17" s="18" t="e">
        <f t="shared" si="5"/>
        <v>#DIV/0!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Reference!B232</f>
        <v>0</v>
      </c>
      <c r="E18" s="23">
        <f>Reference!C232</f>
        <v>0</v>
      </c>
      <c r="F18" s="23">
        <f>Reference!D232</f>
        <v>0</v>
      </c>
      <c r="G18" s="23">
        <f>Reference!E232</f>
        <v>0</v>
      </c>
      <c r="H18" s="23">
        <f>Reference!F232</f>
        <v>0</v>
      </c>
      <c r="I18" s="23">
        <f>Reference!G232</f>
        <v>0</v>
      </c>
      <c r="J18" s="24">
        <f t="shared" si="2"/>
        <v>0</v>
      </c>
      <c r="L18" s="22">
        <f>Test!B232</f>
        <v>0</v>
      </c>
      <c r="M18" s="23">
        <f>Test!C232</f>
        <v>0</v>
      </c>
      <c r="N18" s="23">
        <f>Test!D232</f>
        <v>0</v>
      </c>
      <c r="O18" s="23">
        <f>Test!E232</f>
        <v>0</v>
      </c>
      <c r="P18" s="23">
        <f>Test!F232</f>
        <v>0</v>
      </c>
      <c r="Q18" s="23">
        <f>Test!G232</f>
        <v>0</v>
      </c>
      <c r="R18" s="24">
        <f t="shared" si="3"/>
        <v>0</v>
      </c>
      <c r="S18" s="17" t="e">
        <f t="shared" si="4"/>
        <v>#DIV/0!</v>
      </c>
      <c r="T18" s="18" t="e">
        <f t="shared" si="5"/>
        <v>#DIV/0!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Reference!B233</f>
        <v>0</v>
      </c>
      <c r="E19" s="13">
        <f>Reference!C233</f>
        <v>0</v>
      </c>
      <c r="F19" s="13">
        <f>Reference!D233</f>
        <v>0</v>
      </c>
      <c r="G19" s="13">
        <f>Reference!E233</f>
        <v>0</v>
      </c>
      <c r="H19" s="13">
        <f>Reference!F233</f>
        <v>0</v>
      </c>
      <c r="I19" s="13">
        <f>Reference!G233</f>
        <v>0</v>
      </c>
      <c r="J19" s="14">
        <f t="shared" si="2"/>
        <v>0</v>
      </c>
      <c r="L19" s="12">
        <f>Test!B233</f>
        <v>0</v>
      </c>
      <c r="M19" s="13">
        <f>Test!C233</f>
        <v>0</v>
      </c>
      <c r="N19" s="13">
        <f>Test!D233</f>
        <v>0</v>
      </c>
      <c r="O19" s="13">
        <f>Test!E233</f>
        <v>0</v>
      </c>
      <c r="P19" s="13">
        <f>Test!F233</f>
        <v>0</v>
      </c>
      <c r="Q19" s="13">
        <f>Test!G233</f>
        <v>0</v>
      </c>
      <c r="R19" s="14">
        <f t="shared" si="3"/>
        <v>0</v>
      </c>
      <c r="S19" s="12" t="e">
        <f t="shared" si="4"/>
        <v>#DIV/0!</v>
      </c>
      <c r="T19" s="13" t="e">
        <f t="shared" si="5"/>
        <v>#DIV/0!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Reference!B234</f>
        <v>0</v>
      </c>
      <c r="E20" s="18">
        <f>Reference!C234</f>
        <v>0</v>
      </c>
      <c r="F20" s="18">
        <f>Reference!D234</f>
        <v>0</v>
      </c>
      <c r="G20" s="18">
        <f>Reference!E234</f>
        <v>0</v>
      </c>
      <c r="H20" s="18">
        <f>Reference!F234</f>
        <v>0</v>
      </c>
      <c r="I20" s="18">
        <f>Reference!G234</f>
        <v>0</v>
      </c>
      <c r="J20" s="19">
        <f t="shared" si="2"/>
        <v>0</v>
      </c>
      <c r="L20" s="17">
        <f>Test!B234</f>
        <v>0</v>
      </c>
      <c r="M20" s="18">
        <f>Test!C234</f>
        <v>0</v>
      </c>
      <c r="N20" s="18">
        <f>Test!D234</f>
        <v>0</v>
      </c>
      <c r="O20" s="18">
        <f>Test!E234</f>
        <v>0</v>
      </c>
      <c r="P20" s="18">
        <f>Test!F234</f>
        <v>0</v>
      </c>
      <c r="Q20" s="18">
        <f>Test!G234</f>
        <v>0</v>
      </c>
      <c r="R20" s="19">
        <f t="shared" si="3"/>
        <v>0</v>
      </c>
      <c r="S20" s="17" t="e">
        <f t="shared" si="4"/>
        <v>#DIV/0!</v>
      </c>
      <c r="T20" s="18" t="e">
        <f t="shared" si="5"/>
        <v>#DIV/0!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Reference!B235</f>
        <v>0</v>
      </c>
      <c r="E21" s="18">
        <f>Reference!C235</f>
        <v>0</v>
      </c>
      <c r="F21" s="18">
        <f>Reference!D235</f>
        <v>0</v>
      </c>
      <c r="G21" s="18">
        <f>Reference!E235</f>
        <v>0</v>
      </c>
      <c r="H21" s="18">
        <f>Reference!F235</f>
        <v>0</v>
      </c>
      <c r="I21" s="18">
        <f>Reference!G235</f>
        <v>0</v>
      </c>
      <c r="J21" s="19">
        <f t="shared" si="2"/>
        <v>0</v>
      </c>
      <c r="L21" s="17">
        <f>Test!B235</f>
        <v>0</v>
      </c>
      <c r="M21" s="18">
        <f>Test!C235</f>
        <v>0</v>
      </c>
      <c r="N21" s="18">
        <f>Test!D235</f>
        <v>0</v>
      </c>
      <c r="O21" s="18">
        <f>Test!E235</f>
        <v>0</v>
      </c>
      <c r="P21" s="18">
        <f>Test!F235</f>
        <v>0</v>
      </c>
      <c r="Q21" s="18">
        <f>Test!G235</f>
        <v>0</v>
      </c>
      <c r="R21" s="19">
        <f t="shared" si="3"/>
        <v>0</v>
      </c>
      <c r="S21" s="17" t="e">
        <f t="shared" si="4"/>
        <v>#DIV/0!</v>
      </c>
      <c r="T21" s="18" t="e">
        <f t="shared" si="5"/>
        <v>#DIV/0!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Reference!B236</f>
        <v>0</v>
      </c>
      <c r="E22" s="23">
        <f>Reference!C236</f>
        <v>0</v>
      </c>
      <c r="F22" s="23">
        <f>Reference!D236</f>
        <v>0</v>
      </c>
      <c r="G22" s="23">
        <f>Reference!E236</f>
        <v>0</v>
      </c>
      <c r="H22" s="23">
        <f>Reference!F236</f>
        <v>0</v>
      </c>
      <c r="I22" s="23">
        <f>Reference!G236</f>
        <v>0</v>
      </c>
      <c r="J22" s="24">
        <f t="shared" si="2"/>
        <v>0</v>
      </c>
      <c r="L22" s="22">
        <f>Test!B236</f>
        <v>0</v>
      </c>
      <c r="M22" s="23">
        <f>Test!C236</f>
        <v>0</v>
      </c>
      <c r="N22" s="23">
        <f>Test!D236</f>
        <v>0</v>
      </c>
      <c r="O22" s="23">
        <f>Test!E236</f>
        <v>0</v>
      </c>
      <c r="P22" s="23">
        <f>Test!F236</f>
        <v>0</v>
      </c>
      <c r="Q22" s="23">
        <f>Test!G236</f>
        <v>0</v>
      </c>
      <c r="R22" s="24">
        <f t="shared" si="3"/>
        <v>0</v>
      </c>
      <c r="S22" s="17" t="e">
        <f t="shared" si="4"/>
        <v>#DIV/0!</v>
      </c>
      <c r="T22" s="18" t="e">
        <f t="shared" si="5"/>
        <v>#DIV/0!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Reference!B237</f>
        <v>0</v>
      </c>
      <c r="E23" s="13">
        <f>Reference!C237</f>
        <v>0</v>
      </c>
      <c r="F23" s="13">
        <f>Reference!D237</f>
        <v>0</v>
      </c>
      <c r="G23" s="13">
        <f>Reference!E237</f>
        <v>0</v>
      </c>
      <c r="H23" s="13">
        <f>Reference!F237</f>
        <v>0</v>
      </c>
      <c r="I23" s="13">
        <f>Reference!G237</f>
        <v>0</v>
      </c>
      <c r="J23" s="14">
        <f t="shared" si="2"/>
        <v>0</v>
      </c>
      <c r="L23" s="12">
        <f>Test!B237</f>
        <v>0</v>
      </c>
      <c r="M23" s="13">
        <f>Test!C237</f>
        <v>0</v>
      </c>
      <c r="N23" s="13">
        <f>Test!D237</f>
        <v>0</v>
      </c>
      <c r="O23" s="13">
        <f>Test!E237</f>
        <v>0</v>
      </c>
      <c r="P23" s="13">
        <f>Test!F237</f>
        <v>0</v>
      </c>
      <c r="Q23" s="13">
        <f>Test!G237</f>
        <v>0</v>
      </c>
      <c r="R23" s="14">
        <f t="shared" si="3"/>
        <v>0</v>
      </c>
      <c r="S23" s="17" t="e">
        <f t="shared" si="4"/>
        <v>#DIV/0!</v>
      </c>
      <c r="T23" s="18" t="e">
        <f t="shared" si="5"/>
        <v>#DIV/0!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Reference!B238</f>
        <v>0</v>
      </c>
      <c r="E24" s="18">
        <f>Reference!C238</f>
        <v>0</v>
      </c>
      <c r="F24" s="18">
        <f>Reference!D238</f>
        <v>0</v>
      </c>
      <c r="G24" s="18">
        <f>Reference!E238</f>
        <v>0</v>
      </c>
      <c r="H24" s="18">
        <f>Reference!F238</f>
        <v>0</v>
      </c>
      <c r="I24" s="18">
        <f>Reference!G238</f>
        <v>0</v>
      </c>
      <c r="J24" s="19">
        <f t="shared" si="2"/>
        <v>0</v>
      </c>
      <c r="L24" s="17">
        <f>Test!B238</f>
        <v>0</v>
      </c>
      <c r="M24" s="18">
        <f>Test!C238</f>
        <v>0</v>
      </c>
      <c r="N24" s="18">
        <f>Test!D238</f>
        <v>0</v>
      </c>
      <c r="O24" s="18">
        <f>Test!E238</f>
        <v>0</v>
      </c>
      <c r="P24" s="18">
        <f>Test!F238</f>
        <v>0</v>
      </c>
      <c r="Q24" s="18">
        <f>Test!G238</f>
        <v>0</v>
      </c>
      <c r="R24" s="19">
        <f t="shared" si="3"/>
        <v>0</v>
      </c>
      <c r="S24" s="17" t="e">
        <f t="shared" si="4"/>
        <v>#DIV/0!</v>
      </c>
      <c r="T24" s="18" t="e">
        <f t="shared" si="5"/>
        <v>#DIV/0!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Reference!B239</f>
        <v>0</v>
      </c>
      <c r="E25" s="18">
        <f>Reference!C239</f>
        <v>0</v>
      </c>
      <c r="F25" s="18">
        <f>Reference!D239</f>
        <v>0</v>
      </c>
      <c r="G25" s="18">
        <f>Reference!E239</f>
        <v>0</v>
      </c>
      <c r="H25" s="18">
        <f>Reference!F239</f>
        <v>0</v>
      </c>
      <c r="I25" s="18">
        <f>Reference!G239</f>
        <v>0</v>
      </c>
      <c r="J25" s="19">
        <f t="shared" si="2"/>
        <v>0</v>
      </c>
      <c r="L25" s="17">
        <f>Test!B239</f>
        <v>0</v>
      </c>
      <c r="M25" s="18">
        <f>Test!C239</f>
        <v>0</v>
      </c>
      <c r="N25" s="18">
        <f>Test!D239</f>
        <v>0</v>
      </c>
      <c r="O25" s="18">
        <f>Test!E239</f>
        <v>0</v>
      </c>
      <c r="P25" s="18">
        <f>Test!F239</f>
        <v>0</v>
      </c>
      <c r="Q25" s="18">
        <f>Test!G239</f>
        <v>0</v>
      </c>
      <c r="R25" s="19">
        <f t="shared" si="3"/>
        <v>0</v>
      </c>
      <c r="S25" s="17" t="e">
        <f t="shared" si="4"/>
        <v>#DIV/0!</v>
      </c>
      <c r="T25" s="18" t="e">
        <f t="shared" si="5"/>
        <v>#DIV/0!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Reference!B240</f>
        <v>0</v>
      </c>
      <c r="E26" s="23">
        <f>Reference!C240</f>
        <v>0</v>
      </c>
      <c r="F26" s="23">
        <f>Reference!D240</f>
        <v>0</v>
      </c>
      <c r="G26" s="23">
        <f>Reference!E240</f>
        <v>0</v>
      </c>
      <c r="H26" s="23">
        <f>Reference!F240</f>
        <v>0</v>
      </c>
      <c r="I26" s="23">
        <f>Reference!G240</f>
        <v>0</v>
      </c>
      <c r="J26" s="24">
        <f t="shared" si="2"/>
        <v>0</v>
      </c>
      <c r="L26" s="22">
        <f>Test!B240</f>
        <v>0</v>
      </c>
      <c r="M26" s="23">
        <f>Test!C240</f>
        <v>0</v>
      </c>
      <c r="N26" s="23">
        <f>Test!D240</f>
        <v>0</v>
      </c>
      <c r="O26" s="23">
        <f>Test!E240</f>
        <v>0</v>
      </c>
      <c r="P26" s="23">
        <f>Test!F240</f>
        <v>0</v>
      </c>
      <c r="Q26" s="23">
        <f>Test!G240</f>
        <v>0</v>
      </c>
      <c r="R26" s="24">
        <f t="shared" si="3"/>
        <v>0</v>
      </c>
      <c r="S26" s="17" t="e">
        <f t="shared" si="4"/>
        <v>#DIV/0!</v>
      </c>
      <c r="T26" s="18" t="e">
        <f t="shared" si="5"/>
        <v>#DIV/0!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Reference!B241</f>
        <v>0</v>
      </c>
      <c r="E27" s="13">
        <f>Reference!C241</f>
        <v>0</v>
      </c>
      <c r="F27" s="13">
        <f>Reference!D241</f>
        <v>0</v>
      </c>
      <c r="G27" s="13">
        <f>Reference!E241</f>
        <v>0</v>
      </c>
      <c r="H27" s="13">
        <f>Reference!F241</f>
        <v>0</v>
      </c>
      <c r="I27" s="13">
        <f>Reference!G241</f>
        <v>0</v>
      </c>
      <c r="J27" s="14">
        <f t="shared" si="2"/>
        <v>0</v>
      </c>
      <c r="L27" s="12">
        <f>Test!B241</f>
        <v>0</v>
      </c>
      <c r="M27" s="13">
        <f>Test!C241</f>
        <v>0</v>
      </c>
      <c r="N27" s="13">
        <f>Test!D241</f>
        <v>0</v>
      </c>
      <c r="O27" s="13">
        <f>Test!E241</f>
        <v>0</v>
      </c>
      <c r="P27" s="13">
        <f>Test!F241</f>
        <v>0</v>
      </c>
      <c r="Q27" s="13">
        <f>Test!G241</f>
        <v>0</v>
      </c>
      <c r="R27" s="14">
        <f t="shared" si="3"/>
        <v>0</v>
      </c>
      <c r="S27" s="17" t="e">
        <f t="shared" ref="S27:T46" si="6">P27/H27</f>
        <v>#DIV/0!</v>
      </c>
      <c r="T27" s="18" t="e">
        <f t="shared" si="6"/>
        <v>#DIV/0!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Reference!B242</f>
        <v>0</v>
      </c>
      <c r="E28" s="18">
        <f>Reference!C242</f>
        <v>0</v>
      </c>
      <c r="F28" s="18">
        <f>Reference!D242</f>
        <v>0</v>
      </c>
      <c r="G28" s="18">
        <f>Reference!E242</f>
        <v>0</v>
      </c>
      <c r="H28" s="18">
        <f>Reference!F242</f>
        <v>0</v>
      </c>
      <c r="I28" s="18">
        <f>Reference!G242</f>
        <v>0</v>
      </c>
      <c r="J28" s="19">
        <f t="shared" si="2"/>
        <v>0</v>
      </c>
      <c r="L28" s="17">
        <f>Test!B242</f>
        <v>0</v>
      </c>
      <c r="M28" s="18">
        <f>Test!C242</f>
        <v>0</v>
      </c>
      <c r="N28" s="18">
        <f>Test!D242</f>
        <v>0</v>
      </c>
      <c r="O28" s="18">
        <f>Test!E242</f>
        <v>0</v>
      </c>
      <c r="P28" s="18">
        <f>Test!F242</f>
        <v>0</v>
      </c>
      <c r="Q28" s="18">
        <f>Test!G242</f>
        <v>0</v>
      </c>
      <c r="R28" s="19">
        <f t="shared" si="3"/>
        <v>0</v>
      </c>
      <c r="S28" s="17" t="e">
        <f t="shared" si="6"/>
        <v>#DIV/0!</v>
      </c>
      <c r="T28" s="18" t="e">
        <f t="shared" si="6"/>
        <v>#DIV/0!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Reference!B243</f>
        <v>0</v>
      </c>
      <c r="E29" s="18">
        <f>Reference!C243</f>
        <v>0</v>
      </c>
      <c r="F29" s="18">
        <f>Reference!D243</f>
        <v>0</v>
      </c>
      <c r="G29" s="18">
        <f>Reference!E243</f>
        <v>0</v>
      </c>
      <c r="H29" s="18">
        <f>Reference!F243</f>
        <v>0</v>
      </c>
      <c r="I29" s="18">
        <f>Reference!G243</f>
        <v>0</v>
      </c>
      <c r="J29" s="19">
        <f t="shared" si="2"/>
        <v>0</v>
      </c>
      <c r="L29" s="17">
        <f>Test!B243</f>
        <v>0</v>
      </c>
      <c r="M29" s="18">
        <f>Test!C243</f>
        <v>0</v>
      </c>
      <c r="N29" s="18">
        <f>Test!D243</f>
        <v>0</v>
      </c>
      <c r="O29" s="18">
        <f>Test!E243</f>
        <v>0</v>
      </c>
      <c r="P29" s="18">
        <f>Test!F243</f>
        <v>0</v>
      </c>
      <c r="Q29" s="18">
        <f>Test!G243</f>
        <v>0</v>
      </c>
      <c r="R29" s="19">
        <f t="shared" si="3"/>
        <v>0</v>
      </c>
      <c r="S29" s="17" t="e">
        <f t="shared" si="6"/>
        <v>#DIV/0!</v>
      </c>
      <c r="T29" s="18" t="e">
        <f t="shared" si="6"/>
        <v>#DIV/0!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Reference!B244</f>
        <v>0</v>
      </c>
      <c r="E30" s="23">
        <f>Reference!C244</f>
        <v>0</v>
      </c>
      <c r="F30" s="23">
        <f>Reference!D244</f>
        <v>0</v>
      </c>
      <c r="G30" s="23">
        <f>Reference!E244</f>
        <v>0</v>
      </c>
      <c r="H30" s="23">
        <f>Reference!F244</f>
        <v>0</v>
      </c>
      <c r="I30" s="23">
        <f>Reference!G244</f>
        <v>0</v>
      </c>
      <c r="J30" s="24">
        <f t="shared" si="2"/>
        <v>0</v>
      </c>
      <c r="L30" s="22">
        <f>Test!B244</f>
        <v>0</v>
      </c>
      <c r="M30" s="23">
        <f>Test!C244</f>
        <v>0</v>
      </c>
      <c r="N30" s="23">
        <f>Test!D244</f>
        <v>0</v>
      </c>
      <c r="O30" s="23">
        <f>Test!E244</f>
        <v>0</v>
      </c>
      <c r="P30" s="23">
        <f>Test!F244</f>
        <v>0</v>
      </c>
      <c r="Q30" s="23">
        <f>Test!G244</f>
        <v>0</v>
      </c>
      <c r="R30" s="24">
        <f t="shared" si="3"/>
        <v>0</v>
      </c>
      <c r="S30" s="17" t="e">
        <f t="shared" si="6"/>
        <v>#DIV/0!</v>
      </c>
      <c r="T30" s="18" t="e">
        <f t="shared" si="6"/>
        <v>#DIV/0!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Reference!B245</f>
        <v>0</v>
      </c>
      <c r="E31" s="13">
        <f>Reference!C245</f>
        <v>0</v>
      </c>
      <c r="F31" s="13">
        <f>Reference!D245</f>
        <v>0</v>
      </c>
      <c r="G31" s="13">
        <f>Reference!E245</f>
        <v>0</v>
      </c>
      <c r="H31" s="13">
        <f>Reference!F245</f>
        <v>0</v>
      </c>
      <c r="I31" s="13">
        <f>Reference!G245</f>
        <v>0</v>
      </c>
      <c r="J31" s="14">
        <f t="shared" si="2"/>
        <v>0</v>
      </c>
      <c r="L31" s="12">
        <f>Test!B245</f>
        <v>0</v>
      </c>
      <c r="M31" s="13">
        <f>Test!C245</f>
        <v>0</v>
      </c>
      <c r="N31" s="13">
        <f>Test!D245</f>
        <v>0</v>
      </c>
      <c r="O31" s="13">
        <f>Test!E245</f>
        <v>0</v>
      </c>
      <c r="P31" s="13">
        <f>Test!F245</f>
        <v>0</v>
      </c>
      <c r="Q31" s="13">
        <f>Test!G245</f>
        <v>0</v>
      </c>
      <c r="R31" s="14">
        <f t="shared" si="3"/>
        <v>0</v>
      </c>
      <c r="S31" s="17" t="e">
        <f t="shared" si="6"/>
        <v>#DIV/0!</v>
      </c>
      <c r="T31" s="18" t="e">
        <f t="shared" si="6"/>
        <v>#DIV/0!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2">
      <c r="A32" s="16"/>
      <c r="B32" s="85"/>
      <c r="C32" s="16">
        <v>48</v>
      </c>
      <c r="D32" s="17">
        <f>Reference!B246</f>
        <v>0</v>
      </c>
      <c r="E32" s="18">
        <f>Reference!C246</f>
        <v>0</v>
      </c>
      <c r="F32" s="18">
        <f>Reference!D246</f>
        <v>0</v>
      </c>
      <c r="G32" s="18">
        <f>Reference!E246</f>
        <v>0</v>
      </c>
      <c r="H32" s="18">
        <f>Reference!F246</f>
        <v>0</v>
      </c>
      <c r="I32" s="18">
        <f>Reference!G246</f>
        <v>0</v>
      </c>
      <c r="J32" s="19">
        <f t="shared" si="2"/>
        <v>0</v>
      </c>
      <c r="L32" s="17">
        <f>Test!B246</f>
        <v>0</v>
      </c>
      <c r="M32" s="18">
        <f>Test!C246</f>
        <v>0</v>
      </c>
      <c r="N32" s="18">
        <f>Test!D246</f>
        <v>0</v>
      </c>
      <c r="O32" s="18">
        <f>Test!E246</f>
        <v>0</v>
      </c>
      <c r="P32" s="18">
        <f>Test!F246</f>
        <v>0</v>
      </c>
      <c r="Q32" s="18">
        <f>Test!G246</f>
        <v>0</v>
      </c>
      <c r="R32" s="19">
        <f t="shared" si="3"/>
        <v>0</v>
      </c>
      <c r="S32" s="17" t="e">
        <f t="shared" si="6"/>
        <v>#DIV/0!</v>
      </c>
      <c r="T32" s="18" t="e">
        <f t="shared" si="6"/>
        <v>#DIV/0!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Reference!B247</f>
        <v>0</v>
      </c>
      <c r="E33" s="18">
        <f>Reference!C247</f>
        <v>0</v>
      </c>
      <c r="F33" s="18">
        <f>Reference!D247</f>
        <v>0</v>
      </c>
      <c r="G33" s="18">
        <f>Reference!E247</f>
        <v>0</v>
      </c>
      <c r="H33" s="18">
        <f>Reference!F247</f>
        <v>0</v>
      </c>
      <c r="I33" s="18">
        <f>Reference!G247</f>
        <v>0</v>
      </c>
      <c r="J33" s="19">
        <f t="shared" si="2"/>
        <v>0</v>
      </c>
      <c r="L33" s="17">
        <f>Test!B247</f>
        <v>0</v>
      </c>
      <c r="M33" s="18">
        <f>Test!C247</f>
        <v>0</v>
      </c>
      <c r="N33" s="18">
        <f>Test!D247</f>
        <v>0</v>
      </c>
      <c r="O33" s="18">
        <f>Test!E247</f>
        <v>0</v>
      </c>
      <c r="P33" s="18">
        <f>Test!F247</f>
        <v>0</v>
      </c>
      <c r="Q33" s="18">
        <f>Test!G247</f>
        <v>0</v>
      </c>
      <c r="R33" s="19">
        <f t="shared" si="3"/>
        <v>0</v>
      </c>
      <c r="S33" s="17" t="e">
        <f t="shared" si="6"/>
        <v>#DIV/0!</v>
      </c>
      <c r="T33" s="18" t="e">
        <f t="shared" si="6"/>
        <v>#DIV/0!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Reference!B248</f>
        <v>0</v>
      </c>
      <c r="E34" s="23">
        <f>Reference!C248</f>
        <v>0</v>
      </c>
      <c r="F34" s="23">
        <f>Reference!D248</f>
        <v>0</v>
      </c>
      <c r="G34" s="23">
        <f>Reference!E248</f>
        <v>0</v>
      </c>
      <c r="H34" s="23">
        <f>Reference!F248</f>
        <v>0</v>
      </c>
      <c r="I34" s="23">
        <f>Reference!G248</f>
        <v>0</v>
      </c>
      <c r="J34" s="24">
        <f t="shared" si="2"/>
        <v>0</v>
      </c>
      <c r="L34" s="22">
        <f>Test!B248</f>
        <v>0</v>
      </c>
      <c r="M34" s="23">
        <f>Test!C248</f>
        <v>0</v>
      </c>
      <c r="N34" s="23">
        <f>Test!D248</f>
        <v>0</v>
      </c>
      <c r="O34" s="23">
        <f>Test!E248</f>
        <v>0</v>
      </c>
      <c r="P34" s="23">
        <f>Test!F248</f>
        <v>0</v>
      </c>
      <c r="Q34" s="23">
        <f>Test!G248</f>
        <v>0</v>
      </c>
      <c r="R34" s="24">
        <f t="shared" si="3"/>
        <v>0</v>
      </c>
      <c r="S34" s="17" t="e">
        <f t="shared" si="6"/>
        <v>#DIV/0!</v>
      </c>
      <c r="T34" s="18" t="e">
        <f t="shared" si="6"/>
        <v>#DIV/0!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Reference!B249</f>
        <v>0</v>
      </c>
      <c r="E35" s="13">
        <f>Reference!C249</f>
        <v>0</v>
      </c>
      <c r="F35" s="13">
        <f>Reference!D249</f>
        <v>0</v>
      </c>
      <c r="G35" s="13">
        <f>Reference!E249</f>
        <v>0</v>
      </c>
      <c r="H35" s="13">
        <f>Reference!F249</f>
        <v>0</v>
      </c>
      <c r="I35" s="13">
        <f>Reference!G249</f>
        <v>0</v>
      </c>
      <c r="J35" s="14">
        <f t="shared" si="2"/>
        <v>0</v>
      </c>
      <c r="L35" s="12">
        <f>Test!B249</f>
        <v>0</v>
      </c>
      <c r="M35" s="13">
        <f>Test!C249</f>
        <v>0</v>
      </c>
      <c r="N35" s="13">
        <f>Test!D249</f>
        <v>0</v>
      </c>
      <c r="O35" s="13">
        <f>Test!E249</f>
        <v>0</v>
      </c>
      <c r="P35" s="13">
        <f>Test!F249</f>
        <v>0</v>
      </c>
      <c r="Q35" s="13">
        <f>Test!G249</f>
        <v>0</v>
      </c>
      <c r="R35" s="14">
        <f t="shared" si="3"/>
        <v>0</v>
      </c>
      <c r="S35" s="12" t="e">
        <f t="shared" si="6"/>
        <v>#DIV/0!</v>
      </c>
      <c r="T35" s="13" t="e">
        <f t="shared" si="6"/>
        <v>#DIV/0!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2">
      <c r="A36" s="16" t="s">
        <v>52</v>
      </c>
      <c r="B36" s="85"/>
      <c r="C36" s="16">
        <v>32</v>
      </c>
      <c r="D36" s="17">
        <f>Reference!B250</f>
        <v>0</v>
      </c>
      <c r="E36" s="18">
        <f>Reference!C250</f>
        <v>0</v>
      </c>
      <c r="F36" s="18">
        <f>Reference!D250</f>
        <v>0</v>
      </c>
      <c r="G36" s="18">
        <f>Reference!E250</f>
        <v>0</v>
      </c>
      <c r="H36" s="18">
        <f>Reference!F250</f>
        <v>0</v>
      </c>
      <c r="I36" s="18">
        <f>Reference!G250</f>
        <v>0</v>
      </c>
      <c r="J36" s="19">
        <f t="shared" si="2"/>
        <v>0</v>
      </c>
      <c r="L36" s="17">
        <f>Test!B250</f>
        <v>0</v>
      </c>
      <c r="M36" s="18">
        <f>Test!C250</f>
        <v>0</v>
      </c>
      <c r="N36" s="18">
        <f>Test!D250</f>
        <v>0</v>
      </c>
      <c r="O36" s="18">
        <f>Test!E250</f>
        <v>0</v>
      </c>
      <c r="P36" s="18">
        <f>Test!F250</f>
        <v>0</v>
      </c>
      <c r="Q36" s="18">
        <f>Test!G250</f>
        <v>0</v>
      </c>
      <c r="R36" s="19">
        <f t="shared" si="3"/>
        <v>0</v>
      </c>
      <c r="S36" s="17" t="e">
        <f t="shared" si="6"/>
        <v>#DIV/0!</v>
      </c>
      <c r="T36" s="18" t="e">
        <f t="shared" si="6"/>
        <v>#DIV/0!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Reference!B251</f>
        <v>0</v>
      </c>
      <c r="E37" s="18">
        <f>Reference!C251</f>
        <v>0</v>
      </c>
      <c r="F37" s="18">
        <f>Reference!D251</f>
        <v>0</v>
      </c>
      <c r="G37" s="18">
        <f>Reference!E251</f>
        <v>0</v>
      </c>
      <c r="H37" s="18">
        <f>Reference!F251</f>
        <v>0</v>
      </c>
      <c r="I37" s="18">
        <f>Reference!G251</f>
        <v>0</v>
      </c>
      <c r="J37" s="19">
        <f t="shared" si="2"/>
        <v>0</v>
      </c>
      <c r="L37" s="17">
        <f>Test!B251</f>
        <v>0</v>
      </c>
      <c r="M37" s="18">
        <f>Test!C251</f>
        <v>0</v>
      </c>
      <c r="N37" s="18">
        <f>Test!D251</f>
        <v>0</v>
      </c>
      <c r="O37" s="18">
        <f>Test!E251</f>
        <v>0</v>
      </c>
      <c r="P37" s="18">
        <f>Test!F251</f>
        <v>0</v>
      </c>
      <c r="Q37" s="18">
        <f>Test!G251</f>
        <v>0</v>
      </c>
      <c r="R37" s="19">
        <f t="shared" si="3"/>
        <v>0</v>
      </c>
      <c r="S37" s="17" t="e">
        <f t="shared" si="6"/>
        <v>#DIV/0!</v>
      </c>
      <c r="T37" s="18" t="e">
        <f t="shared" si="6"/>
        <v>#DIV/0!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Reference!B252</f>
        <v>0</v>
      </c>
      <c r="E38" s="23">
        <f>Reference!C252</f>
        <v>0</v>
      </c>
      <c r="F38" s="23">
        <f>Reference!D252</f>
        <v>0</v>
      </c>
      <c r="G38" s="23">
        <f>Reference!E252</f>
        <v>0</v>
      </c>
      <c r="H38" s="23">
        <f>Reference!F252</f>
        <v>0</v>
      </c>
      <c r="I38" s="23">
        <f>Reference!G252</f>
        <v>0</v>
      </c>
      <c r="J38" s="24">
        <f t="shared" si="2"/>
        <v>0</v>
      </c>
      <c r="L38" s="22">
        <f>Test!B252</f>
        <v>0</v>
      </c>
      <c r="M38" s="23">
        <f>Test!C252</f>
        <v>0</v>
      </c>
      <c r="N38" s="23">
        <f>Test!D252</f>
        <v>0</v>
      </c>
      <c r="O38" s="23">
        <f>Test!E252</f>
        <v>0</v>
      </c>
      <c r="P38" s="23">
        <f>Test!F252</f>
        <v>0</v>
      </c>
      <c r="Q38" s="23">
        <f>Test!G252</f>
        <v>0</v>
      </c>
      <c r="R38" s="24">
        <f t="shared" si="3"/>
        <v>0</v>
      </c>
      <c r="S38" s="17" t="e">
        <f t="shared" si="6"/>
        <v>#DIV/0!</v>
      </c>
      <c r="T38" s="18" t="e">
        <f t="shared" si="6"/>
        <v>#DIV/0!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Reference!B253</f>
        <v>0</v>
      </c>
      <c r="E39" s="13">
        <f>Reference!C253</f>
        <v>0</v>
      </c>
      <c r="F39" s="13">
        <f>Reference!D253</f>
        <v>0</v>
      </c>
      <c r="G39" s="13">
        <f>Reference!E253</f>
        <v>0</v>
      </c>
      <c r="H39" s="13">
        <f>Reference!F253</f>
        <v>0</v>
      </c>
      <c r="I39" s="13">
        <f>Reference!G253</f>
        <v>0</v>
      </c>
      <c r="J39" s="14">
        <f t="shared" si="2"/>
        <v>0</v>
      </c>
      <c r="L39" s="12">
        <f>Test!B253</f>
        <v>0</v>
      </c>
      <c r="M39" s="13">
        <f>Test!C253</f>
        <v>0</v>
      </c>
      <c r="N39" s="13">
        <f>Test!D253</f>
        <v>0</v>
      </c>
      <c r="O39" s="13">
        <f>Test!E253</f>
        <v>0</v>
      </c>
      <c r="P39" s="13">
        <f>Test!F253</f>
        <v>0</v>
      </c>
      <c r="Q39" s="13">
        <f>Test!G253</f>
        <v>0</v>
      </c>
      <c r="R39" s="14">
        <f t="shared" si="3"/>
        <v>0</v>
      </c>
      <c r="S39" s="17" t="e">
        <f t="shared" si="6"/>
        <v>#DIV/0!</v>
      </c>
      <c r="T39" s="18" t="e">
        <f t="shared" si="6"/>
        <v>#DIV/0!</v>
      </c>
      <c r="U39" s="91"/>
      <c r="V39" s="37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2">
      <c r="A40" s="16"/>
      <c r="B40" s="85"/>
      <c r="C40" s="16">
        <v>32</v>
      </c>
      <c r="D40" s="17">
        <f>Reference!B254</f>
        <v>0</v>
      </c>
      <c r="E40" s="18">
        <f>Reference!C254</f>
        <v>0</v>
      </c>
      <c r="F40" s="18">
        <f>Reference!D254</f>
        <v>0</v>
      </c>
      <c r="G40" s="18">
        <f>Reference!E254</f>
        <v>0</v>
      </c>
      <c r="H40" s="18">
        <f>Reference!F254</f>
        <v>0</v>
      </c>
      <c r="I40" s="18">
        <f>Reference!G254</f>
        <v>0</v>
      </c>
      <c r="J40" s="19">
        <f t="shared" si="2"/>
        <v>0</v>
      </c>
      <c r="L40" s="17">
        <f>Test!B254</f>
        <v>0</v>
      </c>
      <c r="M40" s="18">
        <f>Test!C254</f>
        <v>0</v>
      </c>
      <c r="N40" s="18">
        <f>Test!D254</f>
        <v>0</v>
      </c>
      <c r="O40" s="18">
        <f>Test!E254</f>
        <v>0</v>
      </c>
      <c r="P40" s="18">
        <f>Test!F254</f>
        <v>0</v>
      </c>
      <c r="Q40" s="18">
        <f>Test!G254</f>
        <v>0</v>
      </c>
      <c r="R40" s="19">
        <f t="shared" si="3"/>
        <v>0</v>
      </c>
      <c r="S40" s="17" t="e">
        <f t="shared" si="6"/>
        <v>#DIV/0!</v>
      </c>
      <c r="T40" s="18" t="e">
        <f t="shared" si="6"/>
        <v>#DIV/0!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Reference!B255</f>
        <v>0</v>
      </c>
      <c r="E41" s="18">
        <f>Reference!C255</f>
        <v>0</v>
      </c>
      <c r="F41" s="18">
        <f>Reference!D255</f>
        <v>0</v>
      </c>
      <c r="G41" s="18">
        <f>Reference!E255</f>
        <v>0</v>
      </c>
      <c r="H41" s="18">
        <f>Reference!F255</f>
        <v>0</v>
      </c>
      <c r="I41" s="18">
        <f>Reference!G255</f>
        <v>0</v>
      </c>
      <c r="J41" s="19">
        <f t="shared" si="2"/>
        <v>0</v>
      </c>
      <c r="L41" s="17">
        <f>Test!B255</f>
        <v>0</v>
      </c>
      <c r="M41" s="18">
        <f>Test!C255</f>
        <v>0</v>
      </c>
      <c r="N41" s="18">
        <f>Test!D255</f>
        <v>0</v>
      </c>
      <c r="O41" s="18">
        <f>Test!E255</f>
        <v>0</v>
      </c>
      <c r="P41" s="18">
        <f>Test!F255</f>
        <v>0</v>
      </c>
      <c r="Q41" s="18">
        <f>Test!G255</f>
        <v>0</v>
      </c>
      <c r="R41" s="19">
        <f t="shared" si="3"/>
        <v>0</v>
      </c>
      <c r="S41" s="17" t="e">
        <f t="shared" si="6"/>
        <v>#DIV/0!</v>
      </c>
      <c r="T41" s="18" t="e">
        <f t="shared" si="6"/>
        <v>#DIV/0!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Reference!B256</f>
        <v>0</v>
      </c>
      <c r="E42" s="23">
        <f>Reference!C256</f>
        <v>0</v>
      </c>
      <c r="F42" s="23">
        <f>Reference!D256</f>
        <v>0</v>
      </c>
      <c r="G42" s="23">
        <f>Reference!E256</f>
        <v>0</v>
      </c>
      <c r="H42" s="23">
        <f>Reference!F256</f>
        <v>0</v>
      </c>
      <c r="I42" s="23">
        <f>Reference!G256</f>
        <v>0</v>
      </c>
      <c r="J42" s="24">
        <f t="shared" si="2"/>
        <v>0</v>
      </c>
      <c r="L42" s="22">
        <f>Test!B256</f>
        <v>0</v>
      </c>
      <c r="M42" s="23">
        <f>Test!C256</f>
        <v>0</v>
      </c>
      <c r="N42" s="23">
        <f>Test!D256</f>
        <v>0</v>
      </c>
      <c r="O42" s="23">
        <f>Test!E256</f>
        <v>0</v>
      </c>
      <c r="P42" s="23">
        <f>Test!F256</f>
        <v>0</v>
      </c>
      <c r="Q42" s="23">
        <f>Test!G256</f>
        <v>0</v>
      </c>
      <c r="R42" s="24">
        <f t="shared" si="3"/>
        <v>0</v>
      </c>
      <c r="S42" s="17" t="e">
        <f t="shared" si="6"/>
        <v>#DIV/0!</v>
      </c>
      <c r="T42" s="18" t="e">
        <f t="shared" si="6"/>
        <v>#DIV/0!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Reference!B257</f>
        <v>0</v>
      </c>
      <c r="E43" s="13">
        <f>Reference!C257</f>
        <v>0</v>
      </c>
      <c r="F43" s="13">
        <f>Reference!D257</f>
        <v>0</v>
      </c>
      <c r="G43" s="13">
        <f>Reference!E257</f>
        <v>0</v>
      </c>
      <c r="H43" s="13">
        <f>Reference!F257</f>
        <v>0</v>
      </c>
      <c r="I43" s="13">
        <f>Reference!G257</f>
        <v>0</v>
      </c>
      <c r="J43" s="14">
        <f t="shared" si="2"/>
        <v>0</v>
      </c>
      <c r="L43" s="12">
        <f>Test!B257</f>
        <v>0</v>
      </c>
      <c r="M43" s="13">
        <f>Test!C257</f>
        <v>0</v>
      </c>
      <c r="N43" s="13">
        <f>Test!D257</f>
        <v>0</v>
      </c>
      <c r="O43" s="13">
        <f>Test!E257</f>
        <v>0</v>
      </c>
      <c r="P43" s="13">
        <f>Test!F257</f>
        <v>0</v>
      </c>
      <c r="Q43" s="13">
        <f>Test!G257</f>
        <v>0</v>
      </c>
      <c r="R43" s="14">
        <f t="shared" si="3"/>
        <v>0</v>
      </c>
      <c r="S43" s="17" t="e">
        <f t="shared" si="6"/>
        <v>#DIV/0!</v>
      </c>
      <c r="T43" s="18" t="e">
        <f t="shared" si="6"/>
        <v>#DIV/0!</v>
      </c>
      <c r="U43" s="91"/>
      <c r="V43" s="37" t="e">
        <f>bdrate($D43:$D46,E43:E46,$L43:$L46,M43:M46)</f>
        <v>#VALUE!</v>
      </c>
      <c r="W43" s="42" t="e">
        <f>bdrate($D43:$D46,F43:F46,$L43:$L46,N43:N46)</f>
        <v>#VALUE!</v>
      </c>
      <c r="X43" s="42" t="e">
        <f>bdrate($D43:$D46,G43:G46,$L43:$L46,O43:O46)</f>
        <v>#VALUE!</v>
      </c>
      <c r="Y43" s="40" t="e">
        <f>bdrateOld($D43:$D46,E43:E46,$L43:$L46,M43:M46)</f>
        <v>#VALUE!</v>
      </c>
      <c r="Z43" s="44" t="e">
        <f>bdrateOld($D43:$D46,F43:F46,$L43:$L46,N43:N46)</f>
        <v>#VALUE!</v>
      </c>
      <c r="AA43" s="45" t="e">
        <f>bdrateOld($D43:$D46,G43:G46,$L43:$L46,O43:O46)</f>
        <v>#VALUE!</v>
      </c>
    </row>
    <row r="44" spans="1:27" x14ac:dyDescent="0.2">
      <c r="A44" s="16"/>
      <c r="B44" s="85"/>
      <c r="C44" s="16">
        <v>32</v>
      </c>
      <c r="D44" s="17">
        <f>Reference!B258</f>
        <v>0</v>
      </c>
      <c r="E44" s="18">
        <f>Reference!C258</f>
        <v>0</v>
      </c>
      <c r="F44" s="18">
        <f>Reference!D258</f>
        <v>0</v>
      </c>
      <c r="G44" s="18">
        <f>Reference!E258</f>
        <v>0</v>
      </c>
      <c r="H44" s="18">
        <f>Reference!F258</f>
        <v>0</v>
      </c>
      <c r="I44" s="18">
        <f>Reference!G258</f>
        <v>0</v>
      </c>
      <c r="J44" s="19">
        <f t="shared" si="2"/>
        <v>0</v>
      </c>
      <c r="L44" s="17">
        <f>Test!B258</f>
        <v>0</v>
      </c>
      <c r="M44" s="18">
        <f>Test!C258</f>
        <v>0</v>
      </c>
      <c r="N44" s="18">
        <f>Test!D258</f>
        <v>0</v>
      </c>
      <c r="O44" s="18">
        <f>Test!E258</f>
        <v>0</v>
      </c>
      <c r="P44" s="18">
        <f>Test!F258</f>
        <v>0</v>
      </c>
      <c r="Q44" s="18">
        <f>Test!G258</f>
        <v>0</v>
      </c>
      <c r="R44" s="19">
        <f t="shared" si="3"/>
        <v>0</v>
      </c>
      <c r="S44" s="17" t="e">
        <f t="shared" si="6"/>
        <v>#DIV/0!</v>
      </c>
      <c r="T44" s="18" t="e">
        <f t="shared" si="6"/>
        <v>#DIV/0!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Reference!B259</f>
        <v>0</v>
      </c>
      <c r="E45" s="18">
        <f>Reference!C259</f>
        <v>0</v>
      </c>
      <c r="F45" s="18">
        <f>Reference!D259</f>
        <v>0</v>
      </c>
      <c r="G45" s="18">
        <f>Reference!E259</f>
        <v>0</v>
      </c>
      <c r="H45" s="18">
        <f>Reference!F259</f>
        <v>0</v>
      </c>
      <c r="I45" s="18">
        <f>Reference!G259</f>
        <v>0</v>
      </c>
      <c r="J45" s="19">
        <f t="shared" si="2"/>
        <v>0</v>
      </c>
      <c r="L45" s="17">
        <f>Test!B259</f>
        <v>0</v>
      </c>
      <c r="M45" s="18">
        <f>Test!C259</f>
        <v>0</v>
      </c>
      <c r="N45" s="18">
        <f>Test!D259</f>
        <v>0</v>
      </c>
      <c r="O45" s="18">
        <f>Test!E259</f>
        <v>0</v>
      </c>
      <c r="P45" s="18">
        <f>Test!F259</f>
        <v>0</v>
      </c>
      <c r="Q45" s="18">
        <f>Test!G259</f>
        <v>0</v>
      </c>
      <c r="R45" s="19">
        <f t="shared" si="3"/>
        <v>0</v>
      </c>
      <c r="S45" s="17" t="e">
        <f t="shared" si="6"/>
        <v>#DIV/0!</v>
      </c>
      <c r="T45" s="18" t="e">
        <f t="shared" si="6"/>
        <v>#DIV/0!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Reference!B260</f>
        <v>0</v>
      </c>
      <c r="E46" s="23">
        <f>Reference!C260</f>
        <v>0</v>
      </c>
      <c r="F46" s="23">
        <f>Reference!D260</f>
        <v>0</v>
      </c>
      <c r="G46" s="23">
        <f>Reference!E260</f>
        <v>0</v>
      </c>
      <c r="H46" s="23">
        <f>Reference!F260</f>
        <v>0</v>
      </c>
      <c r="I46" s="23">
        <f>Reference!G260</f>
        <v>0</v>
      </c>
      <c r="J46" s="24">
        <f t="shared" si="2"/>
        <v>0</v>
      </c>
      <c r="L46" s="22">
        <f>Test!B260</f>
        <v>0</v>
      </c>
      <c r="M46" s="23">
        <f>Test!C260</f>
        <v>0</v>
      </c>
      <c r="N46" s="23">
        <f>Test!D260</f>
        <v>0</v>
      </c>
      <c r="O46" s="23">
        <f>Test!E260</f>
        <v>0</v>
      </c>
      <c r="P46" s="23">
        <f>Test!F260</f>
        <v>0</v>
      </c>
      <c r="Q46" s="23">
        <f>Test!G260</f>
        <v>0</v>
      </c>
      <c r="R46" s="24">
        <f t="shared" si="3"/>
        <v>0</v>
      </c>
      <c r="S46" s="17" t="e">
        <f t="shared" si="6"/>
        <v>#DIV/0!</v>
      </c>
      <c r="T46" s="18" t="e">
        <f t="shared" si="6"/>
        <v>#DIV/0!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Reference!B261</f>
        <v>0</v>
      </c>
      <c r="E47" s="13">
        <f>Reference!C261</f>
        <v>0</v>
      </c>
      <c r="F47" s="13">
        <f>Reference!D261</f>
        <v>0</v>
      </c>
      <c r="G47" s="13">
        <f>Reference!E261</f>
        <v>0</v>
      </c>
      <c r="H47" s="13">
        <f>Reference!F261</f>
        <v>0</v>
      </c>
      <c r="I47" s="13">
        <f>Reference!G261</f>
        <v>0</v>
      </c>
      <c r="J47" s="14">
        <f t="shared" si="2"/>
        <v>0</v>
      </c>
      <c r="L47" s="12">
        <f>Test!B261</f>
        <v>0</v>
      </c>
      <c r="M47" s="13">
        <f>Test!C261</f>
        <v>0</v>
      </c>
      <c r="N47" s="13">
        <f>Test!D261</f>
        <v>0</v>
      </c>
      <c r="O47" s="13">
        <f>Test!E261</f>
        <v>0</v>
      </c>
      <c r="P47" s="13">
        <f>Test!F261</f>
        <v>0</v>
      </c>
      <c r="Q47" s="13">
        <f>Test!G261</f>
        <v>0</v>
      </c>
      <c r="R47" s="14">
        <f t="shared" si="3"/>
        <v>0</v>
      </c>
      <c r="S47" s="17" t="e">
        <f t="shared" ref="S47:T62" si="7">P47/H47</f>
        <v>#DIV/0!</v>
      </c>
      <c r="T47" s="18" t="e">
        <f t="shared" si="7"/>
        <v>#DIV/0!</v>
      </c>
      <c r="U47" s="91"/>
      <c r="V47" s="37" t="e">
        <f>bdrate($D47:$D50,E47:E50,$L47:$L50,M47:M50)</f>
        <v>#VALUE!</v>
      </c>
      <c r="W47" s="42" t="e">
        <f>bdrate($D47:$D50,F47:F50,$L47:$L50,N47:N50)</f>
        <v>#VALUE!</v>
      </c>
      <c r="X47" s="43" t="e">
        <f>bdrate($D47:$D50,G47:G50,$L47:$L50,O47:O50)</f>
        <v>#VALUE!</v>
      </c>
      <c r="Y47" s="37" t="e">
        <f>bdrateOld($D47:$D50,E47:E50,$L47:$L50,M47:M50)</f>
        <v>#VALUE!</v>
      </c>
      <c r="Z47" s="42" t="e">
        <f>bdrateOld($D47:$D50,F47:F50,$L47:$L50,N47:N50)</f>
        <v>#VALUE!</v>
      </c>
      <c r="AA47" s="43" t="e">
        <f>bdrateOld($D47:$D50,G47:G50,$L47:$L50,O47:O50)</f>
        <v>#VALUE!</v>
      </c>
    </row>
    <row r="48" spans="1:27" x14ac:dyDescent="0.2">
      <c r="A48" s="16"/>
      <c r="B48" s="85"/>
      <c r="C48" s="16">
        <v>32</v>
      </c>
      <c r="D48" s="17">
        <f>Reference!B262</f>
        <v>0</v>
      </c>
      <c r="E48" s="18">
        <f>Reference!C262</f>
        <v>0</v>
      </c>
      <c r="F48" s="18">
        <f>Reference!D262</f>
        <v>0</v>
      </c>
      <c r="G48" s="18">
        <f>Reference!E262</f>
        <v>0</v>
      </c>
      <c r="H48" s="18">
        <f>Reference!F262</f>
        <v>0</v>
      </c>
      <c r="I48" s="18">
        <f>Reference!G262</f>
        <v>0</v>
      </c>
      <c r="J48" s="19">
        <f t="shared" si="2"/>
        <v>0</v>
      </c>
      <c r="L48" s="17">
        <f>Test!B262</f>
        <v>0</v>
      </c>
      <c r="M48" s="18">
        <f>Test!C262</f>
        <v>0</v>
      </c>
      <c r="N48" s="18">
        <f>Test!D262</f>
        <v>0</v>
      </c>
      <c r="O48" s="18">
        <f>Test!E262</f>
        <v>0</v>
      </c>
      <c r="P48" s="18">
        <f>Test!F262</f>
        <v>0</v>
      </c>
      <c r="Q48" s="18">
        <f>Test!G262</f>
        <v>0</v>
      </c>
      <c r="R48" s="19">
        <f t="shared" si="3"/>
        <v>0</v>
      </c>
      <c r="S48" s="17" t="e">
        <f t="shared" si="7"/>
        <v>#DIV/0!</v>
      </c>
      <c r="T48" s="18" t="e">
        <f t="shared" si="7"/>
        <v>#DIV/0!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Reference!B263</f>
        <v>0</v>
      </c>
      <c r="E49" s="18">
        <f>Reference!C263</f>
        <v>0</v>
      </c>
      <c r="F49" s="18">
        <f>Reference!D263</f>
        <v>0</v>
      </c>
      <c r="G49" s="18">
        <f>Reference!E263</f>
        <v>0</v>
      </c>
      <c r="H49" s="18">
        <f>Reference!F263</f>
        <v>0</v>
      </c>
      <c r="I49" s="18">
        <f>Reference!G263</f>
        <v>0</v>
      </c>
      <c r="J49" s="19">
        <f t="shared" si="2"/>
        <v>0</v>
      </c>
      <c r="L49" s="17">
        <f>Test!B263</f>
        <v>0</v>
      </c>
      <c r="M49" s="18">
        <f>Test!C263</f>
        <v>0</v>
      </c>
      <c r="N49" s="18">
        <f>Test!D263</f>
        <v>0</v>
      </c>
      <c r="O49" s="18">
        <f>Test!E263</f>
        <v>0</v>
      </c>
      <c r="P49" s="18">
        <f>Test!F263</f>
        <v>0</v>
      </c>
      <c r="Q49" s="18">
        <f>Test!G263</f>
        <v>0</v>
      </c>
      <c r="R49" s="19">
        <f t="shared" si="3"/>
        <v>0</v>
      </c>
      <c r="S49" s="17" t="e">
        <f t="shared" si="7"/>
        <v>#DIV/0!</v>
      </c>
      <c r="T49" s="18" t="e">
        <f t="shared" si="7"/>
        <v>#DIV/0!</v>
      </c>
      <c r="U49" s="91"/>
      <c r="V49" s="38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Reference!B264</f>
        <v>0</v>
      </c>
      <c r="E50" s="23">
        <f>Reference!C264</f>
        <v>0</v>
      </c>
      <c r="F50" s="23">
        <f>Reference!D264</f>
        <v>0</v>
      </c>
      <c r="G50" s="23">
        <f>Reference!E264</f>
        <v>0</v>
      </c>
      <c r="H50" s="23">
        <f>Reference!F264</f>
        <v>0</v>
      </c>
      <c r="I50" s="23">
        <f>Reference!G264</f>
        <v>0</v>
      </c>
      <c r="J50" s="24">
        <f t="shared" si="2"/>
        <v>0</v>
      </c>
      <c r="L50" s="22">
        <f>Test!B264</f>
        <v>0</v>
      </c>
      <c r="M50" s="23">
        <f>Test!C264</f>
        <v>0</v>
      </c>
      <c r="N50" s="23">
        <f>Test!D264</f>
        <v>0</v>
      </c>
      <c r="O50" s="23">
        <f>Test!E264</f>
        <v>0</v>
      </c>
      <c r="P50" s="23">
        <f>Test!F264</f>
        <v>0</v>
      </c>
      <c r="Q50" s="23">
        <f>Test!G264</f>
        <v>0</v>
      </c>
      <c r="R50" s="24">
        <f t="shared" si="3"/>
        <v>0</v>
      </c>
      <c r="S50" s="22" t="e">
        <f t="shared" si="7"/>
        <v>#DIV/0!</v>
      </c>
      <c r="T50" s="23" t="e">
        <f t="shared" si="7"/>
        <v>#DIV/0!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Reference!B265</f>
        <v>0</v>
      </c>
      <c r="E51" s="13">
        <f>Reference!C265</f>
        <v>0</v>
      </c>
      <c r="F51" s="13">
        <f>Reference!D265</f>
        <v>0</v>
      </c>
      <c r="G51" s="13">
        <f>Reference!E265</f>
        <v>0</v>
      </c>
      <c r="H51" s="13">
        <f>Reference!F265</f>
        <v>0</v>
      </c>
      <c r="I51" s="13">
        <f>Reference!G265</f>
        <v>0</v>
      </c>
      <c r="J51" s="14">
        <f t="shared" si="2"/>
        <v>0</v>
      </c>
      <c r="L51" s="12">
        <f>Test!B265</f>
        <v>0</v>
      </c>
      <c r="M51" s="13">
        <f>Test!C265</f>
        <v>0</v>
      </c>
      <c r="N51" s="13">
        <f>Test!D265</f>
        <v>0</v>
      </c>
      <c r="O51" s="13">
        <f>Test!E265</f>
        <v>0</v>
      </c>
      <c r="P51" s="13">
        <f>Test!F265</f>
        <v>0</v>
      </c>
      <c r="Q51" s="13">
        <f>Test!G265</f>
        <v>0</v>
      </c>
      <c r="R51" s="14">
        <f t="shared" si="3"/>
        <v>0</v>
      </c>
      <c r="S51" s="12" t="e">
        <f t="shared" si="7"/>
        <v>#DIV/0!</v>
      </c>
      <c r="T51" s="13" t="e">
        <f t="shared" si="7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Reference!B266</f>
        <v>0</v>
      </c>
      <c r="E52" s="18">
        <f>Reference!C266</f>
        <v>0</v>
      </c>
      <c r="F52" s="18">
        <f>Reference!D266</f>
        <v>0</v>
      </c>
      <c r="G52" s="18">
        <f>Reference!E266</f>
        <v>0</v>
      </c>
      <c r="H52" s="18">
        <f>Reference!F266</f>
        <v>0</v>
      </c>
      <c r="I52" s="18">
        <f>Reference!G266</f>
        <v>0</v>
      </c>
      <c r="J52" s="19">
        <f t="shared" si="2"/>
        <v>0</v>
      </c>
      <c r="L52" s="17">
        <f>Test!B266</f>
        <v>0</v>
      </c>
      <c r="M52" s="18">
        <f>Test!C266</f>
        <v>0</v>
      </c>
      <c r="N52" s="18">
        <f>Test!D266</f>
        <v>0</v>
      </c>
      <c r="O52" s="18">
        <f>Test!E266</f>
        <v>0</v>
      </c>
      <c r="P52" s="18">
        <f>Test!F266</f>
        <v>0</v>
      </c>
      <c r="Q52" s="18">
        <f>Test!G266</f>
        <v>0</v>
      </c>
      <c r="R52" s="19">
        <f t="shared" si="3"/>
        <v>0</v>
      </c>
      <c r="S52" s="17" t="e">
        <f t="shared" si="7"/>
        <v>#DIV/0!</v>
      </c>
      <c r="T52" s="18" t="e">
        <f t="shared" si="7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Reference!B267</f>
        <v>0</v>
      </c>
      <c r="E53" s="18">
        <f>Reference!C267</f>
        <v>0</v>
      </c>
      <c r="F53" s="18">
        <f>Reference!D267</f>
        <v>0</v>
      </c>
      <c r="G53" s="18">
        <f>Reference!E267</f>
        <v>0</v>
      </c>
      <c r="H53" s="18">
        <f>Reference!F267</f>
        <v>0</v>
      </c>
      <c r="I53" s="18">
        <f>Reference!G267</f>
        <v>0</v>
      </c>
      <c r="J53" s="19">
        <f t="shared" si="2"/>
        <v>0</v>
      </c>
      <c r="L53" s="17">
        <f>Test!B267</f>
        <v>0</v>
      </c>
      <c r="M53" s="18">
        <f>Test!C267</f>
        <v>0</v>
      </c>
      <c r="N53" s="18">
        <f>Test!D267</f>
        <v>0</v>
      </c>
      <c r="O53" s="18">
        <f>Test!E267</f>
        <v>0</v>
      </c>
      <c r="P53" s="18">
        <f>Test!F267</f>
        <v>0</v>
      </c>
      <c r="Q53" s="18">
        <f>Test!G267</f>
        <v>0</v>
      </c>
      <c r="R53" s="19">
        <f t="shared" si="3"/>
        <v>0</v>
      </c>
      <c r="S53" s="17" t="e">
        <f t="shared" si="7"/>
        <v>#DIV/0!</v>
      </c>
      <c r="T53" s="18" t="e">
        <f t="shared" si="7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Reference!B268</f>
        <v>0</v>
      </c>
      <c r="E54" s="23">
        <f>Reference!C268</f>
        <v>0</v>
      </c>
      <c r="F54" s="23">
        <f>Reference!D268</f>
        <v>0</v>
      </c>
      <c r="G54" s="23">
        <f>Reference!E268</f>
        <v>0</v>
      </c>
      <c r="H54" s="23">
        <f>Reference!F268</f>
        <v>0</v>
      </c>
      <c r="I54" s="23">
        <f>Reference!G268</f>
        <v>0</v>
      </c>
      <c r="J54" s="24">
        <f t="shared" si="2"/>
        <v>0</v>
      </c>
      <c r="L54" s="22">
        <f>Test!B268</f>
        <v>0</v>
      </c>
      <c r="M54" s="23">
        <f>Test!C268</f>
        <v>0</v>
      </c>
      <c r="N54" s="23">
        <f>Test!D268</f>
        <v>0</v>
      </c>
      <c r="O54" s="23">
        <f>Test!E268</f>
        <v>0</v>
      </c>
      <c r="P54" s="23">
        <f>Test!F268</f>
        <v>0</v>
      </c>
      <c r="Q54" s="23">
        <f>Test!G268</f>
        <v>0</v>
      </c>
      <c r="R54" s="24">
        <f t="shared" si="3"/>
        <v>0</v>
      </c>
      <c r="S54" s="17" t="e">
        <f t="shared" si="7"/>
        <v>#DIV/0!</v>
      </c>
      <c r="T54" s="18" t="e">
        <f t="shared" si="7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Reference!B269</f>
        <v>0</v>
      </c>
      <c r="E55" s="13">
        <f>Reference!C269</f>
        <v>0</v>
      </c>
      <c r="F55" s="13">
        <f>Reference!D269</f>
        <v>0</v>
      </c>
      <c r="G55" s="13">
        <f>Reference!E269</f>
        <v>0</v>
      </c>
      <c r="H55" s="13">
        <f>Reference!F269</f>
        <v>0</v>
      </c>
      <c r="I55" s="13">
        <f>Reference!G269</f>
        <v>0</v>
      </c>
      <c r="J55" s="14">
        <f t="shared" si="2"/>
        <v>0</v>
      </c>
      <c r="L55" s="12">
        <f>Test!B269</f>
        <v>0</v>
      </c>
      <c r="M55" s="13">
        <f>Test!C269</f>
        <v>0</v>
      </c>
      <c r="N55" s="13">
        <f>Test!D269</f>
        <v>0</v>
      </c>
      <c r="O55" s="13">
        <f>Test!E269</f>
        <v>0</v>
      </c>
      <c r="P55" s="13">
        <f>Test!F269</f>
        <v>0</v>
      </c>
      <c r="Q55" s="13">
        <f>Test!G269</f>
        <v>0</v>
      </c>
      <c r="R55" s="14">
        <f t="shared" si="3"/>
        <v>0</v>
      </c>
      <c r="S55" s="17" t="e">
        <f t="shared" si="7"/>
        <v>#DIV/0!</v>
      </c>
      <c r="T55" s="18" t="e">
        <f t="shared" si="7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Reference!B270</f>
        <v>0</v>
      </c>
      <c r="E56" s="18">
        <f>Reference!C270</f>
        <v>0</v>
      </c>
      <c r="F56" s="18">
        <f>Reference!D270</f>
        <v>0</v>
      </c>
      <c r="G56" s="18">
        <f>Reference!E270</f>
        <v>0</v>
      </c>
      <c r="H56" s="18">
        <f>Reference!F270</f>
        <v>0</v>
      </c>
      <c r="I56" s="18">
        <f>Reference!G270</f>
        <v>0</v>
      </c>
      <c r="J56" s="19">
        <f t="shared" si="2"/>
        <v>0</v>
      </c>
      <c r="L56" s="17">
        <f>Test!B270</f>
        <v>0</v>
      </c>
      <c r="M56" s="18">
        <f>Test!C270</f>
        <v>0</v>
      </c>
      <c r="N56" s="18">
        <f>Test!D270</f>
        <v>0</v>
      </c>
      <c r="O56" s="18">
        <f>Test!E270</f>
        <v>0</v>
      </c>
      <c r="P56" s="18">
        <f>Test!F270</f>
        <v>0</v>
      </c>
      <c r="Q56" s="18">
        <f>Test!G270</f>
        <v>0</v>
      </c>
      <c r="R56" s="19">
        <f t="shared" si="3"/>
        <v>0</v>
      </c>
      <c r="S56" s="17" t="e">
        <f t="shared" si="7"/>
        <v>#DIV/0!</v>
      </c>
      <c r="T56" s="18" t="e">
        <f t="shared" si="7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Reference!B271</f>
        <v>0</v>
      </c>
      <c r="E57" s="18">
        <f>Reference!C271</f>
        <v>0</v>
      </c>
      <c r="F57" s="18">
        <f>Reference!D271</f>
        <v>0</v>
      </c>
      <c r="G57" s="18">
        <f>Reference!E271</f>
        <v>0</v>
      </c>
      <c r="H57" s="18">
        <f>Reference!F271</f>
        <v>0</v>
      </c>
      <c r="I57" s="18">
        <f>Reference!G271</f>
        <v>0</v>
      </c>
      <c r="J57" s="19">
        <f t="shared" si="2"/>
        <v>0</v>
      </c>
      <c r="L57" s="17">
        <f>Test!B271</f>
        <v>0</v>
      </c>
      <c r="M57" s="18">
        <f>Test!C271</f>
        <v>0</v>
      </c>
      <c r="N57" s="18">
        <f>Test!D271</f>
        <v>0</v>
      </c>
      <c r="O57" s="18">
        <f>Test!E271</f>
        <v>0</v>
      </c>
      <c r="P57" s="18">
        <f>Test!F271</f>
        <v>0</v>
      </c>
      <c r="Q57" s="18">
        <f>Test!G271</f>
        <v>0</v>
      </c>
      <c r="R57" s="19">
        <f t="shared" si="3"/>
        <v>0</v>
      </c>
      <c r="S57" s="17" t="e">
        <f t="shared" si="7"/>
        <v>#DIV/0!</v>
      </c>
      <c r="T57" s="18" t="e">
        <f t="shared" si="7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Reference!B272</f>
        <v>0</v>
      </c>
      <c r="E58" s="23">
        <f>Reference!C272</f>
        <v>0</v>
      </c>
      <c r="F58" s="23">
        <f>Reference!D272</f>
        <v>0</v>
      </c>
      <c r="G58" s="23">
        <f>Reference!E272</f>
        <v>0</v>
      </c>
      <c r="H58" s="23">
        <f>Reference!F272</f>
        <v>0</v>
      </c>
      <c r="I58" s="23">
        <f>Reference!G272</f>
        <v>0</v>
      </c>
      <c r="J58" s="24">
        <f t="shared" si="2"/>
        <v>0</v>
      </c>
      <c r="L58" s="22">
        <f>Test!B272</f>
        <v>0</v>
      </c>
      <c r="M58" s="23">
        <f>Test!C272</f>
        <v>0</v>
      </c>
      <c r="N58" s="23">
        <f>Test!D272</f>
        <v>0</v>
      </c>
      <c r="O58" s="23">
        <f>Test!E272</f>
        <v>0</v>
      </c>
      <c r="P58" s="23">
        <f>Test!F272</f>
        <v>0</v>
      </c>
      <c r="Q58" s="23">
        <f>Test!G272</f>
        <v>0</v>
      </c>
      <c r="R58" s="24">
        <f t="shared" si="3"/>
        <v>0</v>
      </c>
      <c r="S58" s="22" t="e">
        <f t="shared" si="7"/>
        <v>#DIV/0!</v>
      </c>
      <c r="T58" s="23" t="e">
        <f t="shared" si="7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Reference!B273</f>
        <v>0</v>
      </c>
      <c r="E59" s="13">
        <f>Reference!C273</f>
        <v>0</v>
      </c>
      <c r="F59" s="13">
        <f>Reference!D273</f>
        <v>0</v>
      </c>
      <c r="G59" s="13">
        <f>Reference!E273</f>
        <v>0</v>
      </c>
      <c r="H59" s="13">
        <f>Reference!F273</f>
        <v>0</v>
      </c>
      <c r="I59" s="13">
        <f>Reference!G273</f>
        <v>0</v>
      </c>
      <c r="J59" s="14">
        <f t="shared" ref="J59:J74" si="8">H59/3600</f>
        <v>0</v>
      </c>
      <c r="L59" s="12">
        <f>Test!B273</f>
        <v>0</v>
      </c>
      <c r="M59" s="13">
        <f>Test!C273</f>
        <v>0</v>
      </c>
      <c r="N59" s="13">
        <f>Test!D273</f>
        <v>0</v>
      </c>
      <c r="O59" s="13">
        <f>Test!E273</f>
        <v>0</v>
      </c>
      <c r="P59" s="13">
        <f>Test!F273</f>
        <v>0</v>
      </c>
      <c r="Q59" s="13">
        <f>Test!G273</f>
        <v>0</v>
      </c>
      <c r="R59" s="14">
        <f t="shared" ref="R59:R74" si="9">P59/3600</f>
        <v>0</v>
      </c>
      <c r="S59" s="12" t="e">
        <f t="shared" si="7"/>
        <v>#DIV/0!</v>
      </c>
      <c r="T59" s="13" t="e">
        <f t="shared" si="7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Reference!B274</f>
        <v>0</v>
      </c>
      <c r="E60" s="18">
        <f>Reference!C274</f>
        <v>0</v>
      </c>
      <c r="F60" s="18">
        <f>Reference!D274</f>
        <v>0</v>
      </c>
      <c r="G60" s="18">
        <f>Reference!E274</f>
        <v>0</v>
      </c>
      <c r="H60" s="18">
        <f>Reference!F274</f>
        <v>0</v>
      </c>
      <c r="I60" s="18">
        <f>Reference!G274</f>
        <v>0</v>
      </c>
      <c r="J60" s="19">
        <f t="shared" si="8"/>
        <v>0</v>
      </c>
      <c r="L60" s="17">
        <f>Test!B274</f>
        <v>0</v>
      </c>
      <c r="M60" s="18">
        <f>Test!C274</f>
        <v>0</v>
      </c>
      <c r="N60" s="18">
        <f>Test!D274</f>
        <v>0</v>
      </c>
      <c r="O60" s="18">
        <f>Test!E274</f>
        <v>0</v>
      </c>
      <c r="P60" s="18">
        <f>Test!F274</f>
        <v>0</v>
      </c>
      <c r="Q60" s="18">
        <f>Test!G274</f>
        <v>0</v>
      </c>
      <c r="R60" s="19">
        <f t="shared" si="9"/>
        <v>0</v>
      </c>
      <c r="S60" s="17" t="e">
        <f t="shared" si="7"/>
        <v>#DIV/0!</v>
      </c>
      <c r="T60" s="18" t="e">
        <f t="shared" si="7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Reference!B275</f>
        <v>0</v>
      </c>
      <c r="E61" s="18">
        <f>Reference!C275</f>
        <v>0</v>
      </c>
      <c r="F61" s="18">
        <f>Reference!D275</f>
        <v>0</v>
      </c>
      <c r="G61" s="18">
        <f>Reference!E275</f>
        <v>0</v>
      </c>
      <c r="H61" s="18">
        <f>Reference!F275</f>
        <v>0</v>
      </c>
      <c r="I61" s="18">
        <f>Reference!G275</f>
        <v>0</v>
      </c>
      <c r="J61" s="19">
        <f t="shared" si="8"/>
        <v>0</v>
      </c>
      <c r="L61" s="17">
        <f>Test!B275</f>
        <v>0</v>
      </c>
      <c r="M61" s="18">
        <f>Test!C275</f>
        <v>0</v>
      </c>
      <c r="N61" s="18">
        <f>Test!D275</f>
        <v>0</v>
      </c>
      <c r="O61" s="18">
        <f>Test!E275</f>
        <v>0</v>
      </c>
      <c r="P61" s="18">
        <f>Test!F275</f>
        <v>0</v>
      </c>
      <c r="Q61" s="18">
        <f>Test!G275</f>
        <v>0</v>
      </c>
      <c r="R61" s="19">
        <f t="shared" si="9"/>
        <v>0</v>
      </c>
      <c r="S61" s="17" t="e">
        <f t="shared" si="7"/>
        <v>#DIV/0!</v>
      </c>
      <c r="T61" s="18" t="e">
        <f t="shared" si="7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Reference!B276</f>
        <v>0</v>
      </c>
      <c r="E62" s="23">
        <f>Reference!C276</f>
        <v>0</v>
      </c>
      <c r="F62" s="23">
        <f>Reference!D276</f>
        <v>0</v>
      </c>
      <c r="G62" s="23">
        <f>Reference!E276</f>
        <v>0</v>
      </c>
      <c r="H62" s="23">
        <f>Reference!F276</f>
        <v>0</v>
      </c>
      <c r="I62" s="23">
        <f>Reference!G276</f>
        <v>0</v>
      </c>
      <c r="J62" s="24">
        <f t="shared" si="8"/>
        <v>0</v>
      </c>
      <c r="L62" s="22">
        <f>Test!B276</f>
        <v>0</v>
      </c>
      <c r="M62" s="23">
        <f>Test!C276</f>
        <v>0</v>
      </c>
      <c r="N62" s="23">
        <f>Test!D276</f>
        <v>0</v>
      </c>
      <c r="O62" s="23">
        <f>Test!E276</f>
        <v>0</v>
      </c>
      <c r="P62" s="23">
        <f>Test!F276</f>
        <v>0</v>
      </c>
      <c r="Q62" s="23">
        <f>Test!G276</f>
        <v>0</v>
      </c>
      <c r="R62" s="24">
        <f t="shared" si="9"/>
        <v>0</v>
      </c>
      <c r="S62" s="17" t="e">
        <f t="shared" si="7"/>
        <v>#DIV/0!</v>
      </c>
      <c r="T62" s="18" t="e">
        <f t="shared" si="7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Reference!B277</f>
        <v>0</v>
      </c>
      <c r="E63" s="13">
        <f>Reference!C277</f>
        <v>0</v>
      </c>
      <c r="F63" s="13">
        <f>Reference!D277</f>
        <v>0</v>
      </c>
      <c r="G63" s="13">
        <f>Reference!E277</f>
        <v>0</v>
      </c>
      <c r="H63" s="13">
        <f>Reference!F277</f>
        <v>0</v>
      </c>
      <c r="I63" s="13">
        <f>Reference!G277</f>
        <v>0</v>
      </c>
      <c r="J63" s="14">
        <f t="shared" si="8"/>
        <v>0</v>
      </c>
      <c r="L63" s="12">
        <f>Test!B277</f>
        <v>0</v>
      </c>
      <c r="M63" s="13">
        <f>Test!C277</f>
        <v>0</v>
      </c>
      <c r="N63" s="13">
        <f>Test!D277</f>
        <v>0</v>
      </c>
      <c r="O63" s="13">
        <f>Test!E277</f>
        <v>0</v>
      </c>
      <c r="P63" s="13">
        <f>Test!F277</f>
        <v>0</v>
      </c>
      <c r="Q63" s="13">
        <f>Test!G277</f>
        <v>0</v>
      </c>
      <c r="R63" s="14">
        <f t="shared" si="9"/>
        <v>0</v>
      </c>
      <c r="S63" s="17" t="e">
        <f t="shared" ref="S63:S74" si="10">P63/H63</f>
        <v>#DIV/0!</v>
      </c>
      <c r="T63" s="18" t="e">
        <f t="shared" ref="T63:T74" si="11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Reference!B278</f>
        <v>0</v>
      </c>
      <c r="E64" s="18">
        <f>Reference!C278</f>
        <v>0</v>
      </c>
      <c r="F64" s="18">
        <f>Reference!D278</f>
        <v>0</v>
      </c>
      <c r="G64" s="18">
        <f>Reference!E278</f>
        <v>0</v>
      </c>
      <c r="H64" s="18">
        <f>Reference!F278</f>
        <v>0</v>
      </c>
      <c r="I64" s="18">
        <f>Reference!G278</f>
        <v>0</v>
      </c>
      <c r="J64" s="19">
        <f t="shared" si="8"/>
        <v>0</v>
      </c>
      <c r="L64" s="17">
        <f>Test!B278</f>
        <v>0</v>
      </c>
      <c r="M64" s="18">
        <f>Test!C278</f>
        <v>0</v>
      </c>
      <c r="N64" s="18">
        <f>Test!D278</f>
        <v>0</v>
      </c>
      <c r="O64" s="18">
        <f>Test!E278</f>
        <v>0</v>
      </c>
      <c r="P64" s="18">
        <f>Test!F278</f>
        <v>0</v>
      </c>
      <c r="Q64" s="18">
        <f>Test!G278</f>
        <v>0</v>
      </c>
      <c r="R64" s="19">
        <f t="shared" si="9"/>
        <v>0</v>
      </c>
      <c r="S64" s="17" t="e">
        <f t="shared" si="10"/>
        <v>#DIV/0!</v>
      </c>
      <c r="T64" s="18" t="e">
        <f t="shared" si="11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Reference!B279</f>
        <v>0</v>
      </c>
      <c r="E65" s="18">
        <f>Reference!C279</f>
        <v>0</v>
      </c>
      <c r="F65" s="18">
        <f>Reference!D279</f>
        <v>0</v>
      </c>
      <c r="G65" s="18">
        <f>Reference!E279</f>
        <v>0</v>
      </c>
      <c r="H65" s="18">
        <f>Reference!F279</f>
        <v>0</v>
      </c>
      <c r="I65" s="18">
        <f>Reference!G279</f>
        <v>0</v>
      </c>
      <c r="J65" s="19">
        <f t="shared" si="8"/>
        <v>0</v>
      </c>
      <c r="L65" s="17">
        <f>Test!B279</f>
        <v>0</v>
      </c>
      <c r="M65" s="18">
        <f>Test!C279</f>
        <v>0</v>
      </c>
      <c r="N65" s="18">
        <f>Test!D279</f>
        <v>0</v>
      </c>
      <c r="O65" s="18">
        <f>Test!E279</f>
        <v>0</v>
      </c>
      <c r="P65" s="18">
        <f>Test!F279</f>
        <v>0</v>
      </c>
      <c r="Q65" s="18">
        <f>Test!G279</f>
        <v>0</v>
      </c>
      <c r="R65" s="19">
        <f t="shared" si="9"/>
        <v>0</v>
      </c>
      <c r="S65" s="17" t="e">
        <f t="shared" si="10"/>
        <v>#DIV/0!</v>
      </c>
      <c r="T65" s="18" t="e">
        <f t="shared" si="11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Reference!B280</f>
        <v>0</v>
      </c>
      <c r="E66" s="23">
        <f>Reference!C280</f>
        <v>0</v>
      </c>
      <c r="F66" s="23">
        <f>Reference!D280</f>
        <v>0</v>
      </c>
      <c r="G66" s="23">
        <f>Reference!E280</f>
        <v>0</v>
      </c>
      <c r="H66" s="23">
        <f>Reference!F280</f>
        <v>0</v>
      </c>
      <c r="I66" s="23">
        <f>Reference!G280</f>
        <v>0</v>
      </c>
      <c r="J66" s="24">
        <f t="shared" si="8"/>
        <v>0</v>
      </c>
      <c r="L66" s="22">
        <f>Test!B280</f>
        <v>0</v>
      </c>
      <c r="M66" s="23">
        <f>Test!C280</f>
        <v>0</v>
      </c>
      <c r="N66" s="23">
        <f>Test!D280</f>
        <v>0</v>
      </c>
      <c r="O66" s="23">
        <f>Test!E280</f>
        <v>0</v>
      </c>
      <c r="P66" s="23">
        <f>Test!F280</f>
        <v>0</v>
      </c>
      <c r="Q66" s="23">
        <f>Test!G280</f>
        <v>0</v>
      </c>
      <c r="R66" s="24">
        <f t="shared" si="9"/>
        <v>0</v>
      </c>
      <c r="S66" s="17" t="e">
        <f t="shared" si="10"/>
        <v>#DIV/0!</v>
      </c>
      <c r="T66" s="18" t="e">
        <f t="shared" si="11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Reference!B281</f>
        <v>0</v>
      </c>
      <c r="E67" s="13">
        <f>Reference!C281</f>
        <v>0</v>
      </c>
      <c r="F67" s="13">
        <f>Reference!D281</f>
        <v>0</v>
      </c>
      <c r="G67" s="13">
        <f>Reference!E281</f>
        <v>0</v>
      </c>
      <c r="H67" s="13">
        <f>Reference!F281</f>
        <v>0</v>
      </c>
      <c r="I67" s="13">
        <f>Reference!G281</f>
        <v>0</v>
      </c>
      <c r="J67" s="14">
        <f t="shared" si="8"/>
        <v>0</v>
      </c>
      <c r="L67" s="12">
        <f>Test!B281</f>
        <v>0</v>
      </c>
      <c r="M67" s="13">
        <f>Test!C281</f>
        <v>0</v>
      </c>
      <c r="N67" s="13">
        <f>Test!D281</f>
        <v>0</v>
      </c>
      <c r="O67" s="13">
        <f>Test!E281</f>
        <v>0</v>
      </c>
      <c r="P67" s="13">
        <f>Test!F281</f>
        <v>0</v>
      </c>
      <c r="Q67" s="13">
        <f>Test!G281</f>
        <v>0</v>
      </c>
      <c r="R67" s="14">
        <f t="shared" si="9"/>
        <v>0</v>
      </c>
      <c r="S67" s="17" t="e">
        <f t="shared" si="10"/>
        <v>#DIV/0!</v>
      </c>
      <c r="T67" s="18" t="e">
        <f t="shared" si="11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Reference!B282</f>
        <v>0</v>
      </c>
      <c r="E68" s="18">
        <f>Reference!C282</f>
        <v>0</v>
      </c>
      <c r="F68" s="18">
        <f>Reference!D282</f>
        <v>0</v>
      </c>
      <c r="G68" s="18">
        <f>Reference!E282</f>
        <v>0</v>
      </c>
      <c r="H68" s="18">
        <f>Reference!F282</f>
        <v>0</v>
      </c>
      <c r="I68" s="18">
        <f>Reference!G282</f>
        <v>0</v>
      </c>
      <c r="J68" s="19">
        <f t="shared" si="8"/>
        <v>0</v>
      </c>
      <c r="L68" s="17">
        <f>Test!B282</f>
        <v>0</v>
      </c>
      <c r="M68" s="18">
        <f>Test!C282</f>
        <v>0</v>
      </c>
      <c r="N68" s="18">
        <f>Test!D282</f>
        <v>0</v>
      </c>
      <c r="O68" s="18">
        <f>Test!E282</f>
        <v>0</v>
      </c>
      <c r="P68" s="18">
        <f>Test!F282</f>
        <v>0</v>
      </c>
      <c r="Q68" s="18">
        <f>Test!G282</f>
        <v>0</v>
      </c>
      <c r="R68" s="19">
        <f t="shared" si="9"/>
        <v>0</v>
      </c>
      <c r="S68" s="17" t="e">
        <f t="shared" si="10"/>
        <v>#DIV/0!</v>
      </c>
      <c r="T68" s="18" t="e">
        <f t="shared" si="11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Reference!B283</f>
        <v>0</v>
      </c>
      <c r="E69" s="18">
        <f>Reference!C283</f>
        <v>0</v>
      </c>
      <c r="F69" s="18">
        <f>Reference!D283</f>
        <v>0</v>
      </c>
      <c r="G69" s="18">
        <f>Reference!E283</f>
        <v>0</v>
      </c>
      <c r="H69" s="18">
        <f>Reference!F283</f>
        <v>0</v>
      </c>
      <c r="I69" s="18">
        <f>Reference!G283</f>
        <v>0</v>
      </c>
      <c r="J69" s="19">
        <f t="shared" si="8"/>
        <v>0</v>
      </c>
      <c r="L69" s="17">
        <f>Test!B283</f>
        <v>0</v>
      </c>
      <c r="M69" s="18">
        <f>Test!C283</f>
        <v>0</v>
      </c>
      <c r="N69" s="18">
        <f>Test!D283</f>
        <v>0</v>
      </c>
      <c r="O69" s="18">
        <f>Test!E283</f>
        <v>0</v>
      </c>
      <c r="P69" s="18">
        <f>Test!F283</f>
        <v>0</v>
      </c>
      <c r="Q69" s="18">
        <f>Test!G283</f>
        <v>0</v>
      </c>
      <c r="R69" s="19">
        <f t="shared" si="9"/>
        <v>0</v>
      </c>
      <c r="S69" s="17" t="e">
        <f t="shared" si="10"/>
        <v>#DIV/0!</v>
      </c>
      <c r="T69" s="18" t="e">
        <f t="shared" si="11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Reference!B284</f>
        <v>0</v>
      </c>
      <c r="E70" s="23">
        <f>Reference!C284</f>
        <v>0</v>
      </c>
      <c r="F70" s="23">
        <f>Reference!D284</f>
        <v>0</v>
      </c>
      <c r="G70" s="23">
        <f>Reference!E284</f>
        <v>0</v>
      </c>
      <c r="H70" s="23">
        <f>Reference!F284</f>
        <v>0</v>
      </c>
      <c r="I70" s="23">
        <f>Reference!G284</f>
        <v>0</v>
      </c>
      <c r="J70" s="24">
        <f t="shared" si="8"/>
        <v>0</v>
      </c>
      <c r="L70" s="22">
        <f>Test!B284</f>
        <v>0</v>
      </c>
      <c r="M70" s="23">
        <f>Test!C284</f>
        <v>0</v>
      </c>
      <c r="N70" s="23">
        <f>Test!D284</f>
        <v>0</v>
      </c>
      <c r="O70" s="23">
        <f>Test!E284</f>
        <v>0</v>
      </c>
      <c r="P70" s="23">
        <f>Test!F284</f>
        <v>0</v>
      </c>
      <c r="Q70" s="23">
        <f>Test!G284</f>
        <v>0</v>
      </c>
      <c r="R70" s="24">
        <f t="shared" si="9"/>
        <v>0</v>
      </c>
      <c r="S70" s="17" t="e">
        <f t="shared" si="10"/>
        <v>#DIV/0!</v>
      </c>
      <c r="T70" s="18" t="e">
        <f t="shared" si="11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Reference!B285</f>
        <v>0</v>
      </c>
      <c r="E71" s="13">
        <f>Reference!C285</f>
        <v>0</v>
      </c>
      <c r="F71" s="13">
        <f>Reference!D285</f>
        <v>0</v>
      </c>
      <c r="G71" s="13">
        <f>Reference!E285</f>
        <v>0</v>
      </c>
      <c r="H71" s="13">
        <f>Reference!F285</f>
        <v>0</v>
      </c>
      <c r="I71" s="13">
        <f>Reference!G285</f>
        <v>0</v>
      </c>
      <c r="J71" s="14">
        <f t="shared" si="8"/>
        <v>0</v>
      </c>
      <c r="L71" s="12">
        <f>Test!B285</f>
        <v>0</v>
      </c>
      <c r="M71" s="13">
        <f>Test!C285</f>
        <v>0</v>
      </c>
      <c r="N71" s="13">
        <f>Test!D285</f>
        <v>0</v>
      </c>
      <c r="O71" s="13">
        <f>Test!E285</f>
        <v>0</v>
      </c>
      <c r="P71" s="13">
        <f>Test!F285</f>
        <v>0</v>
      </c>
      <c r="Q71" s="13">
        <f>Test!G285</f>
        <v>0</v>
      </c>
      <c r="R71" s="14">
        <f t="shared" si="9"/>
        <v>0</v>
      </c>
      <c r="S71" s="17" t="e">
        <f t="shared" si="10"/>
        <v>#DIV/0!</v>
      </c>
      <c r="T71" s="18" t="e">
        <f t="shared" si="11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Reference!B286</f>
        <v>0</v>
      </c>
      <c r="E72" s="18">
        <f>Reference!C286</f>
        <v>0</v>
      </c>
      <c r="F72" s="18">
        <f>Reference!D286</f>
        <v>0</v>
      </c>
      <c r="G72" s="18">
        <f>Reference!E286</f>
        <v>0</v>
      </c>
      <c r="H72" s="18">
        <f>Reference!F286</f>
        <v>0</v>
      </c>
      <c r="I72" s="18">
        <f>Reference!G286</f>
        <v>0</v>
      </c>
      <c r="J72" s="19">
        <f t="shared" si="8"/>
        <v>0</v>
      </c>
      <c r="L72" s="17">
        <f>Test!B286</f>
        <v>0</v>
      </c>
      <c r="M72" s="18">
        <f>Test!C286</f>
        <v>0</v>
      </c>
      <c r="N72" s="18">
        <f>Test!D286</f>
        <v>0</v>
      </c>
      <c r="O72" s="18">
        <f>Test!E286</f>
        <v>0</v>
      </c>
      <c r="P72" s="18">
        <f>Test!F286</f>
        <v>0</v>
      </c>
      <c r="Q72" s="18">
        <f>Test!G286</f>
        <v>0</v>
      </c>
      <c r="R72" s="19">
        <f t="shared" si="9"/>
        <v>0</v>
      </c>
      <c r="S72" s="17" t="e">
        <f t="shared" si="10"/>
        <v>#DIV/0!</v>
      </c>
      <c r="T72" s="18" t="e">
        <f t="shared" si="11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Reference!B287</f>
        <v>0</v>
      </c>
      <c r="E73" s="18">
        <f>Reference!C287</f>
        <v>0</v>
      </c>
      <c r="F73" s="18">
        <f>Reference!D287</f>
        <v>0</v>
      </c>
      <c r="G73" s="18">
        <f>Reference!E287</f>
        <v>0</v>
      </c>
      <c r="H73" s="18">
        <f>Reference!F287</f>
        <v>0</v>
      </c>
      <c r="I73" s="18">
        <f>Reference!G287</f>
        <v>0</v>
      </c>
      <c r="J73" s="19">
        <f t="shared" si="8"/>
        <v>0</v>
      </c>
      <c r="L73" s="17">
        <f>Test!B287</f>
        <v>0</v>
      </c>
      <c r="M73" s="18">
        <f>Test!C287</f>
        <v>0</v>
      </c>
      <c r="N73" s="18">
        <f>Test!D287</f>
        <v>0</v>
      </c>
      <c r="O73" s="18">
        <f>Test!E287</f>
        <v>0</v>
      </c>
      <c r="P73" s="18">
        <f>Test!F287</f>
        <v>0</v>
      </c>
      <c r="Q73" s="18">
        <f>Test!G287</f>
        <v>0</v>
      </c>
      <c r="R73" s="19">
        <f t="shared" si="9"/>
        <v>0</v>
      </c>
      <c r="S73" s="17" t="e">
        <f t="shared" si="10"/>
        <v>#DIV/0!</v>
      </c>
      <c r="T73" s="18" t="e">
        <f t="shared" si="11"/>
        <v>#DIV/0!</v>
      </c>
      <c r="U73" s="91"/>
      <c r="V73" s="38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Reference!B288</f>
        <v>0</v>
      </c>
      <c r="E74" s="23">
        <f>Reference!C288</f>
        <v>0</v>
      </c>
      <c r="F74" s="23">
        <f>Reference!D288</f>
        <v>0</v>
      </c>
      <c r="G74" s="23">
        <f>Reference!E288</f>
        <v>0</v>
      </c>
      <c r="H74" s="23">
        <f>Reference!F288</f>
        <v>0</v>
      </c>
      <c r="I74" s="23">
        <f>Reference!G288</f>
        <v>0</v>
      </c>
      <c r="J74" s="24">
        <f t="shared" si="8"/>
        <v>0</v>
      </c>
      <c r="L74" s="22">
        <f>Test!B288</f>
        <v>0</v>
      </c>
      <c r="M74" s="23">
        <f>Test!C288</f>
        <v>0</v>
      </c>
      <c r="N74" s="23">
        <f>Test!D288</f>
        <v>0</v>
      </c>
      <c r="O74" s="23">
        <f>Test!E288</f>
        <v>0</v>
      </c>
      <c r="P74" s="23">
        <f>Test!F288</f>
        <v>0</v>
      </c>
      <c r="Q74" s="23">
        <f>Test!G288</f>
        <v>0</v>
      </c>
      <c r="R74" s="24">
        <f t="shared" si="9"/>
        <v>0</v>
      </c>
      <c r="S74" s="22" t="e">
        <f t="shared" si="10"/>
        <v>#DIV/0!</v>
      </c>
      <c r="T74" s="23" t="e">
        <f t="shared" si="11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 t="e">
        <f>GEOMEAN(I3:I18)</f>
        <v>#NUM!</v>
      </c>
      <c r="J75" s="15" t="e">
        <f>GEOMEAN(J3:J18)</f>
        <v>#NUM!</v>
      </c>
      <c r="Q75" s="15" t="e">
        <f>GEOMEAN(Q3:Q18)</f>
        <v>#NUM!</v>
      </c>
      <c r="R75" s="15" t="e">
        <f>GEOMEAN(R3:R18)</f>
        <v>#NUM!</v>
      </c>
      <c r="S75" s="15" t="e">
        <f>GEOMEAN(S3:S18)</f>
        <v>#DIV/0!</v>
      </c>
      <c r="T75" s="15" t="e">
        <f>GEOMEAN(T3:T18)</f>
        <v>#DIV/0!</v>
      </c>
      <c r="V75" s="37" t="e">
        <f>AVERAGE(V3:V18)</f>
        <v>#VALUE!</v>
      </c>
      <c r="W75" s="42" t="e">
        <f t="shared" ref="W75:AA75" si="12">AVERAGE(W3:W18)</f>
        <v>#VALUE!</v>
      </c>
      <c r="X75" s="42" t="e">
        <f t="shared" si="12"/>
        <v>#VALUE!</v>
      </c>
      <c r="Y75" s="37" t="e">
        <f>AVERAGE(Y3:Y18)</f>
        <v>#VALUE!</v>
      </c>
      <c r="Z75" s="42" t="e">
        <f t="shared" si="12"/>
        <v>#VALUE!</v>
      </c>
      <c r="AA75" s="43" t="e">
        <f t="shared" si="12"/>
        <v>#VALUE!</v>
      </c>
    </row>
    <row r="76" spans="1:27" x14ac:dyDescent="0.2">
      <c r="B76" s="89" t="s">
        <v>47</v>
      </c>
      <c r="I76" s="15" t="e">
        <f>GEOMEAN(I19:I34)</f>
        <v>#NUM!</v>
      </c>
      <c r="J76" s="15" t="e">
        <f>GEOMEAN(J19:J34)</f>
        <v>#NUM!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#DIV/0!</v>
      </c>
      <c r="T76" s="15" t="e">
        <f>GEOMEAN(T19:T34)</f>
        <v>#DIV/0!</v>
      </c>
      <c r="V76" s="40" t="e">
        <f>AVERAGE(V19:V34)</f>
        <v>#VALUE!</v>
      </c>
      <c r="W76" s="44" t="e">
        <f t="shared" ref="W76:AA76" si="13">AVERAGE(W19:W34)</f>
        <v>#VALUE!</v>
      </c>
      <c r="X76" s="44" t="e">
        <f t="shared" si="13"/>
        <v>#VALUE!</v>
      </c>
      <c r="Y76" s="40" t="e">
        <f t="shared" si="13"/>
        <v>#VALUE!</v>
      </c>
      <c r="Z76" s="44" t="e">
        <f t="shared" si="13"/>
        <v>#VALUE!</v>
      </c>
      <c r="AA76" s="45" t="e">
        <f t="shared" si="13"/>
        <v>#VALUE!</v>
      </c>
    </row>
    <row r="77" spans="1:27" x14ac:dyDescent="0.2">
      <c r="B77" s="89" t="s">
        <v>51</v>
      </c>
      <c r="I77" s="15" t="e">
        <f>GEOMEAN(I35:I50)</f>
        <v>#NUM!</v>
      </c>
      <c r="J77" s="15" t="e">
        <f>GEOMEAN(J35:J50)</f>
        <v>#NUM!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#DIV/0!</v>
      </c>
      <c r="T77" s="15" t="e">
        <f>GEOMEAN(T35:T50)</f>
        <v>#DIV/0!</v>
      </c>
      <c r="V77" s="40" t="e">
        <f>AVERAGE(V35:V50)</f>
        <v>#VALUE!</v>
      </c>
      <c r="W77" s="44" t="e">
        <f t="shared" ref="W77:AA77" si="14">AVERAGE(W35:W50)</f>
        <v>#VALUE!</v>
      </c>
      <c r="X77" s="44" t="e">
        <f t="shared" si="14"/>
        <v>#VALUE!</v>
      </c>
      <c r="Y77" s="40" t="e">
        <f t="shared" si="14"/>
        <v>#VALUE!</v>
      </c>
      <c r="Z77" s="44" t="e">
        <f t="shared" si="14"/>
        <v>#VALUE!</v>
      </c>
      <c r="AA77" s="45" t="e">
        <f t="shared" si="14"/>
        <v>#VALUE!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5">AVERAGE(W51:W58)</f>
        <v>#VALUE!</v>
      </c>
      <c r="X78" s="44" t="e">
        <f t="shared" si="15"/>
        <v>#VALUE!</v>
      </c>
      <c r="Y78" s="40" t="e">
        <f t="shared" si="15"/>
        <v>#VALUE!</v>
      </c>
      <c r="Z78" s="44" t="e">
        <f t="shared" si="15"/>
        <v>#VALUE!</v>
      </c>
      <c r="AA78" s="45" t="e">
        <f t="shared" si="15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16">GEOMEAN(S59:S74)</f>
        <v>#DIV/0!</v>
      </c>
      <c r="T79" s="15" t="e">
        <f t="shared" si="16"/>
        <v>#DIV/0!</v>
      </c>
      <c r="V79" s="40" t="e">
        <f>AVERAGE(V59:V74)</f>
        <v>#VALUE!</v>
      </c>
      <c r="W79" s="44" t="e">
        <f t="shared" ref="W79:AA79" si="17">AVERAGE(W59:W74)</f>
        <v>#VALUE!</v>
      </c>
      <c r="X79" s="44" t="e">
        <f t="shared" si="17"/>
        <v>#VALUE!</v>
      </c>
      <c r="Y79" s="40" t="e">
        <f t="shared" si="17"/>
        <v>#VALUE!</v>
      </c>
      <c r="Z79" s="44" t="e">
        <f t="shared" si="17"/>
        <v>#VALUE!</v>
      </c>
      <c r="AA79" s="45" t="e">
        <f t="shared" si="17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 t="e">
        <f xml:space="preserve"> GEOMEAN(I3:I50)</f>
        <v>#NUM!</v>
      </c>
      <c r="J80" s="54" t="e">
        <f xml:space="preserve"> GEOMEAN(J3:J50)</f>
        <v>#NUM!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#DIV/0!</v>
      </c>
      <c r="T80" s="54" t="e">
        <f>GEOMEAN(T3:T50)</f>
        <v>#DIV/0!</v>
      </c>
      <c r="U80" s="4"/>
      <c r="V80" s="41" t="e">
        <f>AVERAGE(V3:V50)</f>
        <v>#VALUE!</v>
      </c>
      <c r="W80" s="46" t="e">
        <f t="shared" ref="W80:AA80" si="18">AVERAGE(W3:W50)</f>
        <v>#VALUE!</v>
      </c>
      <c r="X80" s="47" t="e">
        <f t="shared" si="18"/>
        <v>#VALUE!</v>
      </c>
      <c r="Y80" s="46" t="e">
        <f t="shared" si="18"/>
        <v>#VALUE!</v>
      </c>
      <c r="Z80" s="46" t="e">
        <f t="shared" si="18"/>
        <v>#VALUE!</v>
      </c>
      <c r="AA80" s="47" t="e">
        <f t="shared" si="18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0:Z10">
    <cfRule type="cellIs" dxfId="183" priority="619" operator="greaterThan">
      <formula>0.03</formula>
    </cfRule>
    <cfRule type="cellIs" dxfId="182" priority="620" stopIfTrue="1" operator="lessThan">
      <formula>-0.03</formula>
    </cfRule>
  </conditionalFormatting>
  <conditionalFormatting sqref="Y6:Z6">
    <cfRule type="cellIs" dxfId="181" priority="621" operator="greaterThan">
      <formula>0.03</formula>
    </cfRule>
    <cfRule type="cellIs" dxfId="180" priority="622" stopIfTrue="1" operator="lessThan">
      <formula>-0.03</formula>
    </cfRule>
  </conditionalFormatting>
  <conditionalFormatting sqref="Y14:Z14">
    <cfRule type="cellIs" dxfId="179" priority="617" operator="greaterThan">
      <formula>0.03</formula>
    </cfRule>
    <cfRule type="cellIs" dxfId="178" priority="618" stopIfTrue="1" operator="lessThan">
      <formula>-0.03</formula>
    </cfRule>
  </conditionalFormatting>
  <conditionalFormatting sqref="Y26:Z26">
    <cfRule type="cellIs" dxfId="177" priority="519" operator="greaterThan">
      <formula>0.03</formula>
    </cfRule>
    <cfRule type="cellIs" dxfId="176" priority="520" stopIfTrue="1" operator="lessThan">
      <formula>-0.03</formula>
    </cfRule>
  </conditionalFormatting>
  <conditionalFormatting sqref="Z35">
    <cfRule type="cellIs" dxfId="175" priority="445" operator="greaterThan">
      <formula>0.03</formula>
    </cfRule>
    <cfRule type="cellIs" dxfId="174" priority="446" stopIfTrue="1" operator="lessThan">
      <formula>-0.03</formula>
    </cfRule>
  </conditionalFormatting>
  <conditionalFormatting sqref="Y31">
    <cfRule type="cellIs" dxfId="173" priority="453" operator="greaterThan">
      <formula>0.03</formula>
    </cfRule>
    <cfRule type="cellIs" dxfId="172" priority="454" stopIfTrue="1" operator="lessThan">
      <formula>-0.03</formula>
    </cfRule>
  </conditionalFormatting>
  <conditionalFormatting sqref="AA27">
    <cfRule type="cellIs" dxfId="171" priority="469" operator="greaterThan">
      <formula>0.03</formula>
    </cfRule>
    <cfRule type="cellIs" dxfId="170" priority="470" stopIfTrue="1" operator="lessThan">
      <formula>-0.03</formula>
    </cfRule>
  </conditionalFormatting>
  <conditionalFormatting sqref="Y30:Z30">
    <cfRule type="cellIs" dxfId="169" priority="467" operator="greaterThan">
      <formula>0.03</formula>
    </cfRule>
    <cfRule type="cellIs" dxfId="168" priority="468" stopIfTrue="1" operator="lessThan">
      <formula>-0.03</formula>
    </cfRule>
  </conditionalFormatting>
  <conditionalFormatting sqref="AA35">
    <cfRule type="cellIs" dxfId="167" priority="443" operator="greaterThan">
      <formula>0.03</formula>
    </cfRule>
    <cfRule type="cellIs" dxfId="166" priority="444" stopIfTrue="1" operator="lessThan">
      <formula>-0.03</formula>
    </cfRule>
  </conditionalFormatting>
  <conditionalFormatting sqref="Y34:Z34">
    <cfRule type="cellIs" dxfId="165" priority="441" operator="greaterThan">
      <formula>0.03</formula>
    </cfRule>
    <cfRule type="cellIs" dxfId="164" priority="442" stopIfTrue="1" operator="lessThan">
      <formula>-0.03</formula>
    </cfRule>
  </conditionalFormatting>
  <conditionalFormatting sqref="Y38:Z38">
    <cfRule type="cellIs" dxfId="163" priority="439" operator="greaterThan">
      <formula>0.03</formula>
    </cfRule>
    <cfRule type="cellIs" dxfId="162" priority="440" stopIfTrue="1" operator="lessThan">
      <formula>-0.03</formula>
    </cfRule>
  </conditionalFormatting>
  <conditionalFormatting sqref="V31:X38">
    <cfRule type="cellIs" dxfId="161" priority="455" operator="greaterThan">
      <formula>0.03</formula>
    </cfRule>
    <cfRule type="cellIs" dxfId="160" priority="456" stopIfTrue="1" operator="lessThan">
      <formula>-0.03</formula>
    </cfRule>
  </conditionalFormatting>
  <conditionalFormatting sqref="Z31">
    <cfRule type="cellIs" dxfId="159" priority="451" operator="greaterThan">
      <formula>0.03</formula>
    </cfRule>
    <cfRule type="cellIs" dxfId="158" priority="452" stopIfTrue="1" operator="lessThan">
      <formula>-0.03</formula>
    </cfRule>
  </conditionalFormatting>
  <conditionalFormatting sqref="AA31">
    <cfRule type="cellIs" dxfId="157" priority="449" operator="greaterThan">
      <formula>0.03</formula>
    </cfRule>
    <cfRule type="cellIs" dxfId="156" priority="450" stopIfTrue="1" operator="lessThan">
      <formula>-0.03</formula>
    </cfRule>
  </conditionalFormatting>
  <conditionalFormatting sqref="Y35">
    <cfRule type="cellIs" dxfId="155" priority="447" operator="greaterThan">
      <formula>0.03</formula>
    </cfRule>
    <cfRule type="cellIs" dxfId="154" priority="448" stopIfTrue="1" operator="lessThan">
      <formula>-0.03</formula>
    </cfRule>
  </conditionalFormatting>
  <conditionalFormatting sqref="V39:X46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Y3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Z39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AA3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Y43">
    <cfRule type="cellIs" dxfId="145" priority="409" operator="greaterThan">
      <formula>0.03</formula>
    </cfRule>
    <cfRule type="cellIs" dxfId="144" priority="410" stopIfTrue="1" operator="lessThan">
      <formula>-0.03</formula>
    </cfRule>
  </conditionalFormatting>
  <conditionalFormatting sqref="Z43">
    <cfRule type="cellIs" dxfId="143" priority="407" operator="greaterThan">
      <formula>0.03</formula>
    </cfRule>
    <cfRule type="cellIs" dxfId="142" priority="408" stopIfTrue="1" operator="lessThan">
      <formula>-0.03</formula>
    </cfRule>
  </conditionalFormatting>
  <conditionalFormatting sqref="AA43">
    <cfRule type="cellIs" dxfId="141" priority="405" operator="greaterThan">
      <formula>0.03</formula>
    </cfRule>
    <cfRule type="cellIs" dxfId="140" priority="406" stopIfTrue="1" operator="lessThan">
      <formula>-0.03</formula>
    </cfRule>
  </conditionalFormatting>
  <conditionalFormatting sqref="Y42:Z42">
    <cfRule type="cellIs" dxfId="139" priority="403" operator="greaterThan">
      <formula>0.03</formula>
    </cfRule>
    <cfRule type="cellIs" dxfId="138" priority="404" stopIfTrue="1" operator="lessThan">
      <formula>-0.03</formula>
    </cfRule>
  </conditionalFormatting>
  <conditionalFormatting sqref="Y46:Z46">
    <cfRule type="cellIs" dxfId="137" priority="401" operator="greaterThan">
      <formula>0.03</formula>
    </cfRule>
    <cfRule type="cellIs" dxfId="136" priority="402" stopIfTrue="1" operator="lessThan">
      <formula>-0.03</formula>
    </cfRule>
  </conditionalFormatting>
  <conditionalFormatting sqref="V47:X58">
    <cfRule type="cellIs" dxfId="135" priority="379" operator="greaterThan">
      <formula>0.03</formula>
    </cfRule>
    <cfRule type="cellIs" dxfId="134" priority="380" stopIfTrue="1" operator="lessThan">
      <formula>-0.03</formula>
    </cfRule>
  </conditionalFormatting>
  <conditionalFormatting sqref="Y47">
    <cfRule type="cellIs" dxfId="133" priority="377" operator="greaterThan">
      <formula>0.03</formula>
    </cfRule>
    <cfRule type="cellIs" dxfId="132" priority="378" stopIfTrue="1" operator="lessThan">
      <formula>-0.03</formula>
    </cfRule>
  </conditionalFormatting>
  <conditionalFormatting sqref="Z47">
    <cfRule type="cellIs" dxfId="131" priority="375" operator="greaterThan">
      <formula>0.03</formula>
    </cfRule>
    <cfRule type="cellIs" dxfId="130" priority="376" stopIfTrue="1" operator="lessThan">
      <formula>-0.03</formula>
    </cfRule>
  </conditionalFormatting>
  <conditionalFormatting sqref="AA47">
    <cfRule type="cellIs" dxfId="129" priority="373" operator="greaterThan">
      <formula>0.03</formula>
    </cfRule>
    <cfRule type="cellIs" dxfId="128" priority="374" stopIfTrue="1" operator="lessThan">
      <formula>-0.03</formula>
    </cfRule>
  </conditionalFormatting>
  <conditionalFormatting sqref="Y51">
    <cfRule type="cellIs" dxfId="127" priority="371" operator="greaterThan">
      <formula>0.03</formula>
    </cfRule>
    <cfRule type="cellIs" dxfId="126" priority="372" stopIfTrue="1" operator="lessThan">
      <formula>-0.03</formula>
    </cfRule>
  </conditionalFormatting>
  <conditionalFormatting sqref="Z51">
    <cfRule type="cellIs" dxfId="125" priority="369" operator="greaterThan">
      <formula>0.03</formula>
    </cfRule>
    <cfRule type="cellIs" dxfId="124" priority="370" stopIfTrue="1" operator="lessThan">
      <formula>-0.03</formula>
    </cfRule>
  </conditionalFormatting>
  <conditionalFormatting sqref="AA51">
    <cfRule type="cellIs" dxfId="123" priority="367" operator="greaterThan">
      <formula>0.03</formula>
    </cfRule>
    <cfRule type="cellIs" dxfId="122" priority="368" stopIfTrue="1" operator="lessThan">
      <formula>-0.03</formula>
    </cfRule>
  </conditionalFormatting>
  <conditionalFormatting sqref="Y55">
    <cfRule type="cellIs" dxfId="121" priority="365" operator="greaterThan">
      <formula>0.03</formula>
    </cfRule>
    <cfRule type="cellIs" dxfId="120" priority="366" stopIfTrue="1" operator="lessThan">
      <formula>-0.03</formula>
    </cfRule>
  </conditionalFormatting>
  <conditionalFormatting sqref="Z55">
    <cfRule type="cellIs" dxfId="119" priority="363" operator="greaterThan">
      <formula>0.03</formula>
    </cfRule>
    <cfRule type="cellIs" dxfId="118" priority="364" stopIfTrue="1" operator="lessThan">
      <formula>-0.03</formula>
    </cfRule>
  </conditionalFormatting>
  <conditionalFormatting sqref="AA55">
    <cfRule type="cellIs" dxfId="117" priority="361" operator="greaterThan">
      <formula>0.03</formula>
    </cfRule>
    <cfRule type="cellIs" dxfId="116" priority="362" stopIfTrue="1" operator="lessThan">
      <formula>-0.03</formula>
    </cfRule>
  </conditionalFormatting>
  <conditionalFormatting sqref="Y50:Z50">
    <cfRule type="cellIs" dxfId="115" priority="353" operator="greaterThan">
      <formula>0.03</formula>
    </cfRule>
    <cfRule type="cellIs" dxfId="114" priority="354" stopIfTrue="1" operator="lessThan">
      <formula>-0.03</formula>
    </cfRule>
  </conditionalFormatting>
  <conditionalFormatting sqref="Y54:Z54">
    <cfRule type="cellIs" dxfId="113" priority="351" operator="greaterThan">
      <formula>0.03</formula>
    </cfRule>
    <cfRule type="cellIs" dxfId="112" priority="352" stopIfTrue="1" operator="lessThan">
      <formula>-0.03</formula>
    </cfRule>
  </conditionalFormatting>
  <conditionalFormatting sqref="Y58:Z58">
    <cfRule type="cellIs" dxfId="111" priority="349" operator="greaterThan">
      <formula>0.03</formula>
    </cfRule>
    <cfRule type="cellIs" dxfId="110" priority="350" stopIfTrue="1" operator="lessThan">
      <formula>-0.03</formula>
    </cfRule>
  </conditionalFormatting>
  <conditionalFormatting sqref="V4:X6 V12:X14 V8:X10">
    <cfRule type="cellIs" dxfId="109" priority="647" operator="greaterThan">
      <formula>0.03</formula>
    </cfRule>
    <cfRule type="cellIs" dxfId="108" priority="648" stopIfTrue="1" operator="lessThan">
      <formula>-0.03</formula>
    </cfRule>
  </conditionalFormatting>
  <conditionalFormatting sqref="V16:X18 V24:X26 V20:X22">
    <cfRule type="cellIs" dxfId="107" priority="549" operator="greaterThan">
      <formula>0.03</formula>
    </cfRule>
    <cfRule type="cellIs" dxfId="106" priority="550" stopIfTrue="1" operator="lessThan">
      <formula>-0.03</formula>
    </cfRule>
  </conditionalFormatting>
  <conditionalFormatting sqref="Y18:Z18">
    <cfRule type="cellIs" dxfId="105" priority="523" operator="greaterThan">
      <formula>0.03</formula>
    </cfRule>
    <cfRule type="cellIs" dxfId="104" priority="524" stopIfTrue="1" operator="lessThan">
      <formula>-0.03</formula>
    </cfRule>
  </conditionalFormatting>
  <conditionalFormatting sqref="Y22:Z22">
    <cfRule type="cellIs" dxfId="103" priority="521" operator="greaterThan">
      <formula>0.03</formula>
    </cfRule>
    <cfRule type="cellIs" dxfId="102" priority="522" stopIfTrue="1" operator="lessThan">
      <formula>-0.03</formula>
    </cfRule>
  </conditionalFormatting>
  <conditionalFormatting sqref="V27:X30">
    <cfRule type="cellIs" dxfId="101" priority="475" operator="greaterThan">
      <formula>0.03</formula>
    </cfRule>
    <cfRule type="cellIs" dxfId="100" priority="476" stopIfTrue="1" operator="lessThan">
      <formula>-0.03</formula>
    </cfRule>
  </conditionalFormatting>
  <conditionalFormatting sqref="Y27">
    <cfRule type="cellIs" dxfId="99" priority="473" operator="greaterThan">
      <formula>0.03</formula>
    </cfRule>
    <cfRule type="cellIs" dxfId="98" priority="474" stopIfTrue="1" operator="lessThan">
      <formula>-0.03</formula>
    </cfRule>
  </conditionalFormatting>
  <conditionalFormatting sqref="Z27">
    <cfRule type="cellIs" dxfId="97" priority="471" operator="greaterThan">
      <formula>0.03</formula>
    </cfRule>
    <cfRule type="cellIs" dxfId="96" priority="472" stopIfTrue="1" operator="lessThan">
      <formula>-0.03</formula>
    </cfRule>
  </conditionalFormatting>
  <conditionalFormatting sqref="Y23">
    <cfRule type="cellIs" dxfId="95" priority="87" operator="greaterThan">
      <formula>0.03</formula>
    </cfRule>
    <cfRule type="cellIs" dxfId="94" priority="88" stopIfTrue="1" operator="lessThan">
      <formula>-0.03</formula>
    </cfRule>
  </conditionalFormatting>
  <conditionalFormatting sqref="V19:X19">
    <cfRule type="cellIs" dxfId="93" priority="81" operator="greaterThan">
      <formula>0.03</formula>
    </cfRule>
    <cfRule type="cellIs" dxfId="92" priority="82" stopIfTrue="1" operator="lessThan">
      <formula>-0.03</formula>
    </cfRule>
  </conditionalFormatting>
  <conditionalFormatting sqref="V23:X23">
    <cfRule type="cellIs" dxfId="91" priority="89" operator="greaterThan">
      <formula>0.03</formula>
    </cfRule>
    <cfRule type="cellIs" dxfId="90" priority="90" stopIfTrue="1" operator="lessThan">
      <formula>-0.03</formula>
    </cfRule>
  </conditionalFormatting>
  <conditionalFormatting sqref="V80:AA80">
    <cfRule type="cellIs" dxfId="89" priority="91" operator="greaterThan">
      <formula>0.03</formula>
    </cfRule>
    <cfRule type="cellIs" dxfId="88" priority="92" stopIfTrue="1" operator="lessThan">
      <formula>-0.03</formula>
    </cfRule>
  </conditionalFormatting>
  <conditionalFormatting sqref="AA23">
    <cfRule type="cellIs" dxfId="87" priority="83" operator="greaterThan">
      <formula>0.03</formula>
    </cfRule>
    <cfRule type="cellIs" dxfId="86" priority="84" stopIfTrue="1" operator="lessThan">
      <formula>-0.03</formula>
    </cfRule>
  </conditionalFormatting>
  <conditionalFormatting sqref="Y19">
    <cfRule type="cellIs" dxfId="85" priority="79" operator="greaterThan">
      <formula>0.03</formula>
    </cfRule>
    <cfRule type="cellIs" dxfId="84" priority="80" stopIfTrue="1" operator="lessThan">
      <formula>-0.03</formula>
    </cfRule>
  </conditionalFormatting>
  <conditionalFormatting sqref="Z19">
    <cfRule type="cellIs" dxfId="83" priority="77" operator="greaterThan">
      <formula>0.03</formula>
    </cfRule>
    <cfRule type="cellIs" dxfId="82" priority="78" stopIfTrue="1" operator="lessThan">
      <formula>-0.03</formula>
    </cfRule>
  </conditionalFormatting>
  <conditionalFormatting sqref="AA19">
    <cfRule type="cellIs" dxfId="81" priority="75" operator="greaterThan">
      <formula>0.03</formula>
    </cfRule>
    <cfRule type="cellIs" dxfId="80" priority="76" stopIfTrue="1" operator="lessThan">
      <formula>-0.03</formula>
    </cfRule>
  </conditionalFormatting>
  <conditionalFormatting sqref="V75:X78">
    <cfRule type="cellIs" dxfId="79" priority="95" operator="greaterThan">
      <formula>0.03</formula>
    </cfRule>
    <cfRule type="cellIs" dxfId="78" priority="96" stopIfTrue="1" operator="lessThan">
      <formula>-0.03</formula>
    </cfRule>
  </conditionalFormatting>
  <conditionalFormatting sqref="Y75:AA78">
    <cfRule type="cellIs" dxfId="77" priority="93" operator="greaterThan">
      <formula>0.03</formula>
    </cfRule>
    <cfRule type="cellIs" dxfId="76" priority="94" stopIfTrue="1" operator="lessThan">
      <formula>-0.03</formula>
    </cfRule>
  </conditionalFormatting>
  <conditionalFormatting sqref="Z23">
    <cfRule type="cellIs" dxfId="75" priority="85" operator="greaterThan">
      <formula>0.03</formula>
    </cfRule>
    <cfRule type="cellIs" dxfId="74" priority="86" stopIfTrue="1" operator="lessThan">
      <formula>-0.03</formula>
    </cfRule>
  </conditionalFormatting>
  <conditionalFormatting sqref="V15:X15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A3">
    <cfRule type="cellIs" dxfId="71" priority="43" operator="greaterThan">
      <formula>0.03</formula>
    </cfRule>
    <cfRule type="cellIs" dxfId="70" priority="44" stopIfTrue="1" operator="lessThan">
      <formula>-0.03</formula>
    </cfRule>
  </conditionalFormatting>
  <conditionalFormatting sqref="Y3">
    <cfRule type="cellIs" dxfId="69" priority="47" operator="greaterThan">
      <formula>0.03</formula>
    </cfRule>
    <cfRule type="cellIs" dxfId="68" priority="48" stopIfTrue="1" operator="lessThan">
      <formula>-0.03</formula>
    </cfRule>
  </conditionalFormatting>
  <conditionalFormatting sqref="Z3">
    <cfRule type="cellIs" dxfId="67" priority="45" operator="greaterThan">
      <formula>0.03</formula>
    </cfRule>
    <cfRule type="cellIs" dxfId="66" priority="46" stopIfTrue="1" operator="lessThan">
      <formula>-0.03</formula>
    </cfRule>
  </conditionalFormatting>
  <conditionalFormatting sqref="AA15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Y15">
    <cfRule type="cellIs" dxfId="63" priority="71" operator="greaterThan">
      <formula>0.03</formula>
    </cfRule>
    <cfRule type="cellIs" dxfId="62" priority="72" stopIfTrue="1" operator="lessThan">
      <formula>-0.03</formula>
    </cfRule>
  </conditionalFormatting>
  <conditionalFormatting sqref="Z15">
    <cfRule type="cellIs" dxfId="61" priority="69" operator="greaterThan">
      <formula>0.03</formula>
    </cfRule>
    <cfRule type="cellIs" dxfId="60" priority="70" stopIfTrue="1" operator="lessThan">
      <formula>-0.03</formula>
    </cfRule>
  </conditionalFormatting>
  <conditionalFormatting sqref="AA11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V11:X11">
    <cfRule type="cellIs" dxfId="57" priority="65" operator="greaterThan">
      <formula>0.03</formula>
    </cfRule>
    <cfRule type="cellIs" dxfId="56" priority="66" stopIfTrue="1" operator="lessThan">
      <formula>-0.03</formula>
    </cfRule>
  </conditionalFormatting>
  <conditionalFormatting sqref="Y11">
    <cfRule type="cellIs" dxfId="55" priority="63" operator="greaterThan">
      <formula>0.03</formula>
    </cfRule>
    <cfRule type="cellIs" dxfId="54" priority="64" stopIfTrue="1" operator="lessThan">
      <formula>-0.03</formula>
    </cfRule>
  </conditionalFormatting>
  <conditionalFormatting sqref="Z11">
    <cfRule type="cellIs" dxfId="53" priority="61" operator="greaterThan">
      <formula>0.03</formula>
    </cfRule>
    <cfRule type="cellIs" dxfId="52" priority="62" stopIfTrue="1" operator="lessThan">
      <formula>-0.03</formula>
    </cfRule>
  </conditionalFormatting>
  <conditionalFormatting sqref="AA7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V7:X7">
    <cfRule type="cellIs" dxfId="49" priority="57" operator="greaterThan">
      <formula>0.03</formula>
    </cfRule>
    <cfRule type="cellIs" dxfId="48" priority="58" stopIfTrue="1" operator="lessThan">
      <formula>-0.03</formula>
    </cfRule>
  </conditionalFormatting>
  <conditionalFormatting sqref="Y7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Z7">
    <cfRule type="cellIs" dxfId="45" priority="53" operator="greaterThan">
      <formula>0.03</formula>
    </cfRule>
    <cfRule type="cellIs" dxfId="44" priority="54" stopIfTrue="1" operator="lessThan">
      <formula>-0.03</formula>
    </cfRule>
  </conditionalFormatting>
  <conditionalFormatting sqref="V3:X3">
    <cfRule type="cellIs" dxfId="43" priority="49" operator="greaterThan">
      <formula>0.03</formula>
    </cfRule>
    <cfRule type="cellIs" dxfId="42" priority="50" stopIfTrue="1" operator="lessThan">
      <formula>-0.03</formula>
    </cfRule>
  </conditionalFormatting>
  <conditionalFormatting sqref="Z59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AA59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62:Z62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V59:X62">
    <cfRule type="cellIs" dxfId="35" priority="41" operator="greaterThan">
      <formula>0.03</formula>
    </cfRule>
    <cfRule type="cellIs" dxfId="34" priority="42" stopIfTrue="1" operator="lessThan">
      <formula>-0.03</formula>
    </cfRule>
  </conditionalFormatting>
  <conditionalFormatting sqref="Y59">
    <cfRule type="cellIs" dxfId="33" priority="39" operator="greaterThan">
      <formula>0.03</formula>
    </cfRule>
    <cfRule type="cellIs" dxfId="32" priority="40" stopIfTrue="1" operator="lessThan">
      <formula>-0.03</formula>
    </cfRule>
  </conditionalFormatting>
  <conditionalFormatting sqref="V63:X70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Y63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Z6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A6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Y6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Z67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A67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Y66:Z66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Y70:Z70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V71:X7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Y71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Z71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A71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Y74:Z7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V79:X79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79:AA7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J288"/>
  <sheetViews>
    <sheetView topLeftCell="A139" workbookViewId="0">
      <selection activeCell="B165" sqref="B165:G165"/>
    </sheetView>
  </sheetViews>
  <sheetFormatPr defaultColWidth="9" defaultRowHeight="15.6" x14ac:dyDescent="0.25"/>
  <cols>
    <col min="1" max="1" width="25" bestFit="1" customWidth="1"/>
    <col min="6" max="6" width="14" customWidth="1"/>
  </cols>
  <sheetData>
    <row r="1" spans="1:10" x14ac:dyDescent="0.25">
      <c r="A1" s="141" t="s">
        <v>190</v>
      </c>
      <c r="B1">
        <v>76202.309200000003</v>
      </c>
      <c r="C1">
        <v>40.811</v>
      </c>
      <c r="D1">
        <v>49.245199999999997</v>
      </c>
      <c r="E1">
        <v>47.749400000000001</v>
      </c>
      <c r="F1">
        <v>129629.383</v>
      </c>
      <c r="G1">
        <v>24.882999999999999</v>
      </c>
      <c r="H1">
        <v>0</v>
      </c>
      <c r="I1" t="s">
        <v>561</v>
      </c>
      <c r="J1" t="s">
        <v>562</v>
      </c>
    </row>
    <row r="2" spans="1:10" x14ac:dyDescent="0.25">
      <c r="A2" s="141" t="s">
        <v>191</v>
      </c>
      <c r="B2">
        <v>41139.580499999996</v>
      </c>
      <c r="C2">
        <v>40.157699999999998</v>
      </c>
      <c r="D2">
        <v>48.549599999999998</v>
      </c>
      <c r="E2">
        <v>46.663200000000003</v>
      </c>
      <c r="F2">
        <v>69066.366999999998</v>
      </c>
      <c r="G2">
        <v>21.675999999999998</v>
      </c>
      <c r="H2">
        <v>0</v>
      </c>
      <c r="I2" t="s">
        <v>563</v>
      </c>
      <c r="J2" t="s">
        <v>564</v>
      </c>
    </row>
    <row r="3" spans="1:10" x14ac:dyDescent="0.25">
      <c r="A3" s="141" t="s">
        <v>192</v>
      </c>
      <c r="B3">
        <v>24713.215100000001</v>
      </c>
      <c r="C3">
        <v>39.433700000000002</v>
      </c>
      <c r="D3">
        <v>47.615099999999998</v>
      </c>
      <c r="E3">
        <v>45.389400000000002</v>
      </c>
      <c r="F3">
        <v>42846.773000000001</v>
      </c>
      <c r="G3">
        <v>20.45</v>
      </c>
      <c r="H3">
        <v>0</v>
      </c>
      <c r="I3" t="s">
        <v>565</v>
      </c>
      <c r="J3" t="s">
        <v>566</v>
      </c>
    </row>
    <row r="4" spans="1:10" x14ac:dyDescent="0.25">
      <c r="A4" s="141" t="s">
        <v>193</v>
      </c>
      <c r="B4">
        <v>14116.813</v>
      </c>
      <c r="C4">
        <v>38.220500000000001</v>
      </c>
      <c r="D4">
        <v>46.123199999999997</v>
      </c>
      <c r="E4">
        <v>43.593800000000002</v>
      </c>
      <c r="F4">
        <v>23882.115000000002</v>
      </c>
      <c r="G4">
        <v>18.581</v>
      </c>
      <c r="H4">
        <v>0</v>
      </c>
      <c r="I4" t="s">
        <v>567</v>
      </c>
      <c r="J4" t="s">
        <v>568</v>
      </c>
    </row>
    <row r="5" spans="1:10" x14ac:dyDescent="0.25">
      <c r="A5" s="141" t="s">
        <v>194</v>
      </c>
      <c r="B5">
        <v>322485.86320000002</v>
      </c>
      <c r="C5">
        <v>44.758600000000001</v>
      </c>
      <c r="D5">
        <v>39.131500000000003</v>
      </c>
      <c r="E5">
        <v>39.621699999999997</v>
      </c>
      <c r="F5">
        <v>197759.15599999999</v>
      </c>
      <c r="G5">
        <v>36.856000000000002</v>
      </c>
      <c r="H5">
        <v>0</v>
      </c>
      <c r="I5" t="s">
        <v>577</v>
      </c>
      <c r="J5" t="s">
        <v>578</v>
      </c>
    </row>
    <row r="6" spans="1:10" x14ac:dyDescent="0.25">
      <c r="A6" s="141" t="s">
        <v>195</v>
      </c>
      <c r="B6">
        <v>205619.13680000001</v>
      </c>
      <c r="C6">
        <v>41.967700000000001</v>
      </c>
      <c r="D6">
        <v>36.638399999999997</v>
      </c>
      <c r="E6">
        <v>37.444800000000001</v>
      </c>
      <c r="F6">
        <v>161612.016</v>
      </c>
      <c r="G6">
        <v>33.124000000000002</v>
      </c>
      <c r="H6">
        <v>0</v>
      </c>
      <c r="I6" t="s">
        <v>579</v>
      </c>
      <c r="J6" t="s">
        <v>580</v>
      </c>
    </row>
    <row r="7" spans="1:10" x14ac:dyDescent="0.25">
      <c r="A7" s="141" t="s">
        <v>196</v>
      </c>
      <c r="B7">
        <v>117444.0105</v>
      </c>
      <c r="C7">
        <v>38.709000000000003</v>
      </c>
      <c r="D7">
        <v>34.3626</v>
      </c>
      <c r="E7">
        <v>35.525500000000001</v>
      </c>
      <c r="F7">
        <v>120584.45299999999</v>
      </c>
      <c r="G7">
        <v>28.446000000000002</v>
      </c>
      <c r="H7">
        <v>0</v>
      </c>
      <c r="I7" t="s">
        <v>581</v>
      </c>
      <c r="J7" t="s">
        <v>582</v>
      </c>
    </row>
    <row r="8" spans="1:10" x14ac:dyDescent="0.25">
      <c r="A8" s="141" t="s">
        <v>197</v>
      </c>
      <c r="B8">
        <v>55569.347399999999</v>
      </c>
      <c r="C8">
        <v>35.227899999999998</v>
      </c>
      <c r="D8">
        <v>32.007800000000003</v>
      </c>
      <c r="E8">
        <v>33.7012</v>
      </c>
      <c r="F8">
        <v>79689.452999999994</v>
      </c>
      <c r="G8">
        <v>23.513999999999999</v>
      </c>
      <c r="H8">
        <v>0</v>
      </c>
      <c r="I8" t="s">
        <v>583</v>
      </c>
      <c r="J8" t="s">
        <v>584</v>
      </c>
    </row>
    <row r="9" spans="1:10" x14ac:dyDescent="0.25">
      <c r="A9" s="141" t="s">
        <v>198</v>
      </c>
      <c r="B9">
        <v>124771.6042</v>
      </c>
      <c r="C9">
        <v>41.574300000000001</v>
      </c>
      <c r="D9">
        <v>44.012099999999997</v>
      </c>
      <c r="E9">
        <v>42.909799999999997</v>
      </c>
      <c r="F9">
        <v>166623.5</v>
      </c>
      <c r="G9">
        <v>30.965</v>
      </c>
      <c r="H9">
        <v>0</v>
      </c>
      <c r="I9" t="s">
        <v>569</v>
      </c>
      <c r="J9" t="s">
        <v>570</v>
      </c>
    </row>
    <row r="10" spans="1:10" x14ac:dyDescent="0.25">
      <c r="A10" s="141" t="s">
        <v>199</v>
      </c>
      <c r="B10">
        <v>55894.098899999997</v>
      </c>
      <c r="C10">
        <v>38.880299999999998</v>
      </c>
      <c r="D10">
        <v>41.386600000000001</v>
      </c>
      <c r="E10">
        <v>41.7851</v>
      </c>
      <c r="F10">
        <v>116864.75</v>
      </c>
      <c r="G10">
        <v>24.382000000000001</v>
      </c>
      <c r="H10">
        <v>0</v>
      </c>
      <c r="I10" t="s">
        <v>571</v>
      </c>
      <c r="J10" t="s">
        <v>572</v>
      </c>
    </row>
    <row r="11" spans="1:10" x14ac:dyDescent="0.25">
      <c r="A11" s="141" t="s">
        <v>200</v>
      </c>
      <c r="B11">
        <v>25285.1937</v>
      </c>
      <c r="C11">
        <v>37.308300000000003</v>
      </c>
      <c r="D11">
        <v>39.062800000000003</v>
      </c>
      <c r="E11">
        <v>40.705399999999997</v>
      </c>
      <c r="F11">
        <v>67011.460999999996</v>
      </c>
      <c r="G11">
        <v>19.559000000000001</v>
      </c>
      <c r="H11">
        <v>0</v>
      </c>
      <c r="I11" t="s">
        <v>573</v>
      </c>
      <c r="J11" t="s">
        <v>574</v>
      </c>
    </row>
    <row r="12" spans="1:10" x14ac:dyDescent="0.25">
      <c r="A12" s="141" t="s">
        <v>201</v>
      </c>
      <c r="B12">
        <v>12252.606299999999</v>
      </c>
      <c r="C12">
        <v>35.924399999999999</v>
      </c>
      <c r="D12">
        <v>36.3444</v>
      </c>
      <c r="E12">
        <v>39.223100000000002</v>
      </c>
      <c r="F12">
        <v>38646.773000000001</v>
      </c>
      <c r="G12">
        <v>17.658999999999999</v>
      </c>
      <c r="H12">
        <v>0</v>
      </c>
      <c r="I12" t="s">
        <v>575</v>
      </c>
      <c r="J12" t="s">
        <v>576</v>
      </c>
    </row>
    <row r="13" spans="1:10" x14ac:dyDescent="0.25">
      <c r="A13" s="141" t="s">
        <v>202</v>
      </c>
      <c r="B13">
        <v>177370.96419999999</v>
      </c>
      <c r="C13">
        <v>38.624200000000002</v>
      </c>
      <c r="D13">
        <v>45.659500000000001</v>
      </c>
      <c r="E13">
        <v>43.478000000000002</v>
      </c>
      <c r="F13">
        <v>204050.67199999999</v>
      </c>
      <c r="G13">
        <v>31.89</v>
      </c>
      <c r="H13">
        <v>0</v>
      </c>
      <c r="I13" t="s">
        <v>585</v>
      </c>
      <c r="J13" t="s">
        <v>586</v>
      </c>
    </row>
    <row r="14" spans="1:10" x14ac:dyDescent="0.25">
      <c r="A14" s="141" t="s">
        <v>203</v>
      </c>
      <c r="B14">
        <v>86182.433699999994</v>
      </c>
      <c r="C14">
        <v>37.677599999999998</v>
      </c>
      <c r="D14">
        <v>44.793999999999997</v>
      </c>
      <c r="E14">
        <v>42.493400000000001</v>
      </c>
      <c r="F14">
        <v>124427</v>
      </c>
      <c r="G14">
        <v>25.31</v>
      </c>
      <c r="H14">
        <v>0</v>
      </c>
      <c r="I14" t="s">
        <v>587</v>
      </c>
      <c r="J14" t="s">
        <v>588</v>
      </c>
    </row>
    <row r="15" spans="1:10" x14ac:dyDescent="0.25">
      <c r="A15" s="141" t="s">
        <v>204</v>
      </c>
      <c r="B15">
        <v>49710.378900000003</v>
      </c>
      <c r="C15">
        <v>36.759099999999997</v>
      </c>
      <c r="D15">
        <v>43.830100000000002</v>
      </c>
      <c r="E15">
        <v>41.468299999999999</v>
      </c>
      <c r="F15">
        <v>78259.585999999996</v>
      </c>
      <c r="G15">
        <v>21.756</v>
      </c>
      <c r="H15">
        <v>0</v>
      </c>
      <c r="I15" t="s">
        <v>589</v>
      </c>
      <c r="J15" t="s">
        <v>590</v>
      </c>
    </row>
    <row r="16" spans="1:10" x14ac:dyDescent="0.25">
      <c r="A16" s="141" t="s">
        <v>205</v>
      </c>
      <c r="B16">
        <v>26284.4211</v>
      </c>
      <c r="C16">
        <v>35.2605</v>
      </c>
      <c r="D16">
        <v>42.428100000000001</v>
      </c>
      <c r="E16">
        <v>40.2164</v>
      </c>
      <c r="F16">
        <v>48835.050999999999</v>
      </c>
      <c r="G16">
        <v>19.405000000000001</v>
      </c>
      <c r="H16">
        <v>0</v>
      </c>
      <c r="I16" t="s">
        <v>591</v>
      </c>
      <c r="J16" t="s">
        <v>592</v>
      </c>
    </row>
    <row r="17" spans="1:10" x14ac:dyDescent="0.25">
      <c r="A17" s="141" t="s">
        <v>94</v>
      </c>
      <c r="B17">
        <v>67494.945999999996</v>
      </c>
      <c r="C17">
        <v>39.563000000000002</v>
      </c>
      <c r="D17">
        <v>40.538800000000002</v>
      </c>
      <c r="E17">
        <v>43.534300000000002</v>
      </c>
      <c r="F17">
        <v>86797.304999999993</v>
      </c>
      <c r="G17">
        <v>15.602</v>
      </c>
      <c r="H17">
        <v>0</v>
      </c>
      <c r="I17" t="s">
        <v>537</v>
      </c>
      <c r="J17" t="s">
        <v>538</v>
      </c>
    </row>
    <row r="18" spans="1:10" x14ac:dyDescent="0.25">
      <c r="A18" s="141" t="s">
        <v>95</v>
      </c>
      <c r="B18">
        <v>40264.393700000001</v>
      </c>
      <c r="C18">
        <v>37.929099999999998</v>
      </c>
      <c r="D18">
        <v>39.567500000000003</v>
      </c>
      <c r="E18">
        <v>42.1432</v>
      </c>
      <c r="F18">
        <v>66728.023000000001</v>
      </c>
      <c r="G18">
        <v>13.189</v>
      </c>
      <c r="H18">
        <v>0</v>
      </c>
      <c r="I18" t="s">
        <v>539</v>
      </c>
      <c r="J18" t="s">
        <v>540</v>
      </c>
    </row>
    <row r="19" spans="1:10" x14ac:dyDescent="0.25">
      <c r="A19" s="141" t="s">
        <v>96</v>
      </c>
      <c r="B19">
        <v>23215.707900000001</v>
      </c>
      <c r="C19">
        <v>36.014099999999999</v>
      </c>
      <c r="D19">
        <v>38.716099999999997</v>
      </c>
      <c r="E19">
        <v>40.761899999999997</v>
      </c>
      <c r="F19">
        <v>48877.105000000003</v>
      </c>
      <c r="G19">
        <v>11.005000000000001</v>
      </c>
      <c r="H19">
        <v>0</v>
      </c>
      <c r="I19" t="s">
        <v>541</v>
      </c>
      <c r="J19" t="s">
        <v>542</v>
      </c>
    </row>
    <row r="20" spans="1:10" x14ac:dyDescent="0.25">
      <c r="A20" s="141" t="s">
        <v>97</v>
      </c>
      <c r="B20">
        <v>11832.412700000001</v>
      </c>
      <c r="C20">
        <v>33.539200000000001</v>
      </c>
      <c r="D20">
        <v>37.526800000000001</v>
      </c>
      <c r="E20">
        <v>38.918700000000001</v>
      </c>
      <c r="F20">
        <v>32591.205000000002</v>
      </c>
      <c r="G20">
        <v>9.4109999999999996</v>
      </c>
      <c r="H20">
        <v>0</v>
      </c>
      <c r="I20" t="s">
        <v>543</v>
      </c>
      <c r="J20" t="s">
        <v>544</v>
      </c>
    </row>
    <row r="21" spans="1:10" x14ac:dyDescent="0.25">
      <c r="A21" s="141" t="s">
        <v>98</v>
      </c>
      <c r="B21">
        <v>42267.911099999998</v>
      </c>
      <c r="C21">
        <v>40.197000000000003</v>
      </c>
      <c r="D21">
        <v>44.213000000000001</v>
      </c>
      <c r="E21">
        <v>45.685099999999998</v>
      </c>
      <c r="F21">
        <v>74323.531000000003</v>
      </c>
      <c r="G21">
        <v>13.212</v>
      </c>
      <c r="H21">
        <v>0</v>
      </c>
      <c r="I21" t="s">
        <v>529</v>
      </c>
      <c r="J21" t="s">
        <v>530</v>
      </c>
    </row>
    <row r="22" spans="1:10" x14ac:dyDescent="0.25">
      <c r="A22" s="141" t="s">
        <v>99</v>
      </c>
      <c r="B22">
        <v>22922.736499999999</v>
      </c>
      <c r="C22">
        <v>38.721800000000002</v>
      </c>
      <c r="D22">
        <v>43.267299999999999</v>
      </c>
      <c r="E22">
        <v>44.241100000000003</v>
      </c>
      <c r="F22">
        <v>52120.711000000003</v>
      </c>
      <c r="G22">
        <v>11.167999999999999</v>
      </c>
      <c r="H22">
        <v>0</v>
      </c>
      <c r="I22" t="s">
        <v>531</v>
      </c>
      <c r="J22" t="s">
        <v>532</v>
      </c>
    </row>
    <row r="23" spans="1:10" x14ac:dyDescent="0.25">
      <c r="A23" s="141" t="s">
        <v>100</v>
      </c>
      <c r="B23">
        <v>12964.0762</v>
      </c>
      <c r="C23">
        <v>37.282600000000002</v>
      </c>
      <c r="D23">
        <v>42.193399999999997</v>
      </c>
      <c r="E23">
        <v>42.682499999999997</v>
      </c>
      <c r="F23">
        <v>35656.163999999997</v>
      </c>
      <c r="G23">
        <v>9.8239999999999998</v>
      </c>
      <c r="H23">
        <v>0</v>
      </c>
      <c r="I23" t="s">
        <v>533</v>
      </c>
      <c r="J23" t="s">
        <v>534</v>
      </c>
    </row>
    <row r="24" spans="1:10" x14ac:dyDescent="0.25">
      <c r="A24" s="141" t="s">
        <v>101</v>
      </c>
      <c r="B24">
        <v>6928.9396999999999</v>
      </c>
      <c r="C24">
        <v>35.361499999999999</v>
      </c>
      <c r="D24">
        <v>40.691000000000003</v>
      </c>
      <c r="E24">
        <v>40.660200000000003</v>
      </c>
      <c r="F24">
        <v>21637.708999999999</v>
      </c>
      <c r="G24">
        <v>8.5719999999999992</v>
      </c>
      <c r="H24">
        <v>0</v>
      </c>
      <c r="I24" t="s">
        <v>535</v>
      </c>
      <c r="J24" t="s">
        <v>536</v>
      </c>
    </row>
    <row r="25" spans="1:10" x14ac:dyDescent="0.25">
      <c r="A25" s="141" t="s">
        <v>206</v>
      </c>
      <c r="B25">
        <v>64671.494400000003</v>
      </c>
      <c r="C25">
        <v>41.737299999999998</v>
      </c>
      <c r="D25">
        <v>44.441200000000002</v>
      </c>
      <c r="E25">
        <v>45.163499999999999</v>
      </c>
      <c r="F25">
        <v>91012.773000000001</v>
      </c>
      <c r="G25">
        <v>16.559000000000001</v>
      </c>
      <c r="H25">
        <v>0</v>
      </c>
      <c r="I25" t="s">
        <v>545</v>
      </c>
      <c r="J25" t="s">
        <v>546</v>
      </c>
    </row>
    <row r="26" spans="1:10" x14ac:dyDescent="0.25">
      <c r="A26" s="141" t="s">
        <v>207</v>
      </c>
      <c r="B26">
        <v>41712.6656</v>
      </c>
      <c r="C26">
        <v>39.930900000000001</v>
      </c>
      <c r="D26">
        <v>43.0349</v>
      </c>
      <c r="E26">
        <v>43.9268</v>
      </c>
      <c r="F26">
        <v>67792.695000000007</v>
      </c>
      <c r="G26">
        <v>14.101000000000001</v>
      </c>
      <c r="H26">
        <v>0</v>
      </c>
      <c r="I26" t="s">
        <v>547</v>
      </c>
      <c r="J26" t="s">
        <v>548</v>
      </c>
    </row>
    <row r="27" spans="1:10" x14ac:dyDescent="0.25">
      <c r="A27" s="141" t="s">
        <v>208</v>
      </c>
      <c r="B27">
        <v>24533.356800000001</v>
      </c>
      <c r="C27">
        <v>37.703699999999998</v>
      </c>
      <c r="D27">
        <v>41.734000000000002</v>
      </c>
      <c r="E27">
        <v>42.630400000000002</v>
      </c>
      <c r="F27">
        <v>50014.211000000003</v>
      </c>
      <c r="G27">
        <v>12.351000000000001</v>
      </c>
      <c r="H27">
        <v>0</v>
      </c>
      <c r="I27" t="s">
        <v>549</v>
      </c>
      <c r="J27" t="s">
        <v>550</v>
      </c>
    </row>
    <row r="28" spans="1:10" x14ac:dyDescent="0.25">
      <c r="A28" s="141" t="s">
        <v>209</v>
      </c>
      <c r="B28">
        <v>12379.712</v>
      </c>
      <c r="C28">
        <v>35.008899999999997</v>
      </c>
      <c r="D28">
        <v>40.169499999999999</v>
      </c>
      <c r="E28">
        <v>41.012300000000003</v>
      </c>
      <c r="F28">
        <v>31297.107</v>
      </c>
      <c r="G28">
        <v>10.813000000000001</v>
      </c>
      <c r="H28">
        <v>0</v>
      </c>
      <c r="I28" t="s">
        <v>551</v>
      </c>
      <c r="J28" t="s">
        <v>552</v>
      </c>
    </row>
    <row r="29" spans="1:10" x14ac:dyDescent="0.25">
      <c r="A29" s="141" t="s">
        <v>210</v>
      </c>
      <c r="B29">
        <v>39540.6976</v>
      </c>
      <c r="C29">
        <v>44.935200000000002</v>
      </c>
      <c r="D29">
        <v>47.607900000000001</v>
      </c>
      <c r="E29">
        <v>48.338799999999999</v>
      </c>
      <c r="F29">
        <v>61787.144999999997</v>
      </c>
      <c r="G29">
        <v>14.675000000000001</v>
      </c>
      <c r="H29">
        <v>0</v>
      </c>
      <c r="I29" t="s">
        <v>553</v>
      </c>
      <c r="J29" t="s">
        <v>554</v>
      </c>
    </row>
    <row r="30" spans="1:10" x14ac:dyDescent="0.25">
      <c r="A30" s="141" t="s">
        <v>211</v>
      </c>
      <c r="B30">
        <v>26056.460800000001</v>
      </c>
      <c r="C30">
        <v>42.767699999999998</v>
      </c>
      <c r="D30">
        <v>46.0075</v>
      </c>
      <c r="E30">
        <v>46.536099999999998</v>
      </c>
      <c r="F30">
        <v>49611.828000000001</v>
      </c>
      <c r="G30">
        <v>12.9</v>
      </c>
      <c r="H30">
        <v>0</v>
      </c>
      <c r="I30" t="s">
        <v>555</v>
      </c>
      <c r="J30" t="s">
        <v>556</v>
      </c>
    </row>
    <row r="31" spans="1:10" x14ac:dyDescent="0.25">
      <c r="A31" s="141" t="s">
        <v>212</v>
      </c>
      <c r="B31">
        <v>15441.3696</v>
      </c>
      <c r="C31">
        <v>40.0809</v>
      </c>
      <c r="D31">
        <v>44.455599999999997</v>
      </c>
      <c r="E31">
        <v>44.716099999999997</v>
      </c>
      <c r="F31">
        <v>36779.781000000003</v>
      </c>
      <c r="G31">
        <v>11.404999999999999</v>
      </c>
      <c r="H31">
        <v>0</v>
      </c>
      <c r="I31" t="s">
        <v>557</v>
      </c>
      <c r="J31" t="s">
        <v>558</v>
      </c>
    </row>
    <row r="32" spans="1:10" x14ac:dyDescent="0.25">
      <c r="A32" s="141" t="s">
        <v>213</v>
      </c>
      <c r="B32">
        <v>8055.1296000000002</v>
      </c>
      <c r="C32">
        <v>37.008699999999997</v>
      </c>
      <c r="D32">
        <v>42.448500000000003</v>
      </c>
      <c r="E32">
        <v>42.4863</v>
      </c>
      <c r="F32">
        <v>24175.578000000001</v>
      </c>
      <c r="G32">
        <v>9.827</v>
      </c>
      <c r="H32">
        <v>0</v>
      </c>
      <c r="I32" t="s">
        <v>559</v>
      </c>
      <c r="J32" t="s">
        <v>560</v>
      </c>
    </row>
    <row r="33" spans="1:10" x14ac:dyDescent="0.25">
      <c r="A33" s="141" t="s">
        <v>102</v>
      </c>
      <c r="B33">
        <v>53885.331200000001</v>
      </c>
      <c r="C33">
        <v>41.744900000000001</v>
      </c>
      <c r="D33">
        <v>46.070099999999996</v>
      </c>
      <c r="E33">
        <v>46.383099999999999</v>
      </c>
      <c r="F33">
        <v>52000.832000000002</v>
      </c>
      <c r="G33">
        <v>9.1259999999999994</v>
      </c>
      <c r="H33">
        <v>0</v>
      </c>
      <c r="I33" t="s">
        <v>497</v>
      </c>
      <c r="J33" t="s">
        <v>498</v>
      </c>
    </row>
    <row r="34" spans="1:10" x14ac:dyDescent="0.25">
      <c r="A34" s="141" t="s">
        <v>103</v>
      </c>
      <c r="B34">
        <v>36759.296000000002</v>
      </c>
      <c r="C34">
        <v>38.811300000000003</v>
      </c>
      <c r="D34">
        <v>44.322299999999998</v>
      </c>
      <c r="E34">
        <v>44.660899999999998</v>
      </c>
      <c r="F34">
        <v>44212.137000000002</v>
      </c>
      <c r="G34">
        <v>8.2390000000000008</v>
      </c>
      <c r="H34">
        <v>0</v>
      </c>
      <c r="I34" t="s">
        <v>499</v>
      </c>
      <c r="J34" t="s">
        <v>500</v>
      </c>
    </row>
    <row r="35" spans="1:10" x14ac:dyDescent="0.25">
      <c r="A35" s="141" t="s">
        <v>104</v>
      </c>
      <c r="B35">
        <v>21831.2448</v>
      </c>
      <c r="C35">
        <v>35.423699999999997</v>
      </c>
      <c r="D35">
        <v>42.871499999999997</v>
      </c>
      <c r="E35">
        <v>43.200699999999998</v>
      </c>
      <c r="F35">
        <v>36413.938000000002</v>
      </c>
      <c r="G35">
        <v>7.15</v>
      </c>
      <c r="H35">
        <v>0</v>
      </c>
      <c r="I35" t="s">
        <v>501</v>
      </c>
      <c r="J35" t="s">
        <v>502</v>
      </c>
    </row>
    <row r="36" spans="1:10" x14ac:dyDescent="0.25">
      <c r="A36" s="141" t="s">
        <v>105</v>
      </c>
      <c r="B36">
        <v>10756.2176</v>
      </c>
      <c r="C36">
        <v>31.796500000000002</v>
      </c>
      <c r="D36">
        <v>41.5002</v>
      </c>
      <c r="E36">
        <v>41.678800000000003</v>
      </c>
      <c r="F36">
        <v>26073.588</v>
      </c>
      <c r="G36">
        <v>5.62</v>
      </c>
      <c r="H36">
        <v>0</v>
      </c>
      <c r="I36" t="s">
        <v>503</v>
      </c>
      <c r="J36" t="s">
        <v>504</v>
      </c>
    </row>
    <row r="37" spans="1:10" x14ac:dyDescent="0.25">
      <c r="A37" s="141" t="s">
        <v>106</v>
      </c>
      <c r="B37">
        <v>20107.385600000001</v>
      </c>
      <c r="C37">
        <v>42.69</v>
      </c>
      <c r="D37">
        <v>45.481200000000001</v>
      </c>
      <c r="E37">
        <v>47.031799999999997</v>
      </c>
      <c r="F37">
        <v>34731.476999999999</v>
      </c>
      <c r="G37">
        <v>6.4219999999999997</v>
      </c>
      <c r="H37">
        <v>0</v>
      </c>
      <c r="I37" t="s">
        <v>505</v>
      </c>
      <c r="J37" t="s">
        <v>506</v>
      </c>
    </row>
    <row r="38" spans="1:10" x14ac:dyDescent="0.25">
      <c r="A38" s="141" t="s">
        <v>107</v>
      </c>
      <c r="B38">
        <v>11409.843199999999</v>
      </c>
      <c r="C38">
        <v>40.6663</v>
      </c>
      <c r="D38">
        <v>44.567500000000003</v>
      </c>
      <c r="E38">
        <v>45.400300000000001</v>
      </c>
      <c r="F38">
        <v>25553.859</v>
      </c>
      <c r="G38">
        <v>5.3680000000000003</v>
      </c>
      <c r="H38">
        <v>0</v>
      </c>
      <c r="I38" t="s">
        <v>507</v>
      </c>
      <c r="J38" t="s">
        <v>508</v>
      </c>
    </row>
    <row r="39" spans="1:10" x14ac:dyDescent="0.25">
      <c r="A39" s="141" t="s">
        <v>108</v>
      </c>
      <c r="B39">
        <v>6331.4687999999996</v>
      </c>
      <c r="C39">
        <v>38.6648</v>
      </c>
      <c r="D39">
        <v>43.620399999999997</v>
      </c>
      <c r="E39">
        <v>43.6327</v>
      </c>
      <c r="F39">
        <v>17025.596000000001</v>
      </c>
      <c r="G39">
        <v>4.7060000000000004</v>
      </c>
      <c r="H39">
        <v>0</v>
      </c>
      <c r="I39" t="s">
        <v>509</v>
      </c>
      <c r="J39" t="s">
        <v>510</v>
      </c>
    </row>
    <row r="40" spans="1:10" x14ac:dyDescent="0.25">
      <c r="A40" s="141" t="s">
        <v>109</v>
      </c>
      <c r="B40">
        <v>3230.4895999999999</v>
      </c>
      <c r="C40">
        <v>36.290999999999997</v>
      </c>
      <c r="D40">
        <v>42.315899999999999</v>
      </c>
      <c r="E40">
        <v>41.464500000000001</v>
      </c>
      <c r="F40">
        <v>10776.124</v>
      </c>
      <c r="G40">
        <v>4.3410000000000002</v>
      </c>
      <c r="H40">
        <v>0</v>
      </c>
      <c r="I40" t="s">
        <v>511</v>
      </c>
      <c r="J40" t="s">
        <v>512</v>
      </c>
    </row>
    <row r="41" spans="1:10" x14ac:dyDescent="0.25">
      <c r="A41" s="141" t="s">
        <v>110</v>
      </c>
      <c r="B41">
        <v>15114.5152</v>
      </c>
      <c r="C41">
        <v>44.225700000000003</v>
      </c>
      <c r="D41">
        <v>47.0792</v>
      </c>
      <c r="E41">
        <v>47.969700000000003</v>
      </c>
      <c r="F41">
        <v>26963.344000000001</v>
      </c>
      <c r="G41">
        <v>6.0629999999999997</v>
      </c>
      <c r="H41">
        <v>0</v>
      </c>
      <c r="I41" t="s">
        <v>513</v>
      </c>
      <c r="J41" t="s">
        <v>514</v>
      </c>
    </row>
    <row r="42" spans="1:10" x14ac:dyDescent="0.25">
      <c r="A42" s="141" t="s">
        <v>111</v>
      </c>
      <c r="B42">
        <v>10258.822399999999</v>
      </c>
      <c r="C42">
        <v>42.495899999999999</v>
      </c>
      <c r="D42">
        <v>45.927500000000002</v>
      </c>
      <c r="E42">
        <v>46.6449</v>
      </c>
      <c r="F42">
        <v>20800.028999999999</v>
      </c>
      <c r="G42">
        <v>5.4340000000000002</v>
      </c>
      <c r="H42">
        <v>0</v>
      </c>
      <c r="I42" t="s">
        <v>515</v>
      </c>
      <c r="J42" t="s">
        <v>516</v>
      </c>
    </row>
    <row r="43" spans="1:10" x14ac:dyDescent="0.25">
      <c r="A43" s="141" t="s">
        <v>112</v>
      </c>
      <c r="B43">
        <v>6478.7071999999998</v>
      </c>
      <c r="C43">
        <v>40.162300000000002</v>
      </c>
      <c r="D43">
        <v>44.5916</v>
      </c>
      <c r="E43">
        <v>45.1053</v>
      </c>
      <c r="F43">
        <v>16141.370999999999</v>
      </c>
      <c r="G43">
        <v>5.0640000000000001</v>
      </c>
      <c r="H43">
        <v>0</v>
      </c>
      <c r="I43" t="s">
        <v>517</v>
      </c>
      <c r="J43" t="s">
        <v>518</v>
      </c>
    </row>
    <row r="44" spans="1:10" x14ac:dyDescent="0.25">
      <c r="A44" s="141" t="s">
        <v>113</v>
      </c>
      <c r="B44">
        <v>3752.7359999999999</v>
      </c>
      <c r="C44">
        <v>37.174399999999999</v>
      </c>
      <c r="D44">
        <v>42.877600000000001</v>
      </c>
      <c r="E44">
        <v>43.065100000000001</v>
      </c>
      <c r="F44">
        <v>10900.236999999999</v>
      </c>
      <c r="G44">
        <v>4.4139999999999997</v>
      </c>
      <c r="H44">
        <v>0</v>
      </c>
      <c r="I44" t="s">
        <v>519</v>
      </c>
      <c r="J44" t="s">
        <v>520</v>
      </c>
    </row>
    <row r="45" spans="1:10" x14ac:dyDescent="0.25">
      <c r="A45" s="141" t="s">
        <v>114</v>
      </c>
      <c r="B45">
        <v>16384.947199999999</v>
      </c>
      <c r="C45">
        <v>44.169199999999996</v>
      </c>
      <c r="D45">
        <v>48.808399999999999</v>
      </c>
      <c r="E45">
        <v>48.461799999999997</v>
      </c>
      <c r="F45">
        <v>27106.916000000001</v>
      </c>
      <c r="G45">
        <v>5.7480000000000002</v>
      </c>
      <c r="H45">
        <v>0</v>
      </c>
      <c r="I45" t="s">
        <v>521</v>
      </c>
      <c r="J45" t="s">
        <v>522</v>
      </c>
    </row>
    <row r="46" spans="1:10" x14ac:dyDescent="0.25">
      <c r="A46" s="141" t="s">
        <v>115</v>
      </c>
      <c r="B46">
        <v>11391.315199999999</v>
      </c>
      <c r="C46">
        <v>42.431699999999999</v>
      </c>
      <c r="D46">
        <v>47.805</v>
      </c>
      <c r="E46">
        <v>46.991999999999997</v>
      </c>
      <c r="F46">
        <v>21696.025000000001</v>
      </c>
      <c r="G46">
        <v>5.2069999999999999</v>
      </c>
      <c r="H46">
        <v>0</v>
      </c>
      <c r="I46" t="s">
        <v>523</v>
      </c>
      <c r="J46" t="s">
        <v>524</v>
      </c>
    </row>
    <row r="47" spans="1:10" x14ac:dyDescent="0.25">
      <c r="A47" s="141" t="s">
        <v>116</v>
      </c>
      <c r="B47">
        <v>7412.5951999999997</v>
      </c>
      <c r="C47">
        <v>40.051200000000001</v>
      </c>
      <c r="D47">
        <v>46.616399999999999</v>
      </c>
      <c r="E47">
        <v>45.3123</v>
      </c>
      <c r="F47">
        <v>16006.404</v>
      </c>
      <c r="G47">
        <v>4.55</v>
      </c>
      <c r="H47">
        <v>0</v>
      </c>
      <c r="I47" t="s">
        <v>525</v>
      </c>
      <c r="J47" t="s">
        <v>526</v>
      </c>
    </row>
    <row r="48" spans="1:10" x14ac:dyDescent="0.25">
      <c r="A48" s="141" t="s">
        <v>117</v>
      </c>
      <c r="B48">
        <v>4304.9215999999997</v>
      </c>
      <c r="C48">
        <v>36.829799999999999</v>
      </c>
      <c r="D48">
        <v>44.759900000000002</v>
      </c>
      <c r="E48">
        <v>42.994399999999999</v>
      </c>
      <c r="F48">
        <v>11414.897999999999</v>
      </c>
      <c r="G48">
        <v>4.2249999999999996</v>
      </c>
      <c r="H48">
        <v>0</v>
      </c>
      <c r="I48" t="s">
        <v>527</v>
      </c>
      <c r="J48" t="s">
        <v>528</v>
      </c>
    </row>
    <row r="49" spans="1:1" x14ac:dyDescent="0.25">
      <c r="A49" s="141" t="s">
        <v>214</v>
      </c>
    </row>
    <row r="50" spans="1:1" x14ac:dyDescent="0.25">
      <c r="A50" s="141" t="s">
        <v>215</v>
      </c>
    </row>
    <row r="51" spans="1:1" x14ac:dyDescent="0.25">
      <c r="A51" s="141" t="s">
        <v>216</v>
      </c>
    </row>
    <row r="52" spans="1:1" x14ac:dyDescent="0.25">
      <c r="A52" s="141" t="s">
        <v>217</v>
      </c>
    </row>
    <row r="53" spans="1:1" x14ac:dyDescent="0.25">
      <c r="A53" s="141" t="s">
        <v>218</v>
      </c>
    </row>
    <row r="54" spans="1:1" x14ac:dyDescent="0.25">
      <c r="A54" s="141" t="s">
        <v>219</v>
      </c>
    </row>
    <row r="55" spans="1:1" x14ac:dyDescent="0.25">
      <c r="A55" s="141" t="s">
        <v>220</v>
      </c>
    </row>
    <row r="56" spans="1:1" x14ac:dyDescent="0.25">
      <c r="A56" s="141" t="s">
        <v>221</v>
      </c>
    </row>
    <row r="57" spans="1:1" x14ac:dyDescent="0.25">
      <c r="A57" s="141" t="s">
        <v>318</v>
      </c>
    </row>
    <row r="58" spans="1:1" x14ac:dyDescent="0.25">
      <c r="A58" s="141" t="s">
        <v>319</v>
      </c>
    </row>
    <row r="59" spans="1:1" x14ac:dyDescent="0.25">
      <c r="A59" s="141" t="s">
        <v>320</v>
      </c>
    </row>
    <row r="60" spans="1:1" x14ac:dyDescent="0.25">
      <c r="A60" s="141" t="s">
        <v>321</v>
      </c>
    </row>
    <row r="61" spans="1:1" x14ac:dyDescent="0.25">
      <c r="A61" s="141" t="s">
        <v>322</v>
      </c>
    </row>
    <row r="62" spans="1:1" x14ac:dyDescent="0.25">
      <c r="A62" s="141" t="s">
        <v>323</v>
      </c>
    </row>
    <row r="63" spans="1:1" x14ac:dyDescent="0.25">
      <c r="A63" s="141" t="s">
        <v>324</v>
      </c>
    </row>
    <row r="64" spans="1:1" x14ac:dyDescent="0.25">
      <c r="A64" s="141" t="s">
        <v>325</v>
      </c>
    </row>
    <row r="65" spans="1:10" x14ac:dyDescent="0.25">
      <c r="A65" s="141" t="s">
        <v>326</v>
      </c>
    </row>
    <row r="66" spans="1:10" x14ac:dyDescent="0.25">
      <c r="A66" s="141" t="s">
        <v>327</v>
      </c>
    </row>
    <row r="67" spans="1:10" x14ac:dyDescent="0.25">
      <c r="A67" s="141" t="s">
        <v>328</v>
      </c>
    </row>
    <row r="68" spans="1:10" x14ac:dyDescent="0.25">
      <c r="A68" s="141" t="s">
        <v>329</v>
      </c>
    </row>
    <row r="69" spans="1:10" x14ac:dyDescent="0.25">
      <c r="A69" s="141" t="s">
        <v>330</v>
      </c>
    </row>
    <row r="70" spans="1:10" x14ac:dyDescent="0.25">
      <c r="A70" s="141" t="s">
        <v>331</v>
      </c>
    </row>
    <row r="71" spans="1:10" x14ac:dyDescent="0.25">
      <c r="A71" s="141" t="s">
        <v>332</v>
      </c>
    </row>
    <row r="72" spans="1:10" x14ac:dyDescent="0.25">
      <c r="A72" s="141" t="s">
        <v>333</v>
      </c>
    </row>
    <row r="73" spans="1:10" x14ac:dyDescent="0.25">
      <c r="A73" s="141" t="s">
        <v>222</v>
      </c>
      <c r="B73">
        <v>14743.32</v>
      </c>
      <c r="C73">
        <v>40.090499999999999</v>
      </c>
      <c r="D73">
        <v>49.064700000000002</v>
      </c>
      <c r="E73">
        <v>47.054299999999998</v>
      </c>
      <c r="F73">
        <v>363405.05800000002</v>
      </c>
      <c r="G73">
        <v>56.738</v>
      </c>
      <c r="H73">
        <v>0</v>
      </c>
      <c r="I73" t="s">
        <v>470</v>
      </c>
      <c r="J73" t="s">
        <v>471</v>
      </c>
    </row>
    <row r="74" spans="1:10" x14ac:dyDescent="0.25">
      <c r="A74" s="141" t="s">
        <v>223</v>
      </c>
      <c r="B74">
        <v>6726.9920000000002</v>
      </c>
      <c r="C74">
        <v>39.601399999999998</v>
      </c>
      <c r="D74">
        <v>48.472999999999999</v>
      </c>
      <c r="E74">
        <v>46.148499999999999</v>
      </c>
      <c r="F74">
        <v>200794.53899999999</v>
      </c>
      <c r="G74">
        <v>52.615000000000002</v>
      </c>
      <c r="H74">
        <v>0</v>
      </c>
      <c r="I74" t="s">
        <v>472</v>
      </c>
      <c r="J74" t="s">
        <v>473</v>
      </c>
    </row>
    <row r="75" spans="1:10" x14ac:dyDescent="0.25">
      <c r="A75" s="141" t="s">
        <v>224</v>
      </c>
      <c r="B75">
        <v>3650.4160000000002</v>
      </c>
      <c r="C75">
        <v>38.760599999999997</v>
      </c>
      <c r="D75">
        <v>47.655799999999999</v>
      </c>
      <c r="E75">
        <v>44.918900000000001</v>
      </c>
      <c r="F75">
        <v>99178.767999999996</v>
      </c>
      <c r="G75">
        <v>45.987000000000002</v>
      </c>
      <c r="H75">
        <v>0</v>
      </c>
      <c r="I75" t="s">
        <v>474</v>
      </c>
      <c r="J75" t="s">
        <v>475</v>
      </c>
    </row>
    <row r="76" spans="1:10" x14ac:dyDescent="0.25">
      <c r="A76" s="141" t="s">
        <v>225</v>
      </c>
      <c r="B76">
        <v>1926.528</v>
      </c>
      <c r="C76">
        <v>37.268599999999999</v>
      </c>
      <c r="D76">
        <v>46.271099999999997</v>
      </c>
      <c r="E76">
        <v>43.187899999999999</v>
      </c>
      <c r="F76">
        <v>50137.783000000003</v>
      </c>
      <c r="G76">
        <v>42.387</v>
      </c>
      <c r="H76">
        <v>0</v>
      </c>
      <c r="I76" t="s">
        <v>476</v>
      </c>
      <c r="J76" t="s">
        <v>477</v>
      </c>
    </row>
    <row r="77" spans="1:10" x14ac:dyDescent="0.25">
      <c r="A77" s="141" t="s">
        <v>226</v>
      </c>
      <c r="B77">
        <v>75692.2</v>
      </c>
      <c r="C77">
        <v>41.654000000000003</v>
      </c>
      <c r="D77">
        <v>36.479999999999997</v>
      </c>
      <c r="E77">
        <v>37.613</v>
      </c>
      <c r="F77">
        <v>654874.68099999998</v>
      </c>
      <c r="G77">
        <v>64.822999999999993</v>
      </c>
      <c r="H77">
        <v>0</v>
      </c>
      <c r="I77" t="s">
        <v>695</v>
      </c>
      <c r="J77" t="s">
        <v>690</v>
      </c>
    </row>
    <row r="78" spans="1:10" x14ac:dyDescent="0.25">
      <c r="A78" s="141" t="s">
        <v>227</v>
      </c>
      <c r="B78">
        <v>39107.603999999999</v>
      </c>
      <c r="C78">
        <v>39.052199999999999</v>
      </c>
      <c r="D78">
        <v>34.556399999999996</v>
      </c>
      <c r="E78">
        <v>35.963299999999997</v>
      </c>
      <c r="F78">
        <v>443899.217</v>
      </c>
      <c r="G78">
        <v>57.195999999999998</v>
      </c>
      <c r="H78">
        <v>0</v>
      </c>
      <c r="I78" t="s">
        <v>691</v>
      </c>
      <c r="J78" t="s">
        <v>692</v>
      </c>
    </row>
    <row r="79" spans="1:10" x14ac:dyDescent="0.25">
      <c r="A79" s="141" t="s">
        <v>228</v>
      </c>
      <c r="B79">
        <v>18801.439999999999</v>
      </c>
      <c r="C79">
        <v>36.145400000000002</v>
      </c>
      <c r="D79">
        <v>32.925600000000003</v>
      </c>
      <c r="E79">
        <v>34.587200000000003</v>
      </c>
      <c r="F79">
        <v>277063.83199999999</v>
      </c>
      <c r="G79">
        <v>52.875999999999998</v>
      </c>
      <c r="H79">
        <v>0</v>
      </c>
      <c r="I79" t="s">
        <v>486</v>
      </c>
      <c r="J79" t="s">
        <v>487</v>
      </c>
    </row>
    <row r="80" spans="1:10" x14ac:dyDescent="0.25">
      <c r="A80" s="141" t="s">
        <v>229</v>
      </c>
      <c r="B80">
        <v>7758.82</v>
      </c>
      <c r="C80">
        <v>33.085500000000003</v>
      </c>
      <c r="D80">
        <v>31.259499999999999</v>
      </c>
      <c r="E80">
        <v>33.171799999999998</v>
      </c>
      <c r="F80">
        <v>155611.06700000001</v>
      </c>
      <c r="G80">
        <v>47.128999999999998</v>
      </c>
      <c r="H80">
        <v>0</v>
      </c>
      <c r="I80" t="s">
        <v>488</v>
      </c>
      <c r="J80" t="s">
        <v>489</v>
      </c>
    </row>
    <row r="81" spans="1:10" x14ac:dyDescent="0.25">
      <c r="A81" s="141" t="s">
        <v>230</v>
      </c>
      <c r="B81">
        <v>37728.436000000002</v>
      </c>
      <c r="C81">
        <v>38.307000000000002</v>
      </c>
      <c r="D81">
        <v>40.465299999999999</v>
      </c>
      <c r="E81">
        <v>41.554000000000002</v>
      </c>
      <c r="F81">
        <v>384794.842</v>
      </c>
      <c r="G81">
        <v>35.707000000000001</v>
      </c>
      <c r="H81">
        <v>0</v>
      </c>
      <c r="I81" t="s">
        <v>478</v>
      </c>
      <c r="J81" t="s">
        <v>479</v>
      </c>
    </row>
    <row r="82" spans="1:10" x14ac:dyDescent="0.25">
      <c r="A82" s="141" t="s">
        <v>231</v>
      </c>
      <c r="B82">
        <v>18412.432000000001</v>
      </c>
      <c r="C82">
        <v>37.199300000000001</v>
      </c>
      <c r="D82">
        <v>37.925800000000002</v>
      </c>
      <c r="E82">
        <v>40.338500000000003</v>
      </c>
      <c r="F82">
        <v>230741.29699999999</v>
      </c>
      <c r="G82">
        <v>29.905000000000001</v>
      </c>
      <c r="H82">
        <v>0</v>
      </c>
      <c r="I82" t="s">
        <v>480</v>
      </c>
      <c r="J82" t="s">
        <v>481</v>
      </c>
    </row>
    <row r="83" spans="1:10" x14ac:dyDescent="0.25">
      <c r="A83" s="141" t="s">
        <v>232</v>
      </c>
      <c r="B83">
        <v>9150.8719999999994</v>
      </c>
      <c r="C83">
        <v>35.839500000000001</v>
      </c>
      <c r="D83">
        <v>35.709699999999998</v>
      </c>
      <c r="E83">
        <v>39.025500000000001</v>
      </c>
      <c r="F83">
        <v>138865.50200000001</v>
      </c>
      <c r="G83">
        <v>26.675999999999998</v>
      </c>
      <c r="H83">
        <v>0</v>
      </c>
      <c r="I83" t="s">
        <v>482</v>
      </c>
      <c r="J83" t="s">
        <v>483</v>
      </c>
    </row>
    <row r="84" spans="1:10" x14ac:dyDescent="0.25">
      <c r="A84" s="141" t="s">
        <v>233</v>
      </c>
      <c r="B84">
        <v>4625.5879999999997</v>
      </c>
      <c r="C84">
        <v>34.002000000000002</v>
      </c>
      <c r="D84">
        <v>33.8127</v>
      </c>
      <c r="E84">
        <v>37.4711</v>
      </c>
      <c r="F84">
        <v>79766.001999999993</v>
      </c>
      <c r="G84">
        <v>23.701000000000001</v>
      </c>
      <c r="H84">
        <v>0</v>
      </c>
      <c r="I84" t="s">
        <v>484</v>
      </c>
      <c r="J84" t="s">
        <v>485</v>
      </c>
    </row>
    <row r="85" spans="1:10" x14ac:dyDescent="0.25">
      <c r="A85" s="141" t="s">
        <v>234</v>
      </c>
      <c r="B85">
        <v>26235.632000000001</v>
      </c>
      <c r="C85">
        <v>37.639499999999998</v>
      </c>
      <c r="D85">
        <v>45.3461</v>
      </c>
      <c r="E85">
        <v>43.037100000000002</v>
      </c>
      <c r="F85">
        <v>510895.826</v>
      </c>
      <c r="G85">
        <v>60.878999999999998</v>
      </c>
      <c r="H85">
        <v>0</v>
      </c>
      <c r="I85" t="s">
        <v>693</v>
      </c>
      <c r="J85" t="s">
        <v>694</v>
      </c>
    </row>
    <row r="86" spans="1:10" x14ac:dyDescent="0.25">
      <c r="A86" s="141" t="s">
        <v>235</v>
      </c>
      <c r="B86">
        <v>9143.9959999999992</v>
      </c>
      <c r="C86">
        <v>37.099299999999999</v>
      </c>
      <c r="D86">
        <v>44.749200000000002</v>
      </c>
      <c r="E86">
        <v>42.405900000000003</v>
      </c>
      <c r="F86">
        <v>278265.46500000003</v>
      </c>
      <c r="G86">
        <v>52.716000000000001</v>
      </c>
      <c r="H86">
        <v>0</v>
      </c>
      <c r="I86" t="s">
        <v>490</v>
      </c>
      <c r="J86" t="s">
        <v>491</v>
      </c>
    </row>
    <row r="87" spans="1:10" x14ac:dyDescent="0.25">
      <c r="A87" s="141" t="s">
        <v>236</v>
      </c>
      <c r="B87">
        <v>4502.3760000000002</v>
      </c>
      <c r="C87">
        <v>36.249200000000002</v>
      </c>
      <c r="D87">
        <v>44.000100000000003</v>
      </c>
      <c r="E87">
        <v>41.631599999999999</v>
      </c>
      <c r="F87">
        <v>141013.51699999999</v>
      </c>
      <c r="G87">
        <v>44.061999999999998</v>
      </c>
      <c r="H87">
        <v>0</v>
      </c>
      <c r="I87" t="s">
        <v>492</v>
      </c>
      <c r="J87" t="s">
        <v>493</v>
      </c>
    </row>
    <row r="88" spans="1:10" x14ac:dyDescent="0.25">
      <c r="A88" s="141" t="s">
        <v>237</v>
      </c>
      <c r="B88">
        <v>2183.7399999999998</v>
      </c>
      <c r="C88">
        <v>34.795999999999999</v>
      </c>
      <c r="D88">
        <v>42.691800000000001</v>
      </c>
      <c r="E88">
        <v>40.4833</v>
      </c>
      <c r="F88">
        <v>68001.14</v>
      </c>
      <c r="G88">
        <v>37.771999999999998</v>
      </c>
      <c r="H88">
        <v>0</v>
      </c>
      <c r="I88" t="s">
        <v>494</v>
      </c>
      <c r="J88" t="s">
        <v>495</v>
      </c>
    </row>
    <row r="89" spans="1:10" x14ac:dyDescent="0.25">
      <c r="A89" s="141" t="s">
        <v>118</v>
      </c>
      <c r="B89">
        <v>9764.3119999999999</v>
      </c>
      <c r="C89">
        <v>38.015000000000001</v>
      </c>
      <c r="D89">
        <v>39.850200000000001</v>
      </c>
      <c r="E89">
        <v>43.346299999999999</v>
      </c>
      <c r="F89">
        <v>115823.818</v>
      </c>
      <c r="G89">
        <v>12.773999999999999</v>
      </c>
      <c r="H89">
        <v>0</v>
      </c>
      <c r="I89" t="s">
        <v>446</v>
      </c>
      <c r="J89" t="s">
        <v>447</v>
      </c>
    </row>
    <row r="90" spans="1:10" x14ac:dyDescent="0.25">
      <c r="A90" s="141" t="s">
        <v>119</v>
      </c>
      <c r="B90">
        <v>4528.0039999999999</v>
      </c>
      <c r="C90">
        <v>36.917999999999999</v>
      </c>
      <c r="D90">
        <v>39.341799999999999</v>
      </c>
      <c r="E90">
        <v>42.231400000000001</v>
      </c>
      <c r="F90">
        <v>69794.576000000001</v>
      </c>
      <c r="G90">
        <v>11.202</v>
      </c>
      <c r="H90">
        <v>0</v>
      </c>
      <c r="I90" t="s">
        <v>448</v>
      </c>
      <c r="J90" t="s">
        <v>449</v>
      </c>
    </row>
    <row r="91" spans="1:10" x14ac:dyDescent="0.25">
      <c r="A91" s="141" t="s">
        <v>120</v>
      </c>
      <c r="B91">
        <v>2302.8119999999999</v>
      </c>
      <c r="C91">
        <v>35.363300000000002</v>
      </c>
      <c r="D91">
        <v>38.731400000000001</v>
      </c>
      <c r="E91">
        <v>40.962000000000003</v>
      </c>
      <c r="F91">
        <v>40745.11</v>
      </c>
      <c r="G91">
        <v>9.4009999999999998</v>
      </c>
      <c r="H91">
        <v>0</v>
      </c>
      <c r="I91" t="s">
        <v>450</v>
      </c>
      <c r="J91" t="s">
        <v>451</v>
      </c>
    </row>
    <row r="92" spans="1:10" x14ac:dyDescent="0.25">
      <c r="A92" s="141" t="s">
        <v>121</v>
      </c>
      <c r="B92">
        <v>1103.6479999999999</v>
      </c>
      <c r="C92">
        <v>33.170200000000001</v>
      </c>
      <c r="D92">
        <v>37.701599999999999</v>
      </c>
      <c r="E92">
        <v>39.240400000000001</v>
      </c>
      <c r="F92">
        <v>21591.633000000002</v>
      </c>
      <c r="G92">
        <v>8.5820000000000007</v>
      </c>
      <c r="H92">
        <v>0</v>
      </c>
      <c r="I92" t="s">
        <v>452</v>
      </c>
      <c r="J92" t="s">
        <v>453</v>
      </c>
    </row>
    <row r="93" spans="1:10" x14ac:dyDescent="0.25">
      <c r="A93" s="141" t="s">
        <v>122</v>
      </c>
      <c r="B93">
        <v>8547.8439999999991</v>
      </c>
      <c r="C93">
        <v>38.949399999999997</v>
      </c>
      <c r="D93">
        <v>44.054499999999997</v>
      </c>
      <c r="E93">
        <v>45.214500000000001</v>
      </c>
      <c r="F93">
        <v>124264.728</v>
      </c>
      <c r="G93">
        <v>13.367000000000001</v>
      </c>
      <c r="H93">
        <v>0</v>
      </c>
      <c r="I93" t="s">
        <v>438</v>
      </c>
      <c r="J93" t="s">
        <v>439</v>
      </c>
    </row>
    <row r="94" spans="1:10" x14ac:dyDescent="0.25">
      <c r="A94" s="141" t="s">
        <v>123</v>
      </c>
      <c r="B94">
        <v>4281.3879999999999</v>
      </c>
      <c r="C94">
        <v>37.921100000000003</v>
      </c>
      <c r="D94">
        <v>43.2151</v>
      </c>
      <c r="E94">
        <v>43.774500000000003</v>
      </c>
      <c r="F94">
        <v>75568.702000000005</v>
      </c>
      <c r="G94">
        <v>11.646000000000001</v>
      </c>
      <c r="H94">
        <v>0</v>
      </c>
      <c r="I94" t="s">
        <v>440</v>
      </c>
      <c r="J94" t="s">
        <v>441</v>
      </c>
    </row>
    <row r="95" spans="1:10" x14ac:dyDescent="0.25">
      <c r="A95" s="141" t="s">
        <v>124</v>
      </c>
      <c r="B95">
        <v>2189.2399999999998</v>
      </c>
      <c r="C95">
        <v>36.424300000000002</v>
      </c>
      <c r="D95">
        <v>42.219299999999997</v>
      </c>
      <c r="E95">
        <v>42.212200000000003</v>
      </c>
      <c r="F95">
        <v>42058.254999999997</v>
      </c>
      <c r="G95">
        <v>10.134</v>
      </c>
      <c r="H95">
        <v>0</v>
      </c>
      <c r="I95" t="s">
        <v>442</v>
      </c>
      <c r="J95" t="s">
        <v>443</v>
      </c>
    </row>
    <row r="96" spans="1:10" x14ac:dyDescent="0.25">
      <c r="A96" s="141" t="s">
        <v>125</v>
      </c>
      <c r="B96">
        <v>1077.7239999999999</v>
      </c>
      <c r="C96">
        <v>34.359099999999998</v>
      </c>
      <c r="D96">
        <v>40.817900000000002</v>
      </c>
      <c r="E96">
        <v>40.288600000000002</v>
      </c>
      <c r="F96">
        <v>22950.385999999999</v>
      </c>
      <c r="G96">
        <v>8.9209999999999994</v>
      </c>
      <c r="H96">
        <v>0</v>
      </c>
      <c r="I96" t="s">
        <v>444</v>
      </c>
      <c r="J96" t="s">
        <v>445</v>
      </c>
    </row>
    <row r="97" spans="1:10" x14ac:dyDescent="0.25">
      <c r="A97" s="141" t="s">
        <v>238</v>
      </c>
      <c r="B97">
        <v>6744.8559999999998</v>
      </c>
      <c r="C97">
        <v>39.7042</v>
      </c>
      <c r="D97">
        <v>43.905999999999999</v>
      </c>
      <c r="E97">
        <v>45.051400000000001</v>
      </c>
      <c r="F97">
        <v>112946.117</v>
      </c>
      <c r="G97">
        <v>14.268000000000001</v>
      </c>
      <c r="H97">
        <v>0</v>
      </c>
      <c r="I97" t="s">
        <v>454</v>
      </c>
      <c r="J97" t="s">
        <v>455</v>
      </c>
    </row>
    <row r="98" spans="1:10" x14ac:dyDescent="0.25">
      <c r="A98" s="141" t="s">
        <v>239</v>
      </c>
      <c r="B98">
        <v>3206.7440000000001</v>
      </c>
      <c r="C98">
        <v>38.562600000000003</v>
      </c>
      <c r="D98">
        <v>43.147100000000002</v>
      </c>
      <c r="E98">
        <v>44.367400000000004</v>
      </c>
      <c r="F98">
        <v>67114.782999999996</v>
      </c>
      <c r="G98">
        <v>12.076000000000001</v>
      </c>
      <c r="H98">
        <v>0</v>
      </c>
      <c r="I98" t="s">
        <v>456</v>
      </c>
      <c r="J98" t="s">
        <v>457</v>
      </c>
    </row>
    <row r="99" spans="1:10" x14ac:dyDescent="0.25">
      <c r="A99" s="141" t="s">
        <v>240</v>
      </c>
      <c r="B99">
        <v>1547.0640000000001</v>
      </c>
      <c r="C99">
        <v>36.8977</v>
      </c>
      <c r="D99">
        <v>42.276400000000002</v>
      </c>
      <c r="E99">
        <v>43.483800000000002</v>
      </c>
      <c r="F99">
        <v>36300.002</v>
      </c>
      <c r="G99">
        <v>10.356</v>
      </c>
      <c r="H99">
        <v>0</v>
      </c>
      <c r="I99" t="s">
        <v>458</v>
      </c>
      <c r="J99" t="s">
        <v>459</v>
      </c>
    </row>
    <row r="100" spans="1:10" x14ac:dyDescent="0.25">
      <c r="A100" s="141" t="s">
        <v>241</v>
      </c>
      <c r="B100">
        <v>695.34799999999996</v>
      </c>
      <c r="C100">
        <v>34.643700000000003</v>
      </c>
      <c r="D100">
        <v>41.024500000000003</v>
      </c>
      <c r="E100">
        <v>42.1111</v>
      </c>
      <c r="F100">
        <v>18189.531999999999</v>
      </c>
      <c r="G100">
        <v>9.2910000000000004</v>
      </c>
      <c r="H100">
        <v>0</v>
      </c>
      <c r="I100" t="s">
        <v>460</v>
      </c>
      <c r="J100" t="s">
        <v>461</v>
      </c>
    </row>
    <row r="101" spans="1:10" x14ac:dyDescent="0.25">
      <c r="A101" s="141" t="s">
        <v>242</v>
      </c>
      <c r="B101">
        <v>5566.0720000000001</v>
      </c>
      <c r="C101">
        <v>44.892099999999999</v>
      </c>
      <c r="D101">
        <v>47.718400000000003</v>
      </c>
      <c r="E101">
        <v>48.500900000000001</v>
      </c>
      <c r="F101">
        <v>85313.195000000007</v>
      </c>
      <c r="G101">
        <v>13.57</v>
      </c>
      <c r="H101">
        <v>0</v>
      </c>
      <c r="I101" t="s">
        <v>462</v>
      </c>
      <c r="J101" t="s">
        <v>463</v>
      </c>
    </row>
    <row r="102" spans="1:10" x14ac:dyDescent="0.25">
      <c r="A102" s="141" t="s">
        <v>243</v>
      </c>
      <c r="B102">
        <v>3415.596</v>
      </c>
      <c r="C102">
        <v>42.653599999999997</v>
      </c>
      <c r="D102">
        <v>46.141599999999997</v>
      </c>
      <c r="E102">
        <v>46.721499999999999</v>
      </c>
      <c r="F102">
        <v>58453.275999999998</v>
      </c>
      <c r="G102">
        <v>12.337</v>
      </c>
      <c r="H102">
        <v>0</v>
      </c>
      <c r="I102" t="s">
        <v>464</v>
      </c>
      <c r="J102" t="s">
        <v>465</v>
      </c>
    </row>
    <row r="103" spans="1:10" x14ac:dyDescent="0.25">
      <c r="A103" s="141" t="s">
        <v>244</v>
      </c>
      <c r="B103">
        <v>1909.672</v>
      </c>
      <c r="C103">
        <v>39.828000000000003</v>
      </c>
      <c r="D103">
        <v>44.597700000000003</v>
      </c>
      <c r="E103">
        <v>44.932899999999997</v>
      </c>
      <c r="F103">
        <v>36076.461000000003</v>
      </c>
      <c r="G103">
        <v>10.744</v>
      </c>
      <c r="H103">
        <v>0</v>
      </c>
      <c r="I103" t="s">
        <v>466</v>
      </c>
      <c r="J103" t="s">
        <v>467</v>
      </c>
    </row>
    <row r="104" spans="1:10" x14ac:dyDescent="0.25">
      <c r="A104" s="141" t="s">
        <v>245</v>
      </c>
      <c r="B104">
        <v>971.29600000000005</v>
      </c>
      <c r="C104">
        <v>36.645699999999998</v>
      </c>
      <c r="D104">
        <v>42.763199999999998</v>
      </c>
      <c r="E104">
        <v>42.836799999999997</v>
      </c>
      <c r="F104">
        <v>20634.775000000001</v>
      </c>
      <c r="G104">
        <v>9.8330000000000002</v>
      </c>
      <c r="H104">
        <v>0</v>
      </c>
      <c r="I104" t="s">
        <v>468</v>
      </c>
      <c r="J104" t="s">
        <v>469</v>
      </c>
    </row>
    <row r="105" spans="1:10" x14ac:dyDescent="0.25">
      <c r="A105" s="141" t="s">
        <v>126</v>
      </c>
      <c r="B105">
        <v>4089.3679999999999</v>
      </c>
      <c r="C105">
        <v>38.606299999999997</v>
      </c>
      <c r="D105">
        <v>46.226999999999997</v>
      </c>
      <c r="E105">
        <v>46.453200000000002</v>
      </c>
      <c r="F105">
        <v>54193.563000000002</v>
      </c>
      <c r="G105">
        <v>5.5949999999999998</v>
      </c>
      <c r="H105">
        <v>0</v>
      </c>
      <c r="I105" t="s">
        <v>406</v>
      </c>
      <c r="J105" t="s">
        <v>407</v>
      </c>
    </row>
    <row r="106" spans="1:10" x14ac:dyDescent="0.25">
      <c r="A106" s="141" t="s">
        <v>127</v>
      </c>
      <c r="B106">
        <v>1777.2</v>
      </c>
      <c r="C106">
        <v>37.101900000000001</v>
      </c>
      <c r="D106">
        <v>45.1783</v>
      </c>
      <c r="E106">
        <v>45.393700000000003</v>
      </c>
      <c r="F106">
        <v>28857.143</v>
      </c>
      <c r="G106">
        <v>4.556</v>
      </c>
      <c r="H106">
        <v>0</v>
      </c>
      <c r="I106" t="s">
        <v>408</v>
      </c>
      <c r="J106" t="s">
        <v>409</v>
      </c>
    </row>
    <row r="107" spans="1:10" x14ac:dyDescent="0.25">
      <c r="A107" s="141" t="s">
        <v>128</v>
      </c>
      <c r="B107">
        <v>839.98800000000006</v>
      </c>
      <c r="C107">
        <v>35.155099999999997</v>
      </c>
      <c r="D107">
        <v>43.876800000000003</v>
      </c>
      <c r="E107">
        <v>44.140799999999999</v>
      </c>
      <c r="F107">
        <v>16078.487999999999</v>
      </c>
      <c r="G107">
        <v>4.0910000000000002</v>
      </c>
      <c r="H107">
        <v>0</v>
      </c>
      <c r="I107" t="s">
        <v>410</v>
      </c>
      <c r="J107" t="s">
        <v>411</v>
      </c>
    </row>
    <row r="108" spans="1:10" x14ac:dyDescent="0.25">
      <c r="A108" s="141" t="s">
        <v>129</v>
      </c>
      <c r="B108">
        <v>400.084</v>
      </c>
      <c r="C108">
        <v>32.481000000000002</v>
      </c>
      <c r="D108">
        <v>42.230400000000003</v>
      </c>
      <c r="E108">
        <v>42.519199999999998</v>
      </c>
      <c r="F108">
        <v>8058.6180000000004</v>
      </c>
      <c r="G108">
        <v>3.427</v>
      </c>
      <c r="H108">
        <v>0</v>
      </c>
      <c r="I108" t="s">
        <v>412</v>
      </c>
      <c r="J108" t="s">
        <v>413</v>
      </c>
    </row>
    <row r="109" spans="1:10" x14ac:dyDescent="0.25">
      <c r="A109" s="141" t="s">
        <v>130</v>
      </c>
      <c r="B109">
        <v>2425.9920000000002</v>
      </c>
      <c r="C109">
        <v>40.654299999999999</v>
      </c>
      <c r="D109">
        <v>46.145200000000003</v>
      </c>
      <c r="E109">
        <v>47.328400000000002</v>
      </c>
      <c r="F109">
        <v>43269.548999999999</v>
      </c>
      <c r="G109">
        <v>5.657</v>
      </c>
      <c r="H109">
        <v>0</v>
      </c>
      <c r="I109" t="s">
        <v>414</v>
      </c>
      <c r="J109" t="s">
        <v>415</v>
      </c>
    </row>
    <row r="110" spans="1:10" x14ac:dyDescent="0.25">
      <c r="A110" s="141" t="s">
        <v>131</v>
      </c>
      <c r="B110">
        <v>1089.576</v>
      </c>
      <c r="C110">
        <v>39.504800000000003</v>
      </c>
      <c r="D110">
        <v>45.5672</v>
      </c>
      <c r="E110">
        <v>46.040599999999998</v>
      </c>
      <c r="F110">
        <v>23768.14</v>
      </c>
      <c r="G110">
        <v>5.1929999999999996</v>
      </c>
      <c r="H110">
        <v>0</v>
      </c>
      <c r="I110" t="s">
        <v>416</v>
      </c>
      <c r="J110" t="s">
        <v>417</v>
      </c>
    </row>
    <row r="111" spans="1:10" x14ac:dyDescent="0.25">
      <c r="A111" s="141" t="s">
        <v>132</v>
      </c>
      <c r="B111">
        <v>515.31600000000003</v>
      </c>
      <c r="C111">
        <v>37.945099999999996</v>
      </c>
      <c r="D111">
        <v>44.795999999999999</v>
      </c>
      <c r="E111">
        <v>44.499400000000001</v>
      </c>
      <c r="F111">
        <v>12061.73</v>
      </c>
      <c r="G111">
        <v>4.1689999999999996</v>
      </c>
      <c r="H111">
        <v>0</v>
      </c>
      <c r="I111" t="s">
        <v>418</v>
      </c>
      <c r="J111" t="s">
        <v>419</v>
      </c>
    </row>
    <row r="112" spans="1:10" x14ac:dyDescent="0.25">
      <c r="A112" s="141" t="s">
        <v>133</v>
      </c>
      <c r="B112">
        <v>233.3</v>
      </c>
      <c r="C112">
        <v>35.849200000000003</v>
      </c>
      <c r="D112">
        <v>43.615299999999998</v>
      </c>
      <c r="E112">
        <v>42.397100000000002</v>
      </c>
      <c r="F112">
        <v>5930.5649999999996</v>
      </c>
      <c r="G112">
        <v>3.8180000000000001</v>
      </c>
      <c r="H112">
        <v>0</v>
      </c>
      <c r="I112" t="s">
        <v>420</v>
      </c>
      <c r="J112" t="s">
        <v>421</v>
      </c>
    </row>
    <row r="113" spans="1:10" x14ac:dyDescent="0.25">
      <c r="A113" s="141" t="s">
        <v>134</v>
      </c>
      <c r="B113">
        <v>922.76800000000003</v>
      </c>
      <c r="C113">
        <v>43.542400000000001</v>
      </c>
      <c r="D113">
        <v>47.266100000000002</v>
      </c>
      <c r="E113">
        <v>48.2973</v>
      </c>
      <c r="F113">
        <v>18809.621999999999</v>
      </c>
      <c r="G113">
        <v>4.2729999999999997</v>
      </c>
      <c r="H113">
        <v>0</v>
      </c>
      <c r="I113" t="s">
        <v>422</v>
      </c>
      <c r="J113" t="s">
        <v>423</v>
      </c>
    </row>
    <row r="114" spans="1:10" x14ac:dyDescent="0.25">
      <c r="A114" s="141" t="s">
        <v>135</v>
      </c>
      <c r="B114">
        <v>505.84399999999999</v>
      </c>
      <c r="C114">
        <v>42.268099999999997</v>
      </c>
      <c r="D114">
        <v>46.544800000000002</v>
      </c>
      <c r="E114">
        <v>47.351399999999998</v>
      </c>
      <c r="F114">
        <v>10451.950000000001</v>
      </c>
      <c r="G114">
        <v>3.9580000000000002</v>
      </c>
      <c r="H114">
        <v>0</v>
      </c>
      <c r="I114" t="s">
        <v>424</v>
      </c>
      <c r="J114" t="s">
        <v>425</v>
      </c>
    </row>
    <row r="115" spans="1:10" x14ac:dyDescent="0.25">
      <c r="A115" s="141" t="s">
        <v>136</v>
      </c>
      <c r="B115">
        <v>290.04399999999998</v>
      </c>
      <c r="C115">
        <v>40.489600000000003</v>
      </c>
      <c r="D115">
        <v>45.544800000000002</v>
      </c>
      <c r="E115">
        <v>46.074100000000001</v>
      </c>
      <c r="F115">
        <v>5884.4080000000004</v>
      </c>
      <c r="G115">
        <v>3.6230000000000002</v>
      </c>
      <c r="H115">
        <v>0</v>
      </c>
      <c r="I115" t="s">
        <v>426</v>
      </c>
      <c r="J115" t="s">
        <v>427</v>
      </c>
    </row>
    <row r="116" spans="1:10" x14ac:dyDescent="0.25">
      <c r="A116" s="141" t="s">
        <v>137</v>
      </c>
      <c r="B116">
        <v>163.44</v>
      </c>
      <c r="C116">
        <v>37.929900000000004</v>
      </c>
      <c r="D116">
        <v>43.895299999999999</v>
      </c>
      <c r="E116">
        <v>43.986699999999999</v>
      </c>
      <c r="F116">
        <v>3435.0320000000002</v>
      </c>
      <c r="G116">
        <v>3.61</v>
      </c>
      <c r="H116">
        <v>0</v>
      </c>
      <c r="I116" t="s">
        <v>428</v>
      </c>
      <c r="J116" t="s">
        <v>429</v>
      </c>
    </row>
    <row r="117" spans="1:10" x14ac:dyDescent="0.25">
      <c r="A117" s="141" t="s">
        <v>138</v>
      </c>
      <c r="B117">
        <v>1282.78</v>
      </c>
      <c r="C117">
        <v>42.9146</v>
      </c>
      <c r="D117">
        <v>49.038800000000002</v>
      </c>
      <c r="E117">
        <v>48.691200000000002</v>
      </c>
      <c r="F117">
        <v>21413.208999999999</v>
      </c>
      <c r="G117">
        <v>4.1909999999999998</v>
      </c>
      <c r="H117">
        <v>0</v>
      </c>
      <c r="I117" t="s">
        <v>430</v>
      </c>
      <c r="J117" t="s">
        <v>431</v>
      </c>
    </row>
    <row r="118" spans="1:10" x14ac:dyDescent="0.25">
      <c r="A118" s="141" t="s">
        <v>139</v>
      </c>
      <c r="B118">
        <v>691.64800000000002</v>
      </c>
      <c r="C118">
        <v>41.625599999999999</v>
      </c>
      <c r="D118">
        <v>48.256599999999999</v>
      </c>
      <c r="E118">
        <v>47.727699999999999</v>
      </c>
      <c r="F118">
        <v>12472.735000000001</v>
      </c>
      <c r="G118">
        <v>3.7519999999999998</v>
      </c>
      <c r="H118">
        <v>0</v>
      </c>
      <c r="I118" t="s">
        <v>432</v>
      </c>
      <c r="J118" t="s">
        <v>433</v>
      </c>
    </row>
    <row r="119" spans="1:10" x14ac:dyDescent="0.25">
      <c r="A119" s="141" t="s">
        <v>140</v>
      </c>
      <c r="B119">
        <v>393.80799999999999</v>
      </c>
      <c r="C119">
        <v>39.769599999999997</v>
      </c>
      <c r="D119">
        <v>47.268000000000001</v>
      </c>
      <c r="E119">
        <v>46.258299999999998</v>
      </c>
      <c r="F119">
        <v>7132.7389999999996</v>
      </c>
      <c r="G119">
        <v>3.581</v>
      </c>
      <c r="H119">
        <v>0</v>
      </c>
      <c r="I119" t="s">
        <v>434</v>
      </c>
      <c r="J119" t="s">
        <v>435</v>
      </c>
    </row>
    <row r="120" spans="1:10" x14ac:dyDescent="0.25">
      <c r="A120" s="141" t="s">
        <v>141</v>
      </c>
      <c r="B120">
        <v>219.56</v>
      </c>
      <c r="C120">
        <v>37.060499999999998</v>
      </c>
      <c r="D120">
        <v>45.668500000000002</v>
      </c>
      <c r="E120">
        <v>43.982700000000001</v>
      </c>
      <c r="F120">
        <v>4169.7650000000003</v>
      </c>
      <c r="G120">
        <v>3.5419999999999998</v>
      </c>
      <c r="H120">
        <v>0</v>
      </c>
      <c r="I120" t="s">
        <v>436</v>
      </c>
      <c r="J120" t="s">
        <v>437</v>
      </c>
    </row>
    <row r="121" spans="1:10" x14ac:dyDescent="0.25">
      <c r="A121" s="141" t="s">
        <v>246</v>
      </c>
    </row>
    <row r="122" spans="1:10" x14ac:dyDescent="0.25">
      <c r="A122" s="141" t="s">
        <v>247</v>
      </c>
    </row>
    <row r="123" spans="1:10" x14ac:dyDescent="0.25">
      <c r="A123" s="141" t="s">
        <v>248</v>
      </c>
    </row>
    <row r="124" spans="1:10" x14ac:dyDescent="0.25">
      <c r="A124" s="141" t="s">
        <v>249</v>
      </c>
    </row>
    <row r="125" spans="1:10" x14ac:dyDescent="0.25">
      <c r="A125" s="141" t="s">
        <v>250</v>
      </c>
    </row>
    <row r="126" spans="1:10" x14ac:dyDescent="0.25">
      <c r="A126" s="141" t="s">
        <v>251</v>
      </c>
    </row>
    <row r="127" spans="1:10" x14ac:dyDescent="0.25">
      <c r="A127" s="141" t="s">
        <v>252</v>
      </c>
    </row>
    <row r="128" spans="1:10" x14ac:dyDescent="0.25">
      <c r="A128" s="141" t="s">
        <v>253</v>
      </c>
    </row>
    <row r="129" spans="1:1" x14ac:dyDescent="0.25">
      <c r="A129" s="141" t="s">
        <v>334</v>
      </c>
    </row>
    <row r="130" spans="1:1" x14ac:dyDescent="0.25">
      <c r="A130" s="141" t="s">
        <v>335</v>
      </c>
    </row>
    <row r="131" spans="1:1" x14ac:dyDescent="0.25">
      <c r="A131" s="141" t="s">
        <v>336</v>
      </c>
    </row>
    <row r="132" spans="1:1" x14ac:dyDescent="0.25">
      <c r="A132" s="141" t="s">
        <v>337</v>
      </c>
    </row>
    <row r="133" spans="1:1" x14ac:dyDescent="0.25">
      <c r="A133" s="141" t="s">
        <v>338</v>
      </c>
    </row>
    <row r="134" spans="1:1" x14ac:dyDescent="0.25">
      <c r="A134" s="141" t="s">
        <v>339</v>
      </c>
    </row>
    <row r="135" spans="1:1" x14ac:dyDescent="0.25">
      <c r="A135" s="141" t="s">
        <v>340</v>
      </c>
    </row>
    <row r="136" spans="1:1" x14ac:dyDescent="0.25">
      <c r="A136" s="141" t="s">
        <v>341</v>
      </c>
    </row>
    <row r="137" spans="1:1" x14ac:dyDescent="0.25">
      <c r="A137" s="141" t="s">
        <v>342</v>
      </c>
    </row>
    <row r="138" spans="1:1" x14ac:dyDescent="0.25">
      <c r="A138" s="141" t="s">
        <v>343</v>
      </c>
    </row>
    <row r="139" spans="1:1" x14ac:dyDescent="0.25">
      <c r="A139" s="141" t="s">
        <v>344</v>
      </c>
    </row>
    <row r="140" spans="1:1" x14ac:dyDescent="0.25">
      <c r="A140" s="141" t="s">
        <v>345</v>
      </c>
    </row>
    <row r="141" spans="1:1" x14ac:dyDescent="0.25">
      <c r="A141" s="141" t="s">
        <v>346</v>
      </c>
    </row>
    <row r="142" spans="1:1" x14ac:dyDescent="0.25">
      <c r="A142" s="141" t="s">
        <v>347</v>
      </c>
    </row>
    <row r="143" spans="1:1" x14ac:dyDescent="0.25">
      <c r="A143" s="141" t="s">
        <v>348</v>
      </c>
    </row>
    <row r="144" spans="1:1" x14ac:dyDescent="0.25">
      <c r="A144" s="141" t="s">
        <v>349</v>
      </c>
    </row>
    <row r="145" spans="1:10" x14ac:dyDescent="0.25">
      <c r="A145" s="141" t="s">
        <v>254</v>
      </c>
      <c r="B145">
        <v>17070.168000000001</v>
      </c>
      <c r="C145">
        <v>40.171100000000003</v>
      </c>
      <c r="D145">
        <v>48.753500000000003</v>
      </c>
      <c r="E145">
        <v>46.677999999999997</v>
      </c>
      <c r="F145">
        <v>203919.625</v>
      </c>
      <c r="G145">
        <v>27.786999999999999</v>
      </c>
      <c r="H145">
        <v>0</v>
      </c>
      <c r="I145" t="s">
        <v>593</v>
      </c>
      <c r="J145" t="s">
        <v>594</v>
      </c>
    </row>
    <row r="146" spans="1:10" x14ac:dyDescent="0.25">
      <c r="A146" s="141" t="s">
        <v>255</v>
      </c>
      <c r="B146">
        <v>8441.7999999999993</v>
      </c>
      <c r="C146">
        <v>39.565300000000001</v>
      </c>
      <c r="D146">
        <v>47.950200000000002</v>
      </c>
      <c r="E146">
        <v>45.532299999999999</v>
      </c>
      <c r="F146">
        <v>114692.773</v>
      </c>
      <c r="G146">
        <v>24.707999999999998</v>
      </c>
      <c r="H146">
        <v>0</v>
      </c>
      <c r="I146" t="s">
        <v>595</v>
      </c>
      <c r="J146" t="s">
        <v>596</v>
      </c>
    </row>
    <row r="147" spans="1:10" x14ac:dyDescent="0.25">
      <c r="A147" s="141" t="s">
        <v>256</v>
      </c>
      <c r="B147">
        <v>4596.96</v>
      </c>
      <c r="C147">
        <v>38.576999999999998</v>
      </c>
      <c r="D147">
        <v>46.903100000000002</v>
      </c>
      <c r="E147">
        <v>44.168100000000003</v>
      </c>
      <c r="F147">
        <v>61833.91</v>
      </c>
      <c r="G147">
        <v>21.664000000000001</v>
      </c>
      <c r="H147">
        <v>0</v>
      </c>
      <c r="I147" t="s">
        <v>597</v>
      </c>
      <c r="J147" t="s">
        <v>598</v>
      </c>
    </row>
    <row r="148" spans="1:10" x14ac:dyDescent="0.25">
      <c r="A148" s="141" t="s">
        <v>257</v>
      </c>
      <c r="B148">
        <v>2501.6799999999998</v>
      </c>
      <c r="C148">
        <v>37.0351</v>
      </c>
      <c r="D148">
        <v>45.561399999999999</v>
      </c>
      <c r="E148">
        <v>42.4816</v>
      </c>
      <c r="F148">
        <v>32113.641</v>
      </c>
      <c r="G148">
        <v>18.802</v>
      </c>
      <c r="H148">
        <v>0</v>
      </c>
      <c r="I148" t="s">
        <v>599</v>
      </c>
      <c r="J148" t="s">
        <v>600</v>
      </c>
    </row>
    <row r="149" spans="1:10" x14ac:dyDescent="0.25">
      <c r="A149" s="141" t="s">
        <v>258</v>
      </c>
      <c r="B149">
        <v>91155.728000000003</v>
      </c>
      <c r="C149">
        <v>41.737099999999998</v>
      </c>
      <c r="D149">
        <v>36.691600000000001</v>
      </c>
      <c r="E149">
        <v>37.7104</v>
      </c>
      <c r="F149">
        <v>353513.09399999998</v>
      </c>
      <c r="G149">
        <v>30.756</v>
      </c>
      <c r="H149">
        <v>0</v>
      </c>
      <c r="I149" t="s">
        <v>601</v>
      </c>
      <c r="J149" t="s">
        <v>602</v>
      </c>
    </row>
    <row r="150" spans="1:10" x14ac:dyDescent="0.25">
      <c r="A150" s="141" t="s">
        <v>259</v>
      </c>
      <c r="B150">
        <v>46662.248</v>
      </c>
      <c r="C150">
        <v>38.941600000000001</v>
      </c>
      <c r="D150">
        <v>34.414900000000003</v>
      </c>
      <c r="E150">
        <v>35.797499999999999</v>
      </c>
      <c r="F150">
        <v>245635.21900000001</v>
      </c>
      <c r="G150">
        <v>26.32</v>
      </c>
      <c r="H150">
        <v>0</v>
      </c>
      <c r="I150" t="s">
        <v>603</v>
      </c>
      <c r="J150" t="s">
        <v>604</v>
      </c>
    </row>
    <row r="151" spans="1:10" x14ac:dyDescent="0.25">
      <c r="A151" s="141" t="s">
        <v>260</v>
      </c>
      <c r="B151">
        <v>21694.335999999999</v>
      </c>
      <c r="C151">
        <v>35.843499999999999</v>
      </c>
      <c r="D151">
        <v>32.5105</v>
      </c>
      <c r="E151">
        <v>34.191299999999998</v>
      </c>
      <c r="F151">
        <v>161778.15599999999</v>
      </c>
      <c r="G151">
        <v>22.448</v>
      </c>
      <c r="H151">
        <v>0</v>
      </c>
      <c r="I151" t="s">
        <v>605</v>
      </c>
      <c r="J151" t="s">
        <v>606</v>
      </c>
    </row>
    <row r="152" spans="1:10" x14ac:dyDescent="0.25">
      <c r="A152" s="141" t="s">
        <v>261</v>
      </c>
      <c r="B152">
        <v>9164.4</v>
      </c>
      <c r="C152">
        <v>32.828099999999999</v>
      </c>
      <c r="D152">
        <v>30.808700000000002</v>
      </c>
      <c r="E152">
        <v>32.814</v>
      </c>
      <c r="F152">
        <v>91877.695000000007</v>
      </c>
      <c r="G152">
        <v>19.463999999999999</v>
      </c>
      <c r="H152">
        <v>0</v>
      </c>
      <c r="I152" t="s">
        <v>607</v>
      </c>
      <c r="J152" t="s">
        <v>608</v>
      </c>
    </row>
    <row r="153" spans="1:10" x14ac:dyDescent="0.25">
      <c r="A153" s="141" t="s">
        <v>262</v>
      </c>
      <c r="B153">
        <v>45095.807999999997</v>
      </c>
      <c r="C153">
        <v>38.879199999999997</v>
      </c>
      <c r="D153">
        <v>41.2179</v>
      </c>
      <c r="E153">
        <v>41.491399999999999</v>
      </c>
      <c r="F153">
        <v>188482.40599999999</v>
      </c>
      <c r="G153">
        <v>16.978999999999999</v>
      </c>
      <c r="H153">
        <v>0</v>
      </c>
      <c r="I153" t="s">
        <v>609</v>
      </c>
      <c r="J153" t="s">
        <v>610</v>
      </c>
    </row>
    <row r="154" spans="1:10" x14ac:dyDescent="0.25">
      <c r="A154" s="141" t="s">
        <v>263</v>
      </c>
      <c r="B154">
        <v>22161.552</v>
      </c>
      <c r="C154">
        <v>37.521299999999997</v>
      </c>
      <c r="D154">
        <v>38.649900000000002</v>
      </c>
      <c r="E154">
        <v>40.113100000000003</v>
      </c>
      <c r="F154">
        <v>115579.961</v>
      </c>
      <c r="G154">
        <v>13.746</v>
      </c>
      <c r="H154">
        <v>0</v>
      </c>
      <c r="I154" t="s">
        <v>611</v>
      </c>
      <c r="J154" t="s">
        <v>612</v>
      </c>
    </row>
    <row r="155" spans="1:10" x14ac:dyDescent="0.25">
      <c r="A155" s="141" t="s">
        <v>264</v>
      </c>
      <c r="B155">
        <v>11565.152</v>
      </c>
      <c r="C155">
        <v>35.9681</v>
      </c>
      <c r="D155">
        <v>36.411900000000003</v>
      </c>
      <c r="E155">
        <v>38.676000000000002</v>
      </c>
      <c r="F155">
        <v>73237.960999999996</v>
      </c>
      <c r="G155">
        <v>12.053000000000001</v>
      </c>
      <c r="H155">
        <v>0</v>
      </c>
      <c r="I155" t="s">
        <v>613</v>
      </c>
      <c r="J155" t="s">
        <v>614</v>
      </c>
    </row>
    <row r="156" spans="1:10" x14ac:dyDescent="0.25">
      <c r="A156" s="141" t="s">
        <v>265</v>
      </c>
      <c r="B156">
        <v>5673.8720000000003</v>
      </c>
      <c r="C156">
        <v>34.048499999999997</v>
      </c>
      <c r="D156">
        <v>33.981999999999999</v>
      </c>
      <c r="E156">
        <v>36.909500000000001</v>
      </c>
      <c r="F156">
        <v>43574.535000000003</v>
      </c>
      <c r="G156">
        <v>10.784000000000001</v>
      </c>
      <c r="H156">
        <v>0</v>
      </c>
      <c r="I156" t="s">
        <v>615</v>
      </c>
      <c r="J156" t="s">
        <v>616</v>
      </c>
    </row>
    <row r="157" spans="1:10" x14ac:dyDescent="0.25">
      <c r="A157" s="141" t="s">
        <v>266</v>
      </c>
      <c r="B157">
        <v>24500.968000000001</v>
      </c>
      <c r="C157">
        <v>37.540300000000002</v>
      </c>
      <c r="D157">
        <v>45.035699999999999</v>
      </c>
      <c r="E157">
        <v>42.8018</v>
      </c>
      <c r="F157">
        <v>274301.06199999998</v>
      </c>
      <c r="G157">
        <v>27.655999999999999</v>
      </c>
      <c r="H157">
        <v>0</v>
      </c>
      <c r="I157" t="s">
        <v>617</v>
      </c>
      <c r="J157" t="s">
        <v>618</v>
      </c>
    </row>
    <row r="158" spans="1:10" x14ac:dyDescent="0.25">
      <c r="A158" s="141" t="s">
        <v>267</v>
      </c>
      <c r="B158">
        <v>10320.304</v>
      </c>
      <c r="C158">
        <v>36.917499999999997</v>
      </c>
      <c r="D158">
        <v>44.389299999999999</v>
      </c>
      <c r="E158">
        <v>42.0869</v>
      </c>
      <c r="F158">
        <v>151623.54699999999</v>
      </c>
      <c r="G158">
        <v>23.286999999999999</v>
      </c>
      <c r="H158">
        <v>0</v>
      </c>
      <c r="I158" t="s">
        <v>619</v>
      </c>
      <c r="J158" t="s">
        <v>620</v>
      </c>
    </row>
    <row r="159" spans="1:10" x14ac:dyDescent="0.25">
      <c r="A159" s="141" t="s">
        <v>268</v>
      </c>
      <c r="B159">
        <v>5155.6880000000001</v>
      </c>
      <c r="C159">
        <v>35.905999999999999</v>
      </c>
      <c r="D159">
        <v>43.4709</v>
      </c>
      <c r="E159">
        <v>41.149099999999997</v>
      </c>
      <c r="F159">
        <v>81867.875</v>
      </c>
      <c r="G159">
        <v>18.448</v>
      </c>
      <c r="H159">
        <v>0</v>
      </c>
      <c r="I159" t="s">
        <v>621</v>
      </c>
      <c r="J159" t="s">
        <v>622</v>
      </c>
    </row>
    <row r="160" spans="1:10" x14ac:dyDescent="0.25">
      <c r="A160" s="141" t="s">
        <v>269</v>
      </c>
      <c r="B160">
        <v>2560.0880000000002</v>
      </c>
      <c r="C160">
        <v>34.327399999999997</v>
      </c>
      <c r="D160">
        <v>42.154800000000002</v>
      </c>
      <c r="E160">
        <v>40.0107</v>
      </c>
      <c r="F160">
        <v>41587.559000000001</v>
      </c>
      <c r="G160">
        <v>14.887</v>
      </c>
      <c r="H160">
        <v>0</v>
      </c>
      <c r="I160" t="s">
        <v>623</v>
      </c>
      <c r="J160" t="s">
        <v>624</v>
      </c>
    </row>
    <row r="161" spans="1:10" x14ac:dyDescent="0.25">
      <c r="A161" s="141" t="s">
        <v>142</v>
      </c>
      <c r="B161">
        <v>7975.5551999999998</v>
      </c>
      <c r="C161">
        <v>38.023899999999998</v>
      </c>
      <c r="D161">
        <v>39.7393</v>
      </c>
      <c r="E161">
        <v>42.8294</v>
      </c>
      <c r="F161">
        <v>315817.31199999998</v>
      </c>
      <c r="G161">
        <v>25.189</v>
      </c>
      <c r="H161">
        <v>0</v>
      </c>
      <c r="I161" t="s">
        <v>625</v>
      </c>
      <c r="J161" t="s">
        <v>626</v>
      </c>
    </row>
    <row r="162" spans="1:10" x14ac:dyDescent="0.25">
      <c r="A162" s="141" t="s">
        <v>143</v>
      </c>
      <c r="B162">
        <v>3756.7808</v>
      </c>
      <c r="C162">
        <v>36.681100000000001</v>
      </c>
      <c r="D162">
        <v>39.101199999999999</v>
      </c>
      <c r="E162">
        <v>41.656100000000002</v>
      </c>
      <c r="F162">
        <v>192482</v>
      </c>
      <c r="G162">
        <v>20.878</v>
      </c>
      <c r="H162">
        <v>0</v>
      </c>
      <c r="I162" t="s">
        <v>627</v>
      </c>
      <c r="J162" t="s">
        <v>628</v>
      </c>
    </row>
    <row r="163" spans="1:10" x14ac:dyDescent="0.25">
      <c r="A163" s="141" t="s">
        <v>144</v>
      </c>
      <c r="B163">
        <v>1844.6415999999999</v>
      </c>
      <c r="C163">
        <v>34.813000000000002</v>
      </c>
      <c r="D163">
        <v>38.273600000000002</v>
      </c>
      <c r="E163">
        <v>40.192599999999999</v>
      </c>
      <c r="F163">
        <v>117964.93799999999</v>
      </c>
      <c r="G163">
        <v>17.817</v>
      </c>
      <c r="H163">
        <v>0</v>
      </c>
      <c r="I163" t="s">
        <v>629</v>
      </c>
      <c r="J163" t="s">
        <v>630</v>
      </c>
    </row>
    <row r="164" spans="1:10" x14ac:dyDescent="0.25">
      <c r="A164" s="141" t="s">
        <v>145</v>
      </c>
      <c r="B164">
        <v>881.34720000000004</v>
      </c>
      <c r="C164">
        <v>32.496699999999997</v>
      </c>
      <c r="D164">
        <v>37.268099999999997</v>
      </c>
      <c r="E164">
        <v>38.512099999999997</v>
      </c>
      <c r="F164">
        <v>67245.820000000007</v>
      </c>
      <c r="G164">
        <v>14.164999999999999</v>
      </c>
      <c r="H164">
        <v>0</v>
      </c>
      <c r="I164" t="s">
        <v>631</v>
      </c>
      <c r="J164" t="s">
        <v>632</v>
      </c>
    </row>
    <row r="165" spans="1:10" x14ac:dyDescent="0.25">
      <c r="A165" s="141" t="s">
        <v>146</v>
      </c>
      <c r="B165">
        <v>9098.1872000000003</v>
      </c>
      <c r="C165">
        <v>38.740400000000001</v>
      </c>
      <c r="D165">
        <v>43.691400000000002</v>
      </c>
      <c r="E165">
        <v>44.623899999999999</v>
      </c>
      <c r="F165">
        <v>340053.84399999998</v>
      </c>
      <c r="G165">
        <v>31.335999999999999</v>
      </c>
      <c r="H165">
        <v>0</v>
      </c>
      <c r="I165" t="s">
        <v>633</v>
      </c>
      <c r="J165" t="s">
        <v>634</v>
      </c>
    </row>
    <row r="166" spans="1:10" x14ac:dyDescent="0.25">
      <c r="A166" s="141" t="s">
        <v>147</v>
      </c>
      <c r="B166">
        <v>4704.5871999999999</v>
      </c>
      <c r="C166">
        <v>37.535299999999999</v>
      </c>
      <c r="D166">
        <v>42.713700000000003</v>
      </c>
      <c r="E166">
        <v>43.125999999999998</v>
      </c>
      <c r="F166">
        <v>213285.95300000001</v>
      </c>
      <c r="G166">
        <v>26.832000000000001</v>
      </c>
      <c r="H166">
        <v>0</v>
      </c>
      <c r="I166" t="s">
        <v>635</v>
      </c>
      <c r="J166" t="s">
        <v>636</v>
      </c>
    </row>
    <row r="167" spans="1:10" x14ac:dyDescent="0.25">
      <c r="A167" s="141" t="s">
        <v>148</v>
      </c>
      <c r="B167">
        <v>2397.5680000000002</v>
      </c>
      <c r="C167">
        <v>35.856099999999998</v>
      </c>
      <c r="D167">
        <v>41.487299999999998</v>
      </c>
      <c r="E167">
        <v>41.3994</v>
      </c>
      <c r="F167">
        <v>128304.734</v>
      </c>
      <c r="G167">
        <v>22.25</v>
      </c>
      <c r="H167">
        <v>0</v>
      </c>
      <c r="I167" t="s">
        <v>637</v>
      </c>
      <c r="J167" t="s">
        <v>638</v>
      </c>
    </row>
    <row r="168" spans="1:10" x14ac:dyDescent="0.25">
      <c r="A168" s="141" t="s">
        <v>149</v>
      </c>
      <c r="B168">
        <v>1187.904</v>
      </c>
      <c r="C168">
        <v>33.766500000000001</v>
      </c>
      <c r="D168">
        <v>40.118299999999998</v>
      </c>
      <c r="E168">
        <v>39.478499999999997</v>
      </c>
      <c r="F168">
        <v>71520.445000000007</v>
      </c>
      <c r="G168">
        <v>18.263999999999999</v>
      </c>
      <c r="H168">
        <v>0</v>
      </c>
      <c r="I168" t="s">
        <v>639</v>
      </c>
      <c r="J168" t="s">
        <v>640</v>
      </c>
    </row>
    <row r="169" spans="1:10" x14ac:dyDescent="0.25">
      <c r="A169" s="141" t="s">
        <v>270</v>
      </c>
      <c r="B169">
        <v>6358.5087999999996</v>
      </c>
      <c r="C169">
        <v>39.8339</v>
      </c>
      <c r="D169">
        <v>43.804099999999998</v>
      </c>
      <c r="E169">
        <v>44.508299999999998</v>
      </c>
      <c r="F169">
        <v>305559.40600000002</v>
      </c>
      <c r="G169">
        <v>32.112000000000002</v>
      </c>
      <c r="H169">
        <v>0</v>
      </c>
      <c r="I169" t="s">
        <v>641</v>
      </c>
      <c r="J169" t="s">
        <v>642</v>
      </c>
    </row>
    <row r="170" spans="1:10" x14ac:dyDescent="0.25">
      <c r="A170" s="141" t="s">
        <v>271</v>
      </c>
      <c r="B170">
        <v>3030.1968000000002</v>
      </c>
      <c r="C170">
        <v>38.537700000000001</v>
      </c>
      <c r="D170">
        <v>42.933500000000002</v>
      </c>
      <c r="E170">
        <v>43.659799999999997</v>
      </c>
      <c r="F170">
        <v>178516.04699999999</v>
      </c>
      <c r="G170">
        <v>25.238</v>
      </c>
      <c r="H170">
        <v>0</v>
      </c>
      <c r="I170" t="s">
        <v>643</v>
      </c>
      <c r="J170" t="s">
        <v>644</v>
      </c>
    </row>
    <row r="171" spans="1:10" x14ac:dyDescent="0.25">
      <c r="A171" s="141" t="s">
        <v>272</v>
      </c>
      <c r="B171">
        <v>1462.6768</v>
      </c>
      <c r="C171">
        <v>36.720999999999997</v>
      </c>
      <c r="D171">
        <v>41.8369</v>
      </c>
      <c r="E171">
        <v>42.421599999999998</v>
      </c>
      <c r="F171">
        <v>100943.359</v>
      </c>
      <c r="G171">
        <v>21.579000000000001</v>
      </c>
      <c r="H171">
        <v>0</v>
      </c>
      <c r="I171" t="s">
        <v>645</v>
      </c>
      <c r="J171" t="s">
        <v>646</v>
      </c>
    </row>
    <row r="172" spans="1:10" x14ac:dyDescent="0.25">
      <c r="A172" s="141" t="s">
        <v>273</v>
      </c>
      <c r="B172">
        <v>686.36800000000005</v>
      </c>
      <c r="C172">
        <v>34.432099999999998</v>
      </c>
      <c r="D172">
        <v>40.6858</v>
      </c>
      <c r="E172">
        <v>41.043599999999998</v>
      </c>
      <c r="F172">
        <v>53545.48</v>
      </c>
      <c r="G172">
        <v>17.419</v>
      </c>
      <c r="H172">
        <v>0</v>
      </c>
      <c r="I172" t="s">
        <v>647</v>
      </c>
      <c r="J172" t="s">
        <v>648</v>
      </c>
    </row>
    <row r="173" spans="1:10" x14ac:dyDescent="0.25">
      <c r="A173" s="141" t="s">
        <v>274</v>
      </c>
      <c r="B173">
        <v>6708.232</v>
      </c>
      <c r="C173">
        <v>43.389400000000002</v>
      </c>
      <c r="D173">
        <v>46.723700000000001</v>
      </c>
      <c r="E173">
        <v>47.319499999999998</v>
      </c>
      <c r="F173">
        <v>256379</v>
      </c>
      <c r="G173">
        <v>32.25</v>
      </c>
      <c r="H173">
        <v>0</v>
      </c>
      <c r="I173" t="s">
        <v>649</v>
      </c>
      <c r="J173" t="s">
        <v>650</v>
      </c>
    </row>
    <row r="174" spans="1:10" x14ac:dyDescent="0.25">
      <c r="A174" s="141" t="s">
        <v>275</v>
      </c>
      <c r="B174">
        <v>4085.5455999999999</v>
      </c>
      <c r="C174">
        <v>41.072200000000002</v>
      </c>
      <c r="D174">
        <v>45.262799999999999</v>
      </c>
      <c r="E174">
        <v>45.640799999999999</v>
      </c>
      <c r="F174">
        <v>180170.734</v>
      </c>
      <c r="G174">
        <v>28.957999999999998</v>
      </c>
      <c r="H174">
        <v>0</v>
      </c>
      <c r="I174" t="s">
        <v>651</v>
      </c>
      <c r="J174" t="s">
        <v>652</v>
      </c>
    </row>
    <row r="175" spans="1:10" x14ac:dyDescent="0.25">
      <c r="A175" s="141" t="s">
        <v>276</v>
      </c>
      <c r="B175">
        <v>2258.0464000000002</v>
      </c>
      <c r="C175">
        <v>38.269100000000002</v>
      </c>
      <c r="D175">
        <v>43.609499999999997</v>
      </c>
      <c r="E175">
        <v>43.7849</v>
      </c>
      <c r="F175">
        <v>115133.367</v>
      </c>
      <c r="G175">
        <v>24.803000000000001</v>
      </c>
      <c r="H175">
        <v>0</v>
      </c>
      <c r="I175" t="s">
        <v>653</v>
      </c>
      <c r="J175" t="s">
        <v>654</v>
      </c>
    </row>
    <row r="176" spans="1:10" x14ac:dyDescent="0.25">
      <c r="A176" s="141" t="s">
        <v>277</v>
      </c>
      <c r="B176">
        <v>1174.8208</v>
      </c>
      <c r="C176">
        <v>35.308</v>
      </c>
      <c r="D176">
        <v>41.942399999999999</v>
      </c>
      <c r="E176">
        <v>41.872999999999998</v>
      </c>
      <c r="F176">
        <v>66505.25</v>
      </c>
      <c r="G176">
        <v>20.053000000000001</v>
      </c>
      <c r="H176">
        <v>0</v>
      </c>
      <c r="I176" t="s">
        <v>655</v>
      </c>
      <c r="J176" t="s">
        <v>656</v>
      </c>
    </row>
    <row r="177" spans="1:10" x14ac:dyDescent="0.25">
      <c r="A177" s="141" t="s">
        <v>150</v>
      </c>
      <c r="B177" s="71">
        <v>4672.9567999999999</v>
      </c>
      <c r="C177" s="71">
        <v>38.456099999999999</v>
      </c>
      <c r="D177" s="71">
        <v>45.520600000000002</v>
      </c>
      <c r="E177" s="71">
        <v>45.731099999999998</v>
      </c>
      <c r="F177" s="71">
        <v>178096.484</v>
      </c>
      <c r="G177" s="71">
        <v>14.079000000000001</v>
      </c>
      <c r="H177">
        <v>0</v>
      </c>
      <c r="I177" t="s">
        <v>657</v>
      </c>
      <c r="J177" t="s">
        <v>658</v>
      </c>
    </row>
    <row r="178" spans="1:10" x14ac:dyDescent="0.25">
      <c r="A178" s="141" t="s">
        <v>151</v>
      </c>
      <c r="B178" s="71">
        <v>1631.5072</v>
      </c>
      <c r="C178" s="71">
        <v>36.460099999999997</v>
      </c>
      <c r="D178" s="71">
        <v>44.547899999999998</v>
      </c>
      <c r="E178" s="71">
        <v>44.764899999999997</v>
      </c>
      <c r="F178" s="71">
        <v>89564.202999999994</v>
      </c>
      <c r="G178" s="71">
        <v>10.167</v>
      </c>
      <c r="H178">
        <v>0</v>
      </c>
      <c r="I178" t="s">
        <v>659</v>
      </c>
      <c r="J178" t="s">
        <v>660</v>
      </c>
    </row>
    <row r="179" spans="1:10" x14ac:dyDescent="0.25">
      <c r="A179" s="141" t="s">
        <v>152</v>
      </c>
      <c r="B179" s="71">
        <v>651.71519999999998</v>
      </c>
      <c r="C179" s="71">
        <v>34.033799999999999</v>
      </c>
      <c r="D179" s="71">
        <v>43.205399999999997</v>
      </c>
      <c r="E179" s="71">
        <v>43.345199999999998</v>
      </c>
      <c r="F179" s="71">
        <v>51116.722999999998</v>
      </c>
      <c r="G179" s="71">
        <v>7.8540000000000001</v>
      </c>
      <c r="H179">
        <v>0</v>
      </c>
      <c r="I179" t="s">
        <v>661</v>
      </c>
      <c r="J179" t="s">
        <v>662</v>
      </c>
    </row>
    <row r="180" spans="1:10" x14ac:dyDescent="0.25">
      <c r="A180" s="141" t="s">
        <v>153</v>
      </c>
      <c r="B180" s="71">
        <v>275.03680000000003</v>
      </c>
      <c r="C180" s="71">
        <v>31.0291</v>
      </c>
      <c r="D180" s="71">
        <v>41.9285</v>
      </c>
      <c r="E180" s="71">
        <v>42.004899999999999</v>
      </c>
      <c r="F180" s="71">
        <v>29530.125</v>
      </c>
      <c r="G180" s="71">
        <v>6.3630000000000004</v>
      </c>
      <c r="H180">
        <v>0</v>
      </c>
      <c r="I180" t="s">
        <v>663</v>
      </c>
      <c r="J180" t="s">
        <v>664</v>
      </c>
    </row>
    <row r="181" spans="1:10" x14ac:dyDescent="0.25">
      <c r="A181" s="141" t="s">
        <v>154</v>
      </c>
      <c r="B181" s="71">
        <v>3773.4335999999998</v>
      </c>
      <c r="C181" s="71">
        <v>40.5336</v>
      </c>
      <c r="D181" s="71">
        <v>45.262799999999999</v>
      </c>
      <c r="E181" s="71">
        <v>46.059800000000003</v>
      </c>
      <c r="F181" s="71">
        <v>153004.45300000001</v>
      </c>
      <c r="G181" s="71">
        <v>15.148999999999999</v>
      </c>
      <c r="H181">
        <v>0</v>
      </c>
      <c r="I181" t="s">
        <v>665</v>
      </c>
      <c r="J181" t="s">
        <v>666</v>
      </c>
    </row>
    <row r="182" spans="1:10" x14ac:dyDescent="0.25">
      <c r="A182" s="141" t="s">
        <v>155</v>
      </c>
      <c r="B182" s="71">
        <v>1703.84</v>
      </c>
      <c r="C182" s="71">
        <v>38.878799999999998</v>
      </c>
      <c r="D182" s="71">
        <v>44.4407</v>
      </c>
      <c r="E182" s="71">
        <v>44.523299999999999</v>
      </c>
      <c r="F182" s="71">
        <v>89647.539000000004</v>
      </c>
      <c r="G182" s="71">
        <v>12.471</v>
      </c>
      <c r="H182">
        <v>0</v>
      </c>
      <c r="I182" t="s">
        <v>667</v>
      </c>
      <c r="J182" t="s">
        <v>668</v>
      </c>
    </row>
    <row r="183" spans="1:10" x14ac:dyDescent="0.25">
      <c r="A183" s="141" t="s">
        <v>156</v>
      </c>
      <c r="B183" s="71">
        <v>813.72</v>
      </c>
      <c r="C183" s="71">
        <v>36.9131</v>
      </c>
      <c r="D183" s="71">
        <v>43.4193</v>
      </c>
      <c r="E183" s="71">
        <v>42.713799999999999</v>
      </c>
      <c r="F183" s="71">
        <v>49676.906000000003</v>
      </c>
      <c r="G183" s="71">
        <v>9.6989999999999998</v>
      </c>
      <c r="H183">
        <v>0</v>
      </c>
      <c r="I183" t="s">
        <v>669</v>
      </c>
      <c r="J183" t="s">
        <v>670</v>
      </c>
    </row>
    <row r="184" spans="1:10" x14ac:dyDescent="0.25">
      <c r="A184" s="141" t="s">
        <v>157</v>
      </c>
      <c r="B184" s="71">
        <v>380.64800000000002</v>
      </c>
      <c r="C184" s="71">
        <v>34.6661</v>
      </c>
      <c r="D184" s="71">
        <v>42.103299999999997</v>
      </c>
      <c r="E184" s="71">
        <v>40.647599999999997</v>
      </c>
      <c r="F184" s="71">
        <v>26083.521000000001</v>
      </c>
      <c r="G184" s="71">
        <v>7.569</v>
      </c>
      <c r="H184">
        <v>0</v>
      </c>
      <c r="I184" t="s">
        <v>671</v>
      </c>
      <c r="J184" t="s">
        <v>672</v>
      </c>
    </row>
    <row r="185" spans="1:10" x14ac:dyDescent="0.25">
      <c r="A185" s="141" t="s">
        <v>158</v>
      </c>
      <c r="B185" s="71">
        <v>917.99519999999995</v>
      </c>
      <c r="C185" s="71">
        <v>42.971499999999999</v>
      </c>
      <c r="D185" s="71">
        <v>46.786200000000001</v>
      </c>
      <c r="E185" s="71">
        <v>47.612699999999997</v>
      </c>
      <c r="F185" s="71">
        <v>59687.188000000002</v>
      </c>
      <c r="G185" s="71">
        <v>7.8250000000000002</v>
      </c>
      <c r="H185">
        <v>0</v>
      </c>
      <c r="I185" t="s">
        <v>673</v>
      </c>
      <c r="J185" t="s">
        <v>674</v>
      </c>
    </row>
    <row r="186" spans="1:10" x14ac:dyDescent="0.25">
      <c r="A186" s="141" t="s">
        <v>159</v>
      </c>
      <c r="B186" s="71">
        <v>468.488</v>
      </c>
      <c r="C186" s="71">
        <v>41.298499999999997</v>
      </c>
      <c r="D186" s="71">
        <v>45.937600000000003</v>
      </c>
      <c r="E186" s="71">
        <v>46.558799999999998</v>
      </c>
      <c r="F186" s="71">
        <v>35041.226999999999</v>
      </c>
      <c r="G186" s="71">
        <v>6.5789999999999997</v>
      </c>
      <c r="H186">
        <v>0</v>
      </c>
      <c r="I186" t="s">
        <v>675</v>
      </c>
      <c r="J186" t="s">
        <v>676</v>
      </c>
    </row>
    <row r="187" spans="1:10" x14ac:dyDescent="0.25">
      <c r="A187" s="141" t="s">
        <v>160</v>
      </c>
      <c r="B187" s="71">
        <v>249.78720000000001</v>
      </c>
      <c r="C187" s="71">
        <v>39.070500000000003</v>
      </c>
      <c r="D187" s="71">
        <v>44.763100000000001</v>
      </c>
      <c r="E187" s="71">
        <v>45.157600000000002</v>
      </c>
      <c r="F187" s="71">
        <v>20151.692999999999</v>
      </c>
      <c r="G187" s="71">
        <v>5.5069999999999997</v>
      </c>
      <c r="H187">
        <v>0</v>
      </c>
      <c r="I187" t="s">
        <v>677</v>
      </c>
      <c r="J187" t="s">
        <v>678</v>
      </c>
    </row>
    <row r="188" spans="1:10" x14ac:dyDescent="0.25">
      <c r="A188" s="141" t="s">
        <v>161</v>
      </c>
      <c r="B188" s="71">
        <v>135.88319999999999</v>
      </c>
      <c r="C188" s="71">
        <v>36.289499999999997</v>
      </c>
      <c r="D188" s="71">
        <v>43.033999999999999</v>
      </c>
      <c r="E188" s="71">
        <v>43.249200000000002</v>
      </c>
      <c r="F188" s="71">
        <v>11772.521000000001</v>
      </c>
      <c r="G188" s="71">
        <v>4.7699999999999996</v>
      </c>
      <c r="H188">
        <v>0</v>
      </c>
      <c r="I188" t="s">
        <v>679</v>
      </c>
      <c r="J188" t="s">
        <v>680</v>
      </c>
    </row>
    <row r="189" spans="1:10" x14ac:dyDescent="0.25">
      <c r="A189" s="141" t="s">
        <v>162</v>
      </c>
      <c r="B189" s="71">
        <v>1257.3599999999999</v>
      </c>
      <c r="C189" s="71">
        <v>42.676299999999998</v>
      </c>
      <c r="D189" s="71">
        <v>48.558199999999999</v>
      </c>
      <c r="E189" s="71">
        <v>47.600299999999997</v>
      </c>
      <c r="F189" s="71">
        <v>65798.820000000007</v>
      </c>
      <c r="G189" s="71">
        <v>8.6999999999999993</v>
      </c>
      <c r="H189">
        <v>0</v>
      </c>
      <c r="I189" t="s">
        <v>681</v>
      </c>
      <c r="J189" t="s">
        <v>682</v>
      </c>
    </row>
    <row r="190" spans="1:10" x14ac:dyDescent="0.25">
      <c r="A190" s="141" t="s">
        <v>163</v>
      </c>
      <c r="B190" s="71">
        <v>606.52</v>
      </c>
      <c r="C190" s="71">
        <v>40.899700000000003</v>
      </c>
      <c r="D190" s="71">
        <v>47.768500000000003</v>
      </c>
      <c r="E190" s="71">
        <v>46.985199999999999</v>
      </c>
      <c r="F190" s="71">
        <v>37507.902000000002</v>
      </c>
      <c r="G190" s="71">
        <v>6.4989999999999997</v>
      </c>
      <c r="H190">
        <v>0</v>
      </c>
      <c r="I190" t="s">
        <v>683</v>
      </c>
      <c r="J190" t="s">
        <v>684</v>
      </c>
    </row>
    <row r="191" spans="1:10" x14ac:dyDescent="0.25">
      <c r="A191" s="141" t="s">
        <v>164</v>
      </c>
      <c r="B191" s="71">
        <v>322.7072</v>
      </c>
      <c r="C191" s="71">
        <v>38.521700000000003</v>
      </c>
      <c r="D191" s="71">
        <v>46.616799999999998</v>
      </c>
      <c r="E191" s="71">
        <v>45.488500000000002</v>
      </c>
      <c r="F191" s="71">
        <v>21859.859</v>
      </c>
      <c r="G191" s="71">
        <v>5.5629999999999997</v>
      </c>
      <c r="H191">
        <v>0</v>
      </c>
      <c r="I191" t="s">
        <v>685</v>
      </c>
      <c r="J191" t="s">
        <v>686</v>
      </c>
    </row>
    <row r="192" spans="1:10" x14ac:dyDescent="0.25">
      <c r="A192" s="141" t="s">
        <v>165</v>
      </c>
      <c r="B192" s="71">
        <v>176.328</v>
      </c>
      <c r="C192" s="71">
        <v>35.425899999999999</v>
      </c>
      <c r="D192" s="71">
        <v>45.2301</v>
      </c>
      <c r="E192" s="71">
        <v>43.411499999999997</v>
      </c>
      <c r="F192" s="71">
        <v>13439.754000000001</v>
      </c>
      <c r="G192" s="71">
        <v>5.42</v>
      </c>
      <c r="H192">
        <v>0</v>
      </c>
      <c r="I192" t="s">
        <v>687</v>
      </c>
      <c r="J192" t="s">
        <v>688</v>
      </c>
    </row>
    <row r="193" spans="1:7" x14ac:dyDescent="0.2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2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2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2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2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2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2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2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2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2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2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2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2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2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2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2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2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2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2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2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2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2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2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2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2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2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2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2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2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2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2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2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2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2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2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2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2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2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2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2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2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2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2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2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2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2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2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2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2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2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2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2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2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2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2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2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2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2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2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2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2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2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2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2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2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2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2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2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2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2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2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2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25">
      <c r="A265" s="141" t="s">
        <v>310</v>
      </c>
    </row>
    <row r="266" spans="1:7" x14ac:dyDescent="0.25">
      <c r="A266" s="141" t="s">
        <v>311</v>
      </c>
    </row>
    <row r="267" spans="1:7" x14ac:dyDescent="0.25">
      <c r="A267" s="141" t="s">
        <v>312</v>
      </c>
    </row>
    <row r="268" spans="1:7" x14ac:dyDescent="0.25">
      <c r="A268" s="141" t="s">
        <v>313</v>
      </c>
    </row>
    <row r="269" spans="1:7" x14ac:dyDescent="0.25">
      <c r="A269" s="141" t="s">
        <v>314</v>
      </c>
    </row>
    <row r="270" spans="1:7" x14ac:dyDescent="0.25">
      <c r="A270" s="141" t="s">
        <v>315</v>
      </c>
    </row>
    <row r="271" spans="1:7" x14ac:dyDescent="0.25">
      <c r="A271" s="141" t="s">
        <v>316</v>
      </c>
    </row>
    <row r="272" spans="1:7" x14ac:dyDescent="0.25">
      <c r="A272" s="141" t="s">
        <v>317</v>
      </c>
    </row>
    <row r="273" spans="1:1" x14ac:dyDescent="0.25">
      <c r="A273" s="141" t="s">
        <v>374</v>
      </c>
    </row>
    <row r="274" spans="1:1" x14ac:dyDescent="0.25">
      <c r="A274" s="141" t="s">
        <v>375</v>
      </c>
    </row>
    <row r="275" spans="1:1" x14ac:dyDescent="0.25">
      <c r="A275" s="141" t="s">
        <v>376</v>
      </c>
    </row>
    <row r="276" spans="1:1" x14ac:dyDescent="0.25">
      <c r="A276" s="141" t="s">
        <v>377</v>
      </c>
    </row>
    <row r="277" spans="1:1" x14ac:dyDescent="0.25">
      <c r="A277" s="141" t="s">
        <v>378</v>
      </c>
    </row>
    <row r="278" spans="1:1" x14ac:dyDescent="0.25">
      <c r="A278" s="141" t="s">
        <v>379</v>
      </c>
    </row>
    <row r="279" spans="1:1" x14ac:dyDescent="0.25">
      <c r="A279" s="141" t="s">
        <v>380</v>
      </c>
    </row>
    <row r="280" spans="1:1" x14ac:dyDescent="0.25">
      <c r="A280" s="141" t="s">
        <v>381</v>
      </c>
    </row>
    <row r="281" spans="1:1" x14ac:dyDescent="0.25">
      <c r="A281" s="141" t="s">
        <v>382</v>
      </c>
    </row>
    <row r="282" spans="1:1" x14ac:dyDescent="0.25">
      <c r="A282" s="141" t="s">
        <v>383</v>
      </c>
    </row>
    <row r="283" spans="1:1" x14ac:dyDescent="0.25">
      <c r="A283" s="141" t="s">
        <v>384</v>
      </c>
    </row>
    <row r="284" spans="1:1" x14ac:dyDescent="0.25">
      <c r="A284" s="141" t="s">
        <v>385</v>
      </c>
    </row>
    <row r="285" spans="1:1" x14ac:dyDescent="0.25">
      <c r="A285" s="141" t="s">
        <v>386</v>
      </c>
    </row>
    <row r="286" spans="1:1" x14ac:dyDescent="0.25">
      <c r="A286" s="141" t="s">
        <v>387</v>
      </c>
    </row>
    <row r="287" spans="1:1" x14ac:dyDescent="0.25">
      <c r="A287" s="141" t="s">
        <v>388</v>
      </c>
    </row>
    <row r="288" spans="1:1" x14ac:dyDescent="0.25">
      <c r="A288" s="141" t="s">
        <v>389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J288"/>
  <sheetViews>
    <sheetView topLeftCell="A130" zoomScaleNormal="100" workbookViewId="0">
      <selection activeCell="B145" sqref="B145:J192"/>
    </sheetView>
  </sheetViews>
  <sheetFormatPr defaultColWidth="9" defaultRowHeight="15.6" x14ac:dyDescent="0.25"/>
  <cols>
    <col min="1" max="1" width="25" bestFit="1" customWidth="1"/>
    <col min="6" max="6" width="14" customWidth="1"/>
  </cols>
  <sheetData>
    <row r="1" spans="1:10" x14ac:dyDescent="0.25">
      <c r="A1" s="141" t="s">
        <v>190</v>
      </c>
      <c r="B1">
        <v>76202.309200000003</v>
      </c>
      <c r="C1">
        <v>40.811</v>
      </c>
      <c r="D1">
        <v>49.245199999999997</v>
      </c>
      <c r="E1">
        <v>47.749400000000001</v>
      </c>
      <c r="F1">
        <v>126495.07</v>
      </c>
      <c r="G1">
        <v>24.343</v>
      </c>
      <c r="H1">
        <v>0</v>
      </c>
      <c r="I1" t="s">
        <v>561</v>
      </c>
      <c r="J1" t="s">
        <v>562</v>
      </c>
    </row>
    <row r="2" spans="1:10" x14ac:dyDescent="0.25">
      <c r="A2" s="141" t="s">
        <v>191</v>
      </c>
      <c r="B2">
        <v>41139.580499999996</v>
      </c>
      <c r="C2">
        <v>40.157699999999998</v>
      </c>
      <c r="D2">
        <v>48.549599999999998</v>
      </c>
      <c r="E2">
        <v>46.663200000000003</v>
      </c>
      <c r="F2">
        <v>70449.156000000003</v>
      </c>
      <c r="G2">
        <v>22.215</v>
      </c>
      <c r="H2">
        <v>0</v>
      </c>
      <c r="I2" t="s">
        <v>563</v>
      </c>
      <c r="J2" t="s">
        <v>564</v>
      </c>
    </row>
    <row r="3" spans="1:10" x14ac:dyDescent="0.25">
      <c r="A3" s="141" t="s">
        <v>192</v>
      </c>
      <c r="B3">
        <v>24713.215100000001</v>
      </c>
      <c r="C3">
        <v>39.433700000000002</v>
      </c>
      <c r="D3">
        <v>47.615099999999998</v>
      </c>
      <c r="E3">
        <v>45.389400000000002</v>
      </c>
      <c r="F3">
        <v>42653.370999999999</v>
      </c>
      <c r="G3">
        <v>20.670999999999999</v>
      </c>
      <c r="H3">
        <v>0</v>
      </c>
      <c r="I3" t="s">
        <v>565</v>
      </c>
      <c r="J3" t="s">
        <v>566</v>
      </c>
    </row>
    <row r="4" spans="1:10" x14ac:dyDescent="0.25">
      <c r="A4" s="141" t="s">
        <v>193</v>
      </c>
      <c r="B4">
        <v>14116.813</v>
      </c>
      <c r="C4">
        <v>38.220500000000001</v>
      </c>
      <c r="D4">
        <v>46.123199999999997</v>
      </c>
      <c r="E4">
        <v>43.593800000000002</v>
      </c>
      <c r="F4">
        <v>24508.84</v>
      </c>
      <c r="G4">
        <v>18.863</v>
      </c>
      <c r="H4">
        <v>0</v>
      </c>
      <c r="I4" t="s">
        <v>567</v>
      </c>
      <c r="J4" t="s">
        <v>568</v>
      </c>
    </row>
    <row r="5" spans="1:10" x14ac:dyDescent="0.25">
      <c r="A5" s="141" t="s">
        <v>194</v>
      </c>
      <c r="B5">
        <v>322485.86320000002</v>
      </c>
      <c r="C5">
        <v>44.758600000000001</v>
      </c>
      <c r="D5">
        <v>39.131500000000003</v>
      </c>
      <c r="E5">
        <v>39.621699999999997</v>
      </c>
      <c r="F5">
        <v>205007.59400000001</v>
      </c>
      <c r="G5">
        <v>37.497999999999998</v>
      </c>
      <c r="H5">
        <v>0</v>
      </c>
      <c r="I5" t="s">
        <v>577</v>
      </c>
      <c r="J5" t="s">
        <v>578</v>
      </c>
    </row>
    <row r="6" spans="1:10" x14ac:dyDescent="0.25">
      <c r="A6" s="141" t="s">
        <v>195</v>
      </c>
      <c r="B6">
        <v>205619.13680000001</v>
      </c>
      <c r="C6">
        <v>41.967700000000001</v>
      </c>
      <c r="D6">
        <v>36.638399999999997</v>
      </c>
      <c r="E6">
        <v>37.444800000000001</v>
      </c>
      <c r="F6">
        <v>158592.96900000001</v>
      </c>
      <c r="G6">
        <v>32.337000000000003</v>
      </c>
      <c r="H6">
        <v>0</v>
      </c>
      <c r="I6" t="s">
        <v>579</v>
      </c>
      <c r="J6" t="s">
        <v>580</v>
      </c>
    </row>
    <row r="7" spans="1:10" x14ac:dyDescent="0.25">
      <c r="A7" s="141" t="s">
        <v>196</v>
      </c>
      <c r="B7">
        <v>117444.0105</v>
      </c>
      <c r="C7">
        <v>38.709000000000003</v>
      </c>
      <c r="D7">
        <v>34.3626</v>
      </c>
      <c r="E7">
        <v>35.525500000000001</v>
      </c>
      <c r="F7">
        <v>120026.93799999999</v>
      </c>
      <c r="G7">
        <v>28.218</v>
      </c>
      <c r="H7">
        <v>0</v>
      </c>
      <c r="I7" t="s">
        <v>581</v>
      </c>
      <c r="J7" t="s">
        <v>582</v>
      </c>
    </row>
    <row r="8" spans="1:10" x14ac:dyDescent="0.25">
      <c r="A8" s="141" t="s">
        <v>197</v>
      </c>
      <c r="B8">
        <v>55569.347399999999</v>
      </c>
      <c r="C8">
        <v>35.227899999999998</v>
      </c>
      <c r="D8">
        <v>32.007800000000003</v>
      </c>
      <c r="E8">
        <v>33.7012</v>
      </c>
      <c r="F8">
        <v>79740</v>
      </c>
      <c r="G8">
        <v>23.673999999999999</v>
      </c>
      <c r="H8">
        <v>0</v>
      </c>
      <c r="I8" t="s">
        <v>583</v>
      </c>
      <c r="J8" t="s">
        <v>584</v>
      </c>
    </row>
    <row r="9" spans="1:10" x14ac:dyDescent="0.25">
      <c r="A9" s="141" t="s">
        <v>198</v>
      </c>
      <c r="B9">
        <v>124771.6042</v>
      </c>
      <c r="C9">
        <v>41.574300000000001</v>
      </c>
      <c r="D9">
        <v>44.012099999999997</v>
      </c>
      <c r="E9">
        <v>42.909799999999997</v>
      </c>
      <c r="F9">
        <v>168738.359</v>
      </c>
      <c r="G9">
        <v>31.353000000000002</v>
      </c>
      <c r="H9">
        <v>0</v>
      </c>
      <c r="I9" t="s">
        <v>569</v>
      </c>
      <c r="J9" t="s">
        <v>570</v>
      </c>
    </row>
    <row r="10" spans="1:10" x14ac:dyDescent="0.25">
      <c r="A10" s="141" t="s">
        <v>199</v>
      </c>
      <c r="B10">
        <v>55894.098899999997</v>
      </c>
      <c r="C10">
        <v>38.880299999999998</v>
      </c>
      <c r="D10">
        <v>41.386600000000001</v>
      </c>
      <c r="E10">
        <v>41.7851</v>
      </c>
      <c r="F10">
        <v>117629.117</v>
      </c>
      <c r="G10">
        <v>24.448</v>
      </c>
      <c r="H10">
        <v>0</v>
      </c>
      <c r="I10" t="s">
        <v>571</v>
      </c>
      <c r="J10" t="s">
        <v>572</v>
      </c>
    </row>
    <row r="11" spans="1:10" x14ac:dyDescent="0.25">
      <c r="A11" s="141" t="s">
        <v>200</v>
      </c>
      <c r="B11">
        <v>25285.1937</v>
      </c>
      <c r="C11">
        <v>37.308300000000003</v>
      </c>
      <c r="D11">
        <v>39.062800000000003</v>
      </c>
      <c r="E11">
        <v>40.705399999999997</v>
      </c>
      <c r="F11">
        <v>68208.858999999997</v>
      </c>
      <c r="G11">
        <v>19.984000000000002</v>
      </c>
      <c r="H11">
        <v>0</v>
      </c>
      <c r="I11" t="s">
        <v>573</v>
      </c>
      <c r="J11" t="s">
        <v>574</v>
      </c>
    </row>
    <row r="12" spans="1:10" x14ac:dyDescent="0.25">
      <c r="A12" s="141" t="s">
        <v>201</v>
      </c>
      <c r="B12">
        <v>12252.606299999999</v>
      </c>
      <c r="C12">
        <v>35.924399999999999</v>
      </c>
      <c r="D12">
        <v>36.3444</v>
      </c>
      <c r="E12">
        <v>39.223100000000002</v>
      </c>
      <c r="F12">
        <v>39994.839999999997</v>
      </c>
      <c r="G12">
        <v>17.588999999999999</v>
      </c>
      <c r="H12">
        <v>0</v>
      </c>
      <c r="I12" t="s">
        <v>575</v>
      </c>
      <c r="J12" t="s">
        <v>576</v>
      </c>
    </row>
    <row r="13" spans="1:10" x14ac:dyDescent="0.25">
      <c r="A13" s="141" t="s">
        <v>202</v>
      </c>
      <c r="B13">
        <v>177370.96419999999</v>
      </c>
      <c r="C13">
        <v>38.624200000000002</v>
      </c>
      <c r="D13">
        <v>45.659500000000001</v>
      </c>
      <c r="E13">
        <v>43.478000000000002</v>
      </c>
      <c r="F13">
        <v>200365.71900000001</v>
      </c>
      <c r="G13">
        <v>31.428999999999998</v>
      </c>
      <c r="H13">
        <v>0</v>
      </c>
      <c r="I13" t="s">
        <v>585</v>
      </c>
      <c r="J13" t="s">
        <v>586</v>
      </c>
    </row>
    <row r="14" spans="1:10" x14ac:dyDescent="0.25">
      <c r="A14" s="141" t="s">
        <v>203</v>
      </c>
      <c r="B14">
        <v>86182.433699999994</v>
      </c>
      <c r="C14">
        <v>37.677599999999998</v>
      </c>
      <c r="D14">
        <v>44.793999999999997</v>
      </c>
      <c r="E14">
        <v>42.493400000000001</v>
      </c>
      <c r="F14">
        <v>125103.82799999999</v>
      </c>
      <c r="G14">
        <v>25.501000000000001</v>
      </c>
      <c r="H14">
        <v>0</v>
      </c>
      <c r="I14" t="s">
        <v>587</v>
      </c>
      <c r="J14" t="s">
        <v>588</v>
      </c>
    </row>
    <row r="15" spans="1:10" x14ac:dyDescent="0.25">
      <c r="A15" s="141" t="s">
        <v>204</v>
      </c>
      <c r="B15">
        <v>49710.378900000003</v>
      </c>
      <c r="C15">
        <v>36.759099999999997</v>
      </c>
      <c r="D15">
        <v>43.830100000000002</v>
      </c>
      <c r="E15">
        <v>41.468299999999999</v>
      </c>
      <c r="F15">
        <v>81726.085999999996</v>
      </c>
      <c r="G15">
        <v>22.148</v>
      </c>
      <c r="H15">
        <v>0</v>
      </c>
      <c r="I15" t="s">
        <v>589</v>
      </c>
      <c r="J15" t="s">
        <v>590</v>
      </c>
    </row>
    <row r="16" spans="1:10" x14ac:dyDescent="0.25">
      <c r="A16" s="141" t="s">
        <v>205</v>
      </c>
      <c r="B16">
        <v>26284.4211</v>
      </c>
      <c r="C16">
        <v>35.2605</v>
      </c>
      <c r="D16">
        <v>42.428100000000001</v>
      </c>
      <c r="E16">
        <v>40.2164</v>
      </c>
      <c r="F16">
        <v>48011.504000000001</v>
      </c>
      <c r="G16">
        <v>19.384</v>
      </c>
      <c r="H16">
        <v>0</v>
      </c>
      <c r="I16" t="s">
        <v>591</v>
      </c>
      <c r="J16" t="s">
        <v>592</v>
      </c>
    </row>
    <row r="17" spans="1:10" x14ac:dyDescent="0.25">
      <c r="A17" s="141" t="s">
        <v>94</v>
      </c>
      <c r="B17">
        <v>67494.945999999996</v>
      </c>
      <c r="C17">
        <v>39.563000000000002</v>
      </c>
      <c r="D17">
        <v>40.538800000000002</v>
      </c>
      <c r="E17">
        <v>43.534300000000002</v>
      </c>
      <c r="F17">
        <v>87874.616999999998</v>
      </c>
      <c r="G17">
        <v>16.169</v>
      </c>
      <c r="H17">
        <v>0</v>
      </c>
      <c r="I17" t="s">
        <v>537</v>
      </c>
      <c r="J17" t="s">
        <v>538</v>
      </c>
    </row>
    <row r="18" spans="1:10" x14ac:dyDescent="0.25">
      <c r="A18" s="141" t="s">
        <v>95</v>
      </c>
      <c r="B18">
        <v>40264.393700000001</v>
      </c>
      <c r="C18">
        <v>37.929099999999998</v>
      </c>
      <c r="D18">
        <v>39.567500000000003</v>
      </c>
      <c r="E18">
        <v>42.1432</v>
      </c>
      <c r="F18">
        <v>65833.429999999993</v>
      </c>
      <c r="G18">
        <v>13.228999999999999</v>
      </c>
      <c r="H18">
        <v>0</v>
      </c>
      <c r="I18" t="s">
        <v>539</v>
      </c>
      <c r="J18" t="s">
        <v>540</v>
      </c>
    </row>
    <row r="19" spans="1:10" x14ac:dyDescent="0.25">
      <c r="A19" s="141" t="s">
        <v>96</v>
      </c>
      <c r="B19">
        <v>23215.707900000001</v>
      </c>
      <c r="C19">
        <v>36.014099999999999</v>
      </c>
      <c r="D19">
        <v>38.716099999999997</v>
      </c>
      <c r="E19">
        <v>40.761899999999997</v>
      </c>
      <c r="F19">
        <v>49034.921999999999</v>
      </c>
      <c r="G19">
        <v>11.249000000000001</v>
      </c>
      <c r="H19">
        <v>0</v>
      </c>
      <c r="I19" t="s">
        <v>541</v>
      </c>
      <c r="J19" t="s">
        <v>542</v>
      </c>
    </row>
    <row r="20" spans="1:10" x14ac:dyDescent="0.25">
      <c r="A20" s="141" t="s">
        <v>97</v>
      </c>
      <c r="B20">
        <v>11832.412700000001</v>
      </c>
      <c r="C20">
        <v>33.539200000000001</v>
      </c>
      <c r="D20">
        <v>37.526800000000001</v>
      </c>
      <c r="E20">
        <v>38.918700000000001</v>
      </c>
      <c r="F20">
        <v>33282.241999999998</v>
      </c>
      <c r="G20">
        <v>9.5489999999999995</v>
      </c>
      <c r="H20">
        <v>0</v>
      </c>
      <c r="I20" t="s">
        <v>543</v>
      </c>
      <c r="J20" t="s">
        <v>544</v>
      </c>
    </row>
    <row r="21" spans="1:10" x14ac:dyDescent="0.25">
      <c r="A21" s="141" t="s">
        <v>98</v>
      </c>
      <c r="B21">
        <v>42267.911099999998</v>
      </c>
      <c r="C21">
        <v>40.197000000000003</v>
      </c>
      <c r="D21">
        <v>44.213000000000001</v>
      </c>
      <c r="E21">
        <v>45.685099999999998</v>
      </c>
      <c r="F21">
        <v>74594.233999999997</v>
      </c>
      <c r="G21">
        <v>13.44</v>
      </c>
      <c r="H21">
        <v>0</v>
      </c>
      <c r="I21" t="s">
        <v>529</v>
      </c>
      <c r="J21" t="s">
        <v>530</v>
      </c>
    </row>
    <row r="22" spans="1:10" x14ac:dyDescent="0.25">
      <c r="A22" s="141" t="s">
        <v>99</v>
      </c>
      <c r="B22">
        <v>22922.736499999999</v>
      </c>
      <c r="C22">
        <v>38.721800000000002</v>
      </c>
      <c r="D22">
        <v>43.267299999999999</v>
      </c>
      <c r="E22">
        <v>44.241100000000003</v>
      </c>
      <c r="F22">
        <v>51717.913999999997</v>
      </c>
      <c r="G22">
        <v>11.156000000000001</v>
      </c>
      <c r="H22">
        <v>0</v>
      </c>
      <c r="I22" t="s">
        <v>531</v>
      </c>
      <c r="J22" t="s">
        <v>532</v>
      </c>
    </row>
    <row r="23" spans="1:10" x14ac:dyDescent="0.25">
      <c r="A23" s="141" t="s">
        <v>100</v>
      </c>
      <c r="B23">
        <v>12964.0762</v>
      </c>
      <c r="C23">
        <v>37.282600000000002</v>
      </c>
      <c r="D23">
        <v>42.193399999999997</v>
      </c>
      <c r="E23">
        <v>42.682499999999997</v>
      </c>
      <c r="F23">
        <v>35603.074000000001</v>
      </c>
      <c r="G23">
        <v>9.8030000000000008</v>
      </c>
      <c r="H23">
        <v>0</v>
      </c>
      <c r="I23" t="s">
        <v>533</v>
      </c>
      <c r="J23" t="s">
        <v>534</v>
      </c>
    </row>
    <row r="24" spans="1:10" x14ac:dyDescent="0.25">
      <c r="A24" s="141" t="s">
        <v>101</v>
      </c>
      <c r="B24">
        <v>6928.9396999999999</v>
      </c>
      <c r="C24">
        <v>35.361499999999999</v>
      </c>
      <c r="D24">
        <v>40.691000000000003</v>
      </c>
      <c r="E24">
        <v>40.660200000000003</v>
      </c>
      <c r="F24">
        <v>22670.300999999999</v>
      </c>
      <c r="G24">
        <v>8.6890000000000001</v>
      </c>
      <c r="H24">
        <v>0</v>
      </c>
      <c r="I24" t="s">
        <v>535</v>
      </c>
      <c r="J24" t="s">
        <v>536</v>
      </c>
    </row>
    <row r="25" spans="1:10" x14ac:dyDescent="0.25">
      <c r="A25" s="141" t="s">
        <v>206</v>
      </c>
      <c r="B25">
        <v>64671.494400000003</v>
      </c>
      <c r="C25">
        <v>41.737299999999998</v>
      </c>
      <c r="D25">
        <v>44.441200000000002</v>
      </c>
      <c r="E25">
        <v>45.163499999999999</v>
      </c>
      <c r="F25">
        <v>90834.445000000007</v>
      </c>
      <c r="G25">
        <v>16.395</v>
      </c>
      <c r="H25">
        <v>0</v>
      </c>
      <c r="I25" t="s">
        <v>545</v>
      </c>
      <c r="J25" t="s">
        <v>546</v>
      </c>
    </row>
    <row r="26" spans="1:10" x14ac:dyDescent="0.25">
      <c r="A26" s="141" t="s">
        <v>207</v>
      </c>
      <c r="B26">
        <v>41712.6656</v>
      </c>
      <c r="C26">
        <v>39.930900000000001</v>
      </c>
      <c r="D26">
        <v>43.0349</v>
      </c>
      <c r="E26">
        <v>43.9268</v>
      </c>
      <c r="F26">
        <v>69232.633000000002</v>
      </c>
      <c r="G26">
        <v>14.532</v>
      </c>
      <c r="H26">
        <v>0</v>
      </c>
      <c r="I26" t="s">
        <v>547</v>
      </c>
      <c r="J26" t="s">
        <v>548</v>
      </c>
    </row>
    <row r="27" spans="1:10" x14ac:dyDescent="0.25">
      <c r="A27" s="141" t="s">
        <v>208</v>
      </c>
      <c r="B27">
        <v>24533.356800000001</v>
      </c>
      <c r="C27">
        <v>37.703699999999998</v>
      </c>
      <c r="D27">
        <v>41.734000000000002</v>
      </c>
      <c r="E27">
        <v>42.630400000000002</v>
      </c>
      <c r="F27">
        <v>48662.48</v>
      </c>
      <c r="G27">
        <v>12.244</v>
      </c>
      <c r="H27">
        <v>0</v>
      </c>
      <c r="I27" t="s">
        <v>549</v>
      </c>
      <c r="J27" t="s">
        <v>550</v>
      </c>
    </row>
    <row r="28" spans="1:10" x14ac:dyDescent="0.25">
      <c r="A28" s="141" t="s">
        <v>209</v>
      </c>
      <c r="B28">
        <v>12379.712</v>
      </c>
      <c r="C28">
        <v>35.008899999999997</v>
      </c>
      <c r="D28">
        <v>40.169499999999999</v>
      </c>
      <c r="E28">
        <v>41.012300000000003</v>
      </c>
      <c r="F28">
        <v>31388.088</v>
      </c>
      <c r="G28">
        <v>10.683</v>
      </c>
      <c r="H28">
        <v>0</v>
      </c>
      <c r="I28" t="s">
        <v>551</v>
      </c>
      <c r="J28" t="s">
        <v>552</v>
      </c>
    </row>
    <row r="29" spans="1:10" x14ac:dyDescent="0.25">
      <c r="A29" s="141" t="s">
        <v>210</v>
      </c>
      <c r="B29">
        <v>39540.6976</v>
      </c>
      <c r="C29">
        <v>44.935200000000002</v>
      </c>
      <c r="D29">
        <v>47.607900000000001</v>
      </c>
      <c r="E29">
        <v>48.338799999999999</v>
      </c>
      <c r="F29">
        <v>62333.836000000003</v>
      </c>
      <c r="G29">
        <v>14.702</v>
      </c>
      <c r="H29">
        <v>0</v>
      </c>
      <c r="I29" t="s">
        <v>553</v>
      </c>
      <c r="J29" t="s">
        <v>554</v>
      </c>
    </row>
    <row r="30" spans="1:10" x14ac:dyDescent="0.25">
      <c r="A30" s="141" t="s">
        <v>211</v>
      </c>
      <c r="B30">
        <v>26056.460800000001</v>
      </c>
      <c r="C30">
        <v>42.767699999999998</v>
      </c>
      <c r="D30">
        <v>46.0075</v>
      </c>
      <c r="E30">
        <v>46.536099999999998</v>
      </c>
      <c r="F30">
        <v>49645.586000000003</v>
      </c>
      <c r="G30">
        <v>12.916</v>
      </c>
      <c r="H30">
        <v>0</v>
      </c>
      <c r="I30" t="s">
        <v>555</v>
      </c>
      <c r="J30" t="s">
        <v>556</v>
      </c>
    </row>
    <row r="31" spans="1:10" x14ac:dyDescent="0.25">
      <c r="A31" s="141" t="s">
        <v>212</v>
      </c>
      <c r="B31">
        <v>15441.3696</v>
      </c>
      <c r="C31">
        <v>40.0809</v>
      </c>
      <c r="D31">
        <v>44.455599999999997</v>
      </c>
      <c r="E31">
        <v>44.716099999999997</v>
      </c>
      <c r="F31">
        <v>37633.656000000003</v>
      </c>
      <c r="G31">
        <v>11.369</v>
      </c>
      <c r="H31">
        <v>0</v>
      </c>
      <c r="I31" t="s">
        <v>557</v>
      </c>
      <c r="J31" t="s">
        <v>558</v>
      </c>
    </row>
    <row r="32" spans="1:10" x14ac:dyDescent="0.25">
      <c r="A32" s="141" t="s">
        <v>213</v>
      </c>
      <c r="B32">
        <v>8055.1296000000002</v>
      </c>
      <c r="C32">
        <v>37.008699999999997</v>
      </c>
      <c r="D32">
        <v>42.448500000000003</v>
      </c>
      <c r="E32">
        <v>42.4863</v>
      </c>
      <c r="F32">
        <v>23609.035</v>
      </c>
      <c r="G32">
        <v>9.8040000000000003</v>
      </c>
      <c r="H32">
        <v>0</v>
      </c>
      <c r="I32" t="s">
        <v>559</v>
      </c>
      <c r="J32" t="s">
        <v>560</v>
      </c>
    </row>
    <row r="33" spans="1:10" x14ac:dyDescent="0.25">
      <c r="A33" s="141" t="s">
        <v>102</v>
      </c>
      <c r="B33">
        <v>53885.331200000001</v>
      </c>
      <c r="C33">
        <v>41.744900000000001</v>
      </c>
      <c r="D33">
        <v>46.070099999999996</v>
      </c>
      <c r="E33">
        <v>46.383099999999999</v>
      </c>
      <c r="F33">
        <v>51957.457000000002</v>
      </c>
      <c r="G33">
        <v>9.4280000000000008</v>
      </c>
      <c r="H33">
        <v>0</v>
      </c>
      <c r="I33" t="s">
        <v>497</v>
      </c>
      <c r="J33" t="s">
        <v>498</v>
      </c>
    </row>
    <row r="34" spans="1:10" x14ac:dyDescent="0.25">
      <c r="A34" s="141" t="s">
        <v>103</v>
      </c>
      <c r="B34">
        <v>36759.296000000002</v>
      </c>
      <c r="C34">
        <v>38.811300000000003</v>
      </c>
      <c r="D34">
        <v>44.322299999999998</v>
      </c>
      <c r="E34">
        <v>44.660899999999998</v>
      </c>
      <c r="F34">
        <v>45086.675999999999</v>
      </c>
      <c r="G34">
        <v>8.2520000000000007</v>
      </c>
      <c r="H34">
        <v>0</v>
      </c>
      <c r="I34" t="s">
        <v>499</v>
      </c>
      <c r="J34" t="s">
        <v>500</v>
      </c>
    </row>
    <row r="35" spans="1:10" x14ac:dyDescent="0.25">
      <c r="A35" s="141" t="s">
        <v>104</v>
      </c>
      <c r="B35">
        <v>21831.2448</v>
      </c>
      <c r="C35">
        <v>35.423699999999997</v>
      </c>
      <c r="D35">
        <v>42.871499999999997</v>
      </c>
      <c r="E35">
        <v>43.200699999999998</v>
      </c>
      <c r="F35">
        <v>36714.366999999998</v>
      </c>
      <c r="G35">
        <v>7.0439999999999996</v>
      </c>
      <c r="H35">
        <v>0</v>
      </c>
      <c r="I35" t="s">
        <v>501</v>
      </c>
      <c r="J35" t="s">
        <v>502</v>
      </c>
    </row>
    <row r="36" spans="1:10" x14ac:dyDescent="0.25">
      <c r="A36" s="141" t="s">
        <v>105</v>
      </c>
      <c r="B36">
        <v>10756.2176</v>
      </c>
      <c r="C36">
        <v>31.796500000000002</v>
      </c>
      <c r="D36">
        <v>41.5002</v>
      </c>
      <c r="E36">
        <v>41.678800000000003</v>
      </c>
      <c r="F36">
        <v>26776.437999999998</v>
      </c>
      <c r="G36">
        <v>5.7489999999999997</v>
      </c>
      <c r="H36">
        <v>0</v>
      </c>
      <c r="I36" t="s">
        <v>503</v>
      </c>
      <c r="J36" t="s">
        <v>504</v>
      </c>
    </row>
    <row r="37" spans="1:10" x14ac:dyDescent="0.25">
      <c r="A37" s="141" t="s">
        <v>106</v>
      </c>
      <c r="B37">
        <v>20107.385600000001</v>
      </c>
      <c r="C37">
        <v>42.69</v>
      </c>
      <c r="D37">
        <v>45.481200000000001</v>
      </c>
      <c r="E37">
        <v>47.031799999999997</v>
      </c>
      <c r="F37">
        <v>34313.355000000003</v>
      </c>
      <c r="G37">
        <v>6.4329999999999998</v>
      </c>
      <c r="H37">
        <v>0</v>
      </c>
      <c r="I37" t="s">
        <v>505</v>
      </c>
      <c r="J37" t="s">
        <v>506</v>
      </c>
    </row>
    <row r="38" spans="1:10" x14ac:dyDescent="0.25">
      <c r="A38" s="141" t="s">
        <v>107</v>
      </c>
      <c r="B38">
        <v>11409.843199999999</v>
      </c>
      <c r="C38">
        <v>40.6663</v>
      </c>
      <c r="D38">
        <v>44.567500000000003</v>
      </c>
      <c r="E38">
        <v>45.400300000000001</v>
      </c>
      <c r="F38">
        <v>26866.423999999999</v>
      </c>
      <c r="G38">
        <v>5.6310000000000002</v>
      </c>
      <c r="H38">
        <v>0</v>
      </c>
      <c r="I38" t="s">
        <v>507</v>
      </c>
      <c r="J38" t="s">
        <v>508</v>
      </c>
    </row>
    <row r="39" spans="1:10" x14ac:dyDescent="0.25">
      <c r="A39" s="141" t="s">
        <v>108</v>
      </c>
      <c r="B39">
        <v>6331.4687999999996</v>
      </c>
      <c r="C39">
        <v>38.6648</v>
      </c>
      <c r="D39">
        <v>43.620399999999997</v>
      </c>
      <c r="E39">
        <v>43.6327</v>
      </c>
      <c r="F39">
        <v>17442.976999999999</v>
      </c>
      <c r="G39">
        <v>4.8869999999999996</v>
      </c>
      <c r="H39">
        <v>0</v>
      </c>
      <c r="I39" t="s">
        <v>509</v>
      </c>
      <c r="J39" t="s">
        <v>510</v>
      </c>
    </row>
    <row r="40" spans="1:10" x14ac:dyDescent="0.25">
      <c r="A40" s="141" t="s">
        <v>109</v>
      </c>
      <c r="B40">
        <v>3230.4895999999999</v>
      </c>
      <c r="C40">
        <v>36.290999999999997</v>
      </c>
      <c r="D40">
        <v>42.315899999999999</v>
      </c>
      <c r="E40">
        <v>41.464500000000001</v>
      </c>
      <c r="F40">
        <v>10783.253000000001</v>
      </c>
      <c r="G40">
        <v>4.2549999999999999</v>
      </c>
      <c r="H40">
        <v>0</v>
      </c>
      <c r="I40" t="s">
        <v>511</v>
      </c>
      <c r="J40" t="s">
        <v>512</v>
      </c>
    </row>
    <row r="41" spans="1:10" x14ac:dyDescent="0.25">
      <c r="A41" s="141" t="s">
        <v>110</v>
      </c>
      <c r="B41">
        <v>15114.5152</v>
      </c>
      <c r="C41">
        <v>44.225700000000003</v>
      </c>
      <c r="D41">
        <v>47.0792</v>
      </c>
      <c r="E41">
        <v>47.969700000000003</v>
      </c>
      <c r="F41">
        <v>27344.398000000001</v>
      </c>
      <c r="G41">
        <v>6.1710000000000003</v>
      </c>
      <c r="H41">
        <v>0</v>
      </c>
      <c r="I41" t="s">
        <v>513</v>
      </c>
      <c r="J41" t="s">
        <v>514</v>
      </c>
    </row>
    <row r="42" spans="1:10" x14ac:dyDescent="0.25">
      <c r="A42" s="141" t="s">
        <v>111</v>
      </c>
      <c r="B42">
        <v>10258.822399999999</v>
      </c>
      <c r="C42">
        <v>42.495899999999999</v>
      </c>
      <c r="D42">
        <v>45.927500000000002</v>
      </c>
      <c r="E42">
        <v>46.6449</v>
      </c>
      <c r="F42">
        <v>21491.921999999999</v>
      </c>
      <c r="G42">
        <v>5.5860000000000003</v>
      </c>
      <c r="H42">
        <v>0</v>
      </c>
      <c r="I42" t="s">
        <v>515</v>
      </c>
      <c r="J42" t="s">
        <v>516</v>
      </c>
    </row>
    <row r="43" spans="1:10" x14ac:dyDescent="0.25">
      <c r="A43" s="141" t="s">
        <v>112</v>
      </c>
      <c r="B43">
        <v>6478.7071999999998</v>
      </c>
      <c r="C43">
        <v>40.162300000000002</v>
      </c>
      <c r="D43">
        <v>44.5916</v>
      </c>
      <c r="E43">
        <v>45.1053</v>
      </c>
      <c r="F43">
        <v>16863.713</v>
      </c>
      <c r="G43">
        <v>5.3860000000000001</v>
      </c>
      <c r="H43">
        <v>0</v>
      </c>
      <c r="I43" t="s">
        <v>517</v>
      </c>
      <c r="J43" t="s">
        <v>518</v>
      </c>
    </row>
    <row r="44" spans="1:10" x14ac:dyDescent="0.25">
      <c r="A44" s="141" t="s">
        <v>113</v>
      </c>
      <c r="B44">
        <v>3752.7359999999999</v>
      </c>
      <c r="C44">
        <v>37.174399999999999</v>
      </c>
      <c r="D44">
        <v>42.877600000000001</v>
      </c>
      <c r="E44">
        <v>43.065100000000001</v>
      </c>
      <c r="F44">
        <v>10783.79</v>
      </c>
      <c r="G44">
        <v>4.5869999999999997</v>
      </c>
      <c r="H44">
        <v>0</v>
      </c>
      <c r="I44" t="s">
        <v>519</v>
      </c>
      <c r="J44" t="s">
        <v>520</v>
      </c>
    </row>
    <row r="45" spans="1:10" x14ac:dyDescent="0.25">
      <c r="A45" s="141" t="s">
        <v>114</v>
      </c>
      <c r="B45">
        <v>16384.947199999999</v>
      </c>
      <c r="C45">
        <v>44.169199999999996</v>
      </c>
      <c r="D45">
        <v>48.808399999999999</v>
      </c>
      <c r="E45">
        <v>48.461799999999997</v>
      </c>
      <c r="F45">
        <v>27911.768</v>
      </c>
      <c r="G45">
        <v>6.0940000000000003</v>
      </c>
      <c r="H45">
        <v>0</v>
      </c>
      <c r="I45" t="s">
        <v>521</v>
      </c>
      <c r="J45" t="s">
        <v>522</v>
      </c>
    </row>
    <row r="46" spans="1:10" x14ac:dyDescent="0.25">
      <c r="A46" s="141" t="s">
        <v>115</v>
      </c>
      <c r="B46">
        <v>11391.315199999999</v>
      </c>
      <c r="C46">
        <v>42.431699999999999</v>
      </c>
      <c r="D46">
        <v>47.805</v>
      </c>
      <c r="E46">
        <v>46.991999999999997</v>
      </c>
      <c r="F46">
        <v>21917.988000000001</v>
      </c>
      <c r="G46">
        <v>5.3049999999999997</v>
      </c>
      <c r="H46">
        <v>0</v>
      </c>
      <c r="I46" t="s">
        <v>523</v>
      </c>
      <c r="J46" t="s">
        <v>524</v>
      </c>
    </row>
    <row r="47" spans="1:10" x14ac:dyDescent="0.25">
      <c r="A47" s="141" t="s">
        <v>116</v>
      </c>
      <c r="B47">
        <v>7412.5951999999997</v>
      </c>
      <c r="C47">
        <v>40.051200000000001</v>
      </c>
      <c r="D47">
        <v>46.616399999999999</v>
      </c>
      <c r="E47">
        <v>45.3123</v>
      </c>
      <c r="F47">
        <v>16249.713</v>
      </c>
      <c r="G47">
        <v>4.8159999999999998</v>
      </c>
      <c r="H47">
        <v>0</v>
      </c>
      <c r="I47" t="s">
        <v>525</v>
      </c>
      <c r="J47" t="s">
        <v>526</v>
      </c>
    </row>
    <row r="48" spans="1:10" x14ac:dyDescent="0.25">
      <c r="A48" s="141" t="s">
        <v>117</v>
      </c>
      <c r="B48">
        <v>4304.9215999999997</v>
      </c>
      <c r="C48">
        <v>36.829799999999999</v>
      </c>
      <c r="D48">
        <v>44.759900000000002</v>
      </c>
      <c r="E48">
        <v>42.994399999999999</v>
      </c>
      <c r="F48">
        <v>11327.239</v>
      </c>
      <c r="G48">
        <v>4.0960000000000001</v>
      </c>
      <c r="H48">
        <v>0</v>
      </c>
      <c r="I48" t="s">
        <v>527</v>
      </c>
      <c r="J48" t="s">
        <v>528</v>
      </c>
    </row>
    <row r="49" spans="1:1" x14ac:dyDescent="0.25">
      <c r="A49" s="141" t="s">
        <v>214</v>
      </c>
    </row>
    <row r="50" spans="1:1" x14ac:dyDescent="0.25">
      <c r="A50" s="141" t="s">
        <v>215</v>
      </c>
    </row>
    <row r="51" spans="1:1" x14ac:dyDescent="0.25">
      <c r="A51" s="141" t="s">
        <v>216</v>
      </c>
    </row>
    <row r="52" spans="1:1" x14ac:dyDescent="0.25">
      <c r="A52" s="141" t="s">
        <v>217</v>
      </c>
    </row>
    <row r="53" spans="1:1" x14ac:dyDescent="0.25">
      <c r="A53" s="141" t="s">
        <v>218</v>
      </c>
    </row>
    <row r="54" spans="1:1" x14ac:dyDescent="0.25">
      <c r="A54" s="141" t="s">
        <v>219</v>
      </c>
    </row>
    <row r="55" spans="1:1" x14ac:dyDescent="0.25">
      <c r="A55" s="141" t="s">
        <v>220</v>
      </c>
    </row>
    <row r="56" spans="1:1" x14ac:dyDescent="0.25">
      <c r="A56" s="141" t="s">
        <v>221</v>
      </c>
    </row>
    <row r="57" spans="1:1" x14ac:dyDescent="0.25">
      <c r="A57" s="141" t="s">
        <v>318</v>
      </c>
    </row>
    <row r="58" spans="1:1" x14ac:dyDescent="0.25">
      <c r="A58" s="141" t="s">
        <v>319</v>
      </c>
    </row>
    <row r="59" spans="1:1" x14ac:dyDescent="0.25">
      <c r="A59" s="141" t="s">
        <v>320</v>
      </c>
    </row>
    <row r="60" spans="1:1" x14ac:dyDescent="0.25">
      <c r="A60" s="141" t="s">
        <v>321</v>
      </c>
    </row>
    <row r="61" spans="1:1" x14ac:dyDescent="0.25">
      <c r="A61" s="141" t="s">
        <v>322</v>
      </c>
    </row>
    <row r="62" spans="1:1" x14ac:dyDescent="0.25">
      <c r="A62" s="141" t="s">
        <v>323</v>
      </c>
    </row>
    <row r="63" spans="1:1" x14ac:dyDescent="0.25">
      <c r="A63" s="141" t="s">
        <v>324</v>
      </c>
    </row>
    <row r="64" spans="1:1" x14ac:dyDescent="0.25">
      <c r="A64" s="141" t="s">
        <v>325</v>
      </c>
    </row>
    <row r="65" spans="1:10" x14ac:dyDescent="0.25">
      <c r="A65" s="141" t="s">
        <v>326</v>
      </c>
    </row>
    <row r="66" spans="1:10" x14ac:dyDescent="0.25">
      <c r="A66" s="141" t="s">
        <v>327</v>
      </c>
    </row>
    <row r="67" spans="1:10" x14ac:dyDescent="0.25">
      <c r="A67" s="141" t="s">
        <v>328</v>
      </c>
    </row>
    <row r="68" spans="1:10" x14ac:dyDescent="0.25">
      <c r="A68" s="141" t="s">
        <v>329</v>
      </c>
    </row>
    <row r="69" spans="1:10" x14ac:dyDescent="0.25">
      <c r="A69" s="141" t="s">
        <v>330</v>
      </c>
    </row>
    <row r="70" spans="1:10" x14ac:dyDescent="0.25">
      <c r="A70" s="141" t="s">
        <v>331</v>
      </c>
    </row>
    <row r="71" spans="1:10" x14ac:dyDescent="0.25">
      <c r="A71" s="141" t="s">
        <v>332</v>
      </c>
    </row>
    <row r="72" spans="1:10" x14ac:dyDescent="0.25">
      <c r="A72" s="141" t="s">
        <v>333</v>
      </c>
    </row>
    <row r="73" spans="1:10" x14ac:dyDescent="0.25">
      <c r="A73" s="141" t="s">
        <v>222</v>
      </c>
      <c r="B73">
        <v>14739.951999999999</v>
      </c>
      <c r="C73">
        <v>40.090600000000002</v>
      </c>
      <c r="D73">
        <v>49.065600000000003</v>
      </c>
      <c r="E73">
        <v>47.050600000000003</v>
      </c>
      <c r="F73">
        <v>369153.63500000001</v>
      </c>
      <c r="G73">
        <v>56.688000000000002</v>
      </c>
      <c r="H73">
        <v>0</v>
      </c>
      <c r="I73" t="s">
        <v>470</v>
      </c>
      <c r="J73" t="s">
        <v>471</v>
      </c>
    </row>
    <row r="74" spans="1:10" x14ac:dyDescent="0.25">
      <c r="A74" s="141" t="s">
        <v>223</v>
      </c>
      <c r="B74">
        <v>6721.8519999999999</v>
      </c>
      <c r="C74">
        <v>39.600200000000001</v>
      </c>
      <c r="D74">
        <v>48.478900000000003</v>
      </c>
      <c r="E74">
        <v>46.146099999999997</v>
      </c>
      <c r="F74">
        <v>204296.63699999999</v>
      </c>
      <c r="G74">
        <v>53.082999999999998</v>
      </c>
      <c r="H74">
        <v>0</v>
      </c>
      <c r="I74" t="s">
        <v>472</v>
      </c>
      <c r="J74" t="s">
        <v>473</v>
      </c>
    </row>
    <row r="75" spans="1:10" x14ac:dyDescent="0.25">
      <c r="A75" s="141" t="s">
        <v>224</v>
      </c>
      <c r="B75">
        <v>3646.4560000000001</v>
      </c>
      <c r="C75">
        <v>38.7605</v>
      </c>
      <c r="D75">
        <v>47.662599999999998</v>
      </c>
      <c r="E75">
        <v>44.913499999999999</v>
      </c>
      <c r="F75">
        <v>101148.323</v>
      </c>
      <c r="G75">
        <v>46.23</v>
      </c>
      <c r="H75">
        <v>0</v>
      </c>
      <c r="I75" t="s">
        <v>474</v>
      </c>
      <c r="J75" t="s">
        <v>475</v>
      </c>
    </row>
    <row r="76" spans="1:10" x14ac:dyDescent="0.25">
      <c r="A76" s="141" t="s">
        <v>225</v>
      </c>
      <c r="B76">
        <v>1927.6320000000001</v>
      </c>
      <c r="C76">
        <v>37.268500000000003</v>
      </c>
      <c r="D76">
        <v>46.2883</v>
      </c>
      <c r="E76">
        <v>43.203299999999999</v>
      </c>
      <c r="F76">
        <v>51295.05</v>
      </c>
      <c r="G76">
        <v>42.253999999999998</v>
      </c>
      <c r="H76">
        <v>0</v>
      </c>
      <c r="I76" t="s">
        <v>476</v>
      </c>
      <c r="J76" t="s">
        <v>477</v>
      </c>
    </row>
    <row r="77" spans="1:10" x14ac:dyDescent="0.25">
      <c r="A77" s="141" t="s">
        <v>226</v>
      </c>
      <c r="B77">
        <v>75668.42</v>
      </c>
      <c r="C77">
        <v>41.653500000000001</v>
      </c>
      <c r="D77">
        <v>36.4818</v>
      </c>
      <c r="E77">
        <v>37.613700000000001</v>
      </c>
      <c r="F77">
        <v>653077.83799999999</v>
      </c>
      <c r="G77">
        <v>63.898000000000003</v>
      </c>
      <c r="H77">
        <v>0</v>
      </c>
      <c r="I77" t="s">
        <v>696</v>
      </c>
      <c r="J77" t="s">
        <v>690</v>
      </c>
    </row>
    <row r="78" spans="1:10" x14ac:dyDescent="0.25">
      <c r="A78" s="141" t="s">
        <v>227</v>
      </c>
      <c r="B78">
        <v>39114.076000000001</v>
      </c>
      <c r="C78">
        <v>39.051000000000002</v>
      </c>
      <c r="D78">
        <v>34.553400000000003</v>
      </c>
      <c r="E78">
        <v>35.9604</v>
      </c>
      <c r="F78">
        <v>448544.88400000002</v>
      </c>
      <c r="G78">
        <v>56.965000000000003</v>
      </c>
      <c r="H78">
        <v>0</v>
      </c>
      <c r="I78" t="s">
        <v>691</v>
      </c>
      <c r="J78" t="s">
        <v>692</v>
      </c>
    </row>
    <row r="79" spans="1:10" x14ac:dyDescent="0.25">
      <c r="A79" s="141" t="s">
        <v>228</v>
      </c>
      <c r="B79">
        <v>18780.227999999999</v>
      </c>
      <c r="C79">
        <v>36.142899999999997</v>
      </c>
      <c r="D79">
        <v>32.922600000000003</v>
      </c>
      <c r="E79">
        <v>34.591099999999997</v>
      </c>
      <c r="F79">
        <v>282157.97899999999</v>
      </c>
      <c r="G79">
        <v>52.228999999999999</v>
      </c>
      <c r="H79">
        <v>0</v>
      </c>
      <c r="I79" t="s">
        <v>486</v>
      </c>
      <c r="J79" t="s">
        <v>487</v>
      </c>
    </row>
    <row r="80" spans="1:10" x14ac:dyDescent="0.25">
      <c r="A80" s="141" t="s">
        <v>229</v>
      </c>
      <c r="B80">
        <v>7753.7479999999996</v>
      </c>
      <c r="C80">
        <v>33.0886</v>
      </c>
      <c r="D80">
        <v>31.2621</v>
      </c>
      <c r="E80">
        <v>33.166600000000003</v>
      </c>
      <c r="F80">
        <v>159678.601</v>
      </c>
      <c r="G80">
        <v>47.451999999999998</v>
      </c>
      <c r="H80">
        <v>0</v>
      </c>
      <c r="I80" t="s">
        <v>488</v>
      </c>
      <c r="J80" t="s">
        <v>489</v>
      </c>
    </row>
    <row r="81" spans="1:10" x14ac:dyDescent="0.25">
      <c r="A81" s="141" t="s">
        <v>230</v>
      </c>
      <c r="B81">
        <v>37735.883999999998</v>
      </c>
      <c r="C81">
        <v>38.306600000000003</v>
      </c>
      <c r="D81">
        <v>40.466700000000003</v>
      </c>
      <c r="E81">
        <v>41.549399999999999</v>
      </c>
      <c r="F81">
        <v>386094.49800000002</v>
      </c>
      <c r="G81">
        <v>35.119</v>
      </c>
      <c r="H81">
        <v>0</v>
      </c>
      <c r="I81" t="s">
        <v>478</v>
      </c>
      <c r="J81" t="s">
        <v>479</v>
      </c>
    </row>
    <row r="82" spans="1:10" x14ac:dyDescent="0.25">
      <c r="A82" s="141" t="s">
        <v>231</v>
      </c>
      <c r="B82">
        <v>18415.944</v>
      </c>
      <c r="C82">
        <v>37.198799999999999</v>
      </c>
      <c r="D82">
        <v>37.919600000000003</v>
      </c>
      <c r="E82">
        <v>40.338299999999997</v>
      </c>
      <c r="F82">
        <v>235834.16399999999</v>
      </c>
      <c r="G82">
        <v>31.99</v>
      </c>
      <c r="H82">
        <v>0</v>
      </c>
      <c r="I82" t="s">
        <v>480</v>
      </c>
      <c r="J82" t="s">
        <v>481</v>
      </c>
    </row>
    <row r="83" spans="1:10" x14ac:dyDescent="0.25">
      <c r="A83" s="141" t="s">
        <v>232</v>
      </c>
      <c r="B83">
        <v>9148.2080000000005</v>
      </c>
      <c r="C83">
        <v>35.837499999999999</v>
      </c>
      <c r="D83">
        <v>35.709000000000003</v>
      </c>
      <c r="E83">
        <v>39.027099999999997</v>
      </c>
      <c r="F83">
        <v>141118.21100000001</v>
      </c>
      <c r="G83">
        <v>26.774999999999999</v>
      </c>
      <c r="H83">
        <v>0</v>
      </c>
      <c r="I83" t="s">
        <v>482</v>
      </c>
      <c r="J83" t="s">
        <v>483</v>
      </c>
    </row>
    <row r="84" spans="1:10" x14ac:dyDescent="0.25">
      <c r="A84" s="141" t="s">
        <v>233</v>
      </c>
      <c r="B84">
        <v>4625.2560000000003</v>
      </c>
      <c r="C84">
        <v>33.999000000000002</v>
      </c>
      <c r="D84">
        <v>33.811999999999998</v>
      </c>
      <c r="E84">
        <v>37.465699999999998</v>
      </c>
      <c r="F84">
        <v>80494.562999999995</v>
      </c>
      <c r="G84">
        <v>23.664999999999999</v>
      </c>
      <c r="H84">
        <v>0</v>
      </c>
      <c r="I84" t="s">
        <v>484</v>
      </c>
      <c r="J84" t="s">
        <v>485</v>
      </c>
    </row>
    <row r="85" spans="1:10" x14ac:dyDescent="0.25">
      <c r="A85" s="141" t="s">
        <v>234</v>
      </c>
      <c r="B85">
        <v>26242.991999999998</v>
      </c>
      <c r="C85">
        <v>37.639400000000002</v>
      </c>
      <c r="D85">
        <v>45.337200000000003</v>
      </c>
      <c r="E85">
        <v>43.030999999999999</v>
      </c>
      <c r="F85">
        <v>513763.04</v>
      </c>
      <c r="G85">
        <v>59.52</v>
      </c>
      <c r="H85">
        <v>0</v>
      </c>
      <c r="I85" t="s">
        <v>693</v>
      </c>
      <c r="J85" t="s">
        <v>694</v>
      </c>
    </row>
    <row r="86" spans="1:10" x14ac:dyDescent="0.25">
      <c r="A86" s="141" t="s">
        <v>235</v>
      </c>
      <c r="B86">
        <v>9141.3719999999994</v>
      </c>
      <c r="C86">
        <v>37.099299999999999</v>
      </c>
      <c r="D86">
        <v>44.749299999999998</v>
      </c>
      <c r="E86">
        <v>42.407200000000003</v>
      </c>
      <c r="F86">
        <v>281660.69799999997</v>
      </c>
      <c r="G86">
        <v>53.265000000000001</v>
      </c>
      <c r="H86">
        <v>0</v>
      </c>
      <c r="I86" t="s">
        <v>490</v>
      </c>
      <c r="J86" t="s">
        <v>491</v>
      </c>
    </row>
    <row r="87" spans="1:10" x14ac:dyDescent="0.25">
      <c r="A87" s="141" t="s">
        <v>236</v>
      </c>
      <c r="B87">
        <v>4505.7079999999996</v>
      </c>
      <c r="C87">
        <v>36.249699999999997</v>
      </c>
      <c r="D87">
        <v>43.991500000000002</v>
      </c>
      <c r="E87">
        <v>41.615000000000002</v>
      </c>
      <c r="F87">
        <v>142294.93299999999</v>
      </c>
      <c r="G87">
        <v>44.825000000000003</v>
      </c>
      <c r="H87">
        <v>0</v>
      </c>
      <c r="I87" t="s">
        <v>492</v>
      </c>
      <c r="J87" t="s">
        <v>493</v>
      </c>
    </row>
    <row r="88" spans="1:10" x14ac:dyDescent="0.25">
      <c r="A88" s="141" t="s">
        <v>237</v>
      </c>
      <c r="B88">
        <v>2179.2759999999998</v>
      </c>
      <c r="C88">
        <v>34.7941</v>
      </c>
      <c r="D88">
        <v>42.6858</v>
      </c>
      <c r="E88">
        <v>40.470999999999997</v>
      </c>
      <c r="F88">
        <v>68730.804999999993</v>
      </c>
      <c r="G88">
        <v>38.045999999999999</v>
      </c>
      <c r="H88">
        <v>0</v>
      </c>
      <c r="I88" t="s">
        <v>494</v>
      </c>
      <c r="J88" t="s">
        <v>495</v>
      </c>
    </row>
    <row r="89" spans="1:10" x14ac:dyDescent="0.25">
      <c r="A89" s="141" t="s">
        <v>118</v>
      </c>
      <c r="B89">
        <v>9764.9760000000006</v>
      </c>
      <c r="C89">
        <v>38.013300000000001</v>
      </c>
      <c r="D89">
        <v>39.849600000000002</v>
      </c>
      <c r="E89">
        <v>43.340200000000003</v>
      </c>
      <c r="F89">
        <v>117717.045</v>
      </c>
      <c r="G89">
        <v>13.173</v>
      </c>
      <c r="H89">
        <v>0</v>
      </c>
      <c r="I89" t="s">
        <v>446</v>
      </c>
      <c r="J89" t="s">
        <v>447</v>
      </c>
    </row>
    <row r="90" spans="1:10" x14ac:dyDescent="0.25">
      <c r="A90" s="141" t="s">
        <v>119</v>
      </c>
      <c r="B90">
        <v>4524.42</v>
      </c>
      <c r="C90">
        <v>36.916699999999999</v>
      </c>
      <c r="D90">
        <v>39.344099999999997</v>
      </c>
      <c r="E90">
        <v>42.2117</v>
      </c>
      <c r="F90">
        <v>71677.198000000004</v>
      </c>
      <c r="G90">
        <v>11.298</v>
      </c>
      <c r="H90">
        <v>0</v>
      </c>
      <c r="I90" t="s">
        <v>448</v>
      </c>
      <c r="J90" t="s">
        <v>449</v>
      </c>
    </row>
    <row r="91" spans="1:10" x14ac:dyDescent="0.25">
      <c r="A91" s="141" t="s">
        <v>120</v>
      </c>
      <c r="B91">
        <v>2302.904</v>
      </c>
      <c r="C91">
        <v>35.360700000000001</v>
      </c>
      <c r="D91">
        <v>38.723700000000001</v>
      </c>
      <c r="E91">
        <v>40.9499</v>
      </c>
      <c r="F91">
        <v>42218.938999999998</v>
      </c>
      <c r="G91">
        <v>10.005000000000001</v>
      </c>
      <c r="H91">
        <v>0</v>
      </c>
      <c r="I91" t="s">
        <v>450</v>
      </c>
      <c r="J91" t="s">
        <v>451</v>
      </c>
    </row>
    <row r="92" spans="1:10" x14ac:dyDescent="0.25">
      <c r="A92" s="141" t="s">
        <v>121</v>
      </c>
      <c r="B92">
        <v>1102.7719999999999</v>
      </c>
      <c r="C92">
        <v>33.169600000000003</v>
      </c>
      <c r="D92">
        <v>37.709000000000003</v>
      </c>
      <c r="E92">
        <v>39.230699999999999</v>
      </c>
      <c r="F92">
        <v>22172.383000000002</v>
      </c>
      <c r="G92">
        <v>8.548</v>
      </c>
      <c r="H92">
        <v>0</v>
      </c>
      <c r="I92" t="s">
        <v>452</v>
      </c>
      <c r="J92" t="s">
        <v>453</v>
      </c>
    </row>
    <row r="93" spans="1:10" x14ac:dyDescent="0.25">
      <c r="A93" s="141" t="s">
        <v>122</v>
      </c>
      <c r="B93">
        <v>8555.8320000000003</v>
      </c>
      <c r="C93">
        <v>38.950000000000003</v>
      </c>
      <c r="D93">
        <v>44.056800000000003</v>
      </c>
      <c r="E93">
        <v>45.222700000000003</v>
      </c>
      <c r="F93">
        <v>125762.897</v>
      </c>
      <c r="G93">
        <v>14.192</v>
      </c>
      <c r="H93">
        <v>0</v>
      </c>
      <c r="I93" t="s">
        <v>438</v>
      </c>
      <c r="J93" t="s">
        <v>439</v>
      </c>
    </row>
    <row r="94" spans="1:10" x14ac:dyDescent="0.25">
      <c r="A94" s="141" t="s">
        <v>123</v>
      </c>
      <c r="B94">
        <v>4279.62</v>
      </c>
      <c r="C94">
        <v>37.917200000000001</v>
      </c>
      <c r="D94">
        <v>43.211599999999997</v>
      </c>
      <c r="E94">
        <v>43.784999999999997</v>
      </c>
      <c r="F94">
        <v>78068.194000000003</v>
      </c>
      <c r="G94">
        <v>12.419</v>
      </c>
      <c r="H94">
        <v>0</v>
      </c>
      <c r="I94" t="s">
        <v>440</v>
      </c>
      <c r="J94" t="s">
        <v>441</v>
      </c>
    </row>
    <row r="95" spans="1:10" x14ac:dyDescent="0.25">
      <c r="A95" s="141" t="s">
        <v>124</v>
      </c>
      <c r="B95">
        <v>2189.64</v>
      </c>
      <c r="C95">
        <v>36.4251</v>
      </c>
      <c r="D95">
        <v>42.206000000000003</v>
      </c>
      <c r="E95">
        <v>42.211500000000001</v>
      </c>
      <c r="F95">
        <v>42813.464999999997</v>
      </c>
      <c r="G95">
        <v>10.571</v>
      </c>
      <c r="H95">
        <v>0</v>
      </c>
      <c r="I95" t="s">
        <v>442</v>
      </c>
      <c r="J95" t="s">
        <v>443</v>
      </c>
    </row>
    <row r="96" spans="1:10" x14ac:dyDescent="0.25">
      <c r="A96" s="141" t="s">
        <v>125</v>
      </c>
      <c r="B96">
        <v>1078.6679999999999</v>
      </c>
      <c r="C96">
        <v>34.367199999999997</v>
      </c>
      <c r="D96">
        <v>40.816699999999997</v>
      </c>
      <c r="E96">
        <v>40.311199999999999</v>
      </c>
      <c r="F96">
        <v>24134.416000000001</v>
      </c>
      <c r="G96">
        <v>9.0990000000000002</v>
      </c>
      <c r="H96">
        <v>0</v>
      </c>
      <c r="I96" t="s">
        <v>444</v>
      </c>
      <c r="J96" t="s">
        <v>445</v>
      </c>
    </row>
    <row r="97" spans="1:10" x14ac:dyDescent="0.25">
      <c r="A97" s="141" t="s">
        <v>238</v>
      </c>
      <c r="B97">
        <v>6748.7879999999996</v>
      </c>
      <c r="C97">
        <v>39.705199999999998</v>
      </c>
      <c r="D97">
        <v>43.910699999999999</v>
      </c>
      <c r="E97">
        <v>45.0471</v>
      </c>
      <c r="F97">
        <v>114747.087</v>
      </c>
      <c r="G97">
        <v>14.237</v>
      </c>
      <c r="H97">
        <v>0</v>
      </c>
      <c r="I97" t="s">
        <v>454</v>
      </c>
      <c r="J97" t="s">
        <v>455</v>
      </c>
    </row>
    <row r="98" spans="1:10" x14ac:dyDescent="0.25">
      <c r="A98" s="141" t="s">
        <v>239</v>
      </c>
      <c r="B98">
        <v>3209.6</v>
      </c>
      <c r="C98">
        <v>38.565300000000001</v>
      </c>
      <c r="D98">
        <v>43.143999999999998</v>
      </c>
      <c r="E98">
        <v>44.360999999999997</v>
      </c>
      <c r="F98">
        <v>68372.593999999997</v>
      </c>
      <c r="G98">
        <v>11.897</v>
      </c>
      <c r="H98">
        <v>0</v>
      </c>
      <c r="I98" t="s">
        <v>456</v>
      </c>
      <c r="J98" t="s">
        <v>457</v>
      </c>
    </row>
    <row r="99" spans="1:10" x14ac:dyDescent="0.25">
      <c r="A99" s="141" t="s">
        <v>240</v>
      </c>
      <c r="B99">
        <v>1542.596</v>
      </c>
      <c r="C99">
        <v>36.888199999999998</v>
      </c>
      <c r="D99">
        <v>42.277799999999999</v>
      </c>
      <c r="E99">
        <v>43.452800000000003</v>
      </c>
      <c r="F99">
        <v>36509.750999999997</v>
      </c>
      <c r="G99">
        <v>10.454000000000001</v>
      </c>
      <c r="H99">
        <v>0</v>
      </c>
      <c r="I99" t="s">
        <v>458</v>
      </c>
      <c r="J99" t="s">
        <v>459</v>
      </c>
    </row>
    <row r="100" spans="1:10" x14ac:dyDescent="0.25">
      <c r="A100" s="141" t="s">
        <v>241</v>
      </c>
      <c r="B100">
        <v>693.65200000000004</v>
      </c>
      <c r="C100">
        <v>34.6447</v>
      </c>
      <c r="D100">
        <v>41.034399999999998</v>
      </c>
      <c r="E100">
        <v>42.155299999999997</v>
      </c>
      <c r="F100">
        <v>18530.433000000001</v>
      </c>
      <c r="G100">
        <v>9.6259999999999994</v>
      </c>
      <c r="H100">
        <v>0</v>
      </c>
      <c r="I100" t="s">
        <v>460</v>
      </c>
      <c r="J100" t="s">
        <v>461</v>
      </c>
    </row>
    <row r="101" spans="1:10" x14ac:dyDescent="0.25">
      <c r="A101" s="141" t="s">
        <v>242</v>
      </c>
      <c r="B101">
        <v>5568.9679999999998</v>
      </c>
      <c r="C101">
        <v>44.888599999999997</v>
      </c>
      <c r="D101">
        <v>47.727200000000003</v>
      </c>
      <c r="E101">
        <v>48.512700000000002</v>
      </c>
      <c r="F101">
        <v>85869.476999999999</v>
      </c>
      <c r="G101">
        <v>13.670999999999999</v>
      </c>
      <c r="H101">
        <v>0</v>
      </c>
      <c r="I101" t="s">
        <v>462</v>
      </c>
      <c r="J101" t="s">
        <v>463</v>
      </c>
    </row>
    <row r="102" spans="1:10" x14ac:dyDescent="0.25">
      <c r="A102" s="141" t="s">
        <v>243</v>
      </c>
      <c r="B102">
        <v>3416.8440000000001</v>
      </c>
      <c r="C102">
        <v>42.645800000000001</v>
      </c>
      <c r="D102">
        <v>46.145200000000003</v>
      </c>
      <c r="E102">
        <v>46.719000000000001</v>
      </c>
      <c r="F102">
        <v>58980.466</v>
      </c>
      <c r="G102">
        <v>12.529</v>
      </c>
      <c r="H102">
        <v>0</v>
      </c>
      <c r="I102" t="s">
        <v>464</v>
      </c>
      <c r="J102" t="s">
        <v>465</v>
      </c>
    </row>
    <row r="103" spans="1:10" x14ac:dyDescent="0.25">
      <c r="A103" s="141" t="s">
        <v>244</v>
      </c>
      <c r="B103">
        <v>1909.204</v>
      </c>
      <c r="C103">
        <v>39.8245</v>
      </c>
      <c r="D103">
        <v>44.597900000000003</v>
      </c>
      <c r="E103">
        <v>44.924599999999998</v>
      </c>
      <c r="F103">
        <v>37323.186999999998</v>
      </c>
      <c r="G103">
        <v>11.493</v>
      </c>
      <c r="H103">
        <v>0</v>
      </c>
      <c r="I103" t="s">
        <v>466</v>
      </c>
      <c r="J103" t="s">
        <v>467</v>
      </c>
    </row>
    <row r="104" spans="1:10" x14ac:dyDescent="0.25">
      <c r="A104" s="141" t="s">
        <v>245</v>
      </c>
      <c r="B104">
        <v>971.71600000000001</v>
      </c>
      <c r="C104">
        <v>36.639200000000002</v>
      </c>
      <c r="D104">
        <v>42.776800000000001</v>
      </c>
      <c r="E104">
        <v>42.851700000000001</v>
      </c>
      <c r="F104">
        <v>20951.464</v>
      </c>
      <c r="G104">
        <v>9.4969999999999999</v>
      </c>
      <c r="H104">
        <v>0</v>
      </c>
      <c r="I104" t="s">
        <v>468</v>
      </c>
      <c r="J104" t="s">
        <v>469</v>
      </c>
    </row>
    <row r="105" spans="1:10" x14ac:dyDescent="0.25">
      <c r="A105" s="141" t="s">
        <v>126</v>
      </c>
      <c r="B105">
        <v>4094.9720000000002</v>
      </c>
      <c r="C105">
        <v>38.611499999999999</v>
      </c>
      <c r="D105">
        <v>46.229900000000001</v>
      </c>
      <c r="E105">
        <v>46.443300000000001</v>
      </c>
      <c r="F105">
        <v>55316.377999999997</v>
      </c>
      <c r="G105">
        <v>5.7380000000000004</v>
      </c>
      <c r="H105">
        <v>0</v>
      </c>
      <c r="I105" t="s">
        <v>406</v>
      </c>
      <c r="J105" t="s">
        <v>407</v>
      </c>
    </row>
    <row r="106" spans="1:10" x14ac:dyDescent="0.25">
      <c r="A106" s="141" t="s">
        <v>127</v>
      </c>
      <c r="B106">
        <v>1780.9680000000001</v>
      </c>
      <c r="C106">
        <v>37.102899999999998</v>
      </c>
      <c r="D106">
        <v>45.185099999999998</v>
      </c>
      <c r="E106">
        <v>45.397300000000001</v>
      </c>
      <c r="F106">
        <v>30249.998</v>
      </c>
      <c r="G106">
        <v>4.7770000000000001</v>
      </c>
      <c r="H106">
        <v>0</v>
      </c>
      <c r="I106" t="s">
        <v>408</v>
      </c>
      <c r="J106" t="s">
        <v>409</v>
      </c>
    </row>
    <row r="107" spans="1:10" x14ac:dyDescent="0.25">
      <c r="A107" s="141" t="s">
        <v>128</v>
      </c>
      <c r="B107">
        <v>840.65599999999995</v>
      </c>
      <c r="C107">
        <v>35.151699999999998</v>
      </c>
      <c r="D107">
        <v>43.887599999999999</v>
      </c>
      <c r="E107">
        <v>44.1434</v>
      </c>
      <c r="F107">
        <v>16534.914000000001</v>
      </c>
      <c r="G107">
        <v>4.2539999999999996</v>
      </c>
      <c r="H107">
        <v>0</v>
      </c>
      <c r="I107" t="s">
        <v>410</v>
      </c>
      <c r="J107" t="s">
        <v>411</v>
      </c>
    </row>
    <row r="108" spans="1:10" x14ac:dyDescent="0.25">
      <c r="A108" s="141" t="s">
        <v>129</v>
      </c>
      <c r="B108">
        <v>399.09199999999998</v>
      </c>
      <c r="C108">
        <v>32.479599999999998</v>
      </c>
      <c r="D108">
        <v>42.230800000000002</v>
      </c>
      <c r="E108">
        <v>42.509700000000002</v>
      </c>
      <c r="F108">
        <v>8493.6710000000003</v>
      </c>
      <c r="G108">
        <v>3.472</v>
      </c>
      <c r="H108">
        <v>0</v>
      </c>
      <c r="I108" t="s">
        <v>412</v>
      </c>
      <c r="J108" t="s">
        <v>413</v>
      </c>
    </row>
    <row r="109" spans="1:10" x14ac:dyDescent="0.25">
      <c r="A109" s="141" t="s">
        <v>130</v>
      </c>
      <c r="B109">
        <v>2420.9960000000001</v>
      </c>
      <c r="C109">
        <v>40.651800000000001</v>
      </c>
      <c r="D109">
        <v>46.147599999999997</v>
      </c>
      <c r="E109">
        <v>47.3337</v>
      </c>
      <c r="F109">
        <v>44758.591999999997</v>
      </c>
      <c r="G109">
        <v>5.8310000000000004</v>
      </c>
      <c r="H109">
        <v>0</v>
      </c>
      <c r="I109" t="s">
        <v>414</v>
      </c>
      <c r="J109" t="s">
        <v>415</v>
      </c>
    </row>
    <row r="110" spans="1:10" x14ac:dyDescent="0.25">
      <c r="A110" s="141" t="s">
        <v>131</v>
      </c>
      <c r="B110">
        <v>1087.24</v>
      </c>
      <c r="C110">
        <v>39.504600000000003</v>
      </c>
      <c r="D110">
        <v>45.573900000000002</v>
      </c>
      <c r="E110">
        <v>46.055300000000003</v>
      </c>
      <c r="F110">
        <v>24163.109</v>
      </c>
      <c r="G110">
        <v>5.0940000000000003</v>
      </c>
      <c r="H110">
        <v>0</v>
      </c>
      <c r="I110" t="s">
        <v>416</v>
      </c>
      <c r="J110" t="s">
        <v>417</v>
      </c>
    </row>
    <row r="111" spans="1:10" x14ac:dyDescent="0.25">
      <c r="A111" s="141" t="s">
        <v>132</v>
      </c>
      <c r="B111">
        <v>514.976</v>
      </c>
      <c r="C111">
        <v>37.945</v>
      </c>
      <c r="D111">
        <v>44.786299999999997</v>
      </c>
      <c r="E111">
        <v>44.479700000000001</v>
      </c>
      <c r="F111">
        <v>12594.987999999999</v>
      </c>
      <c r="G111">
        <v>4.3070000000000004</v>
      </c>
      <c r="H111">
        <v>0</v>
      </c>
      <c r="I111" t="s">
        <v>418</v>
      </c>
      <c r="J111" t="s">
        <v>419</v>
      </c>
    </row>
    <row r="112" spans="1:10" x14ac:dyDescent="0.25">
      <c r="A112" s="141" t="s">
        <v>133</v>
      </c>
      <c r="B112">
        <v>232.80799999999999</v>
      </c>
      <c r="C112">
        <v>35.855800000000002</v>
      </c>
      <c r="D112">
        <v>43.595599999999997</v>
      </c>
      <c r="E112">
        <v>42.378999999999998</v>
      </c>
      <c r="F112">
        <v>6223.0370000000003</v>
      </c>
      <c r="G112">
        <v>3.778</v>
      </c>
      <c r="H112">
        <v>0</v>
      </c>
      <c r="I112" t="s">
        <v>420</v>
      </c>
      <c r="J112" t="s">
        <v>421</v>
      </c>
    </row>
    <row r="113" spans="1:10" x14ac:dyDescent="0.25">
      <c r="A113" s="141" t="s">
        <v>134</v>
      </c>
      <c r="B113">
        <v>920.9</v>
      </c>
      <c r="C113">
        <v>43.544400000000003</v>
      </c>
      <c r="D113">
        <v>47.270600000000002</v>
      </c>
      <c r="E113">
        <v>48.276499999999999</v>
      </c>
      <c r="F113">
        <v>19332.793000000001</v>
      </c>
      <c r="G113">
        <v>4.3129999999999997</v>
      </c>
      <c r="H113">
        <v>0</v>
      </c>
      <c r="I113" t="s">
        <v>422</v>
      </c>
      <c r="J113" t="s">
        <v>423</v>
      </c>
    </row>
    <row r="114" spans="1:10" x14ac:dyDescent="0.25">
      <c r="A114" s="141" t="s">
        <v>135</v>
      </c>
      <c r="B114">
        <v>506.55599999999998</v>
      </c>
      <c r="C114">
        <v>42.264800000000001</v>
      </c>
      <c r="D114">
        <v>46.553400000000003</v>
      </c>
      <c r="E114">
        <v>47.3292</v>
      </c>
      <c r="F114">
        <v>10722.285</v>
      </c>
      <c r="G114">
        <v>4.0910000000000002</v>
      </c>
      <c r="H114">
        <v>0</v>
      </c>
      <c r="I114" t="s">
        <v>424</v>
      </c>
      <c r="J114" t="s">
        <v>425</v>
      </c>
    </row>
    <row r="115" spans="1:10" x14ac:dyDescent="0.25">
      <c r="A115" s="141" t="s">
        <v>136</v>
      </c>
      <c r="B115">
        <v>290.78399999999999</v>
      </c>
      <c r="C115">
        <v>40.492699999999999</v>
      </c>
      <c r="D115">
        <v>45.558</v>
      </c>
      <c r="E115">
        <v>46.071300000000001</v>
      </c>
      <c r="F115">
        <v>6027.1279999999997</v>
      </c>
      <c r="G115">
        <v>3.8170000000000002</v>
      </c>
      <c r="H115">
        <v>0</v>
      </c>
      <c r="I115" t="s">
        <v>426</v>
      </c>
      <c r="J115" t="s">
        <v>427</v>
      </c>
    </row>
    <row r="116" spans="1:10" x14ac:dyDescent="0.25">
      <c r="A116" s="141" t="s">
        <v>137</v>
      </c>
      <c r="B116">
        <v>163.012</v>
      </c>
      <c r="C116">
        <v>37.932099999999998</v>
      </c>
      <c r="D116">
        <v>43.880400000000002</v>
      </c>
      <c r="E116">
        <v>43.987299999999998</v>
      </c>
      <c r="F116">
        <v>3561.2020000000002</v>
      </c>
      <c r="G116">
        <v>3.7069999999999999</v>
      </c>
      <c r="H116">
        <v>0</v>
      </c>
      <c r="I116" t="s">
        <v>428</v>
      </c>
      <c r="J116" t="s">
        <v>429</v>
      </c>
    </row>
    <row r="117" spans="1:10" x14ac:dyDescent="0.25">
      <c r="A117" s="141" t="s">
        <v>138</v>
      </c>
      <c r="B117">
        <v>1284.4000000000001</v>
      </c>
      <c r="C117">
        <v>42.917999999999999</v>
      </c>
      <c r="D117">
        <v>49.037399999999998</v>
      </c>
      <c r="E117">
        <v>48.689100000000003</v>
      </c>
      <c r="F117">
        <v>22578.5</v>
      </c>
      <c r="G117">
        <v>4.266</v>
      </c>
      <c r="H117">
        <v>0</v>
      </c>
      <c r="I117" t="s">
        <v>430</v>
      </c>
      <c r="J117" t="s">
        <v>431</v>
      </c>
    </row>
    <row r="118" spans="1:10" x14ac:dyDescent="0.25">
      <c r="A118" s="141" t="s">
        <v>139</v>
      </c>
      <c r="B118">
        <v>691.46799999999996</v>
      </c>
      <c r="C118">
        <v>41.630099999999999</v>
      </c>
      <c r="D118">
        <v>48.224299999999999</v>
      </c>
      <c r="E118">
        <v>47.747300000000003</v>
      </c>
      <c r="F118">
        <v>12777.124</v>
      </c>
      <c r="G118">
        <v>4.0259999999999998</v>
      </c>
      <c r="H118">
        <v>0</v>
      </c>
      <c r="I118" t="s">
        <v>432</v>
      </c>
      <c r="J118" t="s">
        <v>433</v>
      </c>
    </row>
    <row r="119" spans="1:10" x14ac:dyDescent="0.25">
      <c r="A119" s="141" t="s">
        <v>140</v>
      </c>
      <c r="B119">
        <v>393.84800000000001</v>
      </c>
      <c r="C119">
        <v>39.775799999999997</v>
      </c>
      <c r="D119">
        <v>47.233499999999999</v>
      </c>
      <c r="E119">
        <v>46.255400000000002</v>
      </c>
      <c r="F119">
        <v>7362.8140000000003</v>
      </c>
      <c r="G119">
        <v>3.839</v>
      </c>
      <c r="H119">
        <v>0</v>
      </c>
      <c r="I119" t="s">
        <v>434</v>
      </c>
      <c r="J119" t="s">
        <v>435</v>
      </c>
    </row>
    <row r="120" spans="1:10" x14ac:dyDescent="0.25">
      <c r="A120" s="141" t="s">
        <v>141</v>
      </c>
      <c r="B120">
        <v>218.71199999999999</v>
      </c>
      <c r="C120">
        <v>37.045299999999997</v>
      </c>
      <c r="D120">
        <v>45.666600000000003</v>
      </c>
      <c r="E120">
        <v>43.997399999999999</v>
      </c>
      <c r="F120">
        <v>4278.3270000000002</v>
      </c>
      <c r="G120">
        <v>3.74</v>
      </c>
      <c r="H120">
        <v>0</v>
      </c>
      <c r="I120" t="s">
        <v>436</v>
      </c>
      <c r="J120" t="s">
        <v>437</v>
      </c>
    </row>
    <row r="121" spans="1:10" x14ac:dyDescent="0.25">
      <c r="A121" s="141" t="s">
        <v>246</v>
      </c>
    </row>
    <row r="122" spans="1:10" x14ac:dyDescent="0.25">
      <c r="A122" s="141" t="s">
        <v>247</v>
      </c>
    </row>
    <row r="123" spans="1:10" x14ac:dyDescent="0.25">
      <c r="A123" s="141" t="s">
        <v>248</v>
      </c>
    </row>
    <row r="124" spans="1:10" x14ac:dyDescent="0.25">
      <c r="A124" s="141" t="s">
        <v>249</v>
      </c>
    </row>
    <row r="125" spans="1:10" x14ac:dyDescent="0.25">
      <c r="A125" s="141" t="s">
        <v>250</v>
      </c>
    </row>
    <row r="126" spans="1:10" x14ac:dyDescent="0.25">
      <c r="A126" s="141" t="s">
        <v>251</v>
      </c>
    </row>
    <row r="127" spans="1:10" x14ac:dyDescent="0.25">
      <c r="A127" s="141" t="s">
        <v>252</v>
      </c>
    </row>
    <row r="128" spans="1:10" x14ac:dyDescent="0.25">
      <c r="A128" s="141" t="s">
        <v>253</v>
      </c>
    </row>
    <row r="129" spans="1:1" x14ac:dyDescent="0.25">
      <c r="A129" s="141" t="s">
        <v>334</v>
      </c>
    </row>
    <row r="130" spans="1:1" x14ac:dyDescent="0.25">
      <c r="A130" s="141" t="s">
        <v>335</v>
      </c>
    </row>
    <row r="131" spans="1:1" x14ac:dyDescent="0.25">
      <c r="A131" s="141" t="s">
        <v>336</v>
      </c>
    </row>
    <row r="132" spans="1:1" x14ac:dyDescent="0.25">
      <c r="A132" s="141" t="s">
        <v>337</v>
      </c>
    </row>
    <row r="133" spans="1:1" x14ac:dyDescent="0.25">
      <c r="A133" s="141" t="s">
        <v>338</v>
      </c>
    </row>
    <row r="134" spans="1:1" x14ac:dyDescent="0.25">
      <c r="A134" s="141" t="s">
        <v>339</v>
      </c>
    </row>
    <row r="135" spans="1:1" x14ac:dyDescent="0.25">
      <c r="A135" s="141" t="s">
        <v>340</v>
      </c>
    </row>
    <row r="136" spans="1:1" x14ac:dyDescent="0.25">
      <c r="A136" s="141" t="s">
        <v>341</v>
      </c>
    </row>
    <row r="137" spans="1:1" x14ac:dyDescent="0.25">
      <c r="A137" s="141" t="s">
        <v>342</v>
      </c>
    </row>
    <row r="138" spans="1:1" x14ac:dyDescent="0.25">
      <c r="A138" s="141" t="s">
        <v>343</v>
      </c>
    </row>
    <row r="139" spans="1:1" x14ac:dyDescent="0.25">
      <c r="A139" s="141" t="s">
        <v>344</v>
      </c>
    </row>
    <row r="140" spans="1:1" x14ac:dyDescent="0.25">
      <c r="A140" s="141" t="s">
        <v>345</v>
      </c>
    </row>
    <row r="141" spans="1:1" x14ac:dyDescent="0.25">
      <c r="A141" s="141" t="s">
        <v>346</v>
      </c>
    </row>
    <row r="142" spans="1:1" x14ac:dyDescent="0.25">
      <c r="A142" s="141" t="s">
        <v>347</v>
      </c>
    </row>
    <row r="143" spans="1:1" x14ac:dyDescent="0.25">
      <c r="A143" s="141" t="s">
        <v>348</v>
      </c>
    </row>
    <row r="144" spans="1:1" x14ac:dyDescent="0.25">
      <c r="A144" s="141" t="s">
        <v>349</v>
      </c>
    </row>
    <row r="145" spans="1:10" x14ac:dyDescent="0.25">
      <c r="A145" s="141" t="s">
        <v>254</v>
      </c>
      <c r="B145">
        <v>17062.216</v>
      </c>
      <c r="C145">
        <v>40.1706</v>
      </c>
      <c r="D145">
        <v>48.770099999999999</v>
      </c>
      <c r="E145">
        <v>46.6783</v>
      </c>
      <c r="F145">
        <v>211899.29699999999</v>
      </c>
      <c r="G145">
        <v>28.091000000000001</v>
      </c>
      <c r="H145">
        <v>0</v>
      </c>
      <c r="I145" t="s">
        <v>593</v>
      </c>
      <c r="J145" t="s">
        <v>594</v>
      </c>
    </row>
    <row r="146" spans="1:10" x14ac:dyDescent="0.25">
      <c r="A146" s="141" t="s">
        <v>255</v>
      </c>
      <c r="B146">
        <v>8439.9279999999999</v>
      </c>
      <c r="C146">
        <v>39.564900000000002</v>
      </c>
      <c r="D146">
        <v>47.939599999999999</v>
      </c>
      <c r="E146">
        <v>45.555300000000003</v>
      </c>
      <c r="F146">
        <v>119119.06200000001</v>
      </c>
      <c r="G146">
        <v>25.091999999999999</v>
      </c>
      <c r="H146">
        <v>0</v>
      </c>
      <c r="I146" t="s">
        <v>595</v>
      </c>
      <c r="J146" t="s">
        <v>596</v>
      </c>
    </row>
    <row r="147" spans="1:10" x14ac:dyDescent="0.25">
      <c r="A147" s="141" t="s">
        <v>256</v>
      </c>
      <c r="B147">
        <v>4595.616</v>
      </c>
      <c r="C147">
        <v>38.577199999999998</v>
      </c>
      <c r="D147">
        <v>46.936700000000002</v>
      </c>
      <c r="E147">
        <v>44.170400000000001</v>
      </c>
      <c r="F147">
        <v>62405.913999999997</v>
      </c>
      <c r="G147">
        <v>21.097000000000001</v>
      </c>
      <c r="H147">
        <v>0</v>
      </c>
      <c r="I147" t="s">
        <v>597</v>
      </c>
      <c r="J147" t="s">
        <v>598</v>
      </c>
    </row>
    <row r="148" spans="1:10" x14ac:dyDescent="0.25">
      <c r="A148" s="141" t="s">
        <v>257</v>
      </c>
      <c r="B148">
        <v>2500</v>
      </c>
      <c r="C148">
        <v>37.035299999999999</v>
      </c>
      <c r="D148">
        <v>45.613900000000001</v>
      </c>
      <c r="E148">
        <v>42.470799999999997</v>
      </c>
      <c r="F148">
        <v>32743.298999999999</v>
      </c>
      <c r="G148">
        <v>18.765999999999998</v>
      </c>
      <c r="H148">
        <v>0</v>
      </c>
      <c r="I148" t="s">
        <v>599</v>
      </c>
      <c r="J148" t="s">
        <v>600</v>
      </c>
    </row>
    <row r="149" spans="1:10" x14ac:dyDescent="0.25">
      <c r="A149" s="141" t="s">
        <v>258</v>
      </c>
      <c r="B149">
        <v>91132.528000000006</v>
      </c>
      <c r="C149">
        <v>41.736600000000003</v>
      </c>
      <c r="D149">
        <v>36.689799999999998</v>
      </c>
      <c r="E149">
        <v>37.711199999999998</v>
      </c>
      <c r="F149">
        <v>349206.375</v>
      </c>
      <c r="G149">
        <v>30.815000000000001</v>
      </c>
      <c r="H149">
        <v>0</v>
      </c>
      <c r="I149" t="s">
        <v>601</v>
      </c>
      <c r="J149" t="s">
        <v>602</v>
      </c>
    </row>
    <row r="150" spans="1:10" x14ac:dyDescent="0.25">
      <c r="A150" s="141" t="s">
        <v>259</v>
      </c>
      <c r="B150">
        <v>46623.512000000002</v>
      </c>
      <c r="C150">
        <v>38.9422</v>
      </c>
      <c r="D150">
        <v>34.4236</v>
      </c>
      <c r="E150">
        <v>35.803600000000003</v>
      </c>
      <c r="F150">
        <v>246618.75</v>
      </c>
      <c r="G150">
        <v>25.875</v>
      </c>
      <c r="H150">
        <v>0</v>
      </c>
      <c r="I150" t="s">
        <v>603</v>
      </c>
      <c r="J150" t="s">
        <v>604</v>
      </c>
    </row>
    <row r="151" spans="1:10" x14ac:dyDescent="0.25">
      <c r="A151" s="141" t="s">
        <v>260</v>
      </c>
      <c r="B151">
        <v>21678.103999999999</v>
      </c>
      <c r="C151">
        <v>35.842300000000002</v>
      </c>
      <c r="D151">
        <v>32.510899999999999</v>
      </c>
      <c r="E151">
        <v>34.195099999999996</v>
      </c>
      <c r="F151">
        <v>165853.766</v>
      </c>
      <c r="G151">
        <v>22.448</v>
      </c>
      <c r="H151">
        <v>0</v>
      </c>
      <c r="I151" t="s">
        <v>605</v>
      </c>
      <c r="J151" t="s">
        <v>606</v>
      </c>
    </row>
    <row r="152" spans="1:10" x14ac:dyDescent="0.25">
      <c r="A152" s="141" t="s">
        <v>261</v>
      </c>
      <c r="B152">
        <v>9161.6319999999996</v>
      </c>
      <c r="C152">
        <v>32.825400000000002</v>
      </c>
      <c r="D152">
        <v>30.8004</v>
      </c>
      <c r="E152">
        <v>32.8125</v>
      </c>
      <c r="F152">
        <v>92766.5</v>
      </c>
      <c r="G152">
        <v>20.405999999999999</v>
      </c>
      <c r="H152">
        <v>0</v>
      </c>
      <c r="I152" t="s">
        <v>607</v>
      </c>
      <c r="J152" t="s">
        <v>608</v>
      </c>
    </row>
    <row r="153" spans="1:10" x14ac:dyDescent="0.25">
      <c r="A153" s="141" t="s">
        <v>262</v>
      </c>
      <c r="B153">
        <v>45109</v>
      </c>
      <c r="C153">
        <v>38.879600000000003</v>
      </c>
      <c r="D153">
        <v>41.220500000000001</v>
      </c>
      <c r="E153">
        <v>41.496600000000001</v>
      </c>
      <c r="F153">
        <v>195470.641</v>
      </c>
      <c r="G153">
        <v>17.350999999999999</v>
      </c>
      <c r="H153">
        <v>0</v>
      </c>
      <c r="I153" t="s">
        <v>609</v>
      </c>
      <c r="J153" t="s">
        <v>610</v>
      </c>
    </row>
    <row r="154" spans="1:10" x14ac:dyDescent="0.25">
      <c r="A154" s="141" t="s">
        <v>263</v>
      </c>
      <c r="B154">
        <v>22146.536</v>
      </c>
      <c r="C154">
        <v>37.520200000000003</v>
      </c>
      <c r="D154">
        <v>38.652900000000002</v>
      </c>
      <c r="E154">
        <v>40.118499999999997</v>
      </c>
      <c r="F154">
        <v>115905.016</v>
      </c>
      <c r="G154">
        <v>14.101000000000001</v>
      </c>
      <c r="H154">
        <v>0</v>
      </c>
      <c r="I154" t="s">
        <v>611</v>
      </c>
      <c r="J154" t="s">
        <v>612</v>
      </c>
    </row>
    <row r="155" spans="1:10" x14ac:dyDescent="0.25">
      <c r="A155" s="141" t="s">
        <v>264</v>
      </c>
      <c r="B155">
        <v>11560.856</v>
      </c>
      <c r="C155">
        <v>35.968299999999999</v>
      </c>
      <c r="D155">
        <v>36.405900000000003</v>
      </c>
      <c r="E155">
        <v>38.681800000000003</v>
      </c>
      <c r="F155">
        <v>74235.108999999997</v>
      </c>
      <c r="G155">
        <v>12.436</v>
      </c>
      <c r="H155">
        <v>0</v>
      </c>
      <c r="I155" t="s">
        <v>613</v>
      </c>
      <c r="J155" t="s">
        <v>614</v>
      </c>
    </row>
    <row r="156" spans="1:10" x14ac:dyDescent="0.25">
      <c r="A156" s="141" t="s">
        <v>265</v>
      </c>
      <c r="B156">
        <v>5677.7920000000004</v>
      </c>
      <c r="C156">
        <v>34.052</v>
      </c>
      <c r="D156">
        <v>33.985199999999999</v>
      </c>
      <c r="E156">
        <v>36.924900000000001</v>
      </c>
      <c r="F156">
        <v>43873.902000000002</v>
      </c>
      <c r="G156">
        <v>11.1</v>
      </c>
      <c r="H156">
        <v>0</v>
      </c>
      <c r="I156" t="s">
        <v>615</v>
      </c>
      <c r="J156" t="s">
        <v>616</v>
      </c>
    </row>
    <row r="157" spans="1:10" x14ac:dyDescent="0.25">
      <c r="A157" s="141" t="s">
        <v>266</v>
      </c>
      <c r="B157">
        <v>24496.256000000001</v>
      </c>
      <c r="C157">
        <v>37.540300000000002</v>
      </c>
      <c r="D157">
        <v>45.025599999999997</v>
      </c>
      <c r="E157">
        <v>42.796999999999997</v>
      </c>
      <c r="F157">
        <v>278961</v>
      </c>
      <c r="G157">
        <v>27.361999999999998</v>
      </c>
      <c r="H157">
        <v>0</v>
      </c>
      <c r="I157" t="s">
        <v>617</v>
      </c>
      <c r="J157" t="s">
        <v>618</v>
      </c>
    </row>
    <row r="158" spans="1:10" x14ac:dyDescent="0.25">
      <c r="A158" s="141" t="s">
        <v>267</v>
      </c>
      <c r="B158">
        <v>10322.495999999999</v>
      </c>
      <c r="C158">
        <v>36.917999999999999</v>
      </c>
      <c r="D158">
        <v>44.376600000000003</v>
      </c>
      <c r="E158">
        <v>42.078499999999998</v>
      </c>
      <c r="F158">
        <v>153430.859</v>
      </c>
      <c r="G158">
        <v>23.199000000000002</v>
      </c>
      <c r="H158">
        <v>0</v>
      </c>
      <c r="I158" t="s">
        <v>619</v>
      </c>
      <c r="J158" t="s">
        <v>620</v>
      </c>
    </row>
    <row r="159" spans="1:10" x14ac:dyDescent="0.25">
      <c r="A159" s="141" t="s">
        <v>268</v>
      </c>
      <c r="B159">
        <v>5155.7759999999998</v>
      </c>
      <c r="C159">
        <v>35.906300000000002</v>
      </c>
      <c r="D159">
        <v>43.460599999999999</v>
      </c>
      <c r="E159">
        <v>41.1387</v>
      </c>
      <c r="F159">
        <v>82685.070000000007</v>
      </c>
      <c r="G159">
        <v>19.553000000000001</v>
      </c>
      <c r="H159">
        <v>0</v>
      </c>
      <c r="I159" t="s">
        <v>621</v>
      </c>
      <c r="J159" t="s">
        <v>622</v>
      </c>
    </row>
    <row r="160" spans="1:10" x14ac:dyDescent="0.25">
      <c r="A160" s="141" t="s">
        <v>269</v>
      </c>
      <c r="B160">
        <v>2561.4560000000001</v>
      </c>
      <c r="C160">
        <v>34.327199999999998</v>
      </c>
      <c r="D160">
        <v>42.158000000000001</v>
      </c>
      <c r="E160">
        <v>40.0169</v>
      </c>
      <c r="F160">
        <v>42056.258000000002</v>
      </c>
      <c r="G160">
        <v>15.09</v>
      </c>
      <c r="H160">
        <v>0</v>
      </c>
      <c r="I160" t="s">
        <v>623</v>
      </c>
      <c r="J160" t="s">
        <v>624</v>
      </c>
    </row>
    <row r="161" spans="1:10" x14ac:dyDescent="0.25">
      <c r="A161" s="141" t="s">
        <v>142</v>
      </c>
      <c r="B161">
        <v>7976.4096</v>
      </c>
      <c r="C161">
        <v>38.024999999999999</v>
      </c>
      <c r="D161">
        <v>39.7423</v>
      </c>
      <c r="E161">
        <v>42.825000000000003</v>
      </c>
      <c r="F161">
        <v>318000.5</v>
      </c>
      <c r="G161">
        <v>24.446999999999999</v>
      </c>
      <c r="H161">
        <v>0</v>
      </c>
      <c r="I161" t="s">
        <v>625</v>
      </c>
      <c r="J161" t="s">
        <v>626</v>
      </c>
    </row>
    <row r="162" spans="1:10" x14ac:dyDescent="0.25">
      <c r="A162" s="141" t="s">
        <v>143</v>
      </c>
      <c r="B162">
        <v>3762.6016</v>
      </c>
      <c r="C162">
        <v>36.682600000000001</v>
      </c>
      <c r="D162">
        <v>39.100200000000001</v>
      </c>
      <c r="E162">
        <v>41.665199999999999</v>
      </c>
      <c r="F162">
        <v>197970.375</v>
      </c>
      <c r="G162">
        <v>20.907</v>
      </c>
      <c r="H162">
        <v>0</v>
      </c>
      <c r="I162" t="s">
        <v>627</v>
      </c>
      <c r="J162" t="s">
        <v>628</v>
      </c>
    </row>
    <row r="163" spans="1:10" x14ac:dyDescent="0.25">
      <c r="A163" s="141" t="s">
        <v>144</v>
      </c>
      <c r="B163">
        <v>1844.4896000000001</v>
      </c>
      <c r="C163">
        <v>34.812199999999997</v>
      </c>
      <c r="D163">
        <v>38.270499999999998</v>
      </c>
      <c r="E163">
        <v>40.179099999999998</v>
      </c>
      <c r="F163">
        <v>118207.56200000001</v>
      </c>
      <c r="G163">
        <v>17.13</v>
      </c>
      <c r="H163">
        <v>0</v>
      </c>
      <c r="I163" t="s">
        <v>629</v>
      </c>
      <c r="J163" t="s">
        <v>630</v>
      </c>
    </row>
    <row r="164" spans="1:10" x14ac:dyDescent="0.25">
      <c r="A164" s="141" t="s">
        <v>145</v>
      </c>
      <c r="B164">
        <v>882.17600000000004</v>
      </c>
      <c r="C164">
        <v>32.499699999999997</v>
      </c>
      <c r="D164">
        <v>37.267200000000003</v>
      </c>
      <c r="E164">
        <v>38.528100000000002</v>
      </c>
      <c r="F164">
        <v>66939.016000000003</v>
      </c>
      <c r="G164">
        <v>13.933999999999999</v>
      </c>
      <c r="H164">
        <v>0</v>
      </c>
      <c r="I164" t="s">
        <v>631</v>
      </c>
      <c r="J164" t="s">
        <v>632</v>
      </c>
    </row>
    <row r="165" spans="1:10" x14ac:dyDescent="0.25">
      <c r="A165" s="141" t="s">
        <v>146</v>
      </c>
      <c r="B165">
        <v>9106.1808000000001</v>
      </c>
      <c r="C165">
        <v>38.741300000000003</v>
      </c>
      <c r="D165">
        <v>43.691699999999997</v>
      </c>
      <c r="E165">
        <v>44.622700000000002</v>
      </c>
      <c r="F165">
        <v>348038.375</v>
      </c>
      <c r="G165">
        <v>31.963999999999999</v>
      </c>
      <c r="H165">
        <v>0</v>
      </c>
      <c r="I165" t="s">
        <v>633</v>
      </c>
      <c r="J165" t="s">
        <v>634</v>
      </c>
    </row>
    <row r="166" spans="1:10" x14ac:dyDescent="0.25">
      <c r="A166" s="141" t="s">
        <v>147</v>
      </c>
      <c r="B166">
        <v>4705.6815999999999</v>
      </c>
      <c r="C166">
        <v>37.536000000000001</v>
      </c>
      <c r="D166">
        <v>42.721899999999998</v>
      </c>
      <c r="E166">
        <v>43.1203</v>
      </c>
      <c r="F166">
        <v>216279.95300000001</v>
      </c>
      <c r="G166">
        <v>26.44</v>
      </c>
      <c r="H166">
        <v>0</v>
      </c>
      <c r="I166" t="s">
        <v>635</v>
      </c>
      <c r="J166" t="s">
        <v>636</v>
      </c>
    </row>
    <row r="167" spans="1:10" x14ac:dyDescent="0.25">
      <c r="A167" s="141" t="s">
        <v>148</v>
      </c>
      <c r="B167">
        <v>2396.8496</v>
      </c>
      <c r="C167">
        <v>35.856200000000001</v>
      </c>
      <c r="D167">
        <v>41.488300000000002</v>
      </c>
      <c r="E167">
        <v>41.377499999999998</v>
      </c>
      <c r="F167">
        <v>129255.141</v>
      </c>
      <c r="G167">
        <v>22.524999999999999</v>
      </c>
      <c r="H167">
        <v>0</v>
      </c>
      <c r="I167" t="s">
        <v>637</v>
      </c>
      <c r="J167" t="s">
        <v>638</v>
      </c>
    </row>
    <row r="168" spans="1:10" x14ac:dyDescent="0.25">
      <c r="A168" s="141" t="s">
        <v>149</v>
      </c>
      <c r="B168">
        <v>1189.3456000000001</v>
      </c>
      <c r="C168">
        <v>33.767899999999997</v>
      </c>
      <c r="D168">
        <v>40.122</v>
      </c>
      <c r="E168">
        <v>39.459400000000002</v>
      </c>
      <c r="F168">
        <v>72657.625</v>
      </c>
      <c r="G168">
        <v>18.864999999999998</v>
      </c>
      <c r="H168">
        <v>0</v>
      </c>
      <c r="I168" t="s">
        <v>639</v>
      </c>
      <c r="J168" t="s">
        <v>640</v>
      </c>
    </row>
    <row r="169" spans="1:10" x14ac:dyDescent="0.25">
      <c r="A169" s="141" t="s">
        <v>270</v>
      </c>
      <c r="B169">
        <v>6360.2479999999996</v>
      </c>
      <c r="C169">
        <v>39.8339</v>
      </c>
      <c r="D169">
        <v>43.796399999999998</v>
      </c>
      <c r="E169">
        <v>44.505000000000003</v>
      </c>
      <c r="F169">
        <v>311732.875</v>
      </c>
      <c r="G169">
        <v>31.189</v>
      </c>
      <c r="H169">
        <v>0</v>
      </c>
      <c r="I169" t="s">
        <v>641</v>
      </c>
      <c r="J169" t="s">
        <v>642</v>
      </c>
    </row>
    <row r="170" spans="1:10" x14ac:dyDescent="0.25">
      <c r="A170" s="141" t="s">
        <v>271</v>
      </c>
      <c r="B170">
        <v>3029.6687999999999</v>
      </c>
      <c r="C170">
        <v>38.537399999999998</v>
      </c>
      <c r="D170">
        <v>42.933199999999999</v>
      </c>
      <c r="E170">
        <v>43.6631</v>
      </c>
      <c r="F170">
        <v>181611.5</v>
      </c>
      <c r="G170">
        <v>25.248000000000001</v>
      </c>
      <c r="H170">
        <v>0</v>
      </c>
      <c r="I170" t="s">
        <v>643</v>
      </c>
      <c r="J170" t="s">
        <v>644</v>
      </c>
    </row>
    <row r="171" spans="1:10" x14ac:dyDescent="0.25">
      <c r="A171" s="141" t="s">
        <v>272</v>
      </c>
      <c r="B171">
        <v>1460.9584</v>
      </c>
      <c r="C171">
        <v>36.724899999999998</v>
      </c>
      <c r="D171">
        <v>41.831000000000003</v>
      </c>
      <c r="E171">
        <v>42.415700000000001</v>
      </c>
      <c r="F171">
        <v>104579.18799999999</v>
      </c>
      <c r="G171">
        <v>22.902000000000001</v>
      </c>
      <c r="H171">
        <v>0</v>
      </c>
      <c r="I171" t="s">
        <v>645</v>
      </c>
      <c r="J171" t="s">
        <v>646</v>
      </c>
    </row>
    <row r="172" spans="1:10" x14ac:dyDescent="0.25">
      <c r="A172" s="141" t="s">
        <v>273</v>
      </c>
      <c r="B172">
        <v>686.63679999999999</v>
      </c>
      <c r="C172">
        <v>34.429200000000002</v>
      </c>
      <c r="D172">
        <v>40.674300000000002</v>
      </c>
      <c r="E172">
        <v>41.051299999999998</v>
      </c>
      <c r="F172">
        <v>54297.02</v>
      </c>
      <c r="G172">
        <v>17.972999999999999</v>
      </c>
      <c r="H172">
        <v>0</v>
      </c>
      <c r="I172" t="s">
        <v>647</v>
      </c>
      <c r="J172" t="s">
        <v>648</v>
      </c>
    </row>
    <row r="173" spans="1:10" x14ac:dyDescent="0.25">
      <c r="A173" s="141" t="s">
        <v>274</v>
      </c>
      <c r="B173">
        <v>6708.2640000000001</v>
      </c>
      <c r="C173">
        <v>43.389400000000002</v>
      </c>
      <c r="D173">
        <v>46.726100000000002</v>
      </c>
      <c r="E173">
        <v>47.3172</v>
      </c>
      <c r="F173">
        <v>257282.875</v>
      </c>
      <c r="G173">
        <v>32.021000000000001</v>
      </c>
      <c r="H173">
        <v>0</v>
      </c>
      <c r="I173" t="s">
        <v>649</v>
      </c>
      <c r="J173" t="s">
        <v>650</v>
      </c>
    </row>
    <row r="174" spans="1:10" x14ac:dyDescent="0.25">
      <c r="A174" s="141" t="s">
        <v>275</v>
      </c>
      <c r="B174">
        <v>4086.4160000000002</v>
      </c>
      <c r="C174">
        <v>41.075699999999998</v>
      </c>
      <c r="D174">
        <v>45.276600000000002</v>
      </c>
      <c r="E174">
        <v>45.6267</v>
      </c>
      <c r="F174">
        <v>181359.391</v>
      </c>
      <c r="G174">
        <v>28.363</v>
      </c>
      <c r="H174">
        <v>0</v>
      </c>
      <c r="I174" t="s">
        <v>651</v>
      </c>
      <c r="J174" t="s">
        <v>652</v>
      </c>
    </row>
    <row r="175" spans="1:10" x14ac:dyDescent="0.25">
      <c r="A175" s="141" t="s">
        <v>276</v>
      </c>
      <c r="B175">
        <v>2257.9520000000002</v>
      </c>
      <c r="C175">
        <v>38.2682</v>
      </c>
      <c r="D175">
        <v>43.6143</v>
      </c>
      <c r="E175">
        <v>43.777999999999999</v>
      </c>
      <c r="F175">
        <v>117341.375</v>
      </c>
      <c r="G175">
        <v>25.251000000000001</v>
      </c>
      <c r="H175">
        <v>0</v>
      </c>
      <c r="I175" t="s">
        <v>653</v>
      </c>
      <c r="J175" t="s">
        <v>654</v>
      </c>
    </row>
    <row r="176" spans="1:10" x14ac:dyDescent="0.25">
      <c r="A176" s="141" t="s">
        <v>277</v>
      </c>
      <c r="B176">
        <v>1174.0992000000001</v>
      </c>
      <c r="C176">
        <v>35.308</v>
      </c>
      <c r="D176">
        <v>41.9773</v>
      </c>
      <c r="E176">
        <v>41.888199999999998</v>
      </c>
      <c r="F176">
        <v>67215.327999999994</v>
      </c>
      <c r="G176">
        <v>20.544</v>
      </c>
      <c r="H176">
        <v>0</v>
      </c>
      <c r="I176" t="s">
        <v>655</v>
      </c>
      <c r="J176" t="s">
        <v>656</v>
      </c>
    </row>
    <row r="177" spans="1:10" x14ac:dyDescent="0.25">
      <c r="A177" s="141" t="s">
        <v>150</v>
      </c>
      <c r="B177" s="71">
        <v>4676.3711999999996</v>
      </c>
      <c r="C177" s="71">
        <v>38.456600000000002</v>
      </c>
      <c r="D177" s="71">
        <v>45.529499999999999</v>
      </c>
      <c r="E177" s="71">
        <v>45.737099999999998</v>
      </c>
      <c r="F177" s="71">
        <v>176719.42199999999</v>
      </c>
      <c r="G177" s="71">
        <v>13.958</v>
      </c>
      <c r="H177">
        <v>0</v>
      </c>
      <c r="I177" t="s">
        <v>657</v>
      </c>
      <c r="J177" t="s">
        <v>658</v>
      </c>
    </row>
    <row r="178" spans="1:10" x14ac:dyDescent="0.25">
      <c r="A178" s="141" t="s">
        <v>151</v>
      </c>
      <c r="B178" s="71">
        <v>1633.4559999999999</v>
      </c>
      <c r="C178" s="71">
        <v>36.4649</v>
      </c>
      <c r="D178" s="71">
        <v>44.539000000000001</v>
      </c>
      <c r="E178" s="71">
        <v>44.749200000000002</v>
      </c>
      <c r="F178" s="71">
        <v>90400.710999999996</v>
      </c>
      <c r="G178" s="71">
        <v>10.474</v>
      </c>
      <c r="H178">
        <v>0</v>
      </c>
      <c r="I178" t="s">
        <v>659</v>
      </c>
      <c r="J178" t="s">
        <v>660</v>
      </c>
    </row>
    <row r="179" spans="1:10" x14ac:dyDescent="0.25">
      <c r="A179" s="141" t="s">
        <v>152</v>
      </c>
      <c r="B179" s="71">
        <v>653.10239999999999</v>
      </c>
      <c r="C179" s="71">
        <v>34.035299999999999</v>
      </c>
      <c r="D179" s="71">
        <v>43.1965</v>
      </c>
      <c r="E179" s="71">
        <v>43.357100000000003</v>
      </c>
      <c r="F179" s="71">
        <v>52331.245999999999</v>
      </c>
      <c r="G179" s="71">
        <v>8.1859999999999999</v>
      </c>
      <c r="H179">
        <v>0</v>
      </c>
      <c r="I179" t="s">
        <v>661</v>
      </c>
      <c r="J179" t="s">
        <v>662</v>
      </c>
    </row>
    <row r="180" spans="1:10" x14ac:dyDescent="0.25">
      <c r="A180" s="141" t="s">
        <v>153</v>
      </c>
      <c r="B180" s="71">
        <v>273.42079999999999</v>
      </c>
      <c r="C180" s="71">
        <v>31.017800000000001</v>
      </c>
      <c r="D180" s="71">
        <v>41.906500000000001</v>
      </c>
      <c r="E180" s="71">
        <v>42.000599999999999</v>
      </c>
      <c r="F180" s="71">
        <v>29783.812000000002</v>
      </c>
      <c r="G180" s="71">
        <v>6.3810000000000002</v>
      </c>
      <c r="H180">
        <v>0</v>
      </c>
      <c r="I180" t="s">
        <v>663</v>
      </c>
      <c r="J180" t="s">
        <v>664</v>
      </c>
    </row>
    <row r="181" spans="1:10" x14ac:dyDescent="0.25">
      <c r="A181" s="141" t="s">
        <v>154</v>
      </c>
      <c r="B181" s="71">
        <v>3767.8224</v>
      </c>
      <c r="C181" s="71">
        <v>40.534300000000002</v>
      </c>
      <c r="D181" s="71">
        <v>45.2575</v>
      </c>
      <c r="E181" s="71">
        <v>46.063000000000002</v>
      </c>
      <c r="F181" s="71">
        <v>157236.609</v>
      </c>
      <c r="G181" s="71">
        <v>15.319000000000001</v>
      </c>
      <c r="H181">
        <v>0</v>
      </c>
      <c r="I181" t="s">
        <v>665</v>
      </c>
      <c r="J181" t="s">
        <v>666</v>
      </c>
    </row>
    <row r="182" spans="1:10" x14ac:dyDescent="0.25">
      <c r="A182" s="141" t="s">
        <v>155</v>
      </c>
      <c r="B182" s="71">
        <v>1702.5871999999999</v>
      </c>
      <c r="C182" s="71">
        <v>38.877299999999998</v>
      </c>
      <c r="D182" s="71">
        <v>44.440199999999997</v>
      </c>
      <c r="E182" s="71">
        <v>44.5274</v>
      </c>
      <c r="F182" s="71">
        <v>89953.952999999994</v>
      </c>
      <c r="G182" s="71">
        <v>12.452999999999999</v>
      </c>
      <c r="H182">
        <v>0</v>
      </c>
      <c r="I182" t="s">
        <v>667</v>
      </c>
      <c r="J182" t="s">
        <v>668</v>
      </c>
    </row>
    <row r="183" spans="1:10" x14ac:dyDescent="0.25">
      <c r="A183" s="141" t="s">
        <v>156</v>
      </c>
      <c r="B183" s="71">
        <v>813.76639999999998</v>
      </c>
      <c r="C183" s="71">
        <v>36.912799999999997</v>
      </c>
      <c r="D183" s="71">
        <v>43.408700000000003</v>
      </c>
      <c r="E183" s="71">
        <v>42.727200000000003</v>
      </c>
      <c r="F183" s="71">
        <v>50413.101999999999</v>
      </c>
      <c r="G183" s="71">
        <v>10.116</v>
      </c>
      <c r="H183">
        <v>0</v>
      </c>
      <c r="I183" t="s">
        <v>669</v>
      </c>
      <c r="J183" t="s">
        <v>670</v>
      </c>
    </row>
    <row r="184" spans="1:10" x14ac:dyDescent="0.25">
      <c r="A184" s="141" t="s">
        <v>157</v>
      </c>
      <c r="B184" s="71">
        <v>381.30239999999998</v>
      </c>
      <c r="C184" s="71">
        <v>34.676400000000001</v>
      </c>
      <c r="D184" s="71">
        <v>42.1325</v>
      </c>
      <c r="E184" s="71">
        <v>40.694800000000001</v>
      </c>
      <c r="F184" s="71">
        <v>26554.708999999999</v>
      </c>
      <c r="G184" s="71">
        <v>7.84</v>
      </c>
      <c r="H184">
        <v>0</v>
      </c>
      <c r="I184" t="s">
        <v>671</v>
      </c>
      <c r="J184" t="s">
        <v>672</v>
      </c>
    </row>
    <row r="185" spans="1:10" x14ac:dyDescent="0.25">
      <c r="A185" s="141" t="s">
        <v>158</v>
      </c>
      <c r="B185" s="71">
        <v>917.28959999999995</v>
      </c>
      <c r="C185" s="71">
        <v>42.974899999999998</v>
      </c>
      <c r="D185" s="71">
        <v>46.779699999999998</v>
      </c>
      <c r="E185" s="71">
        <v>47.596899999999998</v>
      </c>
      <c r="F185" s="71">
        <v>59765.476999999999</v>
      </c>
      <c r="G185" s="71">
        <v>8.0280000000000005</v>
      </c>
      <c r="H185">
        <v>0</v>
      </c>
      <c r="I185" t="s">
        <v>673</v>
      </c>
      <c r="J185" t="s">
        <v>674</v>
      </c>
    </row>
    <row r="186" spans="1:10" x14ac:dyDescent="0.25">
      <c r="A186" s="141" t="s">
        <v>159</v>
      </c>
      <c r="B186" s="71">
        <v>468.89600000000002</v>
      </c>
      <c r="C186" s="71">
        <v>41.303400000000003</v>
      </c>
      <c r="D186" s="71">
        <v>45.967799999999997</v>
      </c>
      <c r="E186" s="71">
        <v>46.5488</v>
      </c>
      <c r="F186" s="71">
        <v>35705.711000000003</v>
      </c>
      <c r="G186" s="71">
        <v>6.7009999999999996</v>
      </c>
      <c r="H186">
        <v>0</v>
      </c>
      <c r="I186" t="s">
        <v>675</v>
      </c>
      <c r="J186" t="s">
        <v>676</v>
      </c>
    </row>
    <row r="187" spans="1:10" x14ac:dyDescent="0.25">
      <c r="A187" s="141" t="s">
        <v>160</v>
      </c>
      <c r="B187" s="71">
        <v>249.4864</v>
      </c>
      <c r="C187" s="71">
        <v>39.0762</v>
      </c>
      <c r="D187" s="71">
        <v>44.75</v>
      </c>
      <c r="E187" s="71">
        <v>45.170900000000003</v>
      </c>
      <c r="F187" s="71">
        <v>20411.171999999999</v>
      </c>
      <c r="G187" s="71">
        <v>5.7320000000000002</v>
      </c>
      <c r="H187">
        <v>0</v>
      </c>
      <c r="I187" t="s">
        <v>677</v>
      </c>
      <c r="J187" t="s">
        <v>678</v>
      </c>
    </row>
    <row r="188" spans="1:10" x14ac:dyDescent="0.25">
      <c r="A188" s="141" t="s">
        <v>161</v>
      </c>
      <c r="B188" s="71">
        <v>135.82079999999999</v>
      </c>
      <c r="C188" s="71">
        <v>36.292200000000001</v>
      </c>
      <c r="D188" s="71">
        <v>43.099299999999999</v>
      </c>
      <c r="E188" s="71">
        <v>43.247100000000003</v>
      </c>
      <c r="F188" s="71">
        <v>11933.683999999999</v>
      </c>
      <c r="G188" s="71">
        <v>5.101</v>
      </c>
      <c r="H188">
        <v>0</v>
      </c>
      <c r="I188" t="s">
        <v>679</v>
      </c>
      <c r="J188" t="s">
        <v>680</v>
      </c>
    </row>
    <row r="189" spans="1:10" x14ac:dyDescent="0.25">
      <c r="A189" s="141" t="s">
        <v>162</v>
      </c>
      <c r="B189" s="71">
        <v>1255.3552</v>
      </c>
      <c r="C189" s="71">
        <v>42.682499999999997</v>
      </c>
      <c r="D189" s="71">
        <v>48.537700000000001</v>
      </c>
      <c r="E189" s="71">
        <v>47.673699999999997</v>
      </c>
      <c r="F189" s="71">
        <v>65672.327999999994</v>
      </c>
      <c r="G189" s="71">
        <v>8.8800000000000008</v>
      </c>
      <c r="H189">
        <v>0</v>
      </c>
      <c r="I189" t="s">
        <v>681</v>
      </c>
      <c r="J189" t="s">
        <v>682</v>
      </c>
    </row>
    <row r="190" spans="1:10" x14ac:dyDescent="0.25">
      <c r="A190" s="141" t="s">
        <v>163</v>
      </c>
      <c r="B190" s="71">
        <v>607.04160000000002</v>
      </c>
      <c r="C190" s="71">
        <v>40.908900000000003</v>
      </c>
      <c r="D190" s="71">
        <v>47.771500000000003</v>
      </c>
      <c r="E190" s="71">
        <v>46.862699999999997</v>
      </c>
      <c r="F190" s="71">
        <v>38928.546999999999</v>
      </c>
      <c r="G190" s="71">
        <v>6.6529999999999996</v>
      </c>
      <c r="H190">
        <v>0</v>
      </c>
      <c r="I190" t="s">
        <v>683</v>
      </c>
      <c r="J190" t="s">
        <v>684</v>
      </c>
    </row>
    <row r="191" spans="1:10" x14ac:dyDescent="0.25">
      <c r="A191" s="141" t="s">
        <v>164</v>
      </c>
      <c r="B191" s="71">
        <v>322.50560000000002</v>
      </c>
      <c r="C191" s="71">
        <v>38.5199</v>
      </c>
      <c r="D191" s="71">
        <v>46.643500000000003</v>
      </c>
      <c r="E191" s="71">
        <v>45.448599999999999</v>
      </c>
      <c r="F191" s="71">
        <v>22373.094000000001</v>
      </c>
      <c r="G191" s="71">
        <v>5.8949999999999996</v>
      </c>
      <c r="H191">
        <v>0</v>
      </c>
      <c r="I191" t="s">
        <v>685</v>
      </c>
      <c r="J191" t="s">
        <v>686</v>
      </c>
    </row>
    <row r="192" spans="1:10" x14ac:dyDescent="0.25">
      <c r="A192" s="141" t="s">
        <v>165</v>
      </c>
      <c r="B192" s="71">
        <v>176.1584</v>
      </c>
      <c r="C192" s="71">
        <v>35.426299999999998</v>
      </c>
      <c r="D192" s="71">
        <v>45.253700000000002</v>
      </c>
      <c r="E192" s="71">
        <v>43.334600000000002</v>
      </c>
      <c r="F192" s="71">
        <v>13775.691000000001</v>
      </c>
      <c r="G192" s="71">
        <v>4.9619999999999997</v>
      </c>
      <c r="H192">
        <v>0</v>
      </c>
      <c r="I192" t="s">
        <v>687</v>
      </c>
      <c r="J192" t="s">
        <v>688</v>
      </c>
    </row>
    <row r="193" spans="1:7" x14ac:dyDescent="0.2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2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2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2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2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2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2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2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2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2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2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2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2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2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2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2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2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2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2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2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2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2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2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2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2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2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2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2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2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2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2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2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2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2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2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2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2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2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2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2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2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2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2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2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2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2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2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2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2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2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2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2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2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2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2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2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2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2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2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2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2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2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2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2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2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2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2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2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2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2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2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2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25">
      <c r="A265" s="141" t="s">
        <v>310</v>
      </c>
    </row>
    <row r="266" spans="1:7" x14ac:dyDescent="0.25">
      <c r="A266" s="141" t="s">
        <v>311</v>
      </c>
    </row>
    <row r="267" spans="1:7" x14ac:dyDescent="0.25">
      <c r="A267" s="141" t="s">
        <v>312</v>
      </c>
    </row>
    <row r="268" spans="1:7" x14ac:dyDescent="0.25">
      <c r="A268" s="141" t="s">
        <v>313</v>
      </c>
    </row>
    <row r="269" spans="1:7" x14ac:dyDescent="0.25">
      <c r="A269" s="141" t="s">
        <v>314</v>
      </c>
    </row>
    <row r="270" spans="1:7" x14ac:dyDescent="0.25">
      <c r="A270" s="141" t="s">
        <v>315</v>
      </c>
    </row>
    <row r="271" spans="1:7" x14ac:dyDescent="0.25">
      <c r="A271" s="141" t="s">
        <v>316</v>
      </c>
    </row>
    <row r="272" spans="1:7" x14ac:dyDescent="0.25">
      <c r="A272" s="141" t="s">
        <v>317</v>
      </c>
    </row>
    <row r="273" spans="1:1" x14ac:dyDescent="0.25">
      <c r="A273" s="141" t="s">
        <v>390</v>
      </c>
    </row>
    <row r="274" spans="1:1" x14ac:dyDescent="0.25">
      <c r="A274" s="141" t="s">
        <v>391</v>
      </c>
    </row>
    <row r="275" spans="1:1" x14ac:dyDescent="0.25">
      <c r="A275" s="141" t="s">
        <v>392</v>
      </c>
    </row>
    <row r="276" spans="1:1" x14ac:dyDescent="0.25">
      <c r="A276" s="141" t="s">
        <v>393</v>
      </c>
    </row>
    <row r="277" spans="1:1" x14ac:dyDescent="0.25">
      <c r="A277" s="141" t="s">
        <v>394</v>
      </c>
    </row>
    <row r="278" spans="1:1" x14ac:dyDescent="0.25">
      <c r="A278" s="141" t="s">
        <v>395</v>
      </c>
    </row>
    <row r="279" spans="1:1" x14ac:dyDescent="0.25">
      <c r="A279" s="141" t="s">
        <v>396</v>
      </c>
    </row>
    <row r="280" spans="1:1" x14ac:dyDescent="0.25">
      <c r="A280" s="141" t="s">
        <v>397</v>
      </c>
    </row>
    <row r="281" spans="1:1" x14ac:dyDescent="0.25">
      <c r="A281" s="141" t="s">
        <v>398</v>
      </c>
    </row>
    <row r="282" spans="1:1" x14ac:dyDescent="0.25">
      <c r="A282" s="141" t="s">
        <v>399</v>
      </c>
    </row>
    <row r="283" spans="1:1" x14ac:dyDescent="0.25">
      <c r="A283" s="141" t="s">
        <v>400</v>
      </c>
    </row>
    <row r="284" spans="1:1" x14ac:dyDescent="0.25">
      <c r="A284" s="141" t="s">
        <v>401</v>
      </c>
    </row>
    <row r="285" spans="1:1" x14ac:dyDescent="0.25">
      <c r="A285" s="141" t="s">
        <v>402</v>
      </c>
    </row>
    <row r="286" spans="1:1" x14ac:dyDescent="0.25">
      <c r="A286" s="141" t="s">
        <v>403</v>
      </c>
    </row>
    <row r="287" spans="1:1" x14ac:dyDescent="0.25">
      <c r="A287" s="141" t="s">
        <v>404</v>
      </c>
    </row>
    <row r="288" spans="1:1" x14ac:dyDescent="0.25">
      <c r="A288" s="141" t="s">
        <v>405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Summary_SEQ</vt:lpstr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futl</cp:lastModifiedBy>
  <dcterms:created xsi:type="dcterms:W3CDTF">2011-06-30T00:09:01Z</dcterms:created>
  <dcterms:modified xsi:type="dcterms:W3CDTF">2021-12-06T11:33:43Z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  <property fmtid="{D5CDD505-2E9C-101B-9397-08002B2CF9AE}" pid="15" name="_2015_ms_pID_725343">
    <vt:lpwstr>(3)2a4sjqkm4vlO77cT1tO0yAvaHNaWyiVWnK6Dx69FddClAnSY5zPwiDmcDOuAkHDzWQbRBL6G
5Z4Wn4DWmClGCplZz6LBmezPzWEYkeFshL+kIVJe1PH2ZC4eJrO9Sd4L+8LS+vE9ZD0OeQYk
osGPG2kKwiLy7Z4P7g0b4TU2rs83AJl7EzSdHRN1GKcGw/Cgb8KsGr4NwlQBUOLzfDlFzkiy
bANGrPyEVmtH0agVkt</vt:lpwstr>
  </property>
  <property fmtid="{D5CDD505-2E9C-101B-9397-08002B2CF9AE}" pid="16" name="_2015_ms_pID_7253431">
    <vt:lpwstr>Ow4zijgcID/v8XzWXRIE0gAsvYn0ll+4KVpYGlUhJOUkN8CKy6aP39
Yb1Bc5y6LKNIv8XlJsqJdf2yeknNKiAfhjm3ToyooNSYAYUvJnxgPLWAw31W+VoRnNdIPxHg
YWw/9ZnuCj3QR+/MMOk0VphNdDen6UvNHWKYqQMlL79W8538frQqZr1Dzi70aBCqt53uIEOo
kMDSlSVhViRHNVBiGyMCXh98Wu5RzwL54itc</vt:lpwstr>
  </property>
  <property fmtid="{D5CDD505-2E9C-101B-9397-08002B2CF9AE}" pid="17" name="_readonly">
    <vt:lpwstr/>
  </property>
  <property fmtid="{D5CDD505-2E9C-101B-9397-08002B2CF9AE}" pid="18" name="_change">
    <vt:lpwstr/>
  </property>
  <property fmtid="{D5CDD505-2E9C-101B-9397-08002B2CF9AE}" pid="19" name="_full-control">
    <vt:lpwstr/>
  </property>
  <property fmtid="{D5CDD505-2E9C-101B-9397-08002B2CF9AE}" pid="20" name="sflag">
    <vt:lpwstr>1548221515</vt:lpwstr>
  </property>
  <property fmtid="{D5CDD505-2E9C-101B-9397-08002B2CF9AE}" pid="21" name="_2015_ms_pID_7253432">
    <vt:lpwstr>hwb42voGJ1TYaETuu2ML47c=</vt:lpwstr>
  </property>
</Properties>
</file>