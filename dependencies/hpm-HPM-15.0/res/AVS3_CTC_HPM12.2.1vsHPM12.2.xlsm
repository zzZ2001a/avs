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futl\work\ByteDance\Test_Try\软件维护报告\M6739\"/>
    </mc:Choice>
  </mc:AlternateContent>
  <xr:revisionPtr revIDLastSave="0" documentId="13_ncr:1_{344BFAA1-8FC9-484A-9C7E-1AB9618C71A6}" xr6:coauthVersionLast="47" xr6:coauthVersionMax="47" xr10:uidLastSave="{00000000-0000-0000-0000-000000000000}"/>
  <bookViews>
    <workbookView xWindow="28680" yWindow="-120" windowWidth="29040" windowHeight="15840" tabRatio="884" activeTab="1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9" l="1"/>
  <c r="L4" i="25" l="1"/>
  <c r="M4" i="25"/>
  <c r="N4" i="25"/>
  <c r="O4" i="25"/>
  <c r="P4" i="25"/>
  <c r="Q4" i="25"/>
  <c r="L5" i="25"/>
  <c r="M5" i="25"/>
  <c r="N5" i="25"/>
  <c r="O5" i="25"/>
  <c r="P5" i="25"/>
  <c r="Q5" i="25"/>
  <c r="L6" i="25"/>
  <c r="M6" i="25"/>
  <c r="N6" i="25"/>
  <c r="O6" i="25"/>
  <c r="P6" i="25"/>
  <c r="Q6" i="25"/>
  <c r="L7" i="25"/>
  <c r="M7" i="25"/>
  <c r="N7" i="25"/>
  <c r="O7" i="25"/>
  <c r="P7" i="25"/>
  <c r="Q7" i="25"/>
  <c r="L8" i="25"/>
  <c r="M8" i="25"/>
  <c r="N8" i="25"/>
  <c r="O8" i="25"/>
  <c r="P8" i="25"/>
  <c r="Q8" i="25"/>
  <c r="L9" i="25"/>
  <c r="M9" i="25"/>
  <c r="N9" i="25"/>
  <c r="O9" i="25"/>
  <c r="P9" i="25"/>
  <c r="Q9" i="25"/>
  <c r="L10" i="25"/>
  <c r="M10" i="25"/>
  <c r="N10" i="25"/>
  <c r="O10" i="25"/>
  <c r="P10" i="25"/>
  <c r="Q10" i="25"/>
  <c r="L11" i="25"/>
  <c r="M11" i="25"/>
  <c r="N11" i="25"/>
  <c r="O11" i="25"/>
  <c r="P11" i="25"/>
  <c r="Q11" i="25"/>
  <c r="L12" i="25"/>
  <c r="M12" i="25"/>
  <c r="N12" i="25"/>
  <c r="O12" i="25"/>
  <c r="P12" i="25"/>
  <c r="Q12" i="25"/>
  <c r="L13" i="25"/>
  <c r="M13" i="25"/>
  <c r="N13" i="25"/>
  <c r="O13" i="25"/>
  <c r="P13" i="25"/>
  <c r="Q13" i="25"/>
  <c r="L14" i="25"/>
  <c r="M14" i="25"/>
  <c r="N14" i="25"/>
  <c r="O14" i="25"/>
  <c r="P14" i="25"/>
  <c r="Q14" i="25"/>
  <c r="L15" i="25"/>
  <c r="M15" i="25"/>
  <c r="N15" i="25"/>
  <c r="O15" i="25"/>
  <c r="P15" i="25"/>
  <c r="Q15" i="25"/>
  <c r="L16" i="25"/>
  <c r="M16" i="25"/>
  <c r="N16" i="25"/>
  <c r="O16" i="25"/>
  <c r="P16" i="25"/>
  <c r="Q16" i="25"/>
  <c r="L17" i="25"/>
  <c r="M17" i="25"/>
  <c r="N17" i="25"/>
  <c r="O17" i="25"/>
  <c r="P17" i="25"/>
  <c r="Q17" i="25"/>
  <c r="L18" i="25"/>
  <c r="M18" i="25"/>
  <c r="N18" i="25"/>
  <c r="O18" i="25"/>
  <c r="P18" i="25"/>
  <c r="Q18" i="25"/>
  <c r="L19" i="25"/>
  <c r="M19" i="25"/>
  <c r="N19" i="25"/>
  <c r="O19" i="25"/>
  <c r="P19" i="25"/>
  <c r="Q19" i="25"/>
  <c r="L20" i="25"/>
  <c r="M20" i="25"/>
  <c r="N20" i="25"/>
  <c r="O20" i="25"/>
  <c r="P20" i="25"/>
  <c r="Q20" i="25"/>
  <c r="L21" i="25"/>
  <c r="M21" i="25"/>
  <c r="N21" i="25"/>
  <c r="O21" i="25"/>
  <c r="P21" i="25"/>
  <c r="Q21" i="25"/>
  <c r="L22" i="25"/>
  <c r="M22" i="25"/>
  <c r="N22" i="25"/>
  <c r="O22" i="25"/>
  <c r="P22" i="25"/>
  <c r="Q22" i="25"/>
  <c r="L23" i="25"/>
  <c r="M23" i="25"/>
  <c r="N23" i="25"/>
  <c r="O23" i="25"/>
  <c r="P23" i="25"/>
  <c r="Q23" i="25"/>
  <c r="L24" i="25"/>
  <c r="M24" i="25"/>
  <c r="N24" i="25"/>
  <c r="O24" i="25"/>
  <c r="P24" i="25"/>
  <c r="Q24" i="25"/>
  <c r="L25" i="25"/>
  <c r="M25" i="25"/>
  <c r="N25" i="25"/>
  <c r="O25" i="25"/>
  <c r="P25" i="25"/>
  <c r="Q25" i="25"/>
  <c r="L26" i="25"/>
  <c r="M26" i="25"/>
  <c r="N26" i="25"/>
  <c r="O26" i="25"/>
  <c r="P26" i="25"/>
  <c r="Q26" i="25"/>
  <c r="L27" i="25"/>
  <c r="M27" i="25"/>
  <c r="N27" i="25"/>
  <c r="O27" i="25"/>
  <c r="P27" i="25"/>
  <c r="Q27" i="25"/>
  <c r="L28" i="25"/>
  <c r="M28" i="25"/>
  <c r="N28" i="25"/>
  <c r="O28" i="25"/>
  <c r="P28" i="25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L32" i="25"/>
  <c r="M32" i="25"/>
  <c r="N32" i="25"/>
  <c r="O32" i="25"/>
  <c r="P32" i="25"/>
  <c r="Q32" i="25"/>
  <c r="L33" i="25"/>
  <c r="M33" i="25"/>
  <c r="N33" i="25"/>
  <c r="O33" i="25"/>
  <c r="P33" i="25"/>
  <c r="Q33" i="25"/>
  <c r="L34" i="25"/>
  <c r="M34" i="25"/>
  <c r="N34" i="25"/>
  <c r="O34" i="25"/>
  <c r="P34" i="25"/>
  <c r="Q34" i="25"/>
  <c r="L35" i="25"/>
  <c r="M35" i="25"/>
  <c r="N35" i="25"/>
  <c r="O35" i="25"/>
  <c r="P35" i="25"/>
  <c r="Q35" i="25"/>
  <c r="L36" i="25"/>
  <c r="M36" i="25"/>
  <c r="N36" i="25"/>
  <c r="O36" i="25"/>
  <c r="P36" i="25"/>
  <c r="Q36" i="25"/>
  <c r="L37" i="25"/>
  <c r="M37" i="25"/>
  <c r="N37" i="25"/>
  <c r="O37" i="25"/>
  <c r="P37" i="25"/>
  <c r="Q37" i="25"/>
  <c r="L38" i="25"/>
  <c r="M38" i="25"/>
  <c r="N38" i="25"/>
  <c r="O38" i="25"/>
  <c r="P38" i="25"/>
  <c r="Q38" i="25"/>
  <c r="L39" i="25"/>
  <c r="M39" i="25"/>
  <c r="N39" i="25"/>
  <c r="O39" i="25"/>
  <c r="P39" i="25"/>
  <c r="Q39" i="25"/>
  <c r="L40" i="25"/>
  <c r="M40" i="25"/>
  <c r="N40" i="25"/>
  <c r="O40" i="25"/>
  <c r="P40" i="25"/>
  <c r="Q40" i="25"/>
  <c r="L41" i="25"/>
  <c r="M41" i="25"/>
  <c r="N41" i="25"/>
  <c r="O41" i="25"/>
  <c r="P41" i="25"/>
  <c r="Q41" i="25"/>
  <c r="L42" i="25"/>
  <c r="M42" i="25"/>
  <c r="N42" i="25"/>
  <c r="O42" i="25"/>
  <c r="P42" i="25"/>
  <c r="Q42" i="25"/>
  <c r="L43" i="25"/>
  <c r="M43" i="25"/>
  <c r="N43" i="25"/>
  <c r="O43" i="25"/>
  <c r="P43" i="25"/>
  <c r="Q43" i="25"/>
  <c r="L44" i="25"/>
  <c r="M44" i="25"/>
  <c r="N44" i="25"/>
  <c r="O44" i="25"/>
  <c r="P44" i="25"/>
  <c r="Q44" i="25"/>
  <c r="L45" i="25"/>
  <c r="M45" i="25"/>
  <c r="N45" i="25"/>
  <c r="O45" i="25"/>
  <c r="P45" i="25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Q48" i="25"/>
  <c r="L49" i="25"/>
  <c r="M49" i="25"/>
  <c r="N49" i="25"/>
  <c r="O49" i="25"/>
  <c r="P49" i="25"/>
  <c r="Q49" i="25"/>
  <c r="L50" i="25"/>
  <c r="M50" i="25"/>
  <c r="N50" i="25"/>
  <c r="O50" i="25"/>
  <c r="P50" i="25"/>
  <c r="Q50" i="25"/>
  <c r="M3" i="25"/>
  <c r="N3" i="25"/>
  <c r="O3" i="25"/>
  <c r="P3" i="25"/>
  <c r="Q3" i="25"/>
  <c r="L3" i="25"/>
  <c r="L4" i="20"/>
  <c r="M4" i="20"/>
  <c r="N4" i="20"/>
  <c r="O4" i="20"/>
  <c r="P4" i="20"/>
  <c r="Q4" i="20"/>
  <c r="L5" i="20"/>
  <c r="M5" i="20"/>
  <c r="N5" i="20"/>
  <c r="O5" i="20"/>
  <c r="P5" i="20"/>
  <c r="Q5" i="20"/>
  <c r="L6" i="20"/>
  <c r="M6" i="20"/>
  <c r="N6" i="20"/>
  <c r="O6" i="20"/>
  <c r="P6" i="20"/>
  <c r="Q6" i="20"/>
  <c r="L7" i="20"/>
  <c r="M7" i="20"/>
  <c r="N7" i="20"/>
  <c r="O7" i="20"/>
  <c r="P7" i="20"/>
  <c r="Q7" i="20"/>
  <c r="L8" i="20"/>
  <c r="M8" i="20"/>
  <c r="N8" i="20"/>
  <c r="O8" i="20"/>
  <c r="P8" i="20"/>
  <c r="Q8" i="20"/>
  <c r="L9" i="20"/>
  <c r="M9" i="20"/>
  <c r="N9" i="20"/>
  <c r="O9" i="20"/>
  <c r="P9" i="20"/>
  <c r="Q9" i="20"/>
  <c r="L10" i="20"/>
  <c r="M10" i="20"/>
  <c r="N10" i="20"/>
  <c r="O10" i="20"/>
  <c r="P10" i="20"/>
  <c r="Q10" i="20"/>
  <c r="L11" i="20"/>
  <c r="M11" i="20"/>
  <c r="N11" i="20"/>
  <c r="O11" i="20"/>
  <c r="P11" i="20"/>
  <c r="Q11" i="20"/>
  <c r="L12" i="20"/>
  <c r="M12" i="20"/>
  <c r="N12" i="20"/>
  <c r="O12" i="20"/>
  <c r="P12" i="20"/>
  <c r="Q12" i="20"/>
  <c r="L13" i="20"/>
  <c r="M13" i="20"/>
  <c r="N13" i="20"/>
  <c r="O13" i="20"/>
  <c r="P13" i="20"/>
  <c r="Q13" i="20"/>
  <c r="L14" i="20"/>
  <c r="M14" i="20"/>
  <c r="N14" i="20"/>
  <c r="O14" i="20"/>
  <c r="P14" i="20"/>
  <c r="Q14" i="20"/>
  <c r="L15" i="20"/>
  <c r="M15" i="20"/>
  <c r="N15" i="20"/>
  <c r="O15" i="20"/>
  <c r="P15" i="20"/>
  <c r="Q15" i="20"/>
  <c r="L16" i="20"/>
  <c r="M16" i="20"/>
  <c r="N16" i="20"/>
  <c r="O16" i="20"/>
  <c r="P16" i="20"/>
  <c r="Q16" i="20"/>
  <c r="L17" i="20"/>
  <c r="M17" i="20"/>
  <c r="N17" i="20"/>
  <c r="O17" i="20"/>
  <c r="P17" i="20"/>
  <c r="Q17" i="20"/>
  <c r="L18" i="20"/>
  <c r="M18" i="20"/>
  <c r="N18" i="20"/>
  <c r="O18" i="20"/>
  <c r="P18" i="20"/>
  <c r="Q18" i="20"/>
  <c r="L19" i="20"/>
  <c r="M19" i="20"/>
  <c r="N19" i="20"/>
  <c r="O19" i="20"/>
  <c r="P19" i="20"/>
  <c r="Q19" i="20"/>
  <c r="L20" i="20"/>
  <c r="M20" i="20"/>
  <c r="N20" i="20"/>
  <c r="O20" i="20"/>
  <c r="P20" i="20"/>
  <c r="Q20" i="20"/>
  <c r="L21" i="20"/>
  <c r="M21" i="20"/>
  <c r="N21" i="20"/>
  <c r="O21" i="20"/>
  <c r="P21" i="20"/>
  <c r="Q21" i="20"/>
  <c r="L22" i="20"/>
  <c r="M22" i="20"/>
  <c r="N22" i="20"/>
  <c r="O22" i="20"/>
  <c r="P22" i="20"/>
  <c r="Q22" i="20"/>
  <c r="L23" i="20"/>
  <c r="M23" i="20"/>
  <c r="N23" i="20"/>
  <c r="O23" i="20"/>
  <c r="P23" i="20"/>
  <c r="Q23" i="20"/>
  <c r="L24" i="20"/>
  <c r="M24" i="20"/>
  <c r="N24" i="20"/>
  <c r="O24" i="20"/>
  <c r="P24" i="20"/>
  <c r="Q24" i="20"/>
  <c r="L25" i="20"/>
  <c r="M25" i="20"/>
  <c r="N25" i="20"/>
  <c r="O25" i="20"/>
  <c r="P25" i="20"/>
  <c r="Q25" i="20"/>
  <c r="L26" i="20"/>
  <c r="M26" i="20"/>
  <c r="N26" i="20"/>
  <c r="O26" i="20"/>
  <c r="P26" i="20"/>
  <c r="Q26" i="20"/>
  <c r="L27" i="20"/>
  <c r="M27" i="20"/>
  <c r="N27" i="20"/>
  <c r="O27" i="20"/>
  <c r="P27" i="20"/>
  <c r="Q27" i="20"/>
  <c r="L28" i="20"/>
  <c r="M28" i="20"/>
  <c r="N28" i="20"/>
  <c r="O28" i="20"/>
  <c r="P28" i="20"/>
  <c r="Q28" i="20"/>
  <c r="L29" i="20"/>
  <c r="M29" i="20"/>
  <c r="N29" i="20"/>
  <c r="O29" i="20"/>
  <c r="P29" i="20"/>
  <c r="Q29" i="20"/>
  <c r="L30" i="20"/>
  <c r="M30" i="20"/>
  <c r="N30" i="20"/>
  <c r="O30" i="20"/>
  <c r="P30" i="20"/>
  <c r="Q30" i="20"/>
  <c r="L31" i="20"/>
  <c r="M31" i="20"/>
  <c r="N31" i="20"/>
  <c r="O31" i="20"/>
  <c r="P31" i="20"/>
  <c r="Q31" i="20"/>
  <c r="L32" i="20"/>
  <c r="M32" i="20"/>
  <c r="N32" i="20"/>
  <c r="O32" i="20"/>
  <c r="P32" i="20"/>
  <c r="Q32" i="20"/>
  <c r="L33" i="20"/>
  <c r="M33" i="20"/>
  <c r="N33" i="20"/>
  <c r="O33" i="20"/>
  <c r="P33" i="20"/>
  <c r="Q33" i="20"/>
  <c r="L34" i="20"/>
  <c r="M34" i="20"/>
  <c r="N34" i="20"/>
  <c r="O34" i="20"/>
  <c r="P34" i="20"/>
  <c r="Q34" i="20"/>
  <c r="L35" i="20"/>
  <c r="M35" i="20"/>
  <c r="N35" i="20"/>
  <c r="O35" i="20"/>
  <c r="P35" i="20"/>
  <c r="Q35" i="20"/>
  <c r="L36" i="20"/>
  <c r="M36" i="20"/>
  <c r="N36" i="20"/>
  <c r="O36" i="20"/>
  <c r="P36" i="20"/>
  <c r="Q36" i="20"/>
  <c r="L37" i="20"/>
  <c r="M37" i="20"/>
  <c r="N37" i="20"/>
  <c r="O37" i="20"/>
  <c r="P37" i="20"/>
  <c r="Q37" i="20"/>
  <c r="L38" i="20"/>
  <c r="M38" i="20"/>
  <c r="N38" i="20"/>
  <c r="O38" i="20"/>
  <c r="P38" i="20"/>
  <c r="Q38" i="20"/>
  <c r="L39" i="20"/>
  <c r="M39" i="20"/>
  <c r="N39" i="20"/>
  <c r="O39" i="20"/>
  <c r="P39" i="20"/>
  <c r="Q39" i="20"/>
  <c r="L40" i="20"/>
  <c r="M40" i="20"/>
  <c r="N40" i="20"/>
  <c r="O40" i="20"/>
  <c r="P40" i="20"/>
  <c r="Q40" i="20"/>
  <c r="L41" i="20"/>
  <c r="M41" i="20"/>
  <c r="N41" i="20"/>
  <c r="O41" i="20"/>
  <c r="P41" i="20"/>
  <c r="Q41" i="20"/>
  <c r="L42" i="20"/>
  <c r="M42" i="20"/>
  <c r="N42" i="20"/>
  <c r="O42" i="20"/>
  <c r="P42" i="20"/>
  <c r="Q42" i="20"/>
  <c r="L43" i="20"/>
  <c r="M43" i="20"/>
  <c r="N43" i="20"/>
  <c r="O43" i="20"/>
  <c r="P43" i="20"/>
  <c r="Q43" i="20"/>
  <c r="L44" i="20"/>
  <c r="M44" i="20"/>
  <c r="N44" i="20"/>
  <c r="O44" i="20"/>
  <c r="P44" i="20"/>
  <c r="Q44" i="20"/>
  <c r="L45" i="20"/>
  <c r="M45" i="20"/>
  <c r="N45" i="20"/>
  <c r="O45" i="20"/>
  <c r="P45" i="20"/>
  <c r="Q45" i="20"/>
  <c r="L46" i="20"/>
  <c r="M46" i="20"/>
  <c r="N46" i="20"/>
  <c r="O46" i="20"/>
  <c r="P46" i="20"/>
  <c r="Q46" i="20"/>
  <c r="L47" i="20"/>
  <c r="M47" i="20"/>
  <c r="N47" i="20"/>
  <c r="O47" i="20"/>
  <c r="P47" i="20"/>
  <c r="Q47" i="20"/>
  <c r="L48" i="20"/>
  <c r="M48" i="20"/>
  <c r="N48" i="20"/>
  <c r="O48" i="20"/>
  <c r="P48" i="20"/>
  <c r="Q48" i="20"/>
  <c r="L49" i="20"/>
  <c r="M49" i="20"/>
  <c r="N49" i="20"/>
  <c r="O49" i="20"/>
  <c r="P49" i="20"/>
  <c r="Q49" i="20"/>
  <c r="L50" i="20"/>
  <c r="M50" i="20"/>
  <c r="N50" i="20"/>
  <c r="O50" i="20"/>
  <c r="P50" i="20"/>
  <c r="Q50" i="20"/>
  <c r="M3" i="20"/>
  <c r="N3" i="20"/>
  <c r="O3" i="20"/>
  <c r="P3" i="20"/>
  <c r="Q3" i="20"/>
  <c r="L3" i="20"/>
  <c r="L4" i="27"/>
  <c r="M4" i="27"/>
  <c r="N4" i="27"/>
  <c r="O4" i="27"/>
  <c r="P4" i="27"/>
  <c r="Q4" i="27"/>
  <c r="L5" i="27"/>
  <c r="M5" i="27"/>
  <c r="N5" i="27"/>
  <c r="O5" i="27"/>
  <c r="P5" i="27"/>
  <c r="Q5" i="27"/>
  <c r="L6" i="27"/>
  <c r="M6" i="27"/>
  <c r="N6" i="27"/>
  <c r="O6" i="27"/>
  <c r="P6" i="27"/>
  <c r="Q6" i="27"/>
  <c r="L7" i="27"/>
  <c r="M7" i="27"/>
  <c r="N7" i="27"/>
  <c r="O7" i="27"/>
  <c r="P7" i="27"/>
  <c r="Q7" i="27"/>
  <c r="L8" i="27"/>
  <c r="M8" i="27"/>
  <c r="N8" i="27"/>
  <c r="O8" i="27"/>
  <c r="P8" i="27"/>
  <c r="Q8" i="27"/>
  <c r="L9" i="27"/>
  <c r="M9" i="27"/>
  <c r="N9" i="27"/>
  <c r="O9" i="27"/>
  <c r="P9" i="27"/>
  <c r="Q9" i="27"/>
  <c r="L10" i="27"/>
  <c r="M10" i="27"/>
  <c r="N10" i="27"/>
  <c r="O10" i="27"/>
  <c r="P10" i="27"/>
  <c r="Q10" i="27"/>
  <c r="L11" i="27"/>
  <c r="M11" i="27"/>
  <c r="N11" i="27"/>
  <c r="O11" i="27"/>
  <c r="P11" i="27"/>
  <c r="Q11" i="27"/>
  <c r="L12" i="27"/>
  <c r="M12" i="27"/>
  <c r="N12" i="27"/>
  <c r="O12" i="27"/>
  <c r="P12" i="27"/>
  <c r="Q12" i="27"/>
  <c r="L13" i="27"/>
  <c r="M13" i="27"/>
  <c r="N13" i="27"/>
  <c r="O13" i="27"/>
  <c r="P13" i="27"/>
  <c r="Q13" i="27"/>
  <c r="L14" i="27"/>
  <c r="M14" i="27"/>
  <c r="N14" i="27"/>
  <c r="O14" i="27"/>
  <c r="P14" i="27"/>
  <c r="Q14" i="27"/>
  <c r="L15" i="27"/>
  <c r="M15" i="27"/>
  <c r="N15" i="27"/>
  <c r="O15" i="27"/>
  <c r="P15" i="27"/>
  <c r="Q15" i="27"/>
  <c r="L16" i="27"/>
  <c r="M16" i="27"/>
  <c r="N16" i="27"/>
  <c r="O16" i="27"/>
  <c r="P16" i="27"/>
  <c r="Q16" i="27"/>
  <c r="L17" i="27"/>
  <c r="M17" i="27"/>
  <c r="N17" i="27"/>
  <c r="O17" i="27"/>
  <c r="P17" i="27"/>
  <c r="Q17" i="27"/>
  <c r="L18" i="27"/>
  <c r="M18" i="27"/>
  <c r="N18" i="27"/>
  <c r="O18" i="27"/>
  <c r="P18" i="27"/>
  <c r="Q18" i="27"/>
  <c r="L19" i="27"/>
  <c r="M19" i="27"/>
  <c r="N19" i="27"/>
  <c r="O19" i="27"/>
  <c r="P19" i="27"/>
  <c r="Q19" i="27"/>
  <c r="L20" i="27"/>
  <c r="M20" i="27"/>
  <c r="N20" i="27"/>
  <c r="O20" i="27"/>
  <c r="P20" i="27"/>
  <c r="Q20" i="27"/>
  <c r="L21" i="27"/>
  <c r="M21" i="27"/>
  <c r="N21" i="27"/>
  <c r="O21" i="27"/>
  <c r="P21" i="27"/>
  <c r="Q21" i="27"/>
  <c r="L22" i="27"/>
  <c r="M22" i="27"/>
  <c r="N22" i="27"/>
  <c r="O22" i="27"/>
  <c r="P22" i="27"/>
  <c r="Q22" i="27"/>
  <c r="L23" i="27"/>
  <c r="M23" i="27"/>
  <c r="N23" i="27"/>
  <c r="O23" i="27"/>
  <c r="P23" i="27"/>
  <c r="Q23" i="27"/>
  <c r="L24" i="27"/>
  <c r="M24" i="27"/>
  <c r="N24" i="27"/>
  <c r="O24" i="27"/>
  <c r="P24" i="27"/>
  <c r="Q24" i="27"/>
  <c r="L25" i="27"/>
  <c r="M25" i="27"/>
  <c r="N25" i="27"/>
  <c r="O25" i="27"/>
  <c r="P25" i="27"/>
  <c r="Q25" i="27"/>
  <c r="L26" i="27"/>
  <c r="M26" i="27"/>
  <c r="N26" i="27"/>
  <c r="O26" i="27"/>
  <c r="P26" i="27"/>
  <c r="Q26" i="27"/>
  <c r="L27" i="27"/>
  <c r="M27" i="27"/>
  <c r="N27" i="27"/>
  <c r="O27" i="27"/>
  <c r="P27" i="27"/>
  <c r="Q27" i="27"/>
  <c r="L28" i="27"/>
  <c r="M28" i="27"/>
  <c r="N28" i="27"/>
  <c r="O28" i="27"/>
  <c r="P28" i="27"/>
  <c r="Q28" i="27"/>
  <c r="L29" i="27"/>
  <c r="M29" i="27"/>
  <c r="N29" i="27"/>
  <c r="O29" i="27"/>
  <c r="P29" i="27"/>
  <c r="Q29" i="27"/>
  <c r="L30" i="27"/>
  <c r="M30" i="27"/>
  <c r="N30" i="27"/>
  <c r="O30" i="27"/>
  <c r="P30" i="27"/>
  <c r="Q30" i="27"/>
  <c r="L31" i="27"/>
  <c r="M31" i="27"/>
  <c r="N31" i="27"/>
  <c r="O31" i="27"/>
  <c r="P31" i="27"/>
  <c r="Q31" i="27"/>
  <c r="L32" i="27"/>
  <c r="M32" i="27"/>
  <c r="N32" i="27"/>
  <c r="O32" i="27"/>
  <c r="P32" i="27"/>
  <c r="Q32" i="27"/>
  <c r="L33" i="27"/>
  <c r="M33" i="27"/>
  <c r="N33" i="27"/>
  <c r="O33" i="27"/>
  <c r="P33" i="27"/>
  <c r="Q33" i="27"/>
  <c r="L34" i="27"/>
  <c r="M34" i="27"/>
  <c r="N34" i="27"/>
  <c r="O34" i="27"/>
  <c r="P34" i="27"/>
  <c r="Q34" i="27"/>
  <c r="L35" i="27"/>
  <c r="M35" i="27"/>
  <c r="N35" i="27"/>
  <c r="O35" i="27"/>
  <c r="P35" i="27"/>
  <c r="Q35" i="27"/>
  <c r="L36" i="27"/>
  <c r="M36" i="27"/>
  <c r="N36" i="27"/>
  <c r="O36" i="27"/>
  <c r="P36" i="27"/>
  <c r="Q36" i="27"/>
  <c r="L37" i="27"/>
  <c r="M37" i="27"/>
  <c r="N37" i="27"/>
  <c r="O37" i="27"/>
  <c r="P37" i="27"/>
  <c r="Q37" i="27"/>
  <c r="L38" i="27"/>
  <c r="M38" i="27"/>
  <c r="N38" i="27"/>
  <c r="O38" i="27"/>
  <c r="P38" i="27"/>
  <c r="Q38" i="27"/>
  <c r="L39" i="27"/>
  <c r="M39" i="27"/>
  <c r="N39" i="27"/>
  <c r="O39" i="27"/>
  <c r="P39" i="27"/>
  <c r="Q39" i="27"/>
  <c r="L40" i="27"/>
  <c r="M40" i="27"/>
  <c r="N40" i="27"/>
  <c r="O40" i="27"/>
  <c r="P40" i="27"/>
  <c r="Q40" i="27"/>
  <c r="L41" i="27"/>
  <c r="M41" i="27"/>
  <c r="N41" i="27"/>
  <c r="O41" i="27"/>
  <c r="P41" i="27"/>
  <c r="Q41" i="27"/>
  <c r="L42" i="27"/>
  <c r="M42" i="27"/>
  <c r="N42" i="27"/>
  <c r="O42" i="27"/>
  <c r="P42" i="27"/>
  <c r="Q42" i="27"/>
  <c r="L43" i="27"/>
  <c r="M43" i="27"/>
  <c r="N43" i="27"/>
  <c r="O43" i="27"/>
  <c r="P43" i="27"/>
  <c r="Q43" i="27"/>
  <c r="L44" i="27"/>
  <c r="M44" i="27"/>
  <c r="N44" i="27"/>
  <c r="O44" i="27"/>
  <c r="P44" i="27"/>
  <c r="Q44" i="27"/>
  <c r="L45" i="27"/>
  <c r="M45" i="27"/>
  <c r="N45" i="27"/>
  <c r="O45" i="27"/>
  <c r="P45" i="27"/>
  <c r="Q45" i="27"/>
  <c r="L46" i="27"/>
  <c r="M46" i="27"/>
  <c r="N46" i="27"/>
  <c r="O46" i="27"/>
  <c r="P46" i="27"/>
  <c r="Q46" i="27"/>
  <c r="L47" i="27"/>
  <c r="M47" i="27"/>
  <c r="N47" i="27"/>
  <c r="O47" i="27"/>
  <c r="P47" i="27"/>
  <c r="Q47" i="27"/>
  <c r="L48" i="27"/>
  <c r="M48" i="27"/>
  <c r="N48" i="27"/>
  <c r="O48" i="27"/>
  <c r="P48" i="27"/>
  <c r="Q48" i="27"/>
  <c r="L49" i="27"/>
  <c r="M49" i="27"/>
  <c r="N49" i="27"/>
  <c r="O49" i="27"/>
  <c r="P49" i="27"/>
  <c r="Q49" i="27"/>
  <c r="L50" i="27"/>
  <c r="M50" i="27"/>
  <c r="N50" i="27"/>
  <c r="O50" i="27"/>
  <c r="P50" i="27"/>
  <c r="Q50" i="27"/>
  <c r="M3" i="27"/>
  <c r="N3" i="27"/>
  <c r="O3" i="27"/>
  <c r="P3" i="27"/>
  <c r="Q3" i="27"/>
  <c r="L3" i="27"/>
  <c r="L51" i="25" l="1"/>
  <c r="L51" i="20"/>
  <c r="L51" i="27"/>
  <c r="C3" i="9" l="1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I74" i="29"/>
  <c r="P74" i="29"/>
  <c r="O74" i="29"/>
  <c r="N74" i="29"/>
  <c r="M74" i="29"/>
  <c r="L74" i="29"/>
  <c r="H74" i="29"/>
  <c r="J74" i="29" s="1"/>
  <c r="G74" i="29"/>
  <c r="F74" i="29"/>
  <c r="E74" i="29"/>
  <c r="D74" i="29"/>
  <c r="Q73" i="29"/>
  <c r="P73" i="29"/>
  <c r="R73" i="29" s="1"/>
  <c r="O73" i="29"/>
  <c r="N73" i="29"/>
  <c r="M73" i="29"/>
  <c r="L73" i="29"/>
  <c r="I73" i="29"/>
  <c r="H73" i="29"/>
  <c r="J73" i="29" s="1"/>
  <c r="G73" i="29"/>
  <c r="F73" i="29"/>
  <c r="E73" i="29"/>
  <c r="D73" i="29"/>
  <c r="Q72" i="29"/>
  <c r="I72" i="29"/>
  <c r="P72" i="29"/>
  <c r="R72" i="29" s="1"/>
  <c r="H72" i="29"/>
  <c r="J72" i="29" s="1"/>
  <c r="O72" i="29"/>
  <c r="N72" i="29"/>
  <c r="M72" i="29"/>
  <c r="L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P69" i="29"/>
  <c r="R69" i="29" s="1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I67" i="29"/>
  <c r="P67" i="29"/>
  <c r="R67" i="29" s="1"/>
  <c r="O67" i="29"/>
  <c r="N67" i="29"/>
  <c r="M67" i="29"/>
  <c r="L67" i="29"/>
  <c r="H67" i="29"/>
  <c r="J67" i="29" s="1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P65" i="29"/>
  <c r="R65" i="29" s="1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 s="1"/>
  <c r="G64" i="29"/>
  <c r="F64" i="29"/>
  <c r="E64" i="29"/>
  <c r="D64" i="29"/>
  <c r="Q63" i="29"/>
  <c r="I63" i="29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 s="1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J61" i="29" s="1"/>
  <c r="G61" i="29"/>
  <c r="F61" i="29"/>
  <c r="E61" i="29"/>
  <c r="D61" i="29"/>
  <c r="Q60" i="29"/>
  <c r="I60" i="29"/>
  <c r="P60" i="29"/>
  <c r="O60" i="29"/>
  <c r="N60" i="29"/>
  <c r="M60" i="29"/>
  <c r="L60" i="29"/>
  <c r="H60" i="29"/>
  <c r="J60" i="29" s="1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T59" i="29" s="1"/>
  <c r="T79" i="29" s="1"/>
  <c r="N28" i="30" s="1"/>
  <c r="H59" i="29"/>
  <c r="J59" i="29" s="1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D5" i="29"/>
  <c r="E5" i="29"/>
  <c r="F5" i="29"/>
  <c r="G5" i="29"/>
  <c r="H5" i="29"/>
  <c r="J5" i="29" s="1"/>
  <c r="I5" i="29"/>
  <c r="I3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Q5" i="29"/>
  <c r="D6" i="29"/>
  <c r="E6" i="29"/>
  <c r="F6" i="29"/>
  <c r="G6" i="29"/>
  <c r="H6" i="29"/>
  <c r="J6" i="29" s="1"/>
  <c r="L6" i="29"/>
  <c r="M6" i="29"/>
  <c r="N6" i="29"/>
  <c r="O6" i="29"/>
  <c r="P6" i="29"/>
  <c r="R6" i="29" s="1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 s="1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D17" i="29"/>
  <c r="E17" i="29"/>
  <c r="F17" i="29"/>
  <c r="G17" i="29"/>
  <c r="H17" i="29"/>
  <c r="J17" i="29" s="1"/>
  <c r="L17" i="29"/>
  <c r="M17" i="29"/>
  <c r="N17" i="29"/>
  <c r="O17" i="29"/>
  <c r="P17" i="29"/>
  <c r="R17" i="29" s="1"/>
  <c r="Q17" i="29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 s="1"/>
  <c r="L21" i="29"/>
  <c r="M21" i="29"/>
  <c r="N21" i="29"/>
  <c r="O21" i="29"/>
  <c r="P21" i="29"/>
  <c r="Q21" i="29"/>
  <c r="D22" i="29"/>
  <c r="E22" i="29"/>
  <c r="F22" i="29"/>
  <c r="G22" i="29"/>
  <c r="H22" i="29"/>
  <c r="J22" i="29" s="1"/>
  <c r="L22" i="29"/>
  <c r="M22" i="29"/>
  <c r="N22" i="29"/>
  <c r="O22" i="29"/>
  <c r="P22" i="29"/>
  <c r="Q22" i="29"/>
  <c r="D23" i="29"/>
  <c r="E23" i="29"/>
  <c r="F23" i="29"/>
  <c r="G23" i="29"/>
  <c r="H23" i="29"/>
  <c r="J23" i="29" s="1"/>
  <c r="L23" i="29"/>
  <c r="M23" i="29"/>
  <c r="N23" i="29"/>
  <c r="O23" i="29"/>
  <c r="P23" i="29"/>
  <c r="Q23" i="29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 s="1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D32" i="29"/>
  <c r="E32" i="29"/>
  <c r="F32" i="29"/>
  <c r="G32" i="29"/>
  <c r="H32" i="29"/>
  <c r="J32" i="29" s="1"/>
  <c r="Q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 s="1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 s="1"/>
  <c r="Q38" i="29"/>
  <c r="D39" i="29"/>
  <c r="E39" i="29"/>
  <c r="F39" i="29"/>
  <c r="G39" i="29"/>
  <c r="H39" i="29"/>
  <c r="J39" i="29" s="1"/>
  <c r="L39" i="29"/>
  <c r="M39" i="29"/>
  <c r="N39" i="29"/>
  <c r="O39" i="29"/>
  <c r="P39" i="29"/>
  <c r="R39" i="29" s="1"/>
  <c r="Q39" i="29"/>
  <c r="D40" i="29"/>
  <c r="E40" i="29"/>
  <c r="F40" i="29"/>
  <c r="G40" i="29"/>
  <c r="H40" i="29"/>
  <c r="J40" i="29" s="1"/>
  <c r="L40" i="29"/>
  <c r="M40" i="29"/>
  <c r="N40" i="29"/>
  <c r="O40" i="29"/>
  <c r="P40" i="29"/>
  <c r="Q40" i="29"/>
  <c r="D41" i="29"/>
  <c r="E41" i="29"/>
  <c r="F41" i="29"/>
  <c r="G41" i="29"/>
  <c r="H41" i="29"/>
  <c r="J41" i="29" s="1"/>
  <c r="Q41" i="29"/>
  <c r="L41" i="29"/>
  <c r="M41" i="29"/>
  <c r="N41" i="29"/>
  <c r="O41" i="29"/>
  <c r="P41" i="29"/>
  <c r="D42" i="29"/>
  <c r="E42" i="29"/>
  <c r="F42" i="29"/>
  <c r="G42" i="29"/>
  <c r="H42" i="29"/>
  <c r="J42" i="29" s="1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P48" i="29"/>
  <c r="R48" i="29" s="1"/>
  <c r="L48" i="29"/>
  <c r="M48" i="29"/>
  <c r="N48" i="29"/>
  <c r="O48" i="29"/>
  <c r="Q48" i="29"/>
  <c r="D49" i="29"/>
  <c r="E49" i="29"/>
  <c r="F49" i="29"/>
  <c r="G49" i="29"/>
  <c r="H49" i="29"/>
  <c r="J49" i="29" s="1"/>
  <c r="L49" i="29"/>
  <c r="M49" i="29"/>
  <c r="N49" i="29"/>
  <c r="O49" i="29"/>
  <c r="P49" i="29"/>
  <c r="R49" i="29" s="1"/>
  <c r="Q49" i="29"/>
  <c r="D50" i="29"/>
  <c r="E50" i="29"/>
  <c r="F50" i="29"/>
  <c r="G50" i="29"/>
  <c r="H50" i="29"/>
  <c r="J50" i="29" s="1"/>
  <c r="L50" i="29"/>
  <c r="M50" i="29"/>
  <c r="N50" i="29"/>
  <c r="O50" i="29"/>
  <c r="P50" i="29"/>
  <c r="R50" i="29" s="1"/>
  <c r="Q50" i="29"/>
  <c r="D51" i="29"/>
  <c r="E51" i="29"/>
  <c r="F51" i="29"/>
  <c r="G51" i="29"/>
  <c r="H51" i="29"/>
  <c r="J51" i="29" s="1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D54" i="29"/>
  <c r="E54" i="29"/>
  <c r="F54" i="29"/>
  <c r="G54" i="29"/>
  <c r="H54" i="29"/>
  <c r="J54" i="29" s="1"/>
  <c r="I54" i="29"/>
  <c r="L54" i="29"/>
  <c r="M54" i="29"/>
  <c r="N54" i="29"/>
  <c r="O54" i="29"/>
  <c r="P54" i="29"/>
  <c r="Q54" i="29"/>
  <c r="D55" i="29"/>
  <c r="E55" i="29"/>
  <c r="F55" i="29"/>
  <c r="G55" i="29"/>
  <c r="H55" i="29"/>
  <c r="J55" i="29" s="1"/>
  <c r="I55" i="29"/>
  <c r="L55" i="29"/>
  <c r="M55" i="29"/>
  <c r="N55" i="29"/>
  <c r="O55" i="29"/>
  <c r="P55" i="29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 s="1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P3" i="29"/>
  <c r="R3" i="29" s="1"/>
  <c r="O3" i="29"/>
  <c r="N3" i="29"/>
  <c r="M3" i="29"/>
  <c r="L3" i="29"/>
  <c r="H3" i="29"/>
  <c r="J3" i="29" s="1"/>
  <c r="G3" i="29"/>
  <c r="F3" i="29"/>
  <c r="E3" i="29"/>
  <c r="D3" i="29"/>
  <c r="Q74" i="25"/>
  <c r="I74" i="25"/>
  <c r="P74" i="25"/>
  <c r="R74" i="25" s="1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 s="1"/>
  <c r="G73" i="25"/>
  <c r="F73" i="25"/>
  <c r="E73" i="25"/>
  <c r="D73" i="25"/>
  <c r="Q72" i="25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 s="1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 s="1"/>
  <c r="G63" i="25"/>
  <c r="F63" i="25"/>
  <c r="E63" i="25"/>
  <c r="D63" i="25"/>
  <c r="Q62" i="25"/>
  <c r="I62" i="25"/>
  <c r="P62" i="25"/>
  <c r="R62" i="25" s="1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O59" i="25"/>
  <c r="N59" i="25"/>
  <c r="M59" i="25"/>
  <c r="L59" i="25"/>
  <c r="H59" i="25"/>
  <c r="J59" i="25" s="1"/>
  <c r="G59" i="25"/>
  <c r="F59" i="25"/>
  <c r="E59" i="25"/>
  <c r="D59" i="25"/>
  <c r="I4" i="25"/>
  <c r="R6" i="25"/>
  <c r="H7" i="25"/>
  <c r="J7" i="25" s="1"/>
  <c r="H8" i="25"/>
  <c r="J8" i="25" s="1"/>
  <c r="R9" i="25"/>
  <c r="I9" i="25"/>
  <c r="T9" i="25" s="1"/>
  <c r="R10" i="25"/>
  <c r="I10" i="25"/>
  <c r="R11" i="25"/>
  <c r="I11" i="25"/>
  <c r="R12" i="25"/>
  <c r="R13" i="25"/>
  <c r="I13" i="25"/>
  <c r="R14" i="25"/>
  <c r="I14" i="25"/>
  <c r="I15" i="25"/>
  <c r="R16" i="25"/>
  <c r="I16" i="25"/>
  <c r="R17" i="25"/>
  <c r="I17" i="25"/>
  <c r="R19" i="25"/>
  <c r="H19" i="25"/>
  <c r="J19" i="25" s="1"/>
  <c r="R20" i="25"/>
  <c r="I20" i="25"/>
  <c r="H21" i="25"/>
  <c r="J21" i="25" s="1"/>
  <c r="I21" i="25"/>
  <c r="R22" i="25"/>
  <c r="I22" i="25"/>
  <c r="R23" i="25"/>
  <c r="H24" i="25"/>
  <c r="J24" i="25" s="1"/>
  <c r="I24" i="25"/>
  <c r="H25" i="25"/>
  <c r="J25" i="25" s="1"/>
  <c r="I25" i="25"/>
  <c r="R26" i="25"/>
  <c r="I26" i="25"/>
  <c r="R27" i="25"/>
  <c r="R28" i="25"/>
  <c r="I28" i="25"/>
  <c r="R29" i="25"/>
  <c r="I29" i="25"/>
  <c r="R30" i="25"/>
  <c r="I30" i="25"/>
  <c r="I31" i="25"/>
  <c r="R33" i="25"/>
  <c r="I33" i="25"/>
  <c r="R34" i="25"/>
  <c r="H34" i="25"/>
  <c r="J34" i="25" s="1"/>
  <c r="R35" i="25"/>
  <c r="R36" i="25"/>
  <c r="I36" i="25"/>
  <c r="R37" i="25"/>
  <c r="I37" i="25"/>
  <c r="R38" i="25"/>
  <c r="I38" i="25"/>
  <c r="I39" i="25"/>
  <c r="R40" i="25"/>
  <c r="R41" i="25"/>
  <c r="H42" i="25"/>
  <c r="J42" i="25" s="1"/>
  <c r="I42" i="25"/>
  <c r="R43" i="25"/>
  <c r="H43" i="25"/>
  <c r="J43" i="25" s="1"/>
  <c r="I43" i="25"/>
  <c r="R44" i="25"/>
  <c r="I44" i="25"/>
  <c r="I45" i="25"/>
  <c r="R46" i="25"/>
  <c r="R47" i="25"/>
  <c r="I47" i="25"/>
  <c r="R48" i="25"/>
  <c r="H48" i="25"/>
  <c r="J48" i="25" s="1"/>
  <c r="I48" i="25"/>
  <c r="R49" i="25"/>
  <c r="I49" i="25"/>
  <c r="R50" i="25"/>
  <c r="I50" i="25"/>
  <c r="M51" i="25"/>
  <c r="N51" i="25"/>
  <c r="O51" i="25"/>
  <c r="P51" i="25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R56" i="25" s="1"/>
  <c r="Q56" i="25"/>
  <c r="L57" i="25"/>
  <c r="M57" i="25"/>
  <c r="N57" i="25"/>
  <c r="O57" i="25"/>
  <c r="P57" i="25"/>
  <c r="R57" i="25" s="1"/>
  <c r="H57" i="25"/>
  <c r="J57" i="25" s="1"/>
  <c r="Q57" i="25"/>
  <c r="L58" i="25"/>
  <c r="M58" i="25"/>
  <c r="N58" i="25"/>
  <c r="O58" i="25"/>
  <c r="P58" i="25"/>
  <c r="Q58" i="25"/>
  <c r="I58" i="25"/>
  <c r="D4" i="25"/>
  <c r="E4" i="25"/>
  <c r="F4" i="25"/>
  <c r="G4" i="25"/>
  <c r="H4" i="25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T34" i="25" s="1"/>
  <c r="I35" i="25"/>
  <c r="I40" i="25"/>
  <c r="I41" i="25"/>
  <c r="I46" i="25"/>
  <c r="I51" i="25"/>
  <c r="I53" i="25"/>
  <c r="I56" i="25"/>
  <c r="I57" i="25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J12" i="25" s="1"/>
  <c r="D13" i="25"/>
  <c r="E13" i="25"/>
  <c r="F13" i="25"/>
  <c r="G13" i="25"/>
  <c r="H13" i="25"/>
  <c r="J13" i="25" s="1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 s="1"/>
  <c r="D19" i="25"/>
  <c r="E19" i="25"/>
  <c r="F19" i="25"/>
  <c r="G19" i="25"/>
  <c r="D20" i="25"/>
  <c r="E20" i="25"/>
  <c r="F20" i="25"/>
  <c r="G20" i="25"/>
  <c r="H20" i="25"/>
  <c r="J20" i="25" s="1"/>
  <c r="D21" i="25"/>
  <c r="E21" i="25"/>
  <c r="F21" i="25"/>
  <c r="G21" i="25"/>
  <c r="D22" i="25"/>
  <c r="E22" i="25"/>
  <c r="F22" i="25"/>
  <c r="G22" i="25"/>
  <c r="H22" i="25"/>
  <c r="J22" i="25" s="1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J30" i="25" s="1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J33" i="25" s="1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J36" i="25" s="1"/>
  <c r="D37" i="25"/>
  <c r="E37" i="25"/>
  <c r="F37" i="25"/>
  <c r="G37" i="25"/>
  <c r="H37" i="25"/>
  <c r="J37" i="25" s="1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J44" i="25" s="1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J47" i="25" s="1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J52" i="25" s="1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 s="1"/>
  <c r="D57" i="25"/>
  <c r="E57" i="25"/>
  <c r="F57" i="25"/>
  <c r="G57" i="25"/>
  <c r="D58" i="25"/>
  <c r="E58" i="25"/>
  <c r="F58" i="25"/>
  <c r="G58" i="25"/>
  <c r="H58" i="25"/>
  <c r="J58" i="25" s="1"/>
  <c r="R3" i="25"/>
  <c r="H3" i="25"/>
  <c r="J3" i="25" s="1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 s="1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 s="1"/>
  <c r="G67" i="20"/>
  <c r="F67" i="20"/>
  <c r="E67" i="20"/>
  <c r="D67" i="20"/>
  <c r="Q66" i="20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O63" i="20"/>
  <c r="N63" i="20"/>
  <c r="M63" i="20"/>
  <c r="L63" i="20"/>
  <c r="H63" i="20"/>
  <c r="J63" i="20" s="1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 s="1"/>
  <c r="G62" i="20"/>
  <c r="F62" i="20"/>
  <c r="E62" i="20"/>
  <c r="D62" i="20"/>
  <c r="Q61" i="20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 s="1"/>
  <c r="G59" i="20"/>
  <c r="F59" i="20"/>
  <c r="E59" i="20"/>
  <c r="D59" i="20"/>
  <c r="H3" i="20"/>
  <c r="J3" i="20" s="1"/>
  <c r="I5" i="20"/>
  <c r="R6" i="20"/>
  <c r="R7" i="20"/>
  <c r="I8" i="20"/>
  <c r="R9" i="20"/>
  <c r="R10" i="20"/>
  <c r="I11" i="20"/>
  <c r="R13" i="20"/>
  <c r="H13" i="20"/>
  <c r="J13" i="20" s="1"/>
  <c r="I13" i="20"/>
  <c r="R15" i="20"/>
  <c r="R16" i="20"/>
  <c r="H16" i="20"/>
  <c r="J16" i="20" s="1"/>
  <c r="R17" i="20"/>
  <c r="R18" i="20"/>
  <c r="R19" i="20"/>
  <c r="H19" i="20"/>
  <c r="J19" i="20" s="1"/>
  <c r="I19" i="20"/>
  <c r="R22" i="20"/>
  <c r="I22" i="20"/>
  <c r="R23" i="20"/>
  <c r="R24" i="20"/>
  <c r="I25" i="20"/>
  <c r="R27" i="20"/>
  <c r="H27" i="20"/>
  <c r="J27" i="20" s="1"/>
  <c r="R28" i="20"/>
  <c r="I28" i="20"/>
  <c r="R29" i="20"/>
  <c r="I30" i="20"/>
  <c r="I31" i="20"/>
  <c r="R32" i="20"/>
  <c r="I33" i="20"/>
  <c r="R34" i="20"/>
  <c r="R35" i="20"/>
  <c r="R37" i="20"/>
  <c r="R38" i="20"/>
  <c r="I38" i="20"/>
  <c r="R39" i="20"/>
  <c r="I41" i="20"/>
  <c r="R42" i="20"/>
  <c r="I44" i="20"/>
  <c r="R45" i="20"/>
  <c r="I45" i="20"/>
  <c r="R46" i="20"/>
  <c r="H46" i="20"/>
  <c r="J46" i="20" s="1"/>
  <c r="R47" i="20"/>
  <c r="I47" i="20"/>
  <c r="H48" i="20"/>
  <c r="J48" i="20" s="1"/>
  <c r="R49" i="20"/>
  <c r="I49" i="20"/>
  <c r="I50" i="20"/>
  <c r="M51" i="20"/>
  <c r="N51" i="20"/>
  <c r="O51" i="20"/>
  <c r="P51" i="20"/>
  <c r="R51" i="20" s="1"/>
  <c r="Q51" i="20"/>
  <c r="M52" i="20"/>
  <c r="N52" i="20"/>
  <c r="O52" i="20"/>
  <c r="P52" i="20"/>
  <c r="Q52" i="20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M55" i="20"/>
  <c r="N55" i="20"/>
  <c r="O55" i="20"/>
  <c r="P55" i="20"/>
  <c r="R55" i="20" s="1"/>
  <c r="Q55" i="20"/>
  <c r="I55" i="20"/>
  <c r="M56" i="20"/>
  <c r="N56" i="20"/>
  <c r="O56" i="20"/>
  <c r="P56" i="20"/>
  <c r="R56" i="20" s="1"/>
  <c r="Q56" i="20"/>
  <c r="M57" i="20"/>
  <c r="N57" i="20"/>
  <c r="O57" i="20"/>
  <c r="P57" i="20"/>
  <c r="R57" i="20" s="1"/>
  <c r="Q57" i="20"/>
  <c r="M58" i="20"/>
  <c r="N58" i="20"/>
  <c r="O58" i="20"/>
  <c r="P58" i="20"/>
  <c r="Q58" i="20"/>
  <c r="L52" i="20"/>
  <c r="L53" i="20"/>
  <c r="L54" i="20"/>
  <c r="L55" i="20"/>
  <c r="L56" i="20"/>
  <c r="L57" i="20"/>
  <c r="L58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 s="1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S7" i="20" s="1"/>
  <c r="E8" i="20"/>
  <c r="F8" i="20"/>
  <c r="G8" i="20"/>
  <c r="H8" i="20"/>
  <c r="J8" i="20" s="1"/>
  <c r="E9" i="20"/>
  <c r="F9" i="20"/>
  <c r="G9" i="20"/>
  <c r="H9" i="20"/>
  <c r="J9" i="20" s="1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J18" i="20" s="1"/>
  <c r="E19" i="20"/>
  <c r="F19" i="20"/>
  <c r="G19" i="20"/>
  <c r="H20" i="20"/>
  <c r="J20" i="20" s="1"/>
  <c r="H21" i="20"/>
  <c r="J21" i="20" s="1"/>
  <c r="H22" i="20"/>
  <c r="J22" i="20" s="1"/>
  <c r="H23" i="20"/>
  <c r="J23" i="20" s="1"/>
  <c r="H24" i="20"/>
  <c r="J24" i="20" s="1"/>
  <c r="H25" i="20"/>
  <c r="J25" i="20" s="1"/>
  <c r="H26" i="20"/>
  <c r="J26" i="20" s="1"/>
  <c r="H28" i="20"/>
  <c r="J28" i="20" s="1"/>
  <c r="H29" i="20"/>
  <c r="J29" i="20" s="1"/>
  <c r="H30" i="20"/>
  <c r="J30" i="20" s="1"/>
  <c r="H31" i="20"/>
  <c r="J31" i="20" s="1"/>
  <c r="H32" i="20"/>
  <c r="J32" i="20" s="1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J42" i="20" s="1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J45" i="20" s="1"/>
  <c r="E46" i="20"/>
  <c r="F46" i="20"/>
  <c r="G46" i="20"/>
  <c r="E47" i="20"/>
  <c r="F47" i="20"/>
  <c r="G47" i="20"/>
  <c r="H47" i="20"/>
  <c r="E48" i="20"/>
  <c r="F48" i="20"/>
  <c r="G48" i="20"/>
  <c r="E49" i="20"/>
  <c r="F49" i="20"/>
  <c r="G49" i="20"/>
  <c r="H49" i="20"/>
  <c r="J49" i="20" s="1"/>
  <c r="E50" i="20"/>
  <c r="F50" i="20"/>
  <c r="G50" i="20"/>
  <c r="H50" i="20"/>
  <c r="J50" i="20" s="1"/>
  <c r="E51" i="20"/>
  <c r="F51" i="20"/>
  <c r="G51" i="20"/>
  <c r="H51" i="20"/>
  <c r="J51" i="20" s="1"/>
  <c r="I51" i="20"/>
  <c r="E52" i="20"/>
  <c r="F52" i="20"/>
  <c r="G52" i="20"/>
  <c r="H52" i="20"/>
  <c r="J52" i="20" s="1"/>
  <c r="E53" i="20"/>
  <c r="F53" i="20"/>
  <c r="G53" i="20"/>
  <c r="H53" i="20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J55" i="20" s="1"/>
  <c r="E56" i="20"/>
  <c r="F56" i="20"/>
  <c r="G56" i="20"/>
  <c r="H56" i="20"/>
  <c r="J56" i="20" s="1"/>
  <c r="E57" i="20"/>
  <c r="F57" i="20"/>
  <c r="G57" i="20"/>
  <c r="H57" i="20"/>
  <c r="J57" i="20" s="1"/>
  <c r="E58" i="20"/>
  <c r="F58" i="20"/>
  <c r="G58" i="20"/>
  <c r="H58" i="20"/>
  <c r="J58" i="20" s="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 s="1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J64" i="27" s="1"/>
  <c r="O64" i="27"/>
  <c r="N64" i="27"/>
  <c r="M64" i="27"/>
  <c r="L64" i="27"/>
  <c r="I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 s="1"/>
  <c r="O62" i="27"/>
  <c r="N62" i="27"/>
  <c r="M62" i="27"/>
  <c r="L62" i="27"/>
  <c r="H62" i="27"/>
  <c r="J62" i="27" s="1"/>
  <c r="G62" i="27"/>
  <c r="F62" i="27"/>
  <c r="E62" i="27"/>
  <c r="D62" i="27"/>
  <c r="Q61" i="27"/>
  <c r="P61" i="27"/>
  <c r="R61" i="27" s="1"/>
  <c r="O61" i="27"/>
  <c r="N61" i="27"/>
  <c r="M61" i="27"/>
  <c r="L61" i="27"/>
  <c r="I61" i="27"/>
  <c r="H61" i="27"/>
  <c r="J61" i="27" s="1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I3" i="27"/>
  <c r="H3" i="27"/>
  <c r="J3" i="27" s="1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I47" i="27"/>
  <c r="R47" i="27"/>
  <c r="I43" i="27"/>
  <c r="I39" i="27"/>
  <c r="I35" i="27"/>
  <c r="R35" i="27"/>
  <c r="I27" i="27"/>
  <c r="R27" i="27"/>
  <c r="I23" i="27"/>
  <c r="H19" i="27"/>
  <c r="J19" i="27" s="1"/>
  <c r="R15" i="27"/>
  <c r="H11" i="27"/>
  <c r="J11" i="27" s="1"/>
  <c r="I7" i="27"/>
  <c r="R7" i="27"/>
  <c r="C3" i="30"/>
  <c r="J3" i="30"/>
  <c r="J31" i="30"/>
  <c r="C31" i="30"/>
  <c r="AB4" i="10"/>
  <c r="AB5" i="10" s="1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 s="1"/>
  <c r="I57" i="27"/>
  <c r="H57" i="27"/>
  <c r="J57" i="27" s="1"/>
  <c r="L57" i="27"/>
  <c r="G57" i="27"/>
  <c r="F57" i="27"/>
  <c r="E57" i="27"/>
  <c r="D57" i="27"/>
  <c r="Q56" i="27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 s="1"/>
  <c r="H51" i="27"/>
  <c r="J51" i="27" s="1"/>
  <c r="L52" i="27"/>
  <c r="G52" i="27"/>
  <c r="F52" i="27"/>
  <c r="E52" i="27"/>
  <c r="D52" i="27"/>
  <c r="D51" i="27"/>
  <c r="G51" i="27"/>
  <c r="F51" i="27"/>
  <c r="E51" i="27"/>
  <c r="I51" i="27"/>
  <c r="I50" i="27"/>
  <c r="R50" i="27"/>
  <c r="H50" i="27"/>
  <c r="J50" i="27" s="1"/>
  <c r="G50" i="27"/>
  <c r="F50" i="27"/>
  <c r="E50" i="27"/>
  <c r="D50" i="27"/>
  <c r="I49" i="27"/>
  <c r="R49" i="27"/>
  <c r="H49" i="27"/>
  <c r="J49" i="27" s="1"/>
  <c r="G49" i="27"/>
  <c r="F49" i="27"/>
  <c r="E49" i="27"/>
  <c r="D49" i="27"/>
  <c r="I48" i="27"/>
  <c r="H48" i="27"/>
  <c r="J48" i="27" s="1"/>
  <c r="G48" i="27"/>
  <c r="F48" i="27"/>
  <c r="E48" i="27"/>
  <c r="D48" i="27"/>
  <c r="D47" i="27"/>
  <c r="G47" i="27"/>
  <c r="F47" i="27"/>
  <c r="E47" i="27"/>
  <c r="H47" i="27"/>
  <c r="J47" i="27" s="1"/>
  <c r="I46" i="27"/>
  <c r="H46" i="27"/>
  <c r="J46" i="27" s="1"/>
  <c r="G46" i="27"/>
  <c r="F46" i="27"/>
  <c r="E46" i="27"/>
  <c r="D46" i="27"/>
  <c r="I45" i="27"/>
  <c r="R45" i="27"/>
  <c r="H45" i="27"/>
  <c r="J45" i="27" s="1"/>
  <c r="G45" i="27"/>
  <c r="F45" i="27"/>
  <c r="E45" i="27"/>
  <c r="D45" i="27"/>
  <c r="I44" i="27"/>
  <c r="H44" i="27"/>
  <c r="J44" i="27" s="1"/>
  <c r="G44" i="27"/>
  <c r="F44" i="27"/>
  <c r="E44" i="27"/>
  <c r="D44" i="27"/>
  <c r="D43" i="27"/>
  <c r="G43" i="27"/>
  <c r="F43" i="27"/>
  <c r="E43" i="27"/>
  <c r="H43" i="27"/>
  <c r="J43" i="27" s="1"/>
  <c r="R42" i="27"/>
  <c r="I42" i="27"/>
  <c r="H42" i="27"/>
  <c r="J42" i="27" s="1"/>
  <c r="G42" i="27"/>
  <c r="F42" i="27"/>
  <c r="E42" i="27"/>
  <c r="D42" i="27"/>
  <c r="I41" i="27"/>
  <c r="H41" i="27"/>
  <c r="J41" i="27" s="1"/>
  <c r="G41" i="27"/>
  <c r="F41" i="27"/>
  <c r="E41" i="27"/>
  <c r="D41" i="27"/>
  <c r="I40" i="27"/>
  <c r="H40" i="27"/>
  <c r="J40" i="27" s="1"/>
  <c r="G40" i="27"/>
  <c r="F40" i="27"/>
  <c r="E40" i="27"/>
  <c r="D40" i="27"/>
  <c r="D39" i="27"/>
  <c r="G39" i="27"/>
  <c r="F39" i="27"/>
  <c r="E39" i="27"/>
  <c r="H39" i="27"/>
  <c r="J39" i="27" s="1"/>
  <c r="R38" i="27"/>
  <c r="I38" i="27"/>
  <c r="T38" i="27" s="1"/>
  <c r="H38" i="27"/>
  <c r="J38" i="27" s="1"/>
  <c r="G38" i="27"/>
  <c r="F38" i="27"/>
  <c r="E38" i="27"/>
  <c r="D38" i="27"/>
  <c r="I37" i="27"/>
  <c r="H37" i="27"/>
  <c r="J37" i="27" s="1"/>
  <c r="G37" i="27"/>
  <c r="F37" i="27"/>
  <c r="E37" i="27"/>
  <c r="D37" i="27"/>
  <c r="H36" i="27"/>
  <c r="J36" i="27" s="1"/>
  <c r="I36" i="27"/>
  <c r="G36" i="27"/>
  <c r="F36" i="27"/>
  <c r="E36" i="27"/>
  <c r="D36" i="27"/>
  <c r="D35" i="27"/>
  <c r="G35" i="27"/>
  <c r="F35" i="27"/>
  <c r="E35" i="27"/>
  <c r="H35" i="27"/>
  <c r="J35" i="27" s="1"/>
  <c r="I34" i="27"/>
  <c r="H34" i="27"/>
  <c r="J34" i="27" s="1"/>
  <c r="G34" i="27"/>
  <c r="F34" i="27"/>
  <c r="E34" i="27"/>
  <c r="D34" i="27"/>
  <c r="I33" i="27"/>
  <c r="H33" i="27"/>
  <c r="J33" i="27" s="1"/>
  <c r="G33" i="27"/>
  <c r="F33" i="27"/>
  <c r="E33" i="27"/>
  <c r="D33" i="27"/>
  <c r="I32" i="27"/>
  <c r="H32" i="27"/>
  <c r="J32" i="27" s="1"/>
  <c r="G32" i="27"/>
  <c r="F32" i="27"/>
  <c r="E32" i="27"/>
  <c r="D32" i="27"/>
  <c r="D31" i="27"/>
  <c r="G31" i="27"/>
  <c r="F31" i="27"/>
  <c r="E31" i="27"/>
  <c r="I31" i="27"/>
  <c r="H31" i="27"/>
  <c r="J31" i="27" s="1"/>
  <c r="I30" i="27"/>
  <c r="R30" i="27"/>
  <c r="H30" i="27"/>
  <c r="J30" i="27" s="1"/>
  <c r="G30" i="27"/>
  <c r="F30" i="27"/>
  <c r="E30" i="27"/>
  <c r="D30" i="27"/>
  <c r="I29" i="27"/>
  <c r="R29" i="27"/>
  <c r="H29" i="27"/>
  <c r="J29" i="27" s="1"/>
  <c r="G29" i="27"/>
  <c r="F29" i="27"/>
  <c r="E29" i="27"/>
  <c r="D29" i="27"/>
  <c r="I28" i="27"/>
  <c r="H28" i="27"/>
  <c r="J28" i="27" s="1"/>
  <c r="G28" i="27"/>
  <c r="F28" i="27"/>
  <c r="E28" i="27"/>
  <c r="D28" i="27"/>
  <c r="D27" i="27"/>
  <c r="G27" i="27"/>
  <c r="F27" i="27"/>
  <c r="E27" i="27"/>
  <c r="H27" i="27"/>
  <c r="J27" i="27" s="1"/>
  <c r="H26" i="27"/>
  <c r="J26" i="27" s="1"/>
  <c r="I26" i="27"/>
  <c r="G26" i="27"/>
  <c r="F26" i="27"/>
  <c r="E26" i="27"/>
  <c r="D26" i="27"/>
  <c r="I25" i="27"/>
  <c r="T25" i="27" s="1"/>
  <c r="R25" i="27"/>
  <c r="H25" i="27"/>
  <c r="J25" i="27" s="1"/>
  <c r="G25" i="27"/>
  <c r="F25" i="27"/>
  <c r="E25" i="27"/>
  <c r="D25" i="27"/>
  <c r="I24" i="27"/>
  <c r="H24" i="27"/>
  <c r="J24" i="27" s="1"/>
  <c r="G24" i="27"/>
  <c r="F24" i="27"/>
  <c r="E24" i="27"/>
  <c r="D24" i="27"/>
  <c r="D23" i="27"/>
  <c r="G23" i="27"/>
  <c r="F23" i="27"/>
  <c r="E23" i="27"/>
  <c r="H23" i="27"/>
  <c r="J23" i="27" s="1"/>
  <c r="R22" i="27"/>
  <c r="I22" i="27"/>
  <c r="I19" i="27"/>
  <c r="I20" i="27"/>
  <c r="I21" i="27"/>
  <c r="H22" i="27"/>
  <c r="J22" i="27" s="1"/>
  <c r="G22" i="27"/>
  <c r="F22" i="27"/>
  <c r="E22" i="27"/>
  <c r="D22" i="27"/>
  <c r="H21" i="27"/>
  <c r="J21" i="27" s="1"/>
  <c r="G21" i="27"/>
  <c r="F21" i="27"/>
  <c r="E21" i="27"/>
  <c r="D21" i="27"/>
  <c r="R20" i="27"/>
  <c r="H20" i="27"/>
  <c r="J20" i="27" s="1"/>
  <c r="G20" i="27"/>
  <c r="F20" i="27"/>
  <c r="E20" i="27"/>
  <c r="D20" i="27"/>
  <c r="D19" i="27"/>
  <c r="G19" i="27"/>
  <c r="F19" i="27"/>
  <c r="E19" i="27"/>
  <c r="I18" i="27"/>
  <c r="H18" i="27"/>
  <c r="J18" i="27" s="1"/>
  <c r="G18" i="27"/>
  <c r="F18" i="27"/>
  <c r="E18" i="27"/>
  <c r="D18" i="27"/>
  <c r="I17" i="27"/>
  <c r="H17" i="27"/>
  <c r="J17" i="27" s="1"/>
  <c r="G17" i="27"/>
  <c r="F17" i="27"/>
  <c r="E17" i="27"/>
  <c r="D17" i="27"/>
  <c r="I16" i="27"/>
  <c r="H16" i="27"/>
  <c r="J16" i="27" s="1"/>
  <c r="G16" i="27"/>
  <c r="F16" i="27"/>
  <c r="E16" i="27"/>
  <c r="D16" i="27"/>
  <c r="D15" i="27"/>
  <c r="G15" i="27"/>
  <c r="F15" i="27"/>
  <c r="E15" i="27"/>
  <c r="I15" i="27"/>
  <c r="H15" i="27"/>
  <c r="J15" i="27" s="1"/>
  <c r="D3" i="27"/>
  <c r="E3" i="27"/>
  <c r="F3" i="27"/>
  <c r="G3" i="27"/>
  <c r="I10" i="27"/>
  <c r="I13" i="27"/>
  <c r="H4" i="27"/>
  <c r="J4" i="27" s="1"/>
  <c r="R5" i="27"/>
  <c r="R6" i="27"/>
  <c r="R8" i="27"/>
  <c r="R9" i="27"/>
  <c r="R10" i="27"/>
  <c r="R14" i="27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53" i="20"/>
  <c r="S47" i="25"/>
  <c r="J47" i="20"/>
  <c r="J48" i="29"/>
  <c r="S31" i="29"/>
  <c r="M12" i="30" s="1"/>
  <c r="J31" i="29"/>
  <c r="J10" i="25"/>
  <c r="J4" i="25"/>
  <c r="R25" i="29"/>
  <c r="X11" i="29"/>
  <c r="AA7" i="29"/>
  <c r="Z7" i="29"/>
  <c r="X59" i="29"/>
  <c r="AA59" i="29"/>
  <c r="X55" i="20"/>
  <c r="X47" i="29"/>
  <c r="Y71" i="27"/>
  <c r="W19" i="29"/>
  <c r="AA55" i="25"/>
  <c r="Y7" i="29"/>
  <c r="X67" i="25"/>
  <c r="X43" i="29"/>
  <c r="V23" i="29"/>
  <c r="V55" i="27"/>
  <c r="AA63" i="27"/>
  <c r="X51" i="20"/>
  <c r="X67" i="29"/>
  <c r="V67" i="29"/>
  <c r="Y55" i="25"/>
  <c r="X55" i="29"/>
  <c r="Z55" i="29"/>
  <c r="X63" i="27"/>
  <c r="Z67" i="20"/>
  <c r="V67" i="25"/>
  <c r="Y67" i="27"/>
  <c r="Y63" i="29"/>
  <c r="V39" i="27"/>
  <c r="Y43" i="27"/>
  <c r="Y3" i="27"/>
  <c r="Z31" i="27"/>
  <c r="Z27" i="27"/>
  <c r="X39" i="27"/>
  <c r="AA39" i="27"/>
  <c r="Y23" i="27"/>
  <c r="V43" i="27"/>
  <c r="Z27" i="25"/>
  <c r="W47" i="25"/>
  <c r="X47" i="25"/>
  <c r="Y27" i="25"/>
  <c r="W3" i="25"/>
  <c r="V11" i="25"/>
  <c r="X3" i="25"/>
  <c r="AA31" i="25"/>
  <c r="W43" i="25"/>
  <c r="V3" i="20"/>
  <c r="V11" i="20"/>
  <c r="X7" i="20"/>
  <c r="W3" i="20"/>
  <c r="Y11" i="20"/>
  <c r="AA43" i="20"/>
  <c r="Y23" i="20"/>
  <c r="V43" i="20"/>
  <c r="Z47" i="20"/>
  <c r="Z71" i="27"/>
  <c r="W71" i="29"/>
  <c r="W71" i="20"/>
  <c r="Z51" i="25"/>
  <c r="X23" i="29"/>
  <c r="X55" i="27"/>
  <c r="AA55" i="29"/>
  <c r="AA51" i="20"/>
  <c r="V67" i="20"/>
  <c r="V59" i="29"/>
  <c r="Z55" i="27"/>
  <c r="AA63" i="20"/>
  <c r="Z59" i="29"/>
  <c r="Y67" i="29"/>
  <c r="Z55" i="20"/>
  <c r="W63" i="29"/>
  <c r="W71" i="27"/>
  <c r="V63" i="25"/>
  <c r="AA67" i="25"/>
  <c r="V27" i="27"/>
  <c r="V19" i="27"/>
  <c r="Z11" i="27"/>
  <c r="Y27" i="27"/>
  <c r="AA27" i="27"/>
  <c r="AA35" i="27"/>
  <c r="AA19" i="27"/>
  <c r="AA11" i="27"/>
  <c r="W27" i="27"/>
  <c r="AA7" i="25"/>
  <c r="X27" i="25"/>
  <c r="X23" i="25"/>
  <c r="W23" i="25"/>
  <c r="Y7" i="25"/>
  <c r="Y19" i="25"/>
  <c r="AA23" i="25"/>
  <c r="Y23" i="25"/>
  <c r="AA3" i="25"/>
  <c r="AA47" i="20"/>
  <c r="Y47" i="20"/>
  <c r="Z39" i="20"/>
  <c r="X43" i="20"/>
  <c r="Z3" i="20"/>
  <c r="Y39" i="20"/>
  <c r="Z7" i="20"/>
  <c r="V19" i="20"/>
  <c r="AA31" i="20"/>
  <c r="V39" i="25"/>
  <c r="X43" i="25"/>
  <c r="V35" i="20"/>
  <c r="AA39" i="20"/>
  <c r="Y51" i="29"/>
  <c r="Z71" i="29"/>
  <c r="W63" i="20"/>
  <c r="Y11" i="29"/>
  <c r="AA63" i="25"/>
  <c r="Y39" i="29"/>
  <c r="V55" i="29"/>
  <c r="X59" i="20"/>
  <c r="X63" i="20"/>
  <c r="V51" i="25"/>
  <c r="X63" i="29"/>
  <c r="Y71" i="20"/>
  <c r="Y51" i="27"/>
  <c r="W47" i="29"/>
  <c r="X31" i="29"/>
  <c r="W55" i="25"/>
  <c r="W59" i="25"/>
  <c r="Z3" i="29"/>
  <c r="W15" i="29"/>
  <c r="Y67" i="20"/>
  <c r="AA59" i="27"/>
  <c r="W71" i="25"/>
  <c r="AA67" i="27"/>
  <c r="Z51" i="20"/>
  <c r="V35" i="29"/>
  <c r="X59" i="27"/>
  <c r="Y15" i="29"/>
  <c r="Z67" i="27"/>
  <c r="X67" i="20"/>
  <c r="V55" i="25"/>
  <c r="V71" i="20"/>
  <c r="AA71" i="20"/>
  <c r="Y19" i="29"/>
  <c r="Z23" i="29"/>
  <c r="Z63" i="29"/>
  <c r="AA15" i="27"/>
  <c r="W3" i="27"/>
  <c r="V31" i="27"/>
  <c r="V7" i="27"/>
  <c r="AA3" i="27"/>
  <c r="W11" i="27"/>
  <c r="Y31" i="27"/>
  <c r="X19" i="27"/>
  <c r="Y39" i="27"/>
  <c r="AA39" i="25"/>
  <c r="Y11" i="25"/>
  <c r="AA15" i="25"/>
  <c r="W39" i="25"/>
  <c r="AA35" i="25"/>
  <c r="Z39" i="25"/>
  <c r="W15" i="25"/>
  <c r="Z3" i="25"/>
  <c r="Y15" i="25"/>
  <c r="AA7" i="20"/>
  <c r="Y19" i="20"/>
  <c r="V23" i="20"/>
  <c r="W35" i="20"/>
  <c r="W23" i="20"/>
  <c r="Y31" i="20"/>
  <c r="V27" i="20"/>
  <c r="V39" i="20"/>
  <c r="Y27" i="20"/>
  <c r="V43" i="29"/>
  <c r="V15" i="27"/>
  <c r="Y3" i="25"/>
  <c r="AA47" i="25"/>
  <c r="Z31" i="20"/>
  <c r="X47" i="20"/>
  <c r="AA71" i="27"/>
  <c r="V51" i="29"/>
  <c r="V51" i="20"/>
  <c r="V59" i="25"/>
  <c r="V59" i="27"/>
  <c r="AA71" i="25"/>
  <c r="Z11" i="29"/>
  <c r="AA51" i="25"/>
  <c r="W67" i="20"/>
  <c r="V71" i="27"/>
  <c r="Z63" i="20"/>
  <c r="W51" i="29"/>
  <c r="Z67" i="29"/>
  <c r="AA63" i="29"/>
  <c r="W63" i="27"/>
  <c r="Y71" i="29"/>
  <c r="Y67" i="25"/>
  <c r="AA71" i="29"/>
  <c r="Z15" i="29"/>
  <c r="W7" i="29"/>
  <c r="V59" i="20"/>
  <c r="Y35" i="29"/>
  <c r="Z71" i="25"/>
  <c r="W67" i="25"/>
  <c r="W67" i="29"/>
  <c r="Y47" i="29"/>
  <c r="W59" i="20"/>
  <c r="Y15" i="27"/>
  <c r="X15" i="27"/>
  <c r="AA23" i="27"/>
  <c r="Z7" i="27"/>
  <c r="V3" i="27"/>
  <c r="W35" i="27"/>
  <c r="W7" i="27"/>
  <c r="W19" i="27"/>
  <c r="Z3" i="27"/>
  <c r="V35" i="25"/>
  <c r="Y31" i="25"/>
  <c r="Y47" i="25"/>
  <c r="W7" i="25"/>
  <c r="V47" i="25"/>
  <c r="W35" i="25"/>
  <c r="Z11" i="25"/>
  <c r="W27" i="25"/>
  <c r="X7" i="25"/>
  <c r="Z27" i="20"/>
  <c r="AA19" i="20"/>
  <c r="X27" i="20"/>
  <c r="AA27" i="20"/>
  <c r="X23" i="20"/>
  <c r="W19" i="20"/>
  <c r="Z43" i="20"/>
  <c r="V47" i="20"/>
  <c r="AA35" i="20"/>
  <c r="AA15" i="20"/>
  <c r="Y7" i="20"/>
  <c r="V15" i="20"/>
  <c r="Z63" i="27"/>
  <c r="Z7" i="25"/>
  <c r="X35" i="20"/>
  <c r="Y43" i="20"/>
  <c r="AA67" i="20"/>
  <c r="AA31" i="29"/>
  <c r="W59" i="27"/>
  <c r="V31" i="29"/>
  <c r="Z47" i="29"/>
  <c r="AA59" i="25"/>
  <c r="AA55" i="20"/>
  <c r="W63" i="25"/>
  <c r="Z35" i="29"/>
  <c r="AA51" i="29"/>
  <c r="V19" i="29"/>
  <c r="Y59" i="27"/>
  <c r="W35" i="29"/>
  <c r="Y63" i="20"/>
  <c r="V71" i="25"/>
  <c r="Y59" i="29"/>
  <c r="Y31" i="29"/>
  <c r="AA55" i="27"/>
  <c r="X3" i="29"/>
  <c r="V63" i="20"/>
  <c r="X63" i="25"/>
  <c r="V27" i="29"/>
  <c r="W3" i="29"/>
  <c r="X59" i="25"/>
  <c r="Z19" i="29"/>
  <c r="Y55" i="29"/>
  <c r="AA43" i="29"/>
  <c r="Z19" i="27"/>
  <c r="Z43" i="27"/>
  <c r="Y11" i="27"/>
  <c r="X31" i="27"/>
  <c r="X11" i="27"/>
  <c r="V47" i="27"/>
  <c r="Y19" i="27"/>
  <c r="W47" i="27"/>
  <c r="Z39" i="27"/>
  <c r="Z19" i="25"/>
  <c r="V27" i="25"/>
  <c r="V31" i="25"/>
  <c r="W11" i="25"/>
  <c r="V7" i="25"/>
  <c r="X39" i="25"/>
  <c r="V23" i="25"/>
  <c r="AA27" i="25"/>
  <c r="Z23" i="25"/>
  <c r="Z23" i="20"/>
  <c r="Y35" i="20"/>
  <c r="X15" i="20"/>
  <c r="V7" i="20"/>
  <c r="W7" i="20"/>
  <c r="X19" i="20"/>
  <c r="W43" i="29"/>
  <c r="W47" i="20"/>
  <c r="Y55" i="20"/>
  <c r="V11" i="29"/>
  <c r="X19" i="29"/>
  <c r="Z59" i="25"/>
  <c r="X55" i="25"/>
  <c r="AA35" i="29"/>
  <c r="W55" i="20"/>
  <c r="Y23" i="29"/>
  <c r="X51" i="27"/>
  <c r="Z39" i="29"/>
  <c r="AA11" i="29"/>
  <c r="X35" i="29"/>
  <c r="X27" i="29"/>
  <c r="AA27" i="29"/>
  <c r="W11" i="29"/>
  <c r="Z51" i="29"/>
  <c r="Y71" i="25"/>
  <c r="W59" i="29"/>
  <c r="W31" i="29"/>
  <c r="Z71" i="20"/>
  <c r="V63" i="27"/>
  <c r="AA47" i="29"/>
  <c r="Y43" i="29"/>
  <c r="Y55" i="27"/>
  <c r="Z59" i="20"/>
  <c r="Z43" i="29"/>
  <c r="AA19" i="29"/>
  <c r="AA43" i="27"/>
  <c r="Z23" i="27"/>
  <c r="W31" i="27"/>
  <c r="X27" i="27"/>
  <c r="Y47" i="27"/>
  <c r="X3" i="27"/>
  <c r="X43" i="27"/>
  <c r="AA31" i="27"/>
  <c r="X47" i="27"/>
  <c r="Z43" i="25"/>
  <c r="W19" i="25"/>
  <c r="V43" i="25"/>
  <c r="V15" i="25"/>
  <c r="V19" i="25"/>
  <c r="AA11" i="25"/>
  <c r="Z47" i="25"/>
  <c r="X11" i="25"/>
  <c r="Z15" i="25"/>
  <c r="X11" i="20"/>
  <c r="AA11" i="20"/>
  <c r="AA23" i="20"/>
  <c r="Y3" i="20"/>
  <c r="W15" i="20"/>
  <c r="W11" i="20"/>
  <c r="W43" i="20"/>
  <c r="AA3" i="20"/>
  <c r="Z19" i="20"/>
  <c r="X51" i="25"/>
  <c r="V67" i="27"/>
  <c r="AA15" i="29"/>
  <c r="V3" i="29"/>
  <c r="Y59" i="25"/>
  <c r="X15" i="29"/>
  <c r="Z67" i="25"/>
  <c r="X7" i="29"/>
  <c r="Y27" i="29"/>
  <c r="Y3" i="29"/>
  <c r="Y59" i="20"/>
  <c r="X39" i="29"/>
  <c r="W23" i="27"/>
  <c r="W39" i="27"/>
  <c r="AA47" i="27"/>
  <c r="V35" i="27"/>
  <c r="X35" i="25"/>
  <c r="Y39" i="25"/>
  <c r="X39" i="20"/>
  <c r="W55" i="27"/>
  <c r="AA51" i="27"/>
  <c r="V51" i="27"/>
  <c r="V39" i="29"/>
  <c r="X71" i="20"/>
  <c r="Z31" i="29"/>
  <c r="Z59" i="27"/>
  <c r="Y63" i="25"/>
  <c r="W51" i="25"/>
  <c r="W27" i="29"/>
  <c r="Y51" i="25"/>
  <c r="W67" i="27"/>
  <c r="Z27" i="29"/>
  <c r="Z55" i="25"/>
  <c r="W51" i="20"/>
  <c r="V63" i="29"/>
  <c r="V71" i="29"/>
  <c r="Z51" i="27"/>
  <c r="X51" i="29"/>
  <c r="W23" i="29"/>
  <c r="AA39" i="29"/>
  <c r="X71" i="27"/>
  <c r="W55" i="29"/>
  <c r="V7" i="29"/>
  <c r="V55" i="20"/>
  <c r="Y63" i="27"/>
  <c r="W39" i="29"/>
  <c r="AA7" i="27"/>
  <c r="W15" i="27"/>
  <c r="Z15" i="27"/>
  <c r="Z35" i="27"/>
  <c r="Y35" i="27"/>
  <c r="X23" i="27"/>
  <c r="X7" i="27"/>
  <c r="W43" i="27"/>
  <c r="X35" i="27"/>
  <c r="Y35" i="25"/>
  <c r="AA43" i="25"/>
  <c r="Z35" i="25"/>
  <c r="X31" i="25"/>
  <c r="Z31" i="25"/>
  <c r="V3" i="25"/>
  <c r="AA19" i="25"/>
  <c r="X15" i="25"/>
  <c r="Y43" i="25"/>
  <c r="Z35" i="20"/>
  <c r="W39" i="20"/>
  <c r="W27" i="20"/>
  <c r="X3" i="20"/>
  <c r="Z11" i="20"/>
  <c r="Y15" i="20"/>
  <c r="Z15" i="20"/>
  <c r="W31" i="20"/>
  <c r="V31" i="20"/>
  <c r="X71" i="29"/>
  <c r="AA59" i="20"/>
  <c r="X67" i="27"/>
  <c r="Z63" i="25"/>
  <c r="V15" i="29"/>
  <c r="AA67" i="29"/>
  <c r="V47" i="29"/>
  <c r="X71" i="25"/>
  <c r="Y51" i="20"/>
  <c r="W51" i="27"/>
  <c r="AA23" i="29"/>
  <c r="AA3" i="29"/>
  <c r="V23" i="27"/>
  <c r="Z47" i="27"/>
  <c r="V11" i="27"/>
  <c r="Y7" i="27"/>
  <c r="X19" i="25"/>
  <c r="W31" i="25"/>
  <c r="X31" i="20"/>
  <c r="T57" i="29" l="1"/>
  <c r="S53" i="25"/>
  <c r="S62" i="29"/>
  <c r="T3" i="29"/>
  <c r="S50" i="29"/>
  <c r="T50" i="29"/>
  <c r="T57" i="25"/>
  <c r="S48" i="29"/>
  <c r="T54" i="29"/>
  <c r="T48" i="29"/>
  <c r="T18" i="29"/>
  <c r="T4" i="29"/>
  <c r="T51" i="20"/>
  <c r="T78" i="20" s="1"/>
  <c r="G55" i="30" s="1"/>
  <c r="S9" i="29"/>
  <c r="S44" i="25"/>
  <c r="T73" i="29"/>
  <c r="T65" i="29"/>
  <c r="T32" i="29"/>
  <c r="T31" i="29"/>
  <c r="N12" i="30" s="1"/>
  <c r="T61" i="27"/>
  <c r="T60" i="29"/>
  <c r="T31" i="27"/>
  <c r="S27" i="25"/>
  <c r="T15" i="25"/>
  <c r="S55" i="29"/>
  <c r="M18" i="30" s="1"/>
  <c r="S54" i="29"/>
  <c r="T36" i="27"/>
  <c r="T20" i="25"/>
  <c r="T38" i="29"/>
  <c r="T67" i="29"/>
  <c r="N21" i="30" s="1"/>
  <c r="I78" i="25"/>
  <c r="S51" i="25"/>
  <c r="M45" i="30" s="1"/>
  <c r="T6" i="20"/>
  <c r="T34" i="29"/>
  <c r="T17" i="29"/>
  <c r="T16" i="29"/>
  <c r="S48" i="27"/>
  <c r="I78" i="29"/>
  <c r="T23" i="29"/>
  <c r="N10" i="30" s="1"/>
  <c r="T23" i="27"/>
  <c r="I79" i="29"/>
  <c r="S29" i="25"/>
  <c r="T39" i="20"/>
  <c r="T69" i="29"/>
  <c r="T66" i="20"/>
  <c r="T14" i="29"/>
  <c r="T41" i="25"/>
  <c r="S8" i="25"/>
  <c r="T53" i="29"/>
  <c r="S23" i="29"/>
  <c r="M10" i="30" s="1"/>
  <c r="S21" i="29"/>
  <c r="T41" i="27"/>
  <c r="T44" i="25"/>
  <c r="S25" i="25"/>
  <c r="T57" i="20"/>
  <c r="T29" i="20"/>
  <c r="T49" i="25"/>
  <c r="T5" i="29"/>
  <c r="T72" i="29"/>
  <c r="T17" i="27"/>
  <c r="T40" i="27"/>
  <c r="I78" i="20"/>
  <c r="S59" i="25"/>
  <c r="S5" i="29"/>
  <c r="S57" i="20"/>
  <c r="T36" i="29"/>
  <c r="S29" i="29"/>
  <c r="T74" i="29"/>
  <c r="I81" i="29"/>
  <c r="T63" i="29"/>
  <c r="N20" i="30" s="1"/>
  <c r="T52" i="20"/>
  <c r="S63" i="20"/>
  <c r="S39" i="29"/>
  <c r="M14" i="30" s="1"/>
  <c r="T56" i="27"/>
  <c r="T27" i="27"/>
  <c r="T73" i="27"/>
  <c r="T54" i="20"/>
  <c r="T61" i="20"/>
  <c r="T72" i="25"/>
  <c r="S6" i="20"/>
  <c r="S30" i="27"/>
  <c r="S10" i="25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J75" i="20" s="1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T40" i="25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T62" i="20"/>
  <c r="T65" i="20"/>
  <c r="S59" i="20"/>
  <c r="T72" i="20"/>
  <c r="S60" i="27"/>
  <c r="S66" i="27"/>
  <c r="T64" i="27"/>
  <c r="S69" i="20"/>
  <c r="J60" i="27"/>
  <c r="J79" i="27" s="1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T62" i="27"/>
  <c r="T68" i="27"/>
  <c r="S63" i="27"/>
  <c r="T60" i="27"/>
  <c r="S72" i="27"/>
  <c r="S62" i="27"/>
  <c r="G19" i="9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T80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Q79" i="29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R8" i="20"/>
  <c r="R45" i="25"/>
  <c r="Q77" i="29"/>
  <c r="S49" i="25"/>
  <c r="R5" i="20"/>
  <c r="S5" i="20"/>
  <c r="R39" i="25"/>
  <c r="S39" i="25"/>
  <c r="Q76" i="25"/>
  <c r="T3" i="20"/>
  <c r="Q81" i="20"/>
  <c r="S23" i="25"/>
  <c r="S51" i="29"/>
  <c r="R44" i="27"/>
  <c r="S44" i="27"/>
  <c r="Q81" i="29"/>
  <c r="S10" i="27"/>
  <c r="R70" i="20"/>
  <c r="R40" i="27"/>
  <c r="S40" i="27"/>
  <c r="D16" i="30"/>
  <c r="K20" i="30"/>
  <c r="L33" i="30"/>
  <c r="X75" i="25"/>
  <c r="X80" i="25"/>
  <c r="D36" i="30"/>
  <c r="C12" i="30"/>
  <c r="Y76" i="29"/>
  <c r="C6" i="30"/>
  <c r="V78" i="29"/>
  <c r="J17" i="30"/>
  <c r="K39" i="30"/>
  <c r="E20" i="30"/>
  <c r="D18" i="30"/>
  <c r="C7" i="30"/>
  <c r="J8" i="30"/>
  <c r="D47" i="30"/>
  <c r="W79" i="20"/>
  <c r="L9" i="30"/>
  <c r="X76" i="29"/>
  <c r="AA76" i="20"/>
  <c r="K35" i="30"/>
  <c r="E50" i="30"/>
  <c r="C37" i="30"/>
  <c r="V76" i="20"/>
  <c r="D42" i="30"/>
  <c r="Z79" i="27"/>
  <c r="Y77" i="25"/>
  <c r="J5" i="30"/>
  <c r="V75" i="29"/>
  <c r="V80" i="29"/>
  <c r="J7" i="30"/>
  <c r="Y77" i="20"/>
  <c r="E12" i="30"/>
  <c r="X76" i="27"/>
  <c r="E9" i="30"/>
  <c r="Z76" i="29"/>
  <c r="L15" i="30"/>
  <c r="Y80" i="29"/>
  <c r="Y75" i="29"/>
  <c r="W75" i="20"/>
  <c r="D33" i="30"/>
  <c r="W80" i="20"/>
  <c r="AA79" i="25"/>
  <c r="J40" i="30"/>
  <c r="K8" i="30"/>
  <c r="X75" i="29"/>
  <c r="X80" i="29"/>
  <c r="L5" i="30"/>
  <c r="J20" i="30"/>
  <c r="E8" i="30"/>
  <c r="Z78" i="27"/>
  <c r="Y75" i="25"/>
  <c r="Y80" i="25"/>
  <c r="C15" i="30"/>
  <c r="Y76" i="25"/>
  <c r="K14" i="30"/>
  <c r="L40" i="30"/>
  <c r="AA79" i="27"/>
  <c r="J16" i="30"/>
  <c r="C39" i="30"/>
  <c r="L38" i="30"/>
  <c r="Z75" i="20"/>
  <c r="Z80" i="20"/>
  <c r="J9" i="30"/>
  <c r="V76" i="29"/>
  <c r="J34" i="30"/>
  <c r="AA80" i="27"/>
  <c r="AA75" i="27"/>
  <c r="E42" i="30"/>
  <c r="D35" i="30"/>
  <c r="K44" i="30"/>
  <c r="Z75" i="29"/>
  <c r="Z80" i="29"/>
  <c r="D48" i="30"/>
  <c r="Y78" i="25"/>
  <c r="J45" i="30"/>
  <c r="V78" i="25"/>
  <c r="Y76" i="27"/>
  <c r="Y78" i="20"/>
  <c r="AA80" i="29"/>
  <c r="AA75" i="29"/>
  <c r="K40" i="30"/>
  <c r="K47" i="30"/>
  <c r="W79" i="25"/>
  <c r="D6" i="30"/>
  <c r="C36" i="30"/>
  <c r="C41" i="30"/>
  <c r="V77" i="20"/>
  <c r="K12" i="30"/>
  <c r="AA78" i="29"/>
  <c r="E41" i="30"/>
  <c r="X77" i="20"/>
  <c r="J43" i="30"/>
  <c r="D39" i="30"/>
  <c r="Z76" i="25"/>
  <c r="L20" i="30"/>
  <c r="Y76" i="20"/>
  <c r="C35" i="30"/>
  <c r="C50" i="30"/>
  <c r="X77" i="29"/>
  <c r="L13" i="30"/>
  <c r="X79" i="20"/>
  <c r="E47" i="30"/>
  <c r="E18" i="30"/>
  <c r="D43" i="30"/>
  <c r="V79" i="29"/>
  <c r="J19" i="30"/>
  <c r="D10" i="30"/>
  <c r="J12" i="30"/>
  <c r="E15" i="30"/>
  <c r="D37" i="30"/>
  <c r="W76" i="20"/>
  <c r="D45" i="30"/>
  <c r="W78" i="20"/>
  <c r="Z76" i="27"/>
  <c r="D38" i="30"/>
  <c r="L12" i="30"/>
  <c r="AA76" i="29"/>
  <c r="E13" i="30"/>
  <c r="X77" i="27"/>
  <c r="J42" i="30"/>
  <c r="L48" i="30"/>
  <c r="C45" i="30"/>
  <c r="V78" i="20"/>
  <c r="J6" i="30"/>
  <c r="AA80" i="20"/>
  <c r="AA75" i="20"/>
  <c r="K18" i="30"/>
  <c r="Z77" i="20"/>
  <c r="AA77" i="29"/>
  <c r="K36" i="30"/>
  <c r="J15" i="30"/>
  <c r="Y77" i="29"/>
  <c r="E19" i="30"/>
  <c r="X79" i="27"/>
  <c r="V77" i="29"/>
  <c r="J13" i="30"/>
  <c r="E10" i="30"/>
  <c r="AA77" i="27"/>
  <c r="K11" i="30"/>
  <c r="L39" i="30"/>
  <c r="E7" i="30"/>
  <c r="AA78" i="20"/>
  <c r="L43" i="30"/>
  <c r="L50" i="30"/>
  <c r="D12" i="30"/>
  <c r="K6" i="30"/>
  <c r="E35" i="30"/>
  <c r="C20" i="30"/>
  <c r="K16" i="30"/>
  <c r="Y80" i="27"/>
  <c r="Y75" i="27"/>
  <c r="L11" i="30"/>
  <c r="E44" i="30"/>
  <c r="K22" i="30"/>
  <c r="J46" i="30"/>
  <c r="L44" i="30"/>
  <c r="E36" i="30"/>
  <c r="W78" i="27"/>
  <c r="D17" i="30"/>
  <c r="V79" i="27"/>
  <c r="C19" i="30"/>
  <c r="C47" i="30"/>
  <c r="V79" i="20"/>
  <c r="J14" i="30"/>
  <c r="K45" i="30"/>
  <c r="W78" i="25"/>
  <c r="D49" i="30"/>
  <c r="D14" i="30"/>
  <c r="K46" i="30"/>
  <c r="C8" i="30"/>
  <c r="Z79" i="25"/>
  <c r="D11" i="30"/>
  <c r="K50" i="30"/>
  <c r="J38" i="30"/>
  <c r="AA76" i="27"/>
  <c r="E14" i="30"/>
  <c r="K48" i="30"/>
  <c r="Z79" i="20"/>
  <c r="J39" i="30"/>
  <c r="K21" i="30"/>
  <c r="L49" i="30"/>
  <c r="L46" i="30"/>
  <c r="Y78" i="27"/>
  <c r="Z78" i="29"/>
  <c r="D13" i="30"/>
  <c r="W77" i="27"/>
  <c r="W78" i="29"/>
  <c r="K17" i="30"/>
  <c r="J10" i="30"/>
  <c r="L14" i="30"/>
  <c r="C48" i="30"/>
  <c r="K38" i="30"/>
  <c r="C13" i="30"/>
  <c r="V77" i="27"/>
  <c r="L19" i="30"/>
  <c r="X79" i="29"/>
  <c r="D50" i="30"/>
  <c r="D40" i="30"/>
  <c r="C16" i="30"/>
  <c r="AA80" i="25"/>
  <c r="AA75" i="25"/>
  <c r="L42" i="30"/>
  <c r="Y77" i="27"/>
  <c r="E6" i="30"/>
  <c r="D19" i="30"/>
  <c r="W79" i="27"/>
  <c r="K7" i="30"/>
  <c r="L22" i="30"/>
  <c r="Z78" i="25"/>
  <c r="C9" i="30"/>
  <c r="V76" i="27"/>
  <c r="C44" i="30"/>
  <c r="X77" i="25"/>
  <c r="L41" i="30"/>
  <c r="C22" i="30"/>
  <c r="Y79" i="20"/>
  <c r="AA76" i="25"/>
  <c r="V80" i="20"/>
  <c r="V75" i="20"/>
  <c r="C33" i="30"/>
  <c r="C34" i="30"/>
  <c r="Y79" i="25"/>
  <c r="K43" i="30"/>
  <c r="K10" i="30"/>
  <c r="Z75" i="25"/>
  <c r="Z80" i="25"/>
  <c r="E38" i="30"/>
  <c r="J44" i="30"/>
  <c r="C11" i="30"/>
  <c r="L37" i="30"/>
  <c r="X76" i="25"/>
  <c r="D22" i="30"/>
  <c r="W80" i="29"/>
  <c r="W75" i="29"/>
  <c r="K5" i="30"/>
  <c r="J21" i="30"/>
  <c r="D9" i="30"/>
  <c r="W76" i="27"/>
  <c r="E46" i="30"/>
  <c r="J22" i="30"/>
  <c r="K15" i="30"/>
  <c r="J37" i="30"/>
  <c r="V76" i="25"/>
  <c r="E21" i="30"/>
  <c r="Z77" i="29"/>
  <c r="Z77" i="27"/>
  <c r="E22" i="30"/>
  <c r="Z77" i="25"/>
  <c r="J49" i="30"/>
  <c r="L47" i="30"/>
  <c r="X79" i="25"/>
  <c r="Y80" i="20"/>
  <c r="Y75" i="20"/>
  <c r="J48" i="30"/>
  <c r="D21" i="30"/>
  <c r="E37" i="30"/>
  <c r="X76" i="20"/>
  <c r="W80" i="25"/>
  <c r="W75" i="25"/>
  <c r="K33" i="30"/>
  <c r="E39" i="30"/>
  <c r="C17" i="30"/>
  <c r="V78" i="27"/>
  <c r="C38" i="30"/>
  <c r="X78" i="25"/>
  <c r="L45" i="30"/>
  <c r="L16" i="30"/>
  <c r="X78" i="20"/>
  <c r="E45" i="30"/>
  <c r="AA78" i="25"/>
  <c r="Z79" i="29"/>
  <c r="K42" i="30"/>
  <c r="J35" i="30"/>
  <c r="E40" i="30"/>
  <c r="V80" i="25"/>
  <c r="V75" i="25"/>
  <c r="J33" i="30"/>
  <c r="E16" i="30"/>
  <c r="D41" i="30"/>
  <c r="W77" i="20"/>
  <c r="L17" i="30"/>
  <c r="X78" i="29"/>
  <c r="K9" i="30"/>
  <c r="W76" i="29"/>
  <c r="E11" i="30"/>
  <c r="J11" i="30"/>
  <c r="AA78" i="27"/>
  <c r="J18" i="30"/>
  <c r="W79" i="29"/>
  <c r="K19" i="30"/>
  <c r="E49" i="30"/>
  <c r="C40" i="30"/>
  <c r="AA79" i="29"/>
  <c r="E48" i="30"/>
  <c r="L7" i="30"/>
  <c r="W80" i="27"/>
  <c r="D5" i="30"/>
  <c r="W75" i="27"/>
  <c r="Y79" i="29"/>
  <c r="D8" i="30"/>
  <c r="D7" i="30"/>
  <c r="D44" i="30"/>
  <c r="C21" i="30"/>
  <c r="D15" i="30"/>
  <c r="J41" i="30"/>
  <c r="V77" i="25"/>
  <c r="L36" i="30"/>
  <c r="L6" i="30"/>
  <c r="C14" i="30"/>
  <c r="D46" i="30"/>
  <c r="C49" i="30"/>
  <c r="L10" i="30"/>
  <c r="K37" i="30"/>
  <c r="W76" i="25"/>
  <c r="Y78" i="29"/>
  <c r="W77" i="25"/>
  <c r="K41" i="30"/>
  <c r="C43" i="30"/>
  <c r="X75" i="20"/>
  <c r="X80" i="20"/>
  <c r="E33" i="30"/>
  <c r="C46" i="30"/>
  <c r="AA79" i="20"/>
  <c r="E17" i="30"/>
  <c r="X78" i="27"/>
  <c r="Z78" i="20"/>
  <c r="Z75" i="27"/>
  <c r="Z80" i="27"/>
  <c r="L8" i="30"/>
  <c r="Z76" i="20"/>
  <c r="V80" i="27"/>
  <c r="V75" i="27"/>
  <c r="C5" i="30"/>
  <c r="Y79" i="27"/>
  <c r="E5" i="30"/>
  <c r="X80" i="27"/>
  <c r="X75" i="27"/>
  <c r="E43" i="30"/>
  <c r="J50" i="30"/>
  <c r="AA77" i="25"/>
  <c r="K34" i="30"/>
  <c r="AA77" i="20"/>
  <c r="D20" i="30"/>
  <c r="L34" i="30"/>
  <c r="C42" i="30"/>
  <c r="C10" i="30"/>
  <c r="L18" i="30"/>
  <c r="L35" i="30"/>
  <c r="D34" i="30"/>
  <c r="K49" i="30"/>
  <c r="E34" i="30"/>
  <c r="J36" i="30"/>
  <c r="C18" i="30"/>
  <c r="L21" i="30"/>
  <c r="J47" i="30"/>
  <c r="V79" i="25"/>
  <c r="K13" i="30"/>
  <c r="W77" i="29"/>
  <c r="S78" i="25" l="1"/>
  <c r="M55" i="30" s="1"/>
  <c r="F48" i="30"/>
  <c r="Q82" i="20"/>
  <c r="G45" i="30"/>
  <c r="F49" i="30"/>
  <c r="Q82" i="29"/>
  <c r="M44" i="30"/>
  <c r="T76" i="29"/>
  <c r="N24" i="30" s="1"/>
  <c r="N42" i="30"/>
  <c r="N48" i="30"/>
  <c r="N43" i="30"/>
  <c r="G13" i="30"/>
  <c r="G39" i="30"/>
  <c r="S77" i="29"/>
  <c r="F37" i="9" s="1"/>
  <c r="M28" i="30"/>
  <c r="G42" i="30"/>
  <c r="N36" i="30"/>
  <c r="M19" i="30"/>
  <c r="M36" i="30"/>
  <c r="N34" i="30"/>
  <c r="N40" i="30"/>
  <c r="G7" i="30"/>
  <c r="G14" i="30"/>
  <c r="F8" i="30"/>
  <c r="G5" i="30"/>
  <c r="G15" i="30"/>
  <c r="N37" i="30"/>
  <c r="G11" i="30"/>
  <c r="S80" i="29"/>
  <c r="F38" i="9" s="1"/>
  <c r="S75" i="29"/>
  <c r="F35" i="9" s="1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G5" i="9" s="1"/>
  <c r="T80" i="27"/>
  <c r="G26" i="30" s="1"/>
  <c r="G35" i="30"/>
  <c r="G38" i="30"/>
  <c r="F37" i="30"/>
  <c r="G41" i="30"/>
  <c r="F35" i="30"/>
  <c r="F43" i="30"/>
  <c r="R78" i="29"/>
  <c r="T77" i="27"/>
  <c r="G25" i="30" s="1"/>
  <c r="G10" i="30"/>
  <c r="G17" i="30"/>
  <c r="S78" i="20"/>
  <c r="F55" i="30" s="1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G10" i="9" s="1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M34" i="30"/>
  <c r="R79" i="27"/>
  <c r="R75" i="29"/>
  <c r="G9" i="9"/>
  <c r="R76" i="29"/>
  <c r="R76" i="25"/>
  <c r="R77" i="20"/>
  <c r="R79" i="29"/>
  <c r="T78" i="25"/>
  <c r="N45" i="30"/>
  <c r="S80" i="27"/>
  <c r="F8" i="9" s="1"/>
  <c r="R80" i="27"/>
  <c r="F7" i="30"/>
  <c r="M9" i="30"/>
  <c r="S76" i="29"/>
  <c r="R81" i="29"/>
  <c r="R82" i="29" s="1"/>
  <c r="R80" i="29"/>
  <c r="R75" i="27"/>
  <c r="M35" i="30"/>
  <c r="R77" i="27"/>
  <c r="R81" i="27"/>
  <c r="R82" i="27" s="1"/>
  <c r="F44" i="30"/>
  <c r="M42" i="30"/>
  <c r="R79" i="25"/>
  <c r="G35" i="9"/>
  <c r="N23" i="30"/>
  <c r="F10" i="30"/>
  <c r="F14" i="30"/>
  <c r="M38" i="30"/>
  <c r="R77" i="25"/>
  <c r="F12" i="30"/>
  <c r="G38" i="9"/>
  <c r="N26" i="30"/>
  <c r="S77" i="27"/>
  <c r="S76" i="25"/>
  <c r="S80" i="25"/>
  <c r="F41" i="30"/>
  <c r="S77" i="20"/>
  <c r="S76" i="27"/>
  <c r="F9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D6" i="9"/>
  <c r="D24" i="30"/>
  <c r="K55" i="30"/>
  <c r="D29" i="9"/>
  <c r="K24" i="30"/>
  <c r="D36" i="9"/>
  <c r="C35" i="9"/>
  <c r="J23" i="30"/>
  <c r="E37" i="9"/>
  <c r="L25" i="30"/>
  <c r="D5" i="9"/>
  <c r="D23" i="30"/>
  <c r="L26" i="30"/>
  <c r="E38" i="9"/>
  <c r="L53" i="30"/>
  <c r="E27" i="9"/>
  <c r="K53" i="30"/>
  <c r="D27" i="9"/>
  <c r="E55" i="30"/>
  <c r="E19" i="9"/>
  <c r="C28" i="9"/>
  <c r="J54" i="30"/>
  <c r="J52" i="30"/>
  <c r="C26" i="9"/>
  <c r="C55" i="30"/>
  <c r="C19" i="9"/>
  <c r="C27" i="9"/>
  <c r="J53" i="30"/>
  <c r="D25" i="30"/>
  <c r="D7" i="9"/>
  <c r="E25" i="9"/>
  <c r="L51" i="30"/>
  <c r="E23" i="30"/>
  <c r="E5" i="9"/>
  <c r="D40" i="9"/>
  <c r="K28" i="30"/>
  <c r="L55" i="30"/>
  <c r="E29" i="9"/>
  <c r="E16" i="9"/>
  <c r="E52" i="30"/>
  <c r="D38" i="9"/>
  <c r="K26" i="30"/>
  <c r="D19" i="9"/>
  <c r="D55" i="30"/>
  <c r="J28" i="30"/>
  <c r="C40" i="9"/>
  <c r="D18" i="9"/>
  <c r="D54" i="30"/>
  <c r="E6" i="9"/>
  <c r="E24" i="30"/>
  <c r="K25" i="30"/>
  <c r="D37" i="9"/>
  <c r="D28" i="30"/>
  <c r="D10" i="9"/>
  <c r="D9" i="9"/>
  <c r="D27" i="30"/>
  <c r="E28" i="30"/>
  <c r="E10" i="9"/>
  <c r="E9" i="9"/>
  <c r="E27" i="30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C24" i="30"/>
  <c r="C6" i="9"/>
  <c r="D39" i="9"/>
  <c r="K27" i="30"/>
  <c r="C20" i="9"/>
  <c r="C56" i="30"/>
  <c r="D30" i="9"/>
  <c r="K56" i="30"/>
  <c r="K54" i="30"/>
  <c r="D28" i="9"/>
  <c r="C54" i="30"/>
  <c r="C18" i="9"/>
  <c r="C7" i="9"/>
  <c r="C25" i="30"/>
  <c r="E26" i="30"/>
  <c r="E8" i="9"/>
  <c r="E18" i="9"/>
  <c r="E54" i="30"/>
  <c r="D8" i="9"/>
  <c r="D26" i="30"/>
  <c r="D53" i="30"/>
  <c r="D17" i="9"/>
  <c r="C10" i="9"/>
  <c r="C28" i="30"/>
  <c r="C36" i="9"/>
  <c r="J24" i="30"/>
  <c r="D56" i="30"/>
  <c r="D20" i="9"/>
  <c r="J27" i="30"/>
  <c r="C39" i="9"/>
  <c r="C23" i="30"/>
  <c r="C5" i="9"/>
  <c r="C8" i="9"/>
  <c r="C26" i="30"/>
  <c r="E30" i="9"/>
  <c r="L56" i="30"/>
  <c r="C15" i="9"/>
  <c r="C51" i="30"/>
  <c r="E53" i="30"/>
  <c r="E17" i="9"/>
  <c r="E28" i="9"/>
  <c r="L54" i="30"/>
  <c r="K52" i="30"/>
  <c r="D26" i="9"/>
  <c r="L27" i="30"/>
  <c r="E39" i="9"/>
  <c r="K23" i="30"/>
  <c r="D35" i="9"/>
  <c r="L24" i="30"/>
  <c r="E36" i="9"/>
  <c r="E51" i="30"/>
  <c r="E15" i="9"/>
  <c r="C27" i="30"/>
  <c r="C9" i="9"/>
  <c r="L52" i="30"/>
  <c r="E26" i="9"/>
  <c r="C37" i="9"/>
  <c r="J25" i="30"/>
  <c r="E25" i="30"/>
  <c r="E7" i="9"/>
  <c r="D16" i="9"/>
  <c r="D52" i="30"/>
  <c r="C17" i="9"/>
  <c r="C53" i="30"/>
  <c r="D15" i="9"/>
  <c r="D51" i="30"/>
  <c r="C16" i="9"/>
  <c r="C52" i="30"/>
  <c r="AK3" i="10"/>
  <c r="AG3" i="10"/>
  <c r="AI3" i="10"/>
  <c r="AN3" i="10"/>
  <c r="AJ3" i="10"/>
  <c r="AE3" i="10"/>
  <c r="AL3" i="10"/>
  <c r="AF3" i="10"/>
  <c r="AQ3" i="10"/>
  <c r="AD3" i="10"/>
  <c r="AP3" i="10"/>
  <c r="AO3" i="10"/>
  <c r="F29" i="9" l="1"/>
  <c r="G36" i="9"/>
  <c r="M25" i="30"/>
  <c r="G53" i="30"/>
  <c r="M23" i="30"/>
  <c r="G28" i="30"/>
  <c r="G7" i="9"/>
  <c r="M26" i="30"/>
  <c r="G25" i="9"/>
  <c r="G23" i="30"/>
  <c r="G16" i="9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E4" i="10"/>
  <c r="AG4" i="10"/>
  <c r="AO4" i="10"/>
  <c r="AN4" i="10"/>
  <c r="AD4" i="10"/>
  <c r="AI4" i="10"/>
  <c r="AL4" i="10"/>
  <c r="AQ4" i="10"/>
  <c r="AF4" i="10"/>
  <c r="AK4" i="10"/>
  <c r="AP4" i="10"/>
  <c r="AJ4" i="10"/>
  <c r="AC6" i="10" l="1"/>
  <c r="AD6" i="10"/>
  <c r="AF5" i="10"/>
  <c r="AO5" i="10"/>
  <c r="AJ5" i="10"/>
  <c r="AQ6" i="10"/>
  <c r="AJ6" i="10"/>
  <c r="AP6" i="10"/>
  <c r="AF6" i="10"/>
  <c r="AG6" i="10"/>
  <c r="AE5" i="10"/>
  <c r="AI6" i="10"/>
  <c r="AD5" i="10"/>
  <c r="AQ5" i="10"/>
  <c r="AL6" i="10"/>
  <c r="AO6" i="10"/>
  <c r="AG5" i="10"/>
  <c r="AP5" i="10"/>
  <c r="AN5" i="10"/>
  <c r="AL5" i="10"/>
  <c r="AI5" i="10"/>
  <c r="AN6" i="10"/>
  <c r="AK6" i="10"/>
  <c r="AK5" i="10"/>
  <c r="AE6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<sst xmlns="http://schemas.openxmlformats.org/spreadsheetml/2006/main" count="1550" uniqueCount="696">
  <si>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</si>
  <si>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</si>
  <si>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</si>
  <si>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</si>
  <si>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</si>
  <si>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</si>
  <si>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</si>
  <si>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</si>
  <si>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</si>
  <si>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</si>
  <si>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</si>
  <si>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</si>
  <si>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</si>
  <si>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</si>
  <si>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</si>
  <si>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</si>
  <si>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</si>
  <si>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</si>
  <si>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</si>
  <si>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</si>
  <si>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</si>
  <si>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</si>
  <si>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</si>
  <si>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</si>
  <si>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</si>
  <si>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</si>
  <si>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</si>
  <si>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</si>
  <si>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</si>
  <si>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</si>
  <si>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</si>
  <si>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</si>
  <si>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</si>
  <si>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</si>
  <si>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</si>
  <si>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</si>
  <si>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</si>
  <si>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</si>
  <si>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</si>
  <si>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</si>
  <si>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</si>
  <si>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</si>
  <si>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</si>
  <si>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</si>
  <si>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</si>
  <si>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</si>
  <si>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</si>
  <si>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</si>
  <si>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</si>
  <si>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</si>
  <si>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</si>
  <si>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</si>
  <si>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</si>
  <si>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</si>
  <si>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</si>
  <si>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</si>
  <si>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</si>
  <si>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</si>
  <si>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</si>
  <si>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</si>
  <si>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</si>
  <si>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</si>
  <si>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</si>
  <si>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</si>
  <si>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</si>
  <si>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</si>
  <si>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</si>
  <si>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</si>
  <si>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</si>
  <si>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</si>
  <si>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</si>
  <si>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</si>
  <si>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</si>
  <si>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</si>
  <si>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</si>
  <si>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</si>
  <si>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</si>
  <si>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</si>
  <si>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</si>
  <si>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</si>
  <si>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</si>
  <si>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</si>
  <si>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</si>
  <si>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</si>
  <si>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</si>
  <si>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</si>
  <si>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</si>
  <si>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</si>
  <si>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</si>
  <si>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</si>
  <si>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</si>
  <si>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</si>
  <si>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</si>
  <si>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</si>
  <si>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</si>
  <si>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</si>
  <si>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</si>
  <si>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</si>
  <si>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</si>
  <si>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</si>
  <si>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</si>
  <si>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</si>
  <si>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</si>
  <si>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</si>
  <si>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</si>
  <si>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</si>
  <si>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</si>
  <si>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</si>
  <si>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</si>
  <si>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</si>
  <si>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</si>
  <si>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</si>
  <si>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</si>
  <si>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</si>
  <si>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</si>
  <si>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</si>
  <si>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</si>
  <si>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</si>
  <si>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</si>
  <si>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</si>
  <si>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</si>
  <si>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</si>
  <si>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</si>
  <si>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</si>
  <si>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</si>
  <si>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</si>
  <si>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</si>
  <si>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</si>
  <si>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</si>
  <si>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</si>
  <si>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</si>
  <si>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</si>
  <si>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</si>
  <si>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</si>
  <si>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</si>
  <si>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</si>
  <si>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</si>
  <si>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</si>
  <si>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</si>
  <si>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</si>
  <si>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</si>
  <si>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</si>
  <si>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</si>
  <si>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</si>
  <si>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</si>
  <si>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</si>
  <si>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</si>
  <si>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</si>
  <si>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</si>
  <si>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</si>
  <si>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</si>
  <si>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</si>
  <si>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</si>
  <si>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</si>
  <si>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</si>
  <si>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</si>
  <si>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</si>
  <si>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</si>
  <si>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</si>
  <si>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</si>
  <si>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</si>
  <si>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</si>
  <si>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</si>
  <si>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</si>
  <si>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</si>
  <si>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</si>
  <si>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</si>
  <si>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</si>
  <si>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</si>
  <si>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</si>
  <si>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</si>
  <si>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</si>
  <si>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</si>
  <si>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</si>
  <si>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</si>
  <si>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</si>
  <si>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</si>
  <si>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</si>
  <si>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</si>
  <si>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</si>
  <si>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</si>
  <si>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</si>
  <si>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</si>
  <si>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</si>
  <si>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</si>
  <si>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</si>
  <si>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</si>
  <si>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</si>
  <si>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</si>
  <si>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</si>
  <si>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</si>
  <si>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</si>
  <si>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</si>
  <si>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</si>
  <si>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</si>
  <si>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</si>
  <si>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</si>
  <si>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</si>
  <si>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</si>
  <si>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</si>
  <si>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</si>
  <si>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</si>
  <si>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</si>
  <si>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</si>
  <si>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</si>
  <si>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</si>
  <si>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</si>
  <si>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</si>
  <si>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</si>
  <si>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</si>
  <si>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</si>
  <si>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</si>
  <si>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</si>
  <si>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</si>
  <si>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</si>
  <si>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</si>
  <si>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</si>
  <si>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</si>
  <si>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</si>
  <si>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</si>
  <si>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</si>
  <si>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</si>
  <si>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</si>
  <si>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</si>
  <si>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</si>
  <si>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</si>
  <si>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</si>
  <si>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</si>
  <si>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</si>
  <si>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</si>
  <si>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</si>
  <si>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</si>
  <si>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</si>
  <si>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</si>
  <si>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</si>
  <si>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</si>
  <si>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</si>
  <si>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</si>
  <si>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</si>
  <si>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</si>
  <si>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</si>
  <si>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</si>
  <si>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</si>
  <si>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</si>
  <si>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</si>
  <si>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</si>
  <si>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</si>
  <si>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</si>
  <si>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</si>
  <si>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</si>
  <si>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</si>
  <si>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</si>
  <si>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</si>
  <si>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</si>
  <si>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</si>
  <si>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</si>
  <si>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</si>
  <si>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</si>
  <si>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</si>
  <si>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</si>
  <si>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</si>
  <si>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</si>
  <si>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</si>
  <si>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</si>
  <si>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</si>
  <si>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</si>
  <si>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</si>
  <si>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</si>
  <si>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</si>
  <si>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</si>
  <si>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</si>
  <si>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</si>
  <si>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</si>
  <si>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</si>
  <si>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</si>
  <si>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</si>
  <si>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</si>
  <si>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</si>
  <si>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</si>
  <si>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</si>
  <si>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</si>
  <si>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</si>
  <si>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</si>
  <si>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</si>
  <si>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</si>
  <si>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</si>
  <si>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</si>
  <si>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</si>
  <si>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</si>
  <si>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</si>
  <si>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</si>
  <si>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</si>
  <si>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</si>
  <si>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</si>
  <si>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</si>
  <si>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</si>
  <si>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</si>
  <si>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</si>
  <si>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</si>
  <si>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</si>
  <si>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</si>
  <si>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</si>
  <si>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</si>
  <si>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</si>
  <si>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</si>
  <si>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</si>
  <si>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</si>
  <si>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</si>
  <si>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</si>
  <si>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</si>
  <si>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</si>
  <si>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</si>
  <si>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</si>
  <si>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</si>
  <si>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</si>
  <si>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</si>
  <si>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</si>
  <si>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</si>
  <si>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</si>
  <si>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</si>
  <si>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</si>
  <si>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</si>
  <si>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</si>
  <si>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</si>
  <si>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</si>
  <si>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</si>
  <si>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</si>
  <si>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</si>
  <si>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</si>
  <si>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</si>
  <si>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</si>
  <si>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</si>
  <si>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</si>
  <si>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</si>
  <si>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</si>
  <si>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</si>
  <si>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</si>
  <si>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</si>
  <si>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</si>
  <si>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</si>
  <si>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</si>
  <si>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</si>
  <si>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</si>
  <si>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</si>
  <si>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</si>
  <si>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</si>
  <si>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</si>
  <si>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</si>
  <si>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</si>
  <si>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</si>
  <si>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</si>
  <si>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</si>
  <si>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</si>
  <si>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</si>
  <si>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</si>
  <si>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</si>
  <si>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</si>
  <si>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</si>
  <si>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</si>
  <si>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</si>
  <si>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</si>
  <si>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</si>
  <si>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</si>
  <si>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</si>
  <si>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</si>
  <si>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</si>
  <si>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</si>
  <si>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</si>
  <si>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</si>
  <si>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</si>
  <si>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</si>
  <si>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</si>
  <si>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</si>
  <si>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</si>
  <si>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</si>
  <si>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</si>
  <si>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</si>
  <si>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</si>
  <si>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</si>
  <si>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</si>
  <si>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</si>
  <si>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</si>
  <si>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</si>
  <si>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</si>
  <si>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</si>
  <si>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</si>
  <si>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</si>
  <si>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</si>
  <si>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</si>
  <si>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</si>
  <si>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</si>
  <si>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</si>
  <si>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</si>
  <si>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</si>
  <si>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</si>
  <si>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</si>
  <si>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</si>
  <si>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</si>
  <si>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</si>
  <si>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</si>
  <si>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</si>
  <si>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</si>
  <si>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</si>
  <si>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</si>
  <si>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</si>
  <si>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</si>
  <si>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RA_all_log/enc_log_City_RA_27_rap1.txt</t>
  </si>
  <si>
    <t>RA_all_log/dec_log_City_RA_27_rap1.txt</t>
  </si>
  <si>
    <t>RA_all_log/enc_log_City_RA_32_rap1.txt</t>
  </si>
  <si>
    <t>RA_all_log/dec_log_City_RA_32_rap1.txt</t>
  </si>
  <si>
    <t>RA_all_log/enc_log_City_RA_38_rap1.txt</t>
  </si>
  <si>
    <t>RA_all_log/dec_log_City_RA_38_rap1.txt</t>
  </si>
  <si>
    <t>RA_all_log/enc_log_City_RA_45_rap1.txt</t>
  </si>
  <si>
    <t>RA_all_log/dec_log_City_RA_45_rap1.txt</t>
  </si>
  <si>
    <t>RA_all_log/enc_log_Crew_RA_27_rap1.txt</t>
  </si>
  <si>
    <t>RA_all_log/dec_log_Crew_RA_27_rap1.txt</t>
  </si>
  <si>
    <t>RA_all_log/enc_log_Crew_RA_32_rap1.txt</t>
  </si>
  <si>
    <t>RA_all_log/dec_log_Crew_RA_32_rap1.txt</t>
  </si>
  <si>
    <t>RA_all_log/enc_log_Crew_RA_38_rap1.txt</t>
  </si>
  <si>
    <t>RA_all_log/dec_log_Crew_RA_38_rap1.txt</t>
  </si>
  <si>
    <t>RA_all_log/enc_log_Crew_RA_45_rap1.txt</t>
  </si>
  <si>
    <t>RA_all_log/dec_log_Crew_RA_45_rap1.txt</t>
  </si>
  <si>
    <t>RA_all_log/enc_log_Vidyo1_RA_27_rap1.txt</t>
  </si>
  <si>
    <t>RA_all_log/dec_log_Vidyo1_RA_27_rap1.txt</t>
  </si>
  <si>
    <t>RA_all_log/enc_log_Vidyo1_RA_32_rap1.txt</t>
  </si>
  <si>
    <t>RA_all_log/dec_log_Vidyo1_RA_32_rap1.txt</t>
  </si>
  <si>
    <t>RA_all_log/enc_log_Vidyo1_RA_38_rap1.txt</t>
  </si>
  <si>
    <t>RA_all_log/dec_log_Vidyo1_RA_38_rap1.txt</t>
  </si>
  <si>
    <t>RA_all_log/enc_log_Vidyo1_RA_45_rap1.txt</t>
  </si>
  <si>
    <t>RA_all_log/dec_log_Vidyo1_RA_45_rap1.txt</t>
  </si>
  <si>
    <t>RA_all_log/enc_log_Vidyo3_RA_27_rap1.txt</t>
  </si>
  <si>
    <t>RA_all_log/dec_log_Vidyo3_RA_27_rap1.txt</t>
  </si>
  <si>
    <t>RA_all_log/enc_log_Vidyo3_RA_32_rap1.txt</t>
  </si>
  <si>
    <t>RA_all_log/dec_log_Vidyo3_RA_32_rap1.txt</t>
  </si>
  <si>
    <t>RA_all_log/enc_log_Vidyo3_RA_38_rap1.txt</t>
  </si>
  <si>
    <t>RA_all_log/dec_log_Vidyo3_RA_38_rap1.txt</t>
  </si>
  <si>
    <t>RA_all_log/enc_log_Vidyo3_RA_45_rap1.txt</t>
  </si>
  <si>
    <t>RA_all_log/dec_log_Vidyo3_RA_45_rap1.txt</t>
  </si>
  <si>
    <t>RA_all_log/enc_log_BasketballDrive_RA_27_rap2.txt</t>
  </si>
  <si>
    <t>RA_all_log/dec_log_BasketballDrive_RA_27_rap2.txt</t>
  </si>
  <si>
    <t>RA_all_log/enc_log_BasketballDrive_RA_32_rap2.txt</t>
  </si>
  <si>
    <t>RA_all_log/dec_log_BasketballDrive_RA_32_rap2.txt</t>
  </si>
  <si>
    <t>RA_all_log/enc_log_BasketballDrive_RA_38_rap2.txt</t>
  </si>
  <si>
    <t>RA_all_log/dec_log_BasketballDrive_RA_38_rap2.txt</t>
  </si>
  <si>
    <t>RA_all_log/enc_log_BasketballDrive_RA_45_rap2.txt</t>
  </si>
  <si>
    <t>RA_all_log/dec_log_BasketballDrive_RA_45_rap2.txt</t>
  </si>
  <si>
    <t>RA_all_log/enc_log_Cactus_RA_27_rap2.txt</t>
  </si>
  <si>
    <t>RA_all_log/dec_log_Cactus_RA_27_rap2.txt</t>
  </si>
  <si>
    <t>RA_all_log/enc_log_Cactus_RA_32_rap2.txt</t>
  </si>
  <si>
    <t>RA_all_log/dec_log_Cactus_RA_32_rap2.txt</t>
  </si>
  <si>
    <t>RA_all_log/enc_log_Cactus_RA_38_rap2.txt</t>
  </si>
  <si>
    <t>RA_all_log/dec_log_Cactus_RA_38_rap2.txt</t>
  </si>
  <si>
    <t>RA_all_log/enc_log_Cactus_RA_45_rap2.txt</t>
  </si>
  <si>
    <t>RA_all_log/dec_log_Cactus_RA_45_rap2.txt</t>
  </si>
  <si>
    <t>RA_all_log/enc_log_MarketPlace_RA_27_rap1.txt</t>
  </si>
  <si>
    <t>RA_all_log/dec_log_MarketPlace_RA_27_rap1.txt</t>
  </si>
  <si>
    <t>RA_all_log/enc_log_MarketPlace_RA_32_rap1.txt</t>
  </si>
  <si>
    <t>RA_all_log/dec_log_MarketPlace_RA_32_rap1.txt</t>
  </si>
  <si>
    <t>RA_all_log/enc_log_MarketPlace_RA_38_rap1.txt</t>
  </si>
  <si>
    <t>RA_all_log/dec_log_MarketPlace_RA_38_rap1.txt</t>
  </si>
  <si>
    <t>RA_all_log/enc_log_MarketPlace_RA_45_rap1.txt</t>
  </si>
  <si>
    <t>RA_all_log/dec_log_MarketPlace_RA_45_rap1.txt</t>
  </si>
  <si>
    <t>RA_all_log/enc_log_RitualDance_RA_27_rap1.txt</t>
  </si>
  <si>
    <t>RA_all_log/dec_log_RitualDance_RA_27_rap1.txt</t>
  </si>
  <si>
    <t>RA_all_log/enc_log_RitualDance_RA_32_rap1.txt</t>
  </si>
  <si>
    <t>RA_all_log/dec_log_RitualDance_RA_32_rap1.txt</t>
  </si>
  <si>
    <t>RA_all_log/enc_log_RitualDance_RA_38_rap1.txt</t>
  </si>
  <si>
    <t>RA_all_log/dec_log_RitualDance_RA_38_rap1.txt</t>
  </si>
  <si>
    <t>RA_all_log/enc_log_RitualDance_RA_45_rap1.txt</t>
  </si>
  <si>
    <t>RA_all_log/dec_log_RitualDance_RA_45_rap1.txt</t>
  </si>
  <si>
    <t>RA_all_log/enc_log_Tango2_RA_27_rap1.txt</t>
  </si>
  <si>
    <t>RA_all_log/dec_log_Tango2_RA_27_rap1.txt</t>
  </si>
  <si>
    <t>RA_all_log/enc_log_Tango2_RA_32_rap1.txt</t>
  </si>
  <si>
    <t>RA_all_log/dec_log_Tango2_RA_32_rap1.txt</t>
  </si>
  <si>
    <t>RA_all_log/enc_log_Tango2_RA_38_rap1.txt</t>
  </si>
  <si>
    <t>RA_all_log/dec_log_Tango2_RA_38_rap1.txt</t>
  </si>
  <si>
    <t>RA_all_log/enc_log_Tango2_RA_45_rap1.txt</t>
  </si>
  <si>
    <t>RA_all_log/dec_log_Tango2_RA_45_rap1.txt</t>
  </si>
  <si>
    <t>RA_all_log/enc_log_Campfire_RA_27_rap1.txt</t>
  </si>
  <si>
    <t>RA_all_log/dec_log_Campfire_RA_27_rap1.txt</t>
  </si>
  <si>
    <t>RA_all_log/enc_log_Campfire_RA_32_rap1.txt</t>
  </si>
  <si>
    <t>RA_all_log/dec_log_Campfire_RA_32_rap1.txt</t>
  </si>
  <si>
    <t>RA_all_log/enc_log_Campfire_RA_38_rap1.txt</t>
  </si>
  <si>
    <t>RA_all_log/dec_log_Campfire_RA_38_rap1.txt</t>
  </si>
  <si>
    <t>RA_all_log/enc_log_Campfire_RA_45_rap1.txt</t>
  </si>
  <si>
    <t>RA_all_log/dec_log_Campfire_RA_45_rap1.txt</t>
  </si>
  <si>
    <t>RA_all_log/dec_log_ParkRunning3_RA_27_rap2.txt</t>
  </si>
  <si>
    <t>RA_all_log/enc_log_ParkRunning3_RA_32_rap2.txt</t>
  </si>
  <si>
    <t>RA_all_log/dec_log_ParkRunning3_RA_32_rap2.txt</t>
  </si>
  <si>
    <t>RA_all_log/enc_log_ParkRunning3_RA_38_rap2.txt</t>
  </si>
  <si>
    <t>RA_all_log/dec_log_ParkRunning3_RA_38_rap2.txt</t>
  </si>
  <si>
    <t>RA_all_log/enc_log_ParkRunning3_RA_45_rap2.txt</t>
  </si>
  <si>
    <t>RA_all_log/dec_log_ParkRunning3_RA_45_rap2.txt</t>
  </si>
  <si>
    <t>RA_all_log/enc_log_DaylightRoad2_RA_27_rap1.txt</t>
  </si>
  <si>
    <t>RA_all_log/dec_log_DaylightRoad2_RA_27_rap1.txt</t>
  </si>
  <si>
    <t>RA_all_log/enc_log_DaylightRoad2_RA_32_rap1.txt</t>
  </si>
  <si>
    <t>RA_all_log/dec_log_DaylightRoad2_RA_32_rap1.txt</t>
  </si>
  <si>
    <t>RA_all_log/enc_log_DaylightRoad2_RA_38_rap1.txt</t>
  </si>
  <si>
    <t>RA_all_log/dec_log_DaylightRoad2_RA_38_rap1.txt</t>
  </si>
  <si>
    <t>RA_all_log/enc_log_DaylightRoad2_RA_45_rap1.txt</t>
  </si>
  <si>
    <t>RA_all_log/dec_log_DaylightRoad2_RA_45_rap1.txt</t>
  </si>
  <si>
    <t>HPM12.2</t>
    <phoneticPr fontId="1" type="noConversion"/>
  </si>
  <si>
    <t>AI_all_log/enc_log_City_AI_27_rap0.txt</t>
  </si>
  <si>
    <t>AI_all_log/dec_log_City_AI_27_rap0.txt</t>
  </si>
  <si>
    <t>AI_all_log/enc_log_City_AI_32_rap0.txt</t>
  </si>
  <si>
    <t>AI_all_log/dec_log_City_AI_32_rap0.txt</t>
  </si>
  <si>
    <t>AI_all_log/enc_log_City_AI_38_rap0.txt</t>
  </si>
  <si>
    <t>AI_all_log/dec_log_City_AI_38_rap0.txt</t>
  </si>
  <si>
    <t>AI_all_log/enc_log_City_AI_45_rap0.txt</t>
  </si>
  <si>
    <t>AI_all_log/dec_log_City_AI_45_rap0.txt</t>
  </si>
  <si>
    <t>AI_all_log/enc_log_Crew_AI_27_rap0.txt</t>
  </si>
  <si>
    <t>AI_all_log/dec_log_Crew_AI_27_rap0.txt</t>
  </si>
  <si>
    <t>AI_all_log/enc_log_Crew_AI_32_rap0.txt</t>
  </si>
  <si>
    <t>AI_all_log/dec_log_Crew_AI_32_rap0.txt</t>
  </si>
  <si>
    <t>AI_all_log/enc_log_Crew_AI_38_rap0.txt</t>
  </si>
  <si>
    <t>AI_all_log/dec_log_Crew_AI_38_rap0.txt</t>
  </si>
  <si>
    <t>AI_all_log/enc_log_Crew_AI_45_rap0.txt</t>
  </si>
  <si>
    <t>AI_all_log/dec_log_Crew_AI_45_rap0.txt</t>
  </si>
  <si>
    <t>AI_all_log/enc_log_Vidyo1_AI_27_rap0.txt</t>
  </si>
  <si>
    <t>AI_all_log/dec_log_Vidyo1_AI_27_rap0.txt</t>
  </si>
  <si>
    <t>AI_all_log/enc_log_Vidyo1_AI_32_rap0.txt</t>
  </si>
  <si>
    <t>AI_all_log/dec_log_Vidyo1_AI_32_rap0.txt</t>
  </si>
  <si>
    <t>AI_all_log/enc_log_Vidyo1_AI_38_rap0.txt</t>
  </si>
  <si>
    <t>AI_all_log/dec_log_Vidyo1_AI_38_rap0.txt</t>
  </si>
  <si>
    <t>AI_all_log/enc_log_Vidyo1_AI_45_rap0.txt</t>
  </si>
  <si>
    <t>AI_all_log/dec_log_Vidyo1_AI_45_rap0.txt</t>
  </si>
  <si>
    <t>AI_all_log/enc_log_Vidyo3_AI_27_rap0.txt</t>
  </si>
  <si>
    <t>AI_all_log/dec_log_Vidyo3_AI_27_rap0.txt</t>
  </si>
  <si>
    <t>AI_all_log/enc_log_Vidyo3_AI_32_rap0.txt</t>
  </si>
  <si>
    <t>AI_all_log/dec_log_Vidyo3_AI_32_rap0.txt</t>
  </si>
  <si>
    <t>AI_all_log/enc_log_Vidyo3_AI_38_rap0.txt</t>
  </si>
  <si>
    <t>AI_all_log/dec_log_Vidyo3_AI_38_rap0.txt</t>
  </si>
  <si>
    <t>AI_all_log/enc_log_Vidyo3_AI_45_rap0.txt</t>
  </si>
  <si>
    <t>AI_all_log/dec_log_Vidyo3_AI_45_rap0.txt</t>
  </si>
  <si>
    <t>AI_all_log/enc_log_BasketballDrive_AI_27_rap0.txt</t>
  </si>
  <si>
    <t>AI_all_log/dec_log_BasketballDrive_AI_27_rap0.txt</t>
  </si>
  <si>
    <t>AI_all_log/enc_log_BasketballDrive_AI_32_rap0.txt</t>
  </si>
  <si>
    <t>AI_all_log/dec_log_BasketballDrive_AI_32_rap0.txt</t>
  </si>
  <si>
    <t>AI_all_log/enc_log_BasketballDrive_AI_38_rap0.txt</t>
  </si>
  <si>
    <t>AI_all_log/dec_log_BasketballDrive_AI_38_rap0.txt</t>
  </si>
  <si>
    <t>AI_all_log/enc_log_BasketballDrive_AI_45_rap0.txt</t>
  </si>
  <si>
    <t>AI_all_log/dec_log_BasketballDrive_AI_45_rap0.txt</t>
  </si>
  <si>
    <t>AI_all_log/enc_log_Cactus_AI_27_rap0.txt</t>
  </si>
  <si>
    <t>AI_all_log/dec_log_Cactus_AI_27_rap0.txt</t>
  </si>
  <si>
    <t>AI_all_log/enc_log_Cactus_AI_32_rap0.txt</t>
  </si>
  <si>
    <t>AI_all_log/dec_log_Cactus_AI_32_rap0.txt</t>
  </si>
  <si>
    <t>AI_all_log/enc_log_Cactus_AI_38_rap0.txt</t>
  </si>
  <si>
    <t>AI_all_log/dec_log_Cactus_AI_38_rap0.txt</t>
  </si>
  <si>
    <t>AI_all_log/enc_log_Cactus_AI_45_rap0.txt</t>
  </si>
  <si>
    <t>AI_all_log/dec_log_Cactus_AI_45_rap0.txt</t>
  </si>
  <si>
    <t>AI_all_log/enc_log_MarketPlace_AI_27_rap0.txt</t>
  </si>
  <si>
    <t>AI_all_log/dec_log_MarketPlace_AI_27_rap0.txt</t>
  </si>
  <si>
    <t>AI_all_log/enc_log_MarketPlace_AI_32_rap0.txt</t>
  </si>
  <si>
    <t>AI_all_log/dec_log_MarketPlace_AI_32_rap0.txt</t>
  </si>
  <si>
    <t>AI_all_log/enc_log_MarketPlace_AI_38_rap0.txt</t>
  </si>
  <si>
    <t>AI_all_log/dec_log_MarketPlace_AI_38_rap0.txt</t>
  </si>
  <si>
    <t>AI_all_log/enc_log_MarketPlace_AI_45_rap0.txt</t>
  </si>
  <si>
    <t>AI_all_log/dec_log_MarketPlace_AI_45_rap0.txt</t>
  </si>
  <si>
    <t>AI_all_log/enc_log_RitualDance_AI_27_rap0.txt</t>
  </si>
  <si>
    <t>AI_all_log/dec_log_RitualDance_AI_27_rap0.txt</t>
  </si>
  <si>
    <t>AI_all_log/enc_log_RitualDance_AI_32_rap0.txt</t>
  </si>
  <si>
    <t>AI_all_log/dec_log_RitualDance_AI_32_rap0.txt</t>
  </si>
  <si>
    <t>AI_all_log/enc_log_RitualDance_AI_38_rap0.txt</t>
  </si>
  <si>
    <t>AI_all_log/dec_log_RitualDance_AI_38_rap0.txt</t>
  </si>
  <si>
    <t>AI_all_log/enc_log_RitualDance_AI_45_rap0.txt</t>
  </si>
  <si>
    <t>AI_all_log/dec_log_RitualDance_AI_45_rap0.txt</t>
  </si>
  <si>
    <t>AI_all_log/enc_log_Tango2_AI_27_rap0.txt</t>
  </si>
  <si>
    <t>AI_all_log/dec_log_Tango2_AI_27_rap0.txt</t>
  </si>
  <si>
    <t>AI_all_log/enc_log_Tango2_AI_32_rap0.txt</t>
  </si>
  <si>
    <t>AI_all_log/dec_log_Tango2_AI_32_rap0.txt</t>
  </si>
  <si>
    <t>AI_all_log/enc_log_Tango2_AI_38_rap0.txt</t>
  </si>
  <si>
    <t>AI_all_log/dec_log_Tango2_AI_38_rap0.txt</t>
  </si>
  <si>
    <t>AI_all_log/enc_log_Tango2_AI_45_rap0.txt</t>
  </si>
  <si>
    <t>AI_all_log/dec_log_Tango2_AI_45_rap0.txt</t>
  </si>
  <si>
    <t>AI_all_log/enc_log_Campfire_AI_27_rap0.txt</t>
  </si>
  <si>
    <t>AI_all_log/dec_log_Campfire_AI_27_rap0.txt</t>
  </si>
  <si>
    <t>AI_all_log/enc_log_Campfire_AI_32_rap0.txt</t>
  </si>
  <si>
    <t>AI_all_log/dec_log_Campfire_AI_32_rap0.txt</t>
  </si>
  <si>
    <t>AI_all_log/enc_log_Campfire_AI_38_rap0.txt</t>
  </si>
  <si>
    <t>AI_all_log/dec_log_Campfire_AI_38_rap0.txt</t>
  </si>
  <si>
    <t>AI_all_log/enc_log_Campfire_AI_45_rap0.txt</t>
  </si>
  <si>
    <t>AI_all_log/dec_log_Campfire_AI_45_rap0.txt</t>
  </si>
  <si>
    <t>AI_all_log/enc_log_ParkRunning3_AI_27_rap0.txt</t>
  </si>
  <si>
    <t>AI_all_log/dec_log_ParkRunning3_AI_27_rap0.txt</t>
  </si>
  <si>
    <t>AI_all_log/enc_log_ParkRunning3_AI_32_rap0.txt</t>
  </si>
  <si>
    <t>AI_all_log/dec_log_ParkRunning3_AI_32_rap0.txt</t>
  </si>
  <si>
    <t>AI_all_log/enc_log_ParkRunning3_AI_38_rap0.txt</t>
  </si>
  <si>
    <t>AI_all_log/dec_log_ParkRunning3_AI_38_rap0.txt</t>
  </si>
  <si>
    <t>AI_all_log/enc_log_ParkRunning3_AI_45_rap0.txt</t>
  </si>
  <si>
    <t>AI_all_log/dec_log_ParkRunning3_AI_45_rap0.txt</t>
  </si>
  <si>
    <t>AI_all_log/enc_log_DaylightRoad2_AI_27_rap0.txt</t>
  </si>
  <si>
    <t>AI_all_log/dec_log_DaylightRoad2_AI_27_rap0.txt</t>
  </si>
  <si>
    <t>AI_all_log/enc_log_DaylightRoad2_AI_32_rap0.txt</t>
  </si>
  <si>
    <t>AI_all_log/dec_log_DaylightRoad2_AI_32_rap0.txt</t>
  </si>
  <si>
    <t>AI_all_log/enc_log_DaylightRoad2_AI_38_rap0.txt</t>
  </si>
  <si>
    <t>AI_all_log/dec_log_DaylightRoad2_AI_38_rap0.txt</t>
  </si>
  <si>
    <t>AI_all_log/enc_log_DaylightRoad2_AI_45_rap0.txt</t>
  </si>
  <si>
    <t>AI_all_log/dec_log_DaylightRoad2_AI_45_rap0.txt</t>
  </si>
  <si>
    <t>LD_all_log/enc_log_Tango2_LD_27_rap0.txt</t>
  </si>
  <si>
    <t>LD_all_log/dec_log_Tango2_LD_27_rap0.txt</t>
  </si>
  <si>
    <t>LD_all_log/enc_log_Tango2_LD_32_rap0.txt</t>
  </si>
  <si>
    <t>LD_all_log/dec_log_Tango2_LD_32_rap0.txt</t>
  </si>
  <si>
    <t>LD_all_log/enc_log_Tango2_LD_38_rap0.txt</t>
  </si>
  <si>
    <t>LD_all_log/dec_log_Tango2_LD_38_rap0.txt</t>
  </si>
  <si>
    <t>LD_all_log/enc_log_Tango2_LD_45_rap0.txt</t>
  </si>
  <si>
    <t>LD_all_log/dec_log_Tango2_LD_45_rap0.txt</t>
  </si>
  <si>
    <t>LD_all_log/enc_log_ParkRunning3_LD_27_rap0.txt</t>
  </si>
  <si>
    <t>LD_all_log/dec_log_ParkRunning3_LD_27_rap0.txt</t>
  </si>
  <si>
    <t>LD_all_log/enc_log_ParkRunning3_LD_32_rap0.txt</t>
  </si>
  <si>
    <t>LD_all_log/dec_log_ParkRunning3_LD_32_rap0.txt</t>
  </si>
  <si>
    <t>LD_all_log/enc_log_ParkRunning3_LD_38_rap0.txt</t>
  </si>
  <si>
    <t>LD_all_log/dec_log_ParkRunning3_LD_38_rap0.txt</t>
  </si>
  <si>
    <t>LD_all_log/enc_log_ParkRunning3_LD_45_rap0.txt</t>
  </si>
  <si>
    <t>LD_all_log/dec_log_ParkRunning3_LD_45_rap0.txt</t>
  </si>
  <si>
    <t>LD_all_log/enc_log_Campfire_LD_27_rap0.txt</t>
  </si>
  <si>
    <t>LD_all_log/dec_log_Campfire_LD_27_rap0.txt</t>
  </si>
  <si>
    <t>LD_all_log/enc_log_Campfire_LD_32_rap0.txt</t>
  </si>
  <si>
    <t>LD_all_log/dec_log_Campfire_LD_32_rap0.txt</t>
  </si>
  <si>
    <t>LD_all_log/enc_log_Campfire_LD_38_rap0.txt</t>
  </si>
  <si>
    <t>LD_all_log/dec_log_Campfire_LD_38_rap0.txt</t>
  </si>
  <si>
    <t>LD_all_log/enc_log_Campfire_LD_45_rap0.txt</t>
  </si>
  <si>
    <t>LD_all_log/dec_log_Campfire_LD_45_rap0.txt</t>
  </si>
  <si>
    <t>LD_all_log/enc_log_DaylightRoad2_LD_27_rap0.txt</t>
  </si>
  <si>
    <t>LD_all_log/dec_log_DaylightRoad2_LD_27_rap0.txt</t>
  </si>
  <si>
    <t>LD_all_log/enc_log_DaylightRoad2_LD_32_rap0.txt</t>
  </si>
  <si>
    <t>LD_all_log/dec_log_DaylightRoad2_LD_32_rap0.txt</t>
  </si>
  <si>
    <t>LD_all_log/enc_log_DaylightRoad2_LD_38_rap0.txt</t>
  </si>
  <si>
    <t>LD_all_log/dec_log_DaylightRoad2_LD_38_rap0.txt</t>
  </si>
  <si>
    <t>LD_all_log/enc_log_DaylightRoad2_LD_45_rap0.txt</t>
  </si>
  <si>
    <t>LD_all_log/dec_log_DaylightRoad2_LD_45_rap0.txt</t>
  </si>
  <si>
    <t>LD_all_log/enc_log_Cactus_LD_27_rap0.txt</t>
  </si>
  <si>
    <t>LD_all_log/dec_log_Cactus_LD_27_rap0.txt</t>
  </si>
  <si>
    <t>LD_all_log/enc_log_Cactus_LD_32_rap0.txt</t>
  </si>
  <si>
    <t>LD_all_log/dec_log_Cactus_LD_32_rap0.txt</t>
  </si>
  <si>
    <t>LD_all_log/enc_log_Cactus_LD_38_rap0.txt</t>
  </si>
  <si>
    <t>LD_all_log/dec_log_Cactus_LD_38_rap0.txt</t>
  </si>
  <si>
    <t>LD_all_log/enc_log_Cactus_LD_45_rap0.txt</t>
  </si>
  <si>
    <t>LD_all_log/dec_log_Cactus_LD_45_rap0.txt</t>
  </si>
  <si>
    <t>LD_all_log/enc_log_BasketballDrive_LD_27_rap0.txt</t>
  </si>
  <si>
    <t>LD_all_log/dec_log_BasketballDrive_LD_27_rap0.txt</t>
  </si>
  <si>
    <t>LD_all_log/enc_log_BasketballDrive_LD_32_rap0.txt</t>
  </si>
  <si>
    <t>LD_all_log/dec_log_BasketballDrive_LD_32_rap0.txt</t>
  </si>
  <si>
    <t>LD_all_log/enc_log_BasketballDrive_LD_38_rap0.txt</t>
  </si>
  <si>
    <t>LD_all_log/dec_log_BasketballDrive_LD_38_rap0.txt</t>
  </si>
  <si>
    <t>LD_all_log/enc_log_BasketballDrive_LD_45_rap0.txt</t>
  </si>
  <si>
    <t>LD_all_log/dec_log_BasketballDrive_LD_45_rap0.txt</t>
  </si>
  <si>
    <t>LD_all_log/enc_log_MarketPlace_LD_27_rap0.txt</t>
  </si>
  <si>
    <t>LD_all_log/dec_log_MarketPlace_LD_27_rap0.txt</t>
  </si>
  <si>
    <t>LD_all_log/enc_log_MarketPlace_LD_32_rap0.txt</t>
  </si>
  <si>
    <t>LD_all_log/dec_log_MarketPlace_LD_32_rap0.txt</t>
  </si>
  <si>
    <t>LD_all_log/enc_log_MarketPlace_LD_38_rap0.txt</t>
  </si>
  <si>
    <t>LD_all_log/dec_log_MarketPlace_LD_38_rap0.txt</t>
  </si>
  <si>
    <t>LD_all_log/enc_log_MarketPlace_LD_45_rap0.txt</t>
  </si>
  <si>
    <t>LD_all_log/dec_log_MarketPlace_LD_45_rap0.txt</t>
  </si>
  <si>
    <t>LD_all_log/enc_log_RitualDance_LD_27_rap0.txt</t>
  </si>
  <si>
    <t>LD_all_log/dec_log_RitualDance_LD_27_rap0.txt</t>
  </si>
  <si>
    <t>LD_all_log/enc_log_RitualDance_LD_32_rap0.txt</t>
  </si>
  <si>
    <t>LD_all_log/dec_log_RitualDance_LD_32_rap0.txt</t>
  </si>
  <si>
    <t>LD_all_log/enc_log_RitualDance_LD_38_rap0.txt</t>
  </si>
  <si>
    <t>LD_all_log/dec_log_RitualDance_LD_38_rap0.txt</t>
  </si>
  <si>
    <t>LD_all_log/enc_log_RitualDance_LD_45_rap0.txt</t>
  </si>
  <si>
    <t>LD_all_log/dec_log_RitualDance_LD_45_rap0.txt</t>
  </si>
  <si>
    <t>LD_all_log/enc_log_City_LD_27_rap0.txt</t>
  </si>
  <si>
    <t>LD_all_log/dec_log_City_LD_27_rap0.txt</t>
  </si>
  <si>
    <t>LD_all_log/enc_log_City_LD_32_rap0.txt</t>
  </si>
  <si>
    <t>LD_all_log/dec_log_City_LD_32_rap0.txt</t>
  </si>
  <si>
    <t>LD_all_log/enc_log_City_LD_38_rap0.txt</t>
  </si>
  <si>
    <t>LD_all_log/dec_log_City_LD_38_rap0.txt</t>
  </si>
  <si>
    <t>LD_all_log/enc_log_City_LD_45_rap0.txt</t>
  </si>
  <si>
    <t>LD_all_log/dec_log_City_LD_45_rap0.txt</t>
  </si>
  <si>
    <t>LD_all_log/enc_log_Crew_LD_27_rap0.txt</t>
  </si>
  <si>
    <t>LD_all_log/dec_log_Crew_LD_27_rap0.txt</t>
  </si>
  <si>
    <t>LD_all_log/enc_log_Crew_LD_32_rap0.txt</t>
  </si>
  <si>
    <t>LD_all_log/dec_log_Crew_LD_32_rap0.txt</t>
  </si>
  <si>
    <t>LD_all_log/enc_log_Crew_LD_38_rap0.txt</t>
  </si>
  <si>
    <t>LD_all_log/dec_log_Crew_LD_38_rap0.txt</t>
  </si>
  <si>
    <t>LD_all_log/enc_log_Crew_LD_45_rap0.txt</t>
  </si>
  <si>
    <t>LD_all_log/dec_log_Crew_LD_45_rap0.txt</t>
  </si>
  <si>
    <t>LD_all_log/enc_log_Vidyo1_LD_27_rap0.txt</t>
  </si>
  <si>
    <t>LD_all_log/dec_log_Vidyo1_LD_27_rap0.txt</t>
  </si>
  <si>
    <t>LD_all_log/enc_log_Vidyo1_LD_32_rap0.txt</t>
  </si>
  <si>
    <t>LD_all_log/dec_log_Vidyo1_LD_32_rap0.txt</t>
  </si>
  <si>
    <t>LD_all_log/enc_log_Vidyo1_LD_38_rap0.txt</t>
  </si>
  <si>
    <t>LD_all_log/dec_log_Vidyo1_LD_38_rap0.txt</t>
  </si>
  <si>
    <t>LD_all_log/enc_log_Vidyo1_LD_45_rap0.txt</t>
  </si>
  <si>
    <t>LD_all_log/dec_log_Vidyo1_LD_45_rap0.txt</t>
  </si>
  <si>
    <t>LD_all_log/enc_log_Vidyo3_LD_27_rap0.txt</t>
  </si>
  <si>
    <t>LD_all_log/dec_log_Vidyo3_LD_27_rap0.txt</t>
  </si>
  <si>
    <t>LD_all_log/enc_log_Vidyo3_LD_32_rap0.txt</t>
  </si>
  <si>
    <t>LD_all_log/dec_log_Vidyo3_LD_32_rap0.txt</t>
  </si>
  <si>
    <t>LD_all_log/enc_log_Vidyo3_LD_38_rap0.txt</t>
  </si>
  <si>
    <t>LD_all_log/dec_log_Vidyo3_LD_38_rap0.txt</t>
  </si>
  <si>
    <t>LD_all_log/enc_log_Vidyo3_LD_45_rap0.txt</t>
  </si>
  <si>
    <t>LD_all_log/dec_log_Vidyo3_LD_45_rap0.txt</t>
  </si>
  <si>
    <t>RA_all_log/enc_log_ParkRunning3_RA_27_rap2.txt</t>
  </si>
  <si>
    <t>HPM12.2.1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</si>
</sst>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HPM12.2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HPM12.2.1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HPM12.2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HPM12.2.1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HPM12.2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HPM12.2.1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HPM12.2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HPM12.2.1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zoomScale="85" zoomScaleNormal="85" workbookViewId="0">
      <selection activeCell="U5" sqref="U5"/>
    </sheetView>
  </sheetViews>
  <sheetFormatPr defaultColWidth="10.8984375" defaultRowHeight="11.4" x14ac:dyDescent="0.2"/>
  <cols>
    <col min="1" max="1" width="4.09765625" style="103" customWidth="1"/>
    <col min="2" max="2" width="15.3984375" style="102" bestFit="1" customWidth="1"/>
    <col min="3" max="5" width="7.5" style="102" bestFit="1" customWidth="1"/>
    <col min="6" max="7" width="6.3984375" style="102" bestFit="1" customWidth="1"/>
    <col min="8" max="8" width="4.8984375" style="103" customWidth="1"/>
    <col min="9" max="9" width="15.3984375" style="103" bestFit="1" customWidth="1"/>
    <col min="10" max="12" width="7.5" style="103" bestFit="1" customWidth="1"/>
    <col min="13" max="14" width="6.3984375" style="103" bestFit="1" customWidth="1"/>
    <col min="15" max="16384" width="10.8984375" style="103"/>
  </cols>
  <sheetData>
    <row r="1" spans="2:15" ht="12" thickBot="1" x14ac:dyDescent="0.25"/>
    <row r="2" spans="2:15" ht="12.75" customHeight="1" thickBot="1" x14ac:dyDescent="0.25">
      <c r="C2" s="150" t="s">
        <v>74</v>
      </c>
      <c r="D2" s="151"/>
      <c r="E2" s="151"/>
      <c r="F2" s="151"/>
      <c r="G2" s="152"/>
      <c r="I2" s="102"/>
      <c r="J2" s="150" t="s">
        <v>75</v>
      </c>
      <c r="K2" s="151"/>
      <c r="L2" s="151"/>
      <c r="M2" s="151"/>
      <c r="N2" s="152"/>
    </row>
    <row r="3" spans="2:15" ht="12.75" customHeight="1" x14ac:dyDescent="0.25">
      <c r="C3" s="150" t="str">
        <f>CONCATENATE("Over ", Summary!$J$3)</f>
        <v>Over HPM12.2</v>
      </c>
      <c r="D3" s="151"/>
      <c r="E3" s="151"/>
      <c r="F3" s="151"/>
      <c r="G3" s="152"/>
      <c r="I3" s="102"/>
      <c r="J3" s="150" t="str">
        <f>CONCATENATE("Over ", Summary!$J$3)</f>
        <v>Over HPM12.2</v>
      </c>
      <c r="K3" s="151"/>
      <c r="L3" s="151"/>
      <c r="M3" s="151"/>
      <c r="N3" s="152"/>
      <c r="O3" s="104"/>
    </row>
    <row r="4" spans="2:15" ht="12.75" customHeight="1" thickBot="1" x14ac:dyDescent="0.3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5">
      <c r="B5" s="110" t="str">
        <f>'AI-10'!$B$3</f>
        <v>Tango2</v>
      </c>
      <c r="C5" s="111">
        <f>'AI-10'!$V$3</f>
        <v>0</v>
      </c>
      <c r="D5" s="112">
        <f>'AI-10'!$W$3</f>
        <v>0</v>
      </c>
      <c r="E5" s="113">
        <f>'AI-10'!$X$3</f>
        <v>0</v>
      </c>
      <c r="F5" s="114">
        <f>GEOMEAN('AI-10'!$S$3:'AI-10'!$S$6)</f>
        <v>0.99479336630925241</v>
      </c>
      <c r="G5" s="115">
        <f>GEOMEAN('AI-10'!$T$3:'AI-10'!$T$6)</f>
        <v>1.0506040696722527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5">
      <c r="B6" s="116" t="str">
        <f>'AI-10'!$B$7</f>
        <v>ParkRunning3</v>
      </c>
      <c r="C6" s="117">
        <f>'AI-10'!$V$7</f>
        <v>0</v>
      </c>
      <c r="D6" s="118">
        <f>'AI-10'!$W$7</f>
        <v>0</v>
      </c>
      <c r="E6" s="119">
        <f>'AI-10'!$X$7</f>
        <v>0</v>
      </c>
      <c r="F6" s="120">
        <f>GEOMEAN('AI-10'!$S$7:'AI-10'!$S$10)</f>
        <v>0.99793434613277765</v>
      </c>
      <c r="G6" s="121">
        <f>GEOMEAN('AI-10'!$T$7:'AI-10'!$T$10)</f>
        <v>1.0710684587613548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5">
      <c r="B7" s="116" t="str">
        <f>'AI-10'!$B$11</f>
        <v>Campfire</v>
      </c>
      <c r="C7" s="117">
        <f>'AI-10'!$V$11</f>
        <v>0</v>
      </c>
      <c r="D7" s="118">
        <f>'AI-10'!$W$11</f>
        <v>0</v>
      </c>
      <c r="E7" s="119">
        <f>'AI-10'!$X$11</f>
        <v>0</v>
      </c>
      <c r="F7" s="130">
        <f>GEOMEAN('AI-10'!$S$11:'AI-10'!$S$14)</f>
        <v>0.99254966375588427</v>
      </c>
      <c r="G7" s="121">
        <f>GEOMEAN('AI-10'!$T$11:'AI-10'!$T$14)</f>
        <v>1.0968172082347918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3">
      <c r="B8" s="122" t="str">
        <f>'AI-10'!$B$15</f>
        <v>DaylightRoad2</v>
      </c>
      <c r="C8" s="123">
        <f>'AI-10'!$V$15</f>
        <v>0</v>
      </c>
      <c r="D8" s="124">
        <f>'AI-10'!$W$15</f>
        <v>0</v>
      </c>
      <c r="E8" s="125">
        <f>'AI-10'!$X$15</f>
        <v>0</v>
      </c>
      <c r="F8" s="126">
        <f>GEOMEAN('AI-10'!$S$15:'AI-10'!$S$18)</f>
        <v>0.99864258891015711</v>
      </c>
      <c r="G8" s="127">
        <f>GEOMEAN('AI-10'!$T$15:'AI-10'!$T$18)</f>
        <v>1.09685524824775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5">
      <c r="B9" s="110" t="str">
        <f>'AI-10'!$B$19</f>
        <v>Cactus</v>
      </c>
      <c r="C9" s="111">
        <f>'AI-10'!$V$19</f>
        <v>0</v>
      </c>
      <c r="D9" s="112">
        <f>'AI-10'!$W$19</f>
        <v>0</v>
      </c>
      <c r="E9" s="113">
        <f>'AI-10'!$X$19</f>
        <v>0</v>
      </c>
      <c r="F9" s="114">
        <f>GEOMEAN('AI-10'!$S$19:'AI-10'!$S$22)</f>
        <v>0.99650166712823529</v>
      </c>
      <c r="G9" s="115">
        <f>GEOMEAN('AI-10'!$T$19:'AI-10'!$T$22)</f>
        <v>1.1343417243174831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5">
      <c r="B10" s="116" t="str">
        <f>'AI-10'!$B$23</f>
        <v>BasketballDrive</v>
      </c>
      <c r="C10" s="117">
        <f>'AI-10'!$V$23</f>
        <v>0</v>
      </c>
      <c r="D10" s="118">
        <f>'AI-10'!$W$23</f>
        <v>0</v>
      </c>
      <c r="E10" s="119">
        <f>'AI-10'!$X$23</f>
        <v>0</v>
      </c>
      <c r="F10" s="120">
        <f>GEOMEAN('AI-10'!$S$23:'AI-10'!$S$26)</f>
        <v>1.0063200442265474</v>
      </c>
      <c r="G10" s="121">
        <f>GEOMEAN('AI-10'!$T$23:'AI-10'!$T$26)</f>
        <v>1.112165324226194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5">
      <c r="B11" s="116" t="str">
        <f>'AI-10'!$B$27</f>
        <v>MarketPlace</v>
      </c>
      <c r="C11" s="117">
        <f>'AI-10'!$V$27</f>
        <v>0</v>
      </c>
      <c r="D11" s="118">
        <f>'AI-10'!$W$27</f>
        <v>0</v>
      </c>
      <c r="E11" s="119">
        <f>'AI-10'!$X$27</f>
        <v>0</v>
      </c>
      <c r="F11" s="120">
        <f>GEOMEAN('AI-10'!$S$27:'AI-10'!$S$30)</f>
        <v>0.99676177275307398</v>
      </c>
      <c r="G11" s="121">
        <f>GEOMEAN('AI-10'!$T$27:'AI-10'!$T$30)</f>
        <v>1.0838657755991756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3">
      <c r="B12" s="122" t="str">
        <f>'AI-10'!$B$31</f>
        <v>RitualDance</v>
      </c>
      <c r="C12" s="123">
        <f>'AI-10'!$V$31</f>
        <v>0</v>
      </c>
      <c r="D12" s="124">
        <f>'AI-10'!$W$31</f>
        <v>0</v>
      </c>
      <c r="E12" s="125">
        <f>'AI-10'!$X$31</f>
        <v>0</v>
      </c>
      <c r="F12" s="126">
        <f>GEOMEAN('AI-10'!$S$31:'AI-10'!$S$34)</f>
        <v>0.99922045242647972</v>
      </c>
      <c r="G12" s="127">
        <f>GEOMEAN('AI-10'!$T$31:'AI-10'!$T$34)</f>
        <v>1.0880772003299395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5">
      <c r="B13" s="110" t="str">
        <f>'AI-10'!$B$35</f>
        <v>City</v>
      </c>
      <c r="C13" s="111">
        <f>'AI-10'!$V$35</f>
        <v>0</v>
      </c>
      <c r="D13" s="112">
        <f>'AI-10'!$W$35</f>
        <v>0</v>
      </c>
      <c r="E13" s="113">
        <f>'AI-10'!$X$35</f>
        <v>0</v>
      </c>
      <c r="F13" s="114">
        <f>GEOMEAN('AI-10'!$S$35:'AI-10'!$S$38)</f>
        <v>1.0016149946777682</v>
      </c>
      <c r="G13" s="115">
        <f>GEOMEAN('AI-10'!$T$35:'AI-10'!$T$38)</f>
        <v>1.1593910290998612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5">
      <c r="B14" s="116" t="str">
        <f>'AI-10'!$B$39</f>
        <v>Crew</v>
      </c>
      <c r="C14" s="117">
        <f>'AI-10'!$V$39</f>
        <v>0</v>
      </c>
      <c r="D14" s="118">
        <f>'AI-10'!$W$39</f>
        <v>0</v>
      </c>
      <c r="E14" s="119">
        <f>'AI-10'!$X$39</f>
        <v>0</v>
      </c>
      <c r="F14" s="120">
        <f>GEOMEAN('AI-10'!$S$39:'AI-10'!$S$42)</f>
        <v>1.0036475979482558</v>
      </c>
      <c r="G14" s="121">
        <f>GEOMEAN('AI-10'!$T$39:'AI-10'!$T$42)</f>
        <v>1.1279698003989123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5">
      <c r="B15" s="116" t="str">
        <f>'AI-10'!$B$43</f>
        <v>vidyo1</v>
      </c>
      <c r="C15" s="117">
        <f>'AI-10'!$V$43</f>
        <v>0</v>
      </c>
      <c r="D15" s="118">
        <f>'AI-10'!$W$43</f>
        <v>0</v>
      </c>
      <c r="E15" s="119">
        <f>'AI-10'!$X$43</f>
        <v>0</v>
      </c>
      <c r="F15" s="120">
        <f>GEOMEAN('AI-10'!$S$43:'AI-10'!$S$46)</f>
        <v>0.9911110396773809</v>
      </c>
      <c r="G15" s="121">
        <f>GEOMEAN('AI-10'!$T$43:'AI-10'!$T$46)</f>
        <v>1.0947629117780679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3">
      <c r="B16" s="122" t="str">
        <f>'AI-10'!$B$47</f>
        <v>vidyo3</v>
      </c>
      <c r="C16" s="123">
        <f>'AI-10'!$V$47</f>
        <v>0</v>
      </c>
      <c r="D16" s="124">
        <f>'AI-10'!$W$47</f>
        <v>0</v>
      </c>
      <c r="E16" s="125">
        <f>'AI-10'!$X$47</f>
        <v>0</v>
      </c>
      <c r="F16" s="126">
        <f>GEOMEAN('AI-10'!$S$47:'AI-10'!$S$50)</f>
        <v>1.0034965616224039</v>
      </c>
      <c r="G16" s="127">
        <f>GEOMEAN('AI-10'!$T$47:'AI-10'!$T$50)</f>
        <v>1.1064376810981367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5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3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5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5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5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3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5">
      <c r="B23" s="132" t="s">
        <v>78</v>
      </c>
      <c r="C23" s="111">
        <f>'AI-10'!$V75</f>
        <v>0</v>
      </c>
      <c r="D23" s="112">
        <f>'AI-10'!$W75</f>
        <v>0</v>
      </c>
      <c r="E23" s="113">
        <f>'AI-10'!$X75</f>
        <v>0</v>
      </c>
      <c r="F23" s="128">
        <f>'AI-10'!$S75</f>
        <v>0.99597696727959439</v>
      </c>
      <c r="G23" s="115">
        <f>'AI-10'!$T75</f>
        <v>1.078660984742051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5">
      <c r="B24" s="133" t="s">
        <v>79</v>
      </c>
      <c r="C24" s="117">
        <f>'AI-10'!$V76</f>
        <v>0</v>
      </c>
      <c r="D24" s="118">
        <f>'AI-10'!$W76</f>
        <v>0</v>
      </c>
      <c r="E24" s="119">
        <f>'AI-10'!$X76</f>
        <v>0</v>
      </c>
      <c r="F24" s="130">
        <f>'AI-10'!$S76</f>
        <v>0.99969313632238821</v>
      </c>
      <c r="G24" s="121">
        <f>'AI-10'!$T76</f>
        <v>1.1044272601472449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>
        <f>'AI-10'!$V77</f>
        <v>0</v>
      </c>
      <c r="D25" s="118">
        <f>'AI-10'!$W77</f>
        <v>0</v>
      </c>
      <c r="E25" s="119">
        <f>'AI-10'!$X77</f>
        <v>0</v>
      </c>
      <c r="F25" s="130">
        <f>'AI-10'!$S77</f>
        <v>0.99995410445735322</v>
      </c>
      <c r="G25" s="121">
        <f>'AI-10'!$T77</f>
        <v>1.1218727788807215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>
        <f>'AI-10'!$V80</f>
        <v>0</v>
      </c>
      <c r="D26" s="137">
        <f>'AI-10'!$W80</f>
        <v>0</v>
      </c>
      <c r="E26" s="136">
        <f>'AI-10'!$X80</f>
        <v>0</v>
      </c>
      <c r="F26" s="135">
        <f>'AI-10'!$S80</f>
        <v>0.99853974912136412</v>
      </c>
      <c r="G26" s="134">
        <f>'AI-10'!$T80</f>
        <v>1.1015103093694079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0" t="s">
        <v>76</v>
      </c>
      <c r="D30" s="151"/>
      <c r="E30" s="151"/>
      <c r="F30" s="151"/>
      <c r="G30" s="152"/>
      <c r="I30" s="102"/>
      <c r="J30" s="150" t="s">
        <v>77</v>
      </c>
      <c r="K30" s="151"/>
      <c r="L30" s="151"/>
      <c r="M30" s="151"/>
      <c r="N30" s="152"/>
    </row>
    <row r="31" spans="2:15" ht="12.75" customHeight="1" x14ac:dyDescent="0.2">
      <c r="C31" s="150" t="str">
        <f>CONCATENATE("Over ", Summary!$J$3)</f>
        <v>Over HPM12.2</v>
      </c>
      <c r="D31" s="151"/>
      <c r="E31" s="151"/>
      <c r="F31" s="151"/>
      <c r="G31" s="152"/>
      <c r="I31" s="102"/>
      <c r="J31" s="150" t="str">
        <f>CONCATENATE("Over ", Summary!$J$3)</f>
        <v>Over HPM12.2</v>
      </c>
      <c r="K31" s="151"/>
      <c r="L31" s="151"/>
      <c r="M31" s="151"/>
      <c r="N31" s="152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>
        <f>'RA-10'!$V$3</f>
        <v>0</v>
      </c>
      <c r="D33" s="112">
        <f>'RA-10'!$W$3</f>
        <v>0</v>
      </c>
      <c r="E33" s="113">
        <f>'RA-10'!$X$3</f>
        <v>0</v>
      </c>
      <c r="F33" s="114">
        <f>GEOMEAN('RA-10'!$S$3:'RA-10'!$S$6)</f>
        <v>1.0446157329080439</v>
      </c>
      <c r="G33" s="115">
        <f>GEOMEAN('RA-10'!$T$3:'RA-10'!$T$6)</f>
        <v>1.0110801960351841</v>
      </c>
      <c r="I33" s="110" t="str">
        <f>'AI-10'!$B$3</f>
        <v>Tango2</v>
      </c>
      <c r="J33" s="111">
        <f>'LDB-10'!$V$3</f>
        <v>0</v>
      </c>
      <c r="K33" s="112">
        <f>'LDB-10'!$W$3</f>
        <v>0</v>
      </c>
      <c r="L33" s="113">
        <f>'LDB-10'!$X$3</f>
        <v>0</v>
      </c>
      <c r="M33" s="114">
        <f>GEOMEAN('LDB-10'!$S$3:'LDB-10'!$S$6)</f>
        <v>1.0525932775087665</v>
      </c>
      <c r="N33" s="115">
        <f>GEOMEAN('LDB-10'!$T$3:'LDB-10'!$T$6)</f>
        <v>1.0092968475346984</v>
      </c>
    </row>
    <row r="34" spans="2:14" ht="12.75" customHeight="1" x14ac:dyDescent="0.2">
      <c r="B34" s="116" t="str">
        <f>'AI-10'!$B$7</f>
        <v>ParkRunning3</v>
      </c>
      <c r="C34" s="117">
        <f>'RA-10'!$V$7</f>
        <v>0</v>
      </c>
      <c r="D34" s="118">
        <f>'RA-10'!$W$7</f>
        <v>0</v>
      </c>
      <c r="E34" s="119">
        <f>'RA-10'!$X$7</f>
        <v>0</v>
      </c>
      <c r="F34" s="120">
        <f>GEOMEAN('RA-10'!$S$7:'RA-10'!$S$10)</f>
        <v>1.0735099227285521</v>
      </c>
      <c r="G34" s="121">
        <f>GEOMEAN('RA-10'!$T$7:'RA-10'!$T$10)</f>
        <v>1.0448280748274983</v>
      </c>
      <c r="I34" s="116" t="str">
        <f>'AI-10'!$B$7</f>
        <v>ParkRunning3</v>
      </c>
      <c r="J34" s="117">
        <f>'LDB-10'!$V$7</f>
        <v>0</v>
      </c>
      <c r="K34" s="118">
        <f>'LDB-10'!$W$7</f>
        <v>0</v>
      </c>
      <c r="L34" s="119">
        <f>'LDB-10'!$X$7</f>
        <v>0</v>
      </c>
      <c r="M34" s="120">
        <f>GEOMEAN('LDB-10'!$S$7:'LDB-10'!$S$10)</f>
        <v>1.0720923256111319</v>
      </c>
      <c r="N34" s="121">
        <f>GEOMEAN('LDB-10'!$T$7:'LDB-10'!$T$10)</f>
        <v>1.0422104601648392</v>
      </c>
    </row>
    <row r="35" spans="2:14" ht="12.75" customHeight="1" x14ac:dyDescent="0.2">
      <c r="B35" s="116" t="str">
        <f>'AI-10'!$B$11</f>
        <v>Campfire</v>
      </c>
      <c r="C35" s="117">
        <f>'RA-10'!$V$11</f>
        <v>0</v>
      </c>
      <c r="D35" s="118">
        <f>'RA-10'!$W$11</f>
        <v>0</v>
      </c>
      <c r="E35" s="119">
        <f>'RA-10'!$X$11</f>
        <v>0</v>
      </c>
      <c r="F35" s="130">
        <f>GEOMEAN('RA-10'!$S$11:'RA-10'!$S$14)</f>
        <v>1.0825517614863933</v>
      </c>
      <c r="G35" s="121">
        <f>GEOMEAN('RA-10'!$T$11:'RA-10'!$T$14)</f>
        <v>1.0646886153031354</v>
      </c>
      <c r="I35" s="116" t="str">
        <f>'AI-10'!$B$11</f>
        <v>Campfire</v>
      </c>
      <c r="J35" s="117">
        <f>'LDB-10'!$V$11</f>
        <v>0</v>
      </c>
      <c r="K35" s="118">
        <f>'LDB-10'!$W$11</f>
        <v>0</v>
      </c>
      <c r="L35" s="119">
        <f>'LDB-10'!$X$11</f>
        <v>0</v>
      </c>
      <c r="M35" s="130">
        <f>GEOMEAN('LDB-10'!$S$11:'LDB-10'!$S$14)</f>
        <v>1.0661656568863296</v>
      </c>
      <c r="N35" s="121">
        <f>GEOMEAN('LDB-10'!$T$11:'LDB-10'!$T$14)</f>
        <v>1.0638466607691051</v>
      </c>
    </row>
    <row r="36" spans="2:14" ht="12.75" customHeight="1" thickBot="1" x14ac:dyDescent="0.25">
      <c r="B36" s="122" t="str">
        <f>'AI-10'!$B$15</f>
        <v>DaylightRoad2</v>
      </c>
      <c r="C36" s="123">
        <f>'RA-10'!$V$15</f>
        <v>0</v>
      </c>
      <c r="D36" s="124">
        <f>'RA-10'!$W$15</f>
        <v>0</v>
      </c>
      <c r="E36" s="125">
        <f>'RA-10'!$X$15</f>
        <v>0</v>
      </c>
      <c r="F36" s="126">
        <f>GEOMEAN('RA-10'!$S$15:'RA-10'!$S$18)</f>
        <v>1.0628099524491141</v>
      </c>
      <c r="G36" s="127">
        <f>GEOMEAN('RA-10'!$T$15:'RA-10'!$T$18)</f>
        <v>1.0282167258710204</v>
      </c>
      <c r="I36" s="122" t="str">
        <f>'AI-10'!$B$15</f>
        <v>DaylightRoad2</v>
      </c>
      <c r="J36" s="123">
        <f>'LDB-10'!$V$15</f>
        <v>0</v>
      </c>
      <c r="K36" s="124">
        <f>'LDB-10'!$W$15</f>
        <v>0</v>
      </c>
      <c r="L36" s="125">
        <f>'LDB-10'!$X$15</f>
        <v>0</v>
      </c>
      <c r="M36" s="126">
        <f>GEOMEAN('LDB-10'!$S$15:'LDB-10'!$S$18)</f>
        <v>1.0541197604554327</v>
      </c>
      <c r="N36" s="127">
        <f>GEOMEAN('LDB-10'!$T$15:'LDB-10'!$T$18)</f>
        <v>1.0340313582340723</v>
      </c>
    </row>
    <row r="37" spans="2:14" ht="12.75" customHeight="1" x14ac:dyDescent="0.2">
      <c r="B37" s="110" t="str">
        <f>'AI-10'!$B$19</f>
        <v>Cactus</v>
      </c>
      <c r="C37" s="111">
        <f>'RA-10'!$V$19</f>
        <v>0</v>
      </c>
      <c r="D37" s="112">
        <f>'RA-10'!$W$19</f>
        <v>0</v>
      </c>
      <c r="E37" s="113">
        <f>'RA-10'!$X$19</f>
        <v>0</v>
      </c>
      <c r="F37" s="114">
        <f>GEOMEAN('RA-10'!$S$19:'RA-10'!$S$22)</f>
        <v>1.0636747583231241</v>
      </c>
      <c r="G37" s="115">
        <f>GEOMEAN('RA-10'!$T$19:'RA-10'!$T$22)</f>
        <v>1.0346014822092953</v>
      </c>
      <c r="I37" s="110" t="str">
        <f>'AI-10'!$B$19</f>
        <v>Cactus</v>
      </c>
      <c r="J37" s="111">
        <f>'LDB-10'!$V$19</f>
        <v>0</v>
      </c>
      <c r="K37" s="112">
        <f>'LDB-10'!$W$19</f>
        <v>0</v>
      </c>
      <c r="L37" s="113">
        <f>'LDB-10'!$X$19</f>
        <v>0</v>
      </c>
      <c r="M37" s="114">
        <f>GEOMEAN('LDB-10'!$S$19:'LDB-10'!$S$22)</f>
        <v>1.0838196399155156</v>
      </c>
      <c r="N37" s="115">
        <f>GEOMEAN('LDB-10'!$T$19:'LDB-10'!$T$22)</f>
        <v>1.0384088695045404</v>
      </c>
    </row>
    <row r="38" spans="2:14" ht="12.75" customHeight="1" x14ac:dyDescent="0.2">
      <c r="B38" s="116" t="str">
        <f>'AI-10'!$B$23</f>
        <v>BasketballDrive</v>
      </c>
      <c r="C38" s="117">
        <f>'RA-10'!$V$23</f>
        <v>0</v>
      </c>
      <c r="D38" s="118">
        <f>'RA-10'!$W$23</f>
        <v>0</v>
      </c>
      <c r="E38" s="119">
        <f>'RA-10'!$X$23</f>
        <v>0</v>
      </c>
      <c r="F38" s="120">
        <f>GEOMEAN('RA-10'!$S$23:'RA-10'!$S$26)</f>
        <v>1.0606608393739245</v>
      </c>
      <c r="G38" s="121">
        <f>GEOMEAN('RA-10'!$T$23:'RA-10'!$T$26)</f>
        <v>1.0487465229998398</v>
      </c>
      <c r="I38" s="116" t="str">
        <f>'AI-10'!$B$23</f>
        <v>BasketballDrive</v>
      </c>
      <c r="J38" s="117">
        <f>'LDB-10'!$V$23</f>
        <v>0</v>
      </c>
      <c r="K38" s="118">
        <f>'LDB-10'!$W$23</f>
        <v>0</v>
      </c>
      <c r="L38" s="119">
        <f>'LDB-10'!$X$23</f>
        <v>0</v>
      </c>
      <c r="M38" s="120">
        <f>GEOMEAN('LDB-10'!$S$23:'LDB-10'!$S$26)</f>
        <v>1.0796987617388558</v>
      </c>
      <c r="N38" s="121">
        <f>GEOMEAN('LDB-10'!$T$23:'LDB-10'!$T$26)</f>
        <v>1.0549550451140084</v>
      </c>
    </row>
    <row r="39" spans="2:14" ht="12.75" customHeight="1" x14ac:dyDescent="0.2">
      <c r="B39" s="116" t="str">
        <f>'AI-10'!$B$27</f>
        <v>MarketPlace</v>
      </c>
      <c r="C39" s="117">
        <f>'RA-10'!$V$27</f>
        <v>0</v>
      </c>
      <c r="D39" s="118">
        <f>'RA-10'!$W$27</f>
        <v>0</v>
      </c>
      <c r="E39" s="119">
        <f>'RA-10'!$X$27</f>
        <v>0</v>
      </c>
      <c r="F39" s="120">
        <f>GEOMEAN('RA-10'!$S$27:'RA-10'!$S$30)</f>
        <v>1.0571805122535181</v>
      </c>
      <c r="G39" s="121">
        <f>GEOMEAN('RA-10'!$T$27:'RA-10'!$T$30)</f>
        <v>1.0293808448704254</v>
      </c>
      <c r="I39" s="116" t="str">
        <f>'AI-10'!$B$27</f>
        <v>MarketPlace</v>
      </c>
      <c r="J39" s="117">
        <f>'LDB-10'!$V$27</f>
        <v>0</v>
      </c>
      <c r="K39" s="118">
        <f>'LDB-10'!$W$27</f>
        <v>0</v>
      </c>
      <c r="L39" s="119">
        <f>'LDB-10'!$X$27</f>
        <v>0</v>
      </c>
      <c r="M39" s="120">
        <f>GEOMEAN('LDB-10'!$S$27:'LDB-10'!$S$30)</f>
        <v>1.0726845697101788</v>
      </c>
      <c r="N39" s="121">
        <f>GEOMEAN('LDB-10'!$T$27:'LDB-10'!$T$30)</f>
        <v>1.0414124386724168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0</v>
      </c>
      <c r="D40" s="124">
        <f>'RA-10'!$W$31</f>
        <v>0</v>
      </c>
      <c r="E40" s="125">
        <f>'RA-10'!$X$31</f>
        <v>0</v>
      </c>
      <c r="F40" s="126">
        <f>GEOMEAN('RA-10'!$S$31:'RA-10'!$S$34)</f>
        <v>1.0623812260725538</v>
      </c>
      <c r="G40" s="127">
        <f>GEOMEAN('RA-10'!$T$31:'RA-10'!$T$34)</f>
        <v>1.0980140791652091</v>
      </c>
      <c r="I40" s="122" t="str">
        <f>'AI-10'!$B$31</f>
        <v>RitualDance</v>
      </c>
      <c r="J40" s="123">
        <f>'LDB-10'!$V$31</f>
        <v>0</v>
      </c>
      <c r="K40" s="124">
        <f>'LDB-10'!$W$31</f>
        <v>0</v>
      </c>
      <c r="L40" s="125">
        <f>'LDB-10'!$X$31</f>
        <v>0</v>
      </c>
      <c r="M40" s="126">
        <f>GEOMEAN('LDB-10'!$S$31:'LDB-10'!$S$34)</f>
        <v>1.0664211525695042</v>
      </c>
      <c r="N40" s="127">
        <f>GEOMEAN('LDB-10'!$T$31:'LDB-10'!$T$34)</f>
        <v>1.0633779495373823</v>
      </c>
    </row>
    <row r="41" spans="2:14" ht="12.75" customHeight="1" x14ac:dyDescent="0.2">
      <c r="B41" s="110" t="str">
        <f>'AI-10'!$B$35</f>
        <v>City</v>
      </c>
      <c r="C41" s="111">
        <f>'RA-10'!$V$35</f>
        <v>0</v>
      </c>
      <c r="D41" s="112">
        <f>'RA-10'!$W$35</f>
        <v>0</v>
      </c>
      <c r="E41" s="113">
        <f>'RA-10'!$X$35</f>
        <v>0</v>
      </c>
      <c r="F41" s="114">
        <f>GEOMEAN('RA-10'!$S$35:'RA-10'!$S$38)</f>
        <v>1.0614864267362027</v>
      </c>
      <c r="G41" s="115">
        <f>GEOMEAN('RA-10'!$T$35:'RA-10'!$T$38)</f>
        <v>1.0513412569639748</v>
      </c>
      <c r="I41" s="110" t="str">
        <f>'AI-10'!$B$35</f>
        <v>City</v>
      </c>
      <c r="J41" s="111">
        <f>'LDB-10'!$V$35</f>
        <v>0</v>
      </c>
      <c r="K41" s="112">
        <f>'LDB-10'!$W$35</f>
        <v>0</v>
      </c>
      <c r="L41" s="113">
        <f>'LDB-10'!$X$35</f>
        <v>0</v>
      </c>
      <c r="M41" s="114">
        <f>GEOMEAN('LDB-10'!$S$35:'LDB-10'!$S$38)</f>
        <v>1.0819073091446645</v>
      </c>
      <c r="N41" s="115">
        <f>GEOMEAN('LDB-10'!$T$35:'LDB-10'!$T$38)</f>
        <v>1.0547274624731053</v>
      </c>
    </row>
    <row r="42" spans="2:14" ht="12.75" customHeight="1" x14ac:dyDescent="0.2">
      <c r="B42" s="116" t="str">
        <f>'AI-10'!$B$39</f>
        <v>Crew</v>
      </c>
      <c r="C42" s="117">
        <f>'RA-10'!$V$39</f>
        <v>0</v>
      </c>
      <c r="D42" s="118">
        <f>'RA-10'!$W$39</f>
        <v>0</v>
      </c>
      <c r="E42" s="119">
        <f>'RA-10'!$X$39</f>
        <v>0</v>
      </c>
      <c r="F42" s="120">
        <f>GEOMEAN('RA-10'!$S$39:'RA-10'!$S$42)</f>
        <v>1.0590887000261764</v>
      </c>
      <c r="G42" s="121">
        <f>GEOMEAN('RA-10'!$T$39:'RA-10'!$T$42)</f>
        <v>1.0106098822473195</v>
      </c>
      <c r="I42" s="116" t="str">
        <f>'AI-10'!$B$39</f>
        <v>Crew</v>
      </c>
      <c r="J42" s="117">
        <f>'LDB-10'!$V$39</f>
        <v>0</v>
      </c>
      <c r="K42" s="118">
        <f>'LDB-10'!$W$39</f>
        <v>0</v>
      </c>
      <c r="L42" s="119">
        <f>'LDB-10'!$X$39</f>
        <v>0</v>
      </c>
      <c r="M42" s="120">
        <f>GEOMEAN('LDB-10'!$S$39:'LDB-10'!$S$42)</f>
        <v>1.0738183166107877</v>
      </c>
      <c r="N42" s="121">
        <f>GEOMEAN('LDB-10'!$T$39:'LDB-10'!$T$42)</f>
        <v>1.036414037733721</v>
      </c>
    </row>
    <row r="43" spans="2:14" ht="12.75" customHeight="1" x14ac:dyDescent="0.2">
      <c r="B43" s="116" t="str">
        <f>'AI-10'!$B$43</f>
        <v>vidyo1</v>
      </c>
      <c r="C43" s="117">
        <f>'RA-10'!$V$43</f>
        <v>0</v>
      </c>
      <c r="D43" s="118">
        <f>'RA-10'!$W$43</f>
        <v>0</v>
      </c>
      <c r="E43" s="119">
        <f>'RA-10'!$X$43</f>
        <v>0</v>
      </c>
      <c r="F43" s="120">
        <f>GEOMEAN('RA-10'!$S$43:'RA-10'!$S$46)</f>
        <v>1.0435255509840822</v>
      </c>
      <c r="G43" s="121">
        <f>GEOMEAN('RA-10'!$T$43:'RA-10'!$T$46)</f>
        <v>1.0545908011208684</v>
      </c>
      <c r="I43" s="116" t="str">
        <f>'AI-10'!$B$43</f>
        <v>vidyo1</v>
      </c>
      <c r="J43" s="117">
        <f>'LDB-10'!$V$43</f>
        <v>0</v>
      </c>
      <c r="K43" s="118">
        <f>'LDB-10'!$W$43</f>
        <v>0</v>
      </c>
      <c r="L43" s="119">
        <f>'LDB-10'!$X$43</f>
        <v>0</v>
      </c>
      <c r="M43" s="120">
        <f>GEOMEAN('LDB-10'!$S$43:'LDB-10'!$S$46)</f>
        <v>1.0545670219732952</v>
      </c>
      <c r="N43" s="121">
        <f>GEOMEAN('LDB-10'!$T$43:'LDB-10'!$T$46)</f>
        <v>1.0089724301390108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0</v>
      </c>
      <c r="D44" s="124">
        <f>'RA-10'!$W$47</f>
        <v>0</v>
      </c>
      <c r="E44" s="125">
        <f>'RA-10'!$X$47</f>
        <v>0</v>
      </c>
      <c r="F44" s="126">
        <f>GEOMEAN('RA-10'!$S$47:'RA-10'!$S$50)</f>
        <v>1.0600448920909396</v>
      </c>
      <c r="G44" s="127">
        <f>GEOMEAN('RA-10'!$T$47:'RA-10'!$T$50)</f>
        <v>1.0198108276309199</v>
      </c>
      <c r="I44" s="122" t="str">
        <f>'AI-10'!$B$47</f>
        <v>vidyo3</v>
      </c>
      <c r="J44" s="123">
        <f>'LDB-10'!$V$47</f>
        <v>0</v>
      </c>
      <c r="K44" s="124">
        <f>'LDB-10'!$W$47</f>
        <v>0</v>
      </c>
      <c r="L44" s="125">
        <f>'LDB-10'!$X$47</f>
        <v>0</v>
      </c>
      <c r="M44" s="126">
        <f>GEOMEAN('LDB-10'!$S$47:'LDB-10'!$S$50)</f>
        <v>1.0654384122669038</v>
      </c>
      <c r="N44" s="127">
        <f>GEOMEAN('LDB-10'!$T$47:'LDB-10'!$T$50)</f>
        <v>1.021874928217565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2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2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25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2">
      <c r="B51" s="132" t="s">
        <v>78</v>
      </c>
      <c r="C51" s="111">
        <f>'RA-10'!$V75</f>
        <v>0</v>
      </c>
      <c r="D51" s="112">
        <f>'RA-10'!$W75</f>
        <v>0</v>
      </c>
      <c r="E51" s="113">
        <f>'RA-10'!$X75</f>
        <v>0</v>
      </c>
      <c r="F51" s="128">
        <f>'RA-10'!$S75</f>
        <v>1.0657779413108461</v>
      </c>
      <c r="G51" s="115">
        <f>'RA-10'!$T75</f>
        <v>1.0370135426921547</v>
      </c>
      <c r="I51" s="132" t="s">
        <v>78</v>
      </c>
      <c r="J51" s="111">
        <f>'LDB-10'!$V75</f>
        <v>0</v>
      </c>
      <c r="K51" s="112">
        <f>'LDB-10'!$W75</f>
        <v>0</v>
      </c>
      <c r="L51" s="113">
        <f>'LDB-10'!$X75</f>
        <v>0</v>
      </c>
      <c r="M51" s="128">
        <f>'LDB-10'!$S75</f>
        <v>1.0612112753952749</v>
      </c>
      <c r="N51" s="115">
        <f>'LDB-10'!$T75</f>
        <v>1.037162419457166</v>
      </c>
    </row>
    <row r="52" spans="2:14" ht="12.75" customHeight="1" x14ac:dyDescent="0.2">
      <c r="B52" s="133" t="s">
        <v>79</v>
      </c>
      <c r="C52" s="117">
        <f>'RA-10'!$V76</f>
        <v>0</v>
      </c>
      <c r="D52" s="118">
        <f>'RA-10'!$W76</f>
        <v>0</v>
      </c>
      <c r="E52" s="119">
        <f>'RA-10'!$X76</f>
        <v>0</v>
      </c>
      <c r="F52" s="130">
        <f>'RA-10'!$S76</f>
        <v>1.0609715319478581</v>
      </c>
      <c r="G52" s="121">
        <f>'RA-10'!$T76</f>
        <v>1.052342003697009</v>
      </c>
      <c r="I52" s="133" t="s">
        <v>79</v>
      </c>
      <c r="J52" s="117">
        <f>'LDB-10'!$V76</f>
        <v>0</v>
      </c>
      <c r="K52" s="118">
        <f>'LDB-10'!$W76</f>
        <v>0</v>
      </c>
      <c r="L52" s="119">
        <f>'LDB-10'!$X76</f>
        <v>0</v>
      </c>
      <c r="M52" s="130">
        <f>'LDB-10'!$S76</f>
        <v>1.0756354353538424</v>
      </c>
      <c r="N52" s="121">
        <f>'LDB-10'!$T76</f>
        <v>1.0494897186238439</v>
      </c>
    </row>
    <row r="53" spans="2:14" ht="12.75" customHeight="1" thickBot="1" x14ac:dyDescent="0.25">
      <c r="B53" s="133" t="s">
        <v>51</v>
      </c>
      <c r="C53" s="117">
        <f>'RA-10'!$V77</f>
        <v>0</v>
      </c>
      <c r="D53" s="118">
        <f>'RA-10'!$W77</f>
        <v>0</v>
      </c>
      <c r="E53" s="119">
        <f>'RA-10'!$X77</f>
        <v>0</v>
      </c>
      <c r="F53" s="130">
        <f>'RA-10'!$S77</f>
        <v>1.0560112165780029</v>
      </c>
      <c r="G53" s="121">
        <f>'RA-10'!$T77</f>
        <v>1.033909941774297</v>
      </c>
      <c r="I53" s="133" t="s">
        <v>80</v>
      </c>
      <c r="J53" s="117">
        <f>'LDB-10'!$V77</f>
        <v>0</v>
      </c>
      <c r="K53" s="118">
        <f>'LDB-10'!$W77</f>
        <v>0</v>
      </c>
      <c r="L53" s="119">
        <f>'LDB-10'!$X77</f>
        <v>0</v>
      </c>
      <c r="M53" s="130">
        <f>'LDB-10'!$S77</f>
        <v>1.0688846731768713</v>
      </c>
      <c r="N53" s="121">
        <f>'LDB-10'!$T77</f>
        <v>1.0303568103766845</v>
      </c>
    </row>
    <row r="54" spans="2:14" ht="12.75" customHeight="1" thickBot="1" x14ac:dyDescent="0.25">
      <c r="B54" s="139" t="s">
        <v>37</v>
      </c>
      <c r="C54" s="138">
        <f>'RA-10'!$V80</f>
        <v>0</v>
      </c>
      <c r="D54" s="137">
        <f>'RA-10'!$W80</f>
        <v>0</v>
      </c>
      <c r="E54" s="136">
        <f>'RA-10'!$X80</f>
        <v>0</v>
      </c>
      <c r="F54" s="135">
        <f>'RA-10'!$S80</f>
        <v>1.0609127362864976</v>
      </c>
      <c r="G54" s="134">
        <f>'RA-10'!$T80</f>
        <v>1.0410574145276945</v>
      </c>
      <c r="I54" s="139" t="s">
        <v>37</v>
      </c>
      <c r="J54" s="138">
        <f>'LDB-10'!$V80</f>
        <v>0</v>
      </c>
      <c r="K54" s="137">
        <f>'LDB-10'!$W80</f>
        <v>0</v>
      </c>
      <c r="L54" s="136">
        <f>'LDB-10'!$X80</f>
        <v>0</v>
      </c>
      <c r="M54" s="135">
        <f>'LDB-10'!$S80</f>
        <v>1.068560875586992</v>
      </c>
      <c r="N54" s="134">
        <f>'LDB-10'!$T80</f>
        <v>1.0389728578166357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5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5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tabSelected="1" zoomScaleNormal="100" workbookViewId="0">
      <selection activeCell="B22" sqref="B22:G28"/>
    </sheetView>
  </sheetViews>
  <sheetFormatPr defaultColWidth="10.8984375" defaultRowHeight="11.4" x14ac:dyDescent="0.2"/>
  <cols>
    <col min="1" max="1" width="4.09765625" style="1" customWidth="1"/>
    <col min="2" max="2" width="13.59765625" style="70" customWidth="1"/>
    <col min="3" max="7" width="8.8984375" style="70" customWidth="1"/>
    <col min="8" max="8" width="10.8984375" style="1"/>
    <col min="9" max="9" width="20.59765625" style="1" customWidth="1"/>
    <col min="10" max="10" width="13" style="1" customWidth="1"/>
    <col min="11" max="16384" width="10.8984375" style="1"/>
  </cols>
  <sheetData>
    <row r="1" spans="2:10" ht="12" thickBot="1" x14ac:dyDescent="0.25"/>
    <row r="2" spans="2:10" ht="12.75" customHeight="1" thickBot="1" x14ac:dyDescent="0.3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5">
      <c r="C3" s="145" t="str">
        <f>CONCATENATE("Over ", $J$3)</f>
        <v>Over HPM12.2</v>
      </c>
      <c r="D3" s="146"/>
      <c r="E3" s="146"/>
      <c r="F3" s="146"/>
      <c r="G3" s="147"/>
      <c r="I3" s="28" t="s">
        <v>20</v>
      </c>
      <c r="J3" s="28" t="s">
        <v>501</v>
      </c>
    </row>
    <row r="4" spans="2:10" ht="12.75" customHeight="1" thickBot="1" x14ac:dyDescent="0.3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695</v>
      </c>
    </row>
    <row r="5" spans="2:10" ht="12.75" customHeight="1" x14ac:dyDescent="0.25">
      <c r="B5" s="93" t="s">
        <v>92</v>
      </c>
      <c r="C5" s="60">
        <f>'AI-10'!V75</f>
        <v>0</v>
      </c>
      <c r="D5" s="61">
        <f>'AI-10'!W75</f>
        <v>0</v>
      </c>
      <c r="E5" s="62">
        <f>'AI-10'!X75</f>
        <v>0</v>
      </c>
      <c r="F5" s="63">
        <f>'AI-10'!S75</f>
        <v>0.99597696727959439</v>
      </c>
      <c r="G5" s="64">
        <f>'AI-10'!T75</f>
        <v>1.078660984742051</v>
      </c>
      <c r="H5" s="25"/>
      <c r="J5" s="28"/>
    </row>
    <row r="6" spans="2:10" ht="12.75" customHeight="1" x14ac:dyDescent="0.25">
      <c r="B6" s="94" t="s">
        <v>91</v>
      </c>
      <c r="C6" s="65">
        <f>'AI-10'!V76</f>
        <v>0</v>
      </c>
      <c r="D6" s="66">
        <f>'AI-10'!W76</f>
        <v>0</v>
      </c>
      <c r="E6" s="67">
        <f>'AI-10'!X76</f>
        <v>0</v>
      </c>
      <c r="F6" s="68">
        <f>'AI-10'!S76</f>
        <v>0.99969313632238821</v>
      </c>
      <c r="G6" s="69">
        <f>'AI-10'!T76</f>
        <v>1.1044272601472449</v>
      </c>
      <c r="H6" s="25"/>
      <c r="J6" s="28"/>
    </row>
    <row r="7" spans="2:10" ht="12.75" customHeight="1" thickBot="1" x14ac:dyDescent="0.25">
      <c r="B7" s="95" t="s">
        <v>93</v>
      </c>
      <c r="C7" s="65">
        <f>'AI-10'!V77</f>
        <v>0</v>
      </c>
      <c r="D7" s="66">
        <f>'AI-10'!W77</f>
        <v>0</v>
      </c>
      <c r="E7" s="67">
        <f>'AI-10'!X77</f>
        <v>0</v>
      </c>
      <c r="F7" s="68">
        <f>'AI-10'!S77</f>
        <v>0.99995410445735322</v>
      </c>
      <c r="G7" s="69">
        <f>'AI-10'!T77</f>
        <v>1.1218727788807215</v>
      </c>
      <c r="H7" s="25"/>
    </row>
    <row r="8" spans="2:10" s="20" customFormat="1" ht="12.75" customHeight="1" thickBot="1" x14ac:dyDescent="0.3">
      <c r="B8" s="81" t="s">
        <v>37</v>
      </c>
      <c r="C8" s="60">
        <f>'AI-10'!V80</f>
        <v>0</v>
      </c>
      <c r="D8" s="61">
        <f>'AI-10'!W80</f>
        <v>0</v>
      </c>
      <c r="E8" s="61">
        <f>'AI-10'!X80</f>
        <v>0</v>
      </c>
      <c r="F8" s="100">
        <f>'AI-10'!S80</f>
        <v>0.99853974912136412</v>
      </c>
      <c r="G8" s="101">
        <f>'AI-10'!T80</f>
        <v>1.1015103093694079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3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5">
      <c r="C13" s="145" t="str">
        <f>CONCATENATE("Over ", $J$3)</f>
        <v>Over HPM12.2</v>
      </c>
      <c r="D13" s="146"/>
      <c r="E13" s="146"/>
      <c r="F13" s="146"/>
      <c r="G13" s="147"/>
      <c r="I13" s="28"/>
    </row>
    <row r="14" spans="2:10" ht="12.75" customHeight="1" thickBot="1" x14ac:dyDescent="0.3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5">
      <c r="B15" s="93" t="s">
        <v>92</v>
      </c>
      <c r="C15" s="60">
        <f>'RA-10'!V75</f>
        <v>0</v>
      </c>
      <c r="D15" s="61">
        <f>'RA-10'!W75</f>
        <v>0</v>
      </c>
      <c r="E15" s="62">
        <f>'RA-10'!X75</f>
        <v>0</v>
      </c>
      <c r="F15" s="63">
        <f>'RA-10'!S75</f>
        <v>1.0657779413108461</v>
      </c>
      <c r="G15" s="64">
        <f>'RA-10'!T75</f>
        <v>1.0370135426921547</v>
      </c>
      <c r="H15" s="25"/>
      <c r="I15" s="28"/>
    </row>
    <row r="16" spans="2:10" ht="12.75" customHeight="1" x14ac:dyDescent="0.25">
      <c r="B16" s="94" t="s">
        <v>91</v>
      </c>
      <c r="C16" s="65">
        <f>'RA-10'!V76</f>
        <v>0</v>
      </c>
      <c r="D16" s="66">
        <f>'RA-10'!W76</f>
        <v>0</v>
      </c>
      <c r="E16" s="67">
        <f>'RA-10'!X76</f>
        <v>0</v>
      </c>
      <c r="F16" s="68">
        <f>'RA-10'!S76</f>
        <v>1.0609715319478581</v>
      </c>
      <c r="G16" s="69">
        <f>'RA-10'!T76</f>
        <v>1.052342003697009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0</v>
      </c>
      <c r="D17" s="66">
        <f>'RA-10'!W77</f>
        <v>0</v>
      </c>
      <c r="E17" s="67">
        <f>'RA-10'!X77</f>
        <v>0</v>
      </c>
      <c r="F17" s="68">
        <f>'RA-10'!S77</f>
        <v>1.0560112165780029</v>
      </c>
      <c r="G17" s="69">
        <f>'RA-10'!T77</f>
        <v>1.033909941774297</v>
      </c>
      <c r="H17" s="25"/>
    </row>
    <row r="18" spans="2:9" ht="12.75" customHeight="1" thickBot="1" x14ac:dyDescent="0.3">
      <c r="B18" s="81" t="s">
        <v>37</v>
      </c>
      <c r="C18" s="60">
        <f>'RA-10'!V80</f>
        <v>0</v>
      </c>
      <c r="D18" s="61">
        <f>'RA-10'!W80</f>
        <v>0</v>
      </c>
      <c r="E18" s="61">
        <f>'RA-10'!X80</f>
        <v>0</v>
      </c>
      <c r="F18" s="100">
        <f>'RA-10'!S80</f>
        <v>1.0609127362864976</v>
      </c>
      <c r="G18" s="101">
        <f>'RA-10'!T80</f>
        <v>1.0410574145276945</v>
      </c>
      <c r="H18" s="25"/>
      <c r="I18" s="28"/>
    </row>
    <row r="19" spans="2:9" ht="12.75" customHeight="1" thickBot="1" x14ac:dyDescent="0.3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3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3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HPM12.2</v>
      </c>
      <c r="D23" s="146"/>
      <c r="E23" s="146"/>
      <c r="F23" s="146"/>
      <c r="G23" s="147"/>
    </row>
    <row r="24" spans="2:9" ht="12.75" customHeight="1" thickBot="1" x14ac:dyDescent="0.3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5">
      <c r="B25" s="93" t="s">
        <v>92</v>
      </c>
      <c r="C25" s="60">
        <f>'LDB-10'!V75</f>
        <v>0</v>
      </c>
      <c r="D25" s="61">
        <f>'LDB-10'!W75</f>
        <v>0</v>
      </c>
      <c r="E25" s="62">
        <f>'LDB-10'!X75</f>
        <v>0</v>
      </c>
      <c r="F25" s="63">
        <f>'LDB-10'!S75</f>
        <v>1.0612112753952749</v>
      </c>
      <c r="G25" s="64">
        <f>'LDB-10'!T75</f>
        <v>1.037162419457166</v>
      </c>
      <c r="H25" s="25"/>
      <c r="I25" s="28"/>
    </row>
    <row r="26" spans="2:9" ht="12.75" customHeight="1" x14ac:dyDescent="0.2">
      <c r="B26" s="94" t="s">
        <v>91</v>
      </c>
      <c r="C26" s="65">
        <f>'LDB-10'!V76</f>
        <v>0</v>
      </c>
      <c r="D26" s="66">
        <f>'LDB-10'!W76</f>
        <v>0</v>
      </c>
      <c r="E26" s="67">
        <f>'LDB-10'!X76</f>
        <v>0</v>
      </c>
      <c r="F26" s="68">
        <f>'LDB-10'!S76</f>
        <v>1.0756354353538424</v>
      </c>
      <c r="G26" s="69">
        <f>'LDB-10'!T76</f>
        <v>1.0494897186238439</v>
      </c>
      <c r="H26" s="25"/>
    </row>
    <row r="27" spans="2:9" ht="12.75" customHeight="1" thickBot="1" x14ac:dyDescent="0.3">
      <c r="B27" s="95" t="s">
        <v>93</v>
      </c>
      <c r="C27" s="65">
        <f>'LDB-10'!V77</f>
        <v>0</v>
      </c>
      <c r="D27" s="66">
        <f>'LDB-10'!W77</f>
        <v>0</v>
      </c>
      <c r="E27" s="67">
        <f>'LDB-10'!X77</f>
        <v>0</v>
      </c>
      <c r="F27" s="68">
        <f>'LDB-10'!S77</f>
        <v>1.0688846731768713</v>
      </c>
      <c r="G27" s="69">
        <f>'LDB-10'!T77</f>
        <v>1.0303568103766845</v>
      </c>
      <c r="H27" s="25"/>
      <c r="I27" s="28"/>
    </row>
    <row r="28" spans="2:9" ht="12.75" customHeight="1" thickBot="1" x14ac:dyDescent="0.25">
      <c r="B28" s="81" t="s">
        <v>37</v>
      </c>
      <c r="C28" s="60">
        <f>'LDB-10'!V80</f>
        <v>0</v>
      </c>
      <c r="D28" s="61">
        <f>'LDB-10'!W80</f>
        <v>0</v>
      </c>
      <c r="E28" s="61">
        <f>'LDB-10'!X80</f>
        <v>0</v>
      </c>
      <c r="F28" s="100">
        <f>'LDB-10'!S80</f>
        <v>1.068560875586992</v>
      </c>
      <c r="G28" s="101">
        <f>'LDB-10'!T80</f>
        <v>1.0389728578166357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HPM12.2</v>
      </c>
      <c r="D33" s="146"/>
      <c r="E33" s="146"/>
      <c r="F33" s="146"/>
      <c r="G33" s="147"/>
    </row>
    <row r="34" spans="2:9" ht="12.75" customHeight="1" thickBot="1" x14ac:dyDescent="0.3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984375" defaultRowHeight="15.6" x14ac:dyDescent="0.25"/>
  <cols>
    <col min="2" max="2" width="21.3984375" customWidth="1"/>
    <col min="25" max="26" width="9" customWidth="1"/>
    <col min="27" max="27" width="16.3984375" style="30" bestFit="1" customWidth="1"/>
    <col min="28" max="39" width="9" customWidth="1"/>
  </cols>
  <sheetData>
    <row r="1" spans="1:43" ht="16.2" thickBot="1" x14ac:dyDescent="0.3">
      <c r="A1" t="s">
        <v>24</v>
      </c>
      <c r="AD1" t="s">
        <v>22</v>
      </c>
      <c r="AI1" t="s">
        <v>23</v>
      </c>
      <c r="AN1" t="s">
        <v>29</v>
      </c>
    </row>
    <row r="2" spans="1:43" ht="16.2" thickBot="1" x14ac:dyDescent="0.3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x14ac:dyDescent="0.25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x14ac:dyDescent="0.25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x14ac:dyDescent="0.25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x14ac:dyDescent="0.25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x14ac:dyDescent="0.25">
      <c r="AA7" s="20" t="s">
        <v>66</v>
      </c>
      <c r="AB7">
        <f t="shared" si="0"/>
        <v>19</v>
      </c>
    </row>
    <row r="8" spans="1:43" x14ac:dyDescent="0.25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x14ac:dyDescent="0.25">
      <c r="AA9" s="20" t="s">
        <v>68</v>
      </c>
      <c r="AB9">
        <f t="shared" si="0"/>
        <v>27</v>
      </c>
    </row>
    <row r="10" spans="1:43" x14ac:dyDescent="0.25">
      <c r="AA10" s="20" t="s">
        <v>69</v>
      </c>
      <c r="AB10">
        <f t="shared" si="0"/>
        <v>31</v>
      </c>
    </row>
    <row r="11" spans="1:43" x14ac:dyDescent="0.25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6.2" x14ac:dyDescent="0.3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ht="16.2" x14ac:dyDescent="0.3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6.2" x14ac:dyDescent="0.3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6.2" x14ac:dyDescent="0.3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ht="16.2" x14ac:dyDescent="0.3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x14ac:dyDescent="0.25">
      <c r="AA17" s="20" t="s">
        <v>83</v>
      </c>
      <c r="AB17">
        <f t="shared" si="0"/>
        <v>59</v>
      </c>
    </row>
    <row r="18" spans="27:28" x14ac:dyDescent="0.25">
      <c r="AA18" s="20" t="s">
        <v>84</v>
      </c>
      <c r="AB18">
        <f t="shared" si="0"/>
        <v>63</v>
      </c>
    </row>
    <row r="19" spans="27:28" x14ac:dyDescent="0.25">
      <c r="AA19" s="20" t="s">
        <v>85</v>
      </c>
      <c r="AB19">
        <f t="shared" si="0"/>
        <v>67</v>
      </c>
    </row>
    <row r="20" spans="27:28" x14ac:dyDescent="0.25">
      <c r="AA20" s="20" t="s">
        <v>86</v>
      </c>
      <c r="AB20">
        <f t="shared" si="0"/>
        <v>71</v>
      </c>
    </row>
    <row r="21" spans="27:28" x14ac:dyDescent="0.25">
      <c r="AA21"/>
    </row>
    <row r="22" spans="27:28" x14ac:dyDescent="0.25">
      <c r="AA22"/>
    </row>
    <row r="23" spans="27:28" x14ac:dyDescent="0.25">
      <c r="AA23"/>
    </row>
    <row r="24" spans="27:28" x14ac:dyDescent="0.25">
      <c r="AA24"/>
    </row>
    <row r="25" spans="27:28" x14ac:dyDescent="0.25">
      <c r="AA25"/>
    </row>
    <row r="26" spans="27:28" x14ac:dyDescent="0.25">
      <c r="AA26"/>
    </row>
    <row r="27" spans="27:28" x14ac:dyDescent="0.25">
      <c r="AA27"/>
    </row>
    <row r="28" spans="27:28" x14ac:dyDescent="0.25">
      <c r="AA28"/>
    </row>
    <row r="29" spans="27:28" x14ac:dyDescent="0.25">
      <c r="AA29"/>
    </row>
    <row r="30" spans="27:28" x14ac:dyDescent="0.25">
      <c r="AA30"/>
    </row>
    <row r="31" spans="27:28" x14ac:dyDescent="0.25">
      <c r="AA31"/>
    </row>
    <row r="32" spans="27:28" x14ac:dyDescent="0.25">
      <c r="AA32"/>
    </row>
    <row r="33" spans="27:27" x14ac:dyDescent="0.25">
      <c r="AA33" s="20"/>
    </row>
    <row r="34" spans="27:27" x14ac:dyDescent="0.25">
      <c r="AA34" s="20"/>
    </row>
    <row r="35" spans="27:27" x14ac:dyDescent="0.25">
      <c r="AA35" s="20"/>
    </row>
    <row r="36" spans="27:27" x14ac:dyDescent="0.25">
      <c r="AA36" s="20"/>
    </row>
    <row r="37" spans="27:27" x14ac:dyDescent="0.25">
      <c r="AA37" s="20"/>
    </row>
    <row r="38" spans="27:27" x14ac:dyDescent="0.25">
      <c r="AA38" s="20"/>
    </row>
    <row r="39" spans="27:27" x14ac:dyDescent="0.25">
      <c r="AA39" s="20"/>
    </row>
    <row r="40" spans="27:27" x14ac:dyDescent="0.25">
      <c r="AA40" s="20"/>
    </row>
    <row r="41" spans="27:27" x14ac:dyDescent="0.25">
      <c r="AA41" s="20"/>
    </row>
    <row r="42" spans="27:27" x14ac:dyDescent="0.25">
      <c r="AA42" s="20"/>
    </row>
    <row r="43" spans="27:27" x14ac:dyDescent="0.25">
      <c r="AA43" s="20"/>
    </row>
    <row r="44" spans="27:27" x14ac:dyDescent="0.25">
      <c r="AA44" s="20"/>
    </row>
    <row r="45" spans="27:27" x14ac:dyDescent="0.25">
      <c r="AA45" s="20"/>
    </row>
    <row r="46" spans="27:27" x14ac:dyDescent="0.25">
      <c r="AA46" s="20"/>
    </row>
    <row r="47" spans="27:27" x14ac:dyDescent="0.25">
      <c r="AA47" s="20"/>
    </row>
    <row r="48" spans="27:27" x14ac:dyDescent="0.25">
      <c r="AA48" s="20"/>
    </row>
    <row r="49" spans="27:27" x14ac:dyDescent="0.25">
      <c r="AA49" s="20"/>
    </row>
    <row r="50" spans="27:27" x14ac:dyDescent="0.25">
      <c r="AA50" s="20"/>
    </row>
    <row r="51" spans="27:27" x14ac:dyDescent="0.25">
      <c r="AA51" s="20"/>
    </row>
    <row r="52" spans="27:27" x14ac:dyDescent="0.25">
      <c r="AA52" s="20"/>
    </row>
    <row r="53" spans="27:27" x14ac:dyDescent="0.25">
      <c r="AA53" s="20"/>
    </row>
    <row r="54" spans="27:27" x14ac:dyDescent="0.25">
      <c r="AA54" s="20"/>
    </row>
    <row r="55" spans="27:27" x14ac:dyDescent="0.25">
      <c r="AA55" s="20"/>
    </row>
    <row r="56" spans="27:27" x14ac:dyDescent="0.25">
      <c r="AA56" s="20"/>
    </row>
    <row r="57" spans="27:27" x14ac:dyDescent="0.25">
      <c r="AA57" s="20"/>
    </row>
    <row r="58" spans="27:27" x14ac:dyDescent="0.25">
      <c r="AA58" s="20"/>
    </row>
    <row r="59" spans="27:27" x14ac:dyDescent="0.25">
      <c r="AA59" s="20"/>
    </row>
    <row r="60" spans="27:27" x14ac:dyDescent="0.25">
      <c r="AA60" s="20"/>
    </row>
    <row r="61" spans="27:27" x14ac:dyDescent="0.25">
      <c r="AA61" s="20"/>
    </row>
    <row r="62" spans="27:27" x14ac:dyDescent="0.25">
      <c r="AA62" s="20"/>
    </row>
    <row r="63" spans="27:27" x14ac:dyDescent="0.25">
      <c r="AA63" s="20"/>
    </row>
    <row r="64" spans="27:27" x14ac:dyDescent="0.25">
      <c r="AA64" s="20"/>
    </row>
    <row r="65" spans="27:27" x14ac:dyDescent="0.25">
      <c r="AA65" s="20"/>
    </row>
    <row r="66" spans="27:27" x14ac:dyDescent="0.25">
      <c r="AA66" s="20"/>
    </row>
    <row r="67" spans="27:27" x14ac:dyDescent="0.25">
      <c r="AA67" s="20"/>
    </row>
    <row r="68" spans="27:27" x14ac:dyDescent="0.25">
      <c r="AA68" s="20"/>
    </row>
    <row r="69" spans="27:27" x14ac:dyDescent="0.25">
      <c r="AA69" s="20"/>
    </row>
    <row r="70" spans="27:27" x14ac:dyDescent="0.25">
      <c r="AA70" s="20"/>
    </row>
    <row r="71" spans="27:27" x14ac:dyDescent="0.25">
      <c r="AA71" s="20"/>
    </row>
    <row r="72" spans="27:27" x14ac:dyDescent="0.25">
      <c r="AA72" s="20"/>
    </row>
    <row r="73" spans="27:27" x14ac:dyDescent="0.25">
      <c r="AA73" s="20"/>
    </row>
    <row r="74" spans="27:27" x14ac:dyDescent="0.25">
      <c r="AA74" s="20"/>
    </row>
    <row r="75" spans="27:27" x14ac:dyDescent="0.25">
      <c r="AA75" s="20"/>
    </row>
    <row r="76" spans="27:27" x14ac:dyDescent="0.25">
      <c r="AA76" s="20"/>
    </row>
    <row r="77" spans="27:27" x14ac:dyDescent="0.25">
      <c r="AA77" s="20"/>
    </row>
    <row r="78" spans="27:27" x14ac:dyDescent="0.25">
      <c r="AA78" s="20"/>
    </row>
    <row r="79" spans="27:27" x14ac:dyDescent="0.25">
      <c r="AA79" s="20"/>
    </row>
    <row r="80" spans="27:27" x14ac:dyDescent="0.25">
      <c r="AA80" s="20"/>
    </row>
    <row r="81" spans="27:27" x14ac:dyDescent="0.25">
      <c r="AA81" s="20"/>
    </row>
    <row r="82" spans="27:27" x14ac:dyDescent="0.25">
      <c r="AA82" s="20"/>
    </row>
    <row r="83" spans="27:27" x14ac:dyDescent="0.25">
      <c r="AA83" s="20"/>
    </row>
    <row r="84" spans="27:27" x14ac:dyDescent="0.25">
      <c r="AA84" s="20"/>
    </row>
    <row r="85" spans="27:27" x14ac:dyDescent="0.25">
      <c r="AA85" s="20"/>
    </row>
    <row r="86" spans="27:27" x14ac:dyDescent="0.25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="85" zoomScaleNormal="85" workbookViewId="0">
      <selection activeCell="O47" sqref="O47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76202.309200000003</v>
      </c>
      <c r="E3" s="13">
        <f>Reference!C1</f>
        <v>40.811</v>
      </c>
      <c r="F3" s="13">
        <f>Reference!D1</f>
        <v>49.245199999999997</v>
      </c>
      <c r="G3" s="13">
        <f>Reference!E1</f>
        <v>47.749400000000001</v>
      </c>
      <c r="H3" s="13">
        <f>Reference!F1</f>
        <v>129629.383</v>
      </c>
      <c r="I3" s="13">
        <f>Reference!G1</f>
        <v>24.882999999999999</v>
      </c>
      <c r="J3" s="14">
        <f>H3/3600</f>
        <v>36.008161944444446</v>
      </c>
      <c r="L3" s="12">
        <f>Test!B1</f>
        <v>76202.309200000003</v>
      </c>
      <c r="M3" s="13">
        <f>Test!C1</f>
        <v>40.811</v>
      </c>
      <c r="N3" s="13">
        <f>Test!D1</f>
        <v>49.245199999999997</v>
      </c>
      <c r="O3" s="13">
        <f>Test!E1</f>
        <v>47.749400000000001</v>
      </c>
      <c r="P3" s="13">
        <f>Test!F1</f>
        <v>128755.57</v>
      </c>
      <c r="Q3" s="13">
        <f>Test!G1</f>
        <v>25.847999999999999</v>
      </c>
      <c r="R3" s="13">
        <f>P3/3600</f>
        <v>35.765436111111114</v>
      </c>
      <c r="S3" s="12">
        <f>P3/H3</f>
        <v>0.99325914403218296</v>
      </c>
      <c r="T3" s="13">
        <f>Q3/I3</f>
        <v>1.0387814974078688</v>
      </c>
      <c r="U3" s="90"/>
      <c r="V3" s="42">
        <f>bdrate($D3:$D6,E3:E6,$L3:$L6,M3:M6)</f>
        <v>0</v>
      </c>
      <c r="W3" s="42">
        <f>bdrate($D3:$D6,F3:F6,$L3:$L6,N3:N6)</f>
        <v>0</v>
      </c>
      <c r="X3" s="43">
        <f>bdrate($D3:$D6,G3:G6,$L3:$L6,O3:O6)</f>
        <v>0</v>
      </c>
      <c r="Y3" s="37">
        <f>bdrateOld($D3:$D6,E3:E6,$L3:$L6,M3:M6)</f>
        <v>0</v>
      </c>
      <c r="Z3" s="42">
        <f>bdrateOld($D3:$D6,F3:F6,$L3:$L6,N3:N6)</f>
        <v>0</v>
      </c>
      <c r="AA3" s="43">
        <f>bdrateOld($D3:$D6,G3:G6,$L3:$L6,O3:O6)</f>
        <v>0</v>
      </c>
    </row>
    <row r="4" spans="1:27" x14ac:dyDescent="0.2">
      <c r="A4" s="16" t="s">
        <v>34</v>
      </c>
      <c r="B4" s="85"/>
      <c r="C4" s="16">
        <v>48</v>
      </c>
      <c r="D4" s="17">
        <f>Reference!B2</f>
        <v>41139.580499999996</v>
      </c>
      <c r="E4" s="18">
        <f>Reference!C2</f>
        <v>40.157699999999998</v>
      </c>
      <c r="F4" s="18">
        <f>Reference!D2</f>
        <v>48.549599999999998</v>
      </c>
      <c r="G4" s="18">
        <f>Reference!E2</f>
        <v>46.663200000000003</v>
      </c>
      <c r="H4" s="18">
        <f>Reference!F2</f>
        <v>69066.366999999998</v>
      </c>
      <c r="I4" s="18">
        <f>Reference!G2</f>
        <v>21.675999999999998</v>
      </c>
      <c r="J4" s="19">
        <f t="shared" ref="J4:J14" si="0">H4/3600</f>
        <v>19.185101944444444</v>
      </c>
      <c r="L4" s="17">
        <f>Test!B2</f>
        <v>41139.580499999996</v>
      </c>
      <c r="M4" s="18">
        <f>Test!C2</f>
        <v>40.157699999999998</v>
      </c>
      <c r="N4" s="18">
        <f>Test!D2</f>
        <v>48.549599999999998</v>
      </c>
      <c r="O4" s="18">
        <f>Test!E2</f>
        <v>46.663200000000003</v>
      </c>
      <c r="P4" s="18">
        <f>Test!F2</f>
        <v>68779.562000000005</v>
      </c>
      <c r="Q4" s="18">
        <f>Test!G2</f>
        <v>22.65</v>
      </c>
      <c r="R4" s="18">
        <f t="shared" ref="R4:R14" si="1">P4/3600</f>
        <v>19.105433888888889</v>
      </c>
      <c r="S4" s="17">
        <f t="shared" ref="S4:T14" si="2">P4/H4</f>
        <v>0.99584739993635407</v>
      </c>
      <c r="T4" s="18">
        <f t="shared" si="2"/>
        <v>1.044934489758258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24713.215100000001</v>
      </c>
      <c r="E5" s="18">
        <f>Reference!C3</f>
        <v>39.433700000000002</v>
      </c>
      <c r="F5" s="18">
        <f>Reference!D3</f>
        <v>47.615099999999998</v>
      </c>
      <c r="G5" s="18">
        <f>Reference!E3</f>
        <v>45.389400000000002</v>
      </c>
      <c r="H5" s="18">
        <f>Reference!F3</f>
        <v>42846.773000000001</v>
      </c>
      <c r="I5" s="18">
        <f>Reference!G3</f>
        <v>20.45</v>
      </c>
      <c r="J5" s="19">
        <f t="shared" si="0"/>
        <v>11.901881388888889</v>
      </c>
      <c r="L5" s="17">
        <f>Test!B3</f>
        <v>24713.215100000001</v>
      </c>
      <c r="M5" s="18">
        <f>Test!C3</f>
        <v>39.433700000000002</v>
      </c>
      <c r="N5" s="18">
        <f>Test!D3</f>
        <v>47.615099999999998</v>
      </c>
      <c r="O5" s="18">
        <f>Test!E3</f>
        <v>45.389400000000002</v>
      </c>
      <c r="P5" s="18">
        <f>Test!F3</f>
        <v>42646.879000000001</v>
      </c>
      <c r="Q5" s="18">
        <f>Test!G3</f>
        <v>21.335000000000001</v>
      </c>
      <c r="R5" s="18">
        <f t="shared" si="1"/>
        <v>11.846355277777779</v>
      </c>
      <c r="S5" s="17">
        <f t="shared" si="2"/>
        <v>0.99533467782976326</v>
      </c>
      <c r="T5" s="18">
        <f t="shared" si="2"/>
        <v>1.043276283618582</v>
      </c>
      <c r="U5" s="91"/>
      <c r="V5" s="25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Reference!B4</f>
        <v>14116.813</v>
      </c>
      <c r="E6" s="23">
        <f>Reference!C4</f>
        <v>38.220500000000001</v>
      </c>
      <c r="F6" s="23">
        <f>Reference!D4</f>
        <v>46.123199999999997</v>
      </c>
      <c r="G6" s="23">
        <f>Reference!E4</f>
        <v>43.593800000000002</v>
      </c>
      <c r="H6" s="23">
        <f>Reference!F4</f>
        <v>23882.115000000002</v>
      </c>
      <c r="I6" s="23">
        <f>Reference!G4</f>
        <v>18.581</v>
      </c>
      <c r="J6" s="24">
        <f t="shared" si="0"/>
        <v>6.6339208333333337</v>
      </c>
      <c r="L6" s="22">
        <f>Test!B4</f>
        <v>14116.813</v>
      </c>
      <c r="M6" s="23">
        <f>Test!C4</f>
        <v>38.220500000000001</v>
      </c>
      <c r="N6" s="23">
        <f>Test!D4</f>
        <v>46.123199999999997</v>
      </c>
      <c r="O6" s="23">
        <f>Test!E4</f>
        <v>43.593800000000002</v>
      </c>
      <c r="P6" s="23">
        <f>Test!F4</f>
        <v>23756.355</v>
      </c>
      <c r="Q6" s="23">
        <f>Test!G4</f>
        <v>19.989999999999998</v>
      </c>
      <c r="R6" s="23">
        <f t="shared" si="1"/>
        <v>6.5989874999999998</v>
      </c>
      <c r="S6" s="17">
        <f t="shared" si="2"/>
        <v>0.99473413472801708</v>
      </c>
      <c r="T6" s="18">
        <f t="shared" si="2"/>
        <v>1.0758301490770141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322485.86320000002</v>
      </c>
      <c r="E7" s="13">
        <f>Reference!C5</f>
        <v>44.758600000000001</v>
      </c>
      <c r="F7" s="13">
        <f>Reference!D5</f>
        <v>39.131500000000003</v>
      </c>
      <c r="G7" s="13">
        <f>Reference!E5</f>
        <v>39.621699999999997</v>
      </c>
      <c r="H7" s="13">
        <f>Reference!F5</f>
        <v>197759.15599999999</v>
      </c>
      <c r="I7" s="13">
        <f>Reference!G5</f>
        <v>36.856000000000002</v>
      </c>
      <c r="J7" s="14">
        <f t="shared" si="0"/>
        <v>54.933098888888885</v>
      </c>
      <c r="L7" s="12">
        <f>Test!B5</f>
        <v>322485.86320000002</v>
      </c>
      <c r="M7" s="13">
        <f>Test!C5</f>
        <v>44.758600000000001</v>
      </c>
      <c r="N7" s="13">
        <f>Test!D5</f>
        <v>39.131500000000003</v>
      </c>
      <c r="O7" s="13">
        <f>Test!E5</f>
        <v>39.621699999999997</v>
      </c>
      <c r="P7" s="13">
        <f>Test!F5</f>
        <v>198136.391</v>
      </c>
      <c r="Q7" s="13">
        <f>Test!G5</f>
        <v>39.600999999999999</v>
      </c>
      <c r="R7" s="13">
        <f t="shared" si="1"/>
        <v>55.037886388888893</v>
      </c>
      <c r="S7" s="17">
        <f t="shared" si="2"/>
        <v>1.0019075475827779</v>
      </c>
      <c r="T7" s="18">
        <f t="shared" si="2"/>
        <v>1.0744790536140654</v>
      </c>
      <c r="U7" s="91"/>
      <c r="V7" s="42">
        <f>bdrate($D7:$D10,E7:E10,$L7:$L10,M7:M10)</f>
        <v>0</v>
      </c>
      <c r="W7" s="42">
        <f>bdrate($D7:$D10,F7:F10,$L7:$L10,N7:N10)</f>
        <v>0</v>
      </c>
      <c r="X7" s="42">
        <f>bdrate($D7:$D10,G7:G10,$L7:$L10,O7:O10)</f>
        <v>0</v>
      </c>
      <c r="Y7" s="40">
        <f>bdrateOld($D7:$D10,E7:E10,$L7:$L10,M7:M10)</f>
        <v>0</v>
      </c>
      <c r="Z7" s="44">
        <f>bdrateOld($D7:$D10,F7:F10,$L7:$L10,N7:N10)</f>
        <v>0</v>
      </c>
      <c r="AA7" s="45">
        <f>bdrateOld($D7:$D10,G7:G10,$L7:$L10,O7:O10)</f>
        <v>0</v>
      </c>
    </row>
    <row r="8" spans="1:27" x14ac:dyDescent="0.2">
      <c r="A8" s="16"/>
      <c r="B8" s="85"/>
      <c r="C8" s="16">
        <v>48</v>
      </c>
      <c r="D8" s="17">
        <f>Reference!B6</f>
        <v>205619.13680000001</v>
      </c>
      <c r="E8" s="18">
        <f>Reference!C6</f>
        <v>41.967700000000001</v>
      </c>
      <c r="F8" s="18">
        <f>Reference!D6</f>
        <v>36.638399999999997</v>
      </c>
      <c r="G8" s="18">
        <f>Reference!E6</f>
        <v>37.444800000000001</v>
      </c>
      <c r="H8" s="18">
        <f>Reference!F6</f>
        <v>161612.016</v>
      </c>
      <c r="I8" s="18">
        <f>Reference!G6</f>
        <v>33.124000000000002</v>
      </c>
      <c r="J8" s="19">
        <f t="shared" si="0"/>
        <v>44.892226666666666</v>
      </c>
      <c r="L8" s="17">
        <f>Test!B6</f>
        <v>205619.13680000001</v>
      </c>
      <c r="M8" s="18">
        <f>Test!C6</f>
        <v>41.967700000000001</v>
      </c>
      <c r="N8" s="18">
        <f>Test!D6</f>
        <v>36.638399999999997</v>
      </c>
      <c r="O8" s="18">
        <f>Test!E6</f>
        <v>37.444800000000001</v>
      </c>
      <c r="P8" s="18">
        <f>Test!F6</f>
        <v>158319.53099999999</v>
      </c>
      <c r="Q8" s="18">
        <f>Test!G6</f>
        <v>34.994</v>
      </c>
      <c r="R8" s="18">
        <f t="shared" si="1"/>
        <v>43.977647499999996</v>
      </c>
      <c r="S8" s="17">
        <f t="shared" si="2"/>
        <v>0.97962722648048639</v>
      </c>
      <c r="T8" s="18">
        <f t="shared" si="2"/>
        <v>1.0564545344765124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117444.0105</v>
      </c>
      <c r="E9" s="18">
        <f>Reference!C7</f>
        <v>38.709000000000003</v>
      </c>
      <c r="F9" s="18">
        <f>Reference!D7</f>
        <v>34.3626</v>
      </c>
      <c r="G9" s="18">
        <f>Reference!E7</f>
        <v>35.525500000000001</v>
      </c>
      <c r="H9" s="18">
        <f>Reference!F7</f>
        <v>120584.45299999999</v>
      </c>
      <c r="I9" s="18">
        <f>Reference!G7</f>
        <v>28.446000000000002</v>
      </c>
      <c r="J9" s="19">
        <f t="shared" si="0"/>
        <v>33.49568138888889</v>
      </c>
      <c r="L9" s="17">
        <f>Test!B7</f>
        <v>117444.0105</v>
      </c>
      <c r="M9" s="18">
        <f>Test!C7</f>
        <v>38.709000000000003</v>
      </c>
      <c r="N9" s="18">
        <f>Test!D7</f>
        <v>34.3626</v>
      </c>
      <c r="O9" s="18">
        <f>Test!E7</f>
        <v>35.525500000000001</v>
      </c>
      <c r="P9" s="18">
        <f>Test!F7</f>
        <v>121560.45299999999</v>
      </c>
      <c r="Q9" s="18">
        <f>Test!G7</f>
        <v>30.449000000000002</v>
      </c>
      <c r="R9" s="18">
        <f t="shared" si="1"/>
        <v>33.766792500000001</v>
      </c>
      <c r="S9" s="17">
        <f t="shared" si="2"/>
        <v>1.0080939124051091</v>
      </c>
      <c r="T9" s="18">
        <f t="shared" si="2"/>
        <v>1.0704141179779232</v>
      </c>
      <c r="U9" s="91"/>
      <c r="V9" s="25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Reference!B8</f>
        <v>55569.347399999999</v>
      </c>
      <c r="E10" s="23">
        <f>Reference!C8</f>
        <v>35.227899999999998</v>
      </c>
      <c r="F10" s="23">
        <f>Reference!D8</f>
        <v>32.007800000000003</v>
      </c>
      <c r="G10" s="23">
        <f>Reference!E8</f>
        <v>33.7012</v>
      </c>
      <c r="H10" s="23">
        <f>Reference!F8</f>
        <v>79689.452999999994</v>
      </c>
      <c r="I10" s="23">
        <f>Reference!G8</f>
        <v>23.513999999999999</v>
      </c>
      <c r="J10" s="24">
        <f t="shared" si="0"/>
        <v>22.135959166666666</v>
      </c>
      <c r="L10" s="22">
        <f>Test!B8</f>
        <v>55569.347399999999</v>
      </c>
      <c r="M10" s="23">
        <f>Test!C8</f>
        <v>35.227899999999998</v>
      </c>
      <c r="N10" s="23">
        <f>Test!D8</f>
        <v>32.007800000000003</v>
      </c>
      <c r="O10" s="23">
        <f>Test!E8</f>
        <v>33.7012</v>
      </c>
      <c r="P10" s="23">
        <f>Test!F8</f>
        <v>79876.539000000004</v>
      </c>
      <c r="Q10" s="23">
        <f>Test!G8</f>
        <v>25.468</v>
      </c>
      <c r="R10" s="23">
        <f t="shared" si="1"/>
        <v>22.187927500000001</v>
      </c>
      <c r="S10" s="17">
        <f t="shared" si="2"/>
        <v>1.0023476883446547</v>
      </c>
      <c r="T10" s="18">
        <f t="shared" si="2"/>
        <v>1.0830994301267329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124771.6042</v>
      </c>
      <c r="E11" s="13">
        <f>Reference!C9</f>
        <v>41.574300000000001</v>
      </c>
      <c r="F11" s="13">
        <f>Reference!D9</f>
        <v>44.012099999999997</v>
      </c>
      <c r="G11" s="13">
        <f>Reference!E9</f>
        <v>42.909799999999997</v>
      </c>
      <c r="H11" s="13">
        <f>Reference!F9</f>
        <v>166623.5</v>
      </c>
      <c r="I11" s="13">
        <f>Reference!G9</f>
        <v>30.965</v>
      </c>
      <c r="J11" s="14">
        <f t="shared" si="0"/>
        <v>46.284305555555555</v>
      </c>
      <c r="L11" s="12">
        <f>Test!B9</f>
        <v>124771.6042</v>
      </c>
      <c r="M11" s="13">
        <f>Test!C9</f>
        <v>41.574300000000001</v>
      </c>
      <c r="N11" s="13">
        <f>Test!D9</f>
        <v>44.012099999999997</v>
      </c>
      <c r="O11" s="13">
        <f>Test!E9</f>
        <v>42.909799999999997</v>
      </c>
      <c r="P11" s="13">
        <f>Test!F9</f>
        <v>168510.53099999999</v>
      </c>
      <c r="Q11" s="13">
        <f>Test!G9</f>
        <v>36.354999999999997</v>
      </c>
      <c r="R11" s="13">
        <f t="shared" si="1"/>
        <v>46.808480833333327</v>
      </c>
      <c r="S11" s="17">
        <f t="shared" si="2"/>
        <v>1.0113251192058743</v>
      </c>
      <c r="T11" s="18">
        <f t="shared" si="2"/>
        <v>1.1740674955595025</v>
      </c>
      <c r="U11" s="91"/>
      <c r="V11" s="42">
        <f>bdrate($D11:$D14,E11:E14,$L11:$L14,M11:M14)</f>
        <v>0</v>
      </c>
      <c r="W11" s="42">
        <f>bdrate($D11:$D14,F11:F14,$L11:$L14,N11:N14)</f>
        <v>0</v>
      </c>
      <c r="X11" s="42">
        <f>bdrate($D11:$D14,G11:G14,$L11:$L14,O11:O14)</f>
        <v>0</v>
      </c>
      <c r="Y11" s="40">
        <f>bdrateOld($D11:$D14,E11:E14,$L11:$L14,M11:M14)</f>
        <v>0</v>
      </c>
      <c r="Z11" s="44">
        <f>bdrateOld($D11:$D14,F11:F14,$L11:$L14,N11:N14)</f>
        <v>0</v>
      </c>
      <c r="AA11" s="45">
        <f>bdrateOld($D11:$D14,G11:G14,$L11:$L14,O11:O14)</f>
        <v>0</v>
      </c>
    </row>
    <row r="12" spans="1:27" x14ac:dyDescent="0.2">
      <c r="A12" s="34"/>
      <c r="B12" s="83"/>
      <c r="C12" s="16">
        <v>48</v>
      </c>
      <c r="D12" s="17">
        <f>Reference!B10</f>
        <v>55894.098899999997</v>
      </c>
      <c r="E12" s="18">
        <f>Reference!C10</f>
        <v>38.880299999999998</v>
      </c>
      <c r="F12" s="18">
        <f>Reference!D10</f>
        <v>41.386600000000001</v>
      </c>
      <c r="G12" s="18">
        <f>Reference!E10</f>
        <v>41.7851</v>
      </c>
      <c r="H12" s="18">
        <f>Reference!F10</f>
        <v>116864.75</v>
      </c>
      <c r="I12" s="18">
        <f>Reference!G10</f>
        <v>24.382000000000001</v>
      </c>
      <c r="J12" s="19">
        <f t="shared" si="0"/>
        <v>32.462430555555557</v>
      </c>
      <c r="L12" s="17">
        <f>Test!B10</f>
        <v>55894.098899999997</v>
      </c>
      <c r="M12" s="18">
        <f>Test!C10</f>
        <v>38.880299999999998</v>
      </c>
      <c r="N12" s="18">
        <f>Test!D10</f>
        <v>41.386600000000001</v>
      </c>
      <c r="O12" s="18">
        <f>Test!E10</f>
        <v>41.7851</v>
      </c>
      <c r="P12" s="18">
        <f>Test!F10</f>
        <v>117696.992</v>
      </c>
      <c r="Q12" s="18">
        <f>Test!G10</f>
        <v>27.47</v>
      </c>
      <c r="R12" s="18">
        <f t="shared" si="1"/>
        <v>32.693608888888889</v>
      </c>
      <c r="S12" s="17">
        <f t="shared" si="2"/>
        <v>1.0071214117173912</v>
      </c>
      <c r="T12" s="18">
        <f t="shared" si="2"/>
        <v>1.1266508079730948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25285.1937</v>
      </c>
      <c r="E13" s="18">
        <f>Reference!C11</f>
        <v>37.308300000000003</v>
      </c>
      <c r="F13" s="18">
        <f>Reference!D11</f>
        <v>39.062800000000003</v>
      </c>
      <c r="G13" s="18">
        <f>Reference!E11</f>
        <v>40.705399999999997</v>
      </c>
      <c r="H13" s="18">
        <f>Reference!F11</f>
        <v>67011.460999999996</v>
      </c>
      <c r="I13" s="18">
        <f>Reference!G11</f>
        <v>19.559000000000001</v>
      </c>
      <c r="J13" s="19">
        <f t="shared" si="0"/>
        <v>18.614294722222223</v>
      </c>
      <c r="L13" s="17">
        <f>Test!B11</f>
        <v>25285.1937</v>
      </c>
      <c r="M13" s="18">
        <f>Test!C11</f>
        <v>37.308300000000003</v>
      </c>
      <c r="N13" s="18">
        <f>Test!D11</f>
        <v>39.062800000000003</v>
      </c>
      <c r="O13" s="18">
        <f>Test!E11</f>
        <v>40.705399999999997</v>
      </c>
      <c r="P13" s="18">
        <f>Test!F11</f>
        <v>65495.93</v>
      </c>
      <c r="Q13" s="18">
        <f>Test!G11</f>
        <v>20.760999999999999</v>
      </c>
      <c r="R13" s="18">
        <f t="shared" si="1"/>
        <v>18.193313888888888</v>
      </c>
      <c r="S13" s="17">
        <f t="shared" si="2"/>
        <v>0.97738400301405159</v>
      </c>
      <c r="T13" s="18">
        <f t="shared" si="2"/>
        <v>1.0614550846157778</v>
      </c>
      <c r="U13" s="91"/>
      <c r="V13" s="25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Reference!B12</f>
        <v>12252.606299999999</v>
      </c>
      <c r="E14" s="23">
        <f>Reference!C12</f>
        <v>35.924399999999999</v>
      </c>
      <c r="F14" s="23">
        <f>Reference!D12</f>
        <v>36.3444</v>
      </c>
      <c r="G14" s="23">
        <f>Reference!E12</f>
        <v>39.223100000000002</v>
      </c>
      <c r="H14" s="23">
        <f>Reference!F12</f>
        <v>38646.773000000001</v>
      </c>
      <c r="I14" s="23">
        <f>Reference!G12</f>
        <v>17.658999999999999</v>
      </c>
      <c r="J14" s="24">
        <f t="shared" si="0"/>
        <v>10.735214722222223</v>
      </c>
      <c r="L14" s="22">
        <f>Test!B12</f>
        <v>12252.606299999999</v>
      </c>
      <c r="M14" s="23">
        <f>Test!C12</f>
        <v>35.924399999999999</v>
      </c>
      <c r="N14" s="23">
        <f>Test!D12</f>
        <v>36.3444</v>
      </c>
      <c r="O14" s="23">
        <f>Test!E12</f>
        <v>39.223100000000002</v>
      </c>
      <c r="P14" s="23">
        <f>Test!F12</f>
        <v>37677.699000000001</v>
      </c>
      <c r="Q14" s="23">
        <f>Test!G12</f>
        <v>18.202000000000002</v>
      </c>
      <c r="R14" s="23">
        <f t="shared" si="1"/>
        <v>10.466027500000001</v>
      </c>
      <c r="S14" s="17">
        <f t="shared" si="2"/>
        <v>0.97492484042587457</v>
      </c>
      <c r="T14" s="18">
        <f t="shared" si="2"/>
        <v>1.0307491930460391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177370.96419999999</v>
      </c>
      <c r="E15" s="13">
        <f>Reference!C13</f>
        <v>38.624200000000002</v>
      </c>
      <c r="F15" s="13">
        <f>Reference!D13</f>
        <v>45.659500000000001</v>
      </c>
      <c r="G15" s="13">
        <f>Reference!E13</f>
        <v>43.478000000000002</v>
      </c>
      <c r="H15" s="13">
        <f>Reference!F13</f>
        <v>204050.67199999999</v>
      </c>
      <c r="I15" s="13">
        <f>Reference!G13</f>
        <v>31.89</v>
      </c>
      <c r="J15" s="14">
        <f>H15/3600</f>
        <v>56.680742222222221</v>
      </c>
      <c r="L15" s="12">
        <f>Test!B13</f>
        <v>177370.96419999999</v>
      </c>
      <c r="M15" s="13">
        <f>Test!C13</f>
        <v>38.624200000000002</v>
      </c>
      <c r="N15" s="13">
        <f>Test!D13</f>
        <v>45.659500000000001</v>
      </c>
      <c r="O15" s="13">
        <f>Test!E13</f>
        <v>43.478000000000002</v>
      </c>
      <c r="P15" s="13">
        <f>Test!F13</f>
        <v>205229.21900000001</v>
      </c>
      <c r="Q15" s="13">
        <f>Test!G13</f>
        <v>36.872</v>
      </c>
      <c r="R15" s="13">
        <f>P15/3600</f>
        <v>57.008116388888894</v>
      </c>
      <c r="S15" s="17">
        <f>P15/H15</f>
        <v>1.0057757565238503</v>
      </c>
      <c r="T15" s="18">
        <f>Q15/I15</f>
        <v>1.1562245217936657</v>
      </c>
      <c r="U15" s="91"/>
      <c r="V15" s="42">
        <f>bdrate($D15:$D18,E15:E18,$L15:$L18,M15:M18)</f>
        <v>0</v>
      </c>
      <c r="W15" s="42">
        <f>bdrate($D15:$D18,F15:F18,$L15:$L18,N15:N18)</f>
        <v>0</v>
      </c>
      <c r="X15" s="43">
        <f>bdrate($D15:$D18,G15:G18,$L15:$L18,O15:O18)</f>
        <v>0</v>
      </c>
      <c r="Y15" s="37">
        <f>bdrateOld($D15:$D18,E15:E18,$L15:$L18,M15:M18)</f>
        <v>0</v>
      </c>
      <c r="Z15" s="42">
        <f>bdrateOld($D15:$D18,F15:F18,$L15:$L18,N15:N18)</f>
        <v>0</v>
      </c>
      <c r="AA15" s="43">
        <f>bdrateOld($D15:$D18,G15:G18,$L15:$L18,O15:O18)</f>
        <v>0</v>
      </c>
    </row>
    <row r="16" spans="1:27" x14ac:dyDescent="0.2">
      <c r="A16" s="16"/>
      <c r="B16" s="85"/>
      <c r="C16" s="16">
        <v>48</v>
      </c>
      <c r="D16" s="17">
        <f>Reference!B14</f>
        <v>86182.433699999994</v>
      </c>
      <c r="E16" s="18">
        <f>Reference!C14</f>
        <v>37.677599999999998</v>
      </c>
      <c r="F16" s="18">
        <f>Reference!D14</f>
        <v>44.793999999999997</v>
      </c>
      <c r="G16" s="18">
        <f>Reference!E14</f>
        <v>42.493400000000001</v>
      </c>
      <c r="H16" s="18">
        <f>Reference!F14</f>
        <v>124427</v>
      </c>
      <c r="I16" s="18">
        <f>Reference!G14</f>
        <v>25.31</v>
      </c>
      <c r="J16" s="19">
        <f t="shared" ref="J16:J26" si="3">H16/3600</f>
        <v>34.563055555555557</v>
      </c>
      <c r="L16" s="17">
        <f>Test!B14</f>
        <v>86182.433699999994</v>
      </c>
      <c r="M16" s="18">
        <f>Test!C14</f>
        <v>37.677599999999998</v>
      </c>
      <c r="N16" s="18">
        <f>Test!D14</f>
        <v>44.793999999999997</v>
      </c>
      <c r="O16" s="18">
        <f>Test!E14</f>
        <v>42.493400000000001</v>
      </c>
      <c r="P16" s="18">
        <f>Test!F14</f>
        <v>121989.281</v>
      </c>
      <c r="Q16" s="18">
        <f>Test!G14</f>
        <v>27.901</v>
      </c>
      <c r="R16" s="18">
        <f t="shared" ref="R16:R26" si="4">P16/3600</f>
        <v>33.885911388888893</v>
      </c>
      <c r="S16" s="17">
        <f t="shared" ref="S16:S26" si="5">P16/H16</f>
        <v>0.98040844029029073</v>
      </c>
      <c r="T16" s="18">
        <f t="shared" ref="T16:T26" si="6">Q16/I16</f>
        <v>1.1023706045041486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49710.378900000003</v>
      </c>
      <c r="E17" s="18">
        <f>Reference!C15</f>
        <v>36.759099999999997</v>
      </c>
      <c r="F17" s="18">
        <f>Reference!D15</f>
        <v>43.830100000000002</v>
      </c>
      <c r="G17" s="18">
        <f>Reference!E15</f>
        <v>41.468299999999999</v>
      </c>
      <c r="H17" s="18">
        <f>Reference!F15</f>
        <v>78259.585999999996</v>
      </c>
      <c r="I17" s="18">
        <f>Reference!G15</f>
        <v>21.756</v>
      </c>
      <c r="J17" s="19">
        <f t="shared" si="3"/>
        <v>21.738773888888886</v>
      </c>
      <c r="L17" s="17">
        <f>Test!B15</f>
        <v>49710.378900000003</v>
      </c>
      <c r="M17" s="18">
        <f>Test!C15</f>
        <v>36.759099999999997</v>
      </c>
      <c r="N17" s="18">
        <f>Test!D15</f>
        <v>43.830100000000002</v>
      </c>
      <c r="O17" s="18">
        <f>Test!E15</f>
        <v>41.468299999999999</v>
      </c>
      <c r="P17" s="18">
        <f>Test!F15</f>
        <v>80991.648000000001</v>
      </c>
      <c r="Q17" s="18">
        <f>Test!G15</f>
        <v>23.574000000000002</v>
      </c>
      <c r="R17" s="18">
        <f t="shared" si="4"/>
        <v>22.497679999999999</v>
      </c>
      <c r="S17" s="17">
        <f t="shared" si="5"/>
        <v>1.0349102536780608</v>
      </c>
      <c r="T17" s="18">
        <f t="shared" si="6"/>
        <v>1.0835631549917264</v>
      </c>
      <c r="U17" s="91"/>
      <c r="V17" s="25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Reference!B16</f>
        <v>26284.4211</v>
      </c>
      <c r="E18" s="23">
        <f>Reference!C16</f>
        <v>35.2605</v>
      </c>
      <c r="F18" s="23">
        <f>Reference!D16</f>
        <v>42.428100000000001</v>
      </c>
      <c r="G18" s="23">
        <f>Reference!E16</f>
        <v>40.2164</v>
      </c>
      <c r="H18" s="23">
        <f>Reference!F16</f>
        <v>48835.050999999999</v>
      </c>
      <c r="I18" s="23">
        <f>Reference!G16</f>
        <v>19.405000000000001</v>
      </c>
      <c r="J18" s="24">
        <f t="shared" si="3"/>
        <v>13.565291944444445</v>
      </c>
      <c r="L18" s="22">
        <f>Test!B16</f>
        <v>26284.4211</v>
      </c>
      <c r="M18" s="23">
        <f>Test!C16</f>
        <v>35.2605</v>
      </c>
      <c r="N18" s="23">
        <f>Test!D16</f>
        <v>42.428100000000001</v>
      </c>
      <c r="O18" s="23">
        <f>Test!E16</f>
        <v>40.2164</v>
      </c>
      <c r="P18" s="23">
        <f>Test!F16</f>
        <v>47594.972999999998</v>
      </c>
      <c r="Q18" s="23">
        <f>Test!G16</f>
        <v>20.337</v>
      </c>
      <c r="R18" s="23">
        <f t="shared" si="4"/>
        <v>13.220825833333333</v>
      </c>
      <c r="S18" s="17">
        <f t="shared" si="5"/>
        <v>0.97460680444461911</v>
      </c>
      <c r="T18" s="18">
        <f t="shared" si="6"/>
        <v>1.0480288585416129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67494.945999999996</v>
      </c>
      <c r="E19" s="13">
        <f>Reference!C17</f>
        <v>39.563000000000002</v>
      </c>
      <c r="F19" s="13">
        <f>Reference!D17</f>
        <v>40.538800000000002</v>
      </c>
      <c r="G19" s="13">
        <f>Reference!E17</f>
        <v>43.534300000000002</v>
      </c>
      <c r="H19" s="13">
        <f>Reference!F17</f>
        <v>86797.304999999993</v>
      </c>
      <c r="I19" s="13">
        <f>Reference!G17</f>
        <v>15.602</v>
      </c>
      <c r="J19" s="14">
        <f t="shared" si="3"/>
        <v>24.110362499999997</v>
      </c>
      <c r="L19" s="12">
        <f>Test!B17</f>
        <v>67494.945999999996</v>
      </c>
      <c r="M19" s="13">
        <f>Test!C17</f>
        <v>39.563000000000002</v>
      </c>
      <c r="N19" s="13">
        <f>Test!D17</f>
        <v>40.538800000000002</v>
      </c>
      <c r="O19" s="13">
        <f>Test!E17</f>
        <v>43.534300000000002</v>
      </c>
      <c r="P19" s="13">
        <f>Test!F17</f>
        <v>87530.976999999999</v>
      </c>
      <c r="Q19" s="13">
        <f>Test!G17</f>
        <v>18.359000000000002</v>
      </c>
      <c r="R19" s="13">
        <f t="shared" si="4"/>
        <v>24.314160277777777</v>
      </c>
      <c r="S19" s="12">
        <f t="shared" si="5"/>
        <v>1.0084527048391654</v>
      </c>
      <c r="T19" s="13">
        <f t="shared" si="6"/>
        <v>1.176708114344315</v>
      </c>
      <c r="U19" s="90"/>
      <c r="V19" s="42">
        <f>bdrate($D19:$D22,E19:E22,$L19:$L22,M19:M22)</f>
        <v>0</v>
      </c>
      <c r="W19" s="42">
        <f>bdrate($D19:$D22,F19:F22,$L19:$L22,N19:N22)</f>
        <v>0</v>
      </c>
      <c r="X19" s="42">
        <f>bdrate($D19:$D22,G19:G22,$L19:$L22,O19:O22)</f>
        <v>0</v>
      </c>
      <c r="Y19" s="40">
        <f>bdrateOld($D19:$D22,E19:E22,$L19:$L22,M19:M22)</f>
        <v>0</v>
      </c>
      <c r="Z19" s="44">
        <f>bdrateOld($D19:$D22,F19:F22,$L19:$L22,N19:N22)</f>
        <v>0</v>
      </c>
      <c r="AA19" s="45">
        <f>bdrateOld($D19:$D22,G19:G22,$L19:$L22,O19:O22)</f>
        <v>0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40264.393700000001</v>
      </c>
      <c r="E20" s="18">
        <f>Reference!C18</f>
        <v>37.929099999999998</v>
      </c>
      <c r="F20" s="18">
        <f>Reference!D18</f>
        <v>39.567500000000003</v>
      </c>
      <c r="G20" s="18">
        <f>Reference!E18</f>
        <v>42.1432</v>
      </c>
      <c r="H20" s="18">
        <f>Reference!F18</f>
        <v>66728.023000000001</v>
      </c>
      <c r="I20" s="18">
        <f>Reference!G18</f>
        <v>13.189</v>
      </c>
      <c r="J20" s="19">
        <f t="shared" si="3"/>
        <v>18.535561944444446</v>
      </c>
      <c r="L20" s="17">
        <f>Test!B18</f>
        <v>40264.393700000001</v>
      </c>
      <c r="M20" s="18">
        <f>Test!C18</f>
        <v>37.929099999999998</v>
      </c>
      <c r="N20" s="18">
        <f>Test!D18</f>
        <v>39.567500000000003</v>
      </c>
      <c r="O20" s="18">
        <f>Test!E18</f>
        <v>42.1432</v>
      </c>
      <c r="P20" s="18">
        <f>Test!F18</f>
        <v>64503.805</v>
      </c>
      <c r="Q20" s="18">
        <f>Test!G18</f>
        <v>14.817</v>
      </c>
      <c r="R20" s="18">
        <f t="shared" si="4"/>
        <v>17.917723611111111</v>
      </c>
      <c r="S20" s="17">
        <f t="shared" si="5"/>
        <v>0.96666740748485835</v>
      </c>
      <c r="T20" s="18">
        <f t="shared" si="6"/>
        <v>1.1234361968306923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23215.707900000001</v>
      </c>
      <c r="E21" s="18">
        <f>Reference!C19</f>
        <v>36.014099999999999</v>
      </c>
      <c r="F21" s="18">
        <f>Reference!D19</f>
        <v>38.716099999999997</v>
      </c>
      <c r="G21" s="18">
        <f>Reference!E19</f>
        <v>40.761899999999997</v>
      </c>
      <c r="H21" s="18">
        <f>Reference!F19</f>
        <v>48877.105000000003</v>
      </c>
      <c r="I21" s="18">
        <f>Reference!G19</f>
        <v>11.005000000000001</v>
      </c>
      <c r="J21" s="19">
        <f t="shared" si="3"/>
        <v>13.576973611111113</v>
      </c>
      <c r="L21" s="17">
        <f>Test!B19</f>
        <v>23215.707900000001</v>
      </c>
      <c r="M21" s="18">
        <f>Test!C19</f>
        <v>36.014099999999999</v>
      </c>
      <c r="N21" s="18">
        <f>Test!D19</f>
        <v>38.716099999999997</v>
      </c>
      <c r="O21" s="18">
        <f>Test!E19</f>
        <v>40.761899999999997</v>
      </c>
      <c r="P21" s="18">
        <f>Test!F19</f>
        <v>48996.891000000003</v>
      </c>
      <c r="Q21" s="18">
        <f>Test!G19</f>
        <v>12.523</v>
      </c>
      <c r="R21" s="18">
        <f t="shared" si="4"/>
        <v>13.610247500000002</v>
      </c>
      <c r="S21" s="17">
        <f t="shared" si="5"/>
        <v>1.0024507588982612</v>
      </c>
      <c r="T21" s="18">
        <f t="shared" si="6"/>
        <v>1.1379373012267151</v>
      </c>
      <c r="U21" s="91"/>
      <c r="V21" s="25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Reference!B20</f>
        <v>11832.412700000001</v>
      </c>
      <c r="E22" s="23">
        <f>Reference!C20</f>
        <v>33.539200000000001</v>
      </c>
      <c r="F22" s="23">
        <f>Reference!D20</f>
        <v>37.526800000000001</v>
      </c>
      <c r="G22" s="23">
        <f>Reference!E20</f>
        <v>38.918700000000001</v>
      </c>
      <c r="H22" s="23">
        <f>Reference!F20</f>
        <v>32591.205000000002</v>
      </c>
      <c r="I22" s="23">
        <f>Reference!G20</f>
        <v>9.4109999999999996</v>
      </c>
      <c r="J22" s="24">
        <f t="shared" si="3"/>
        <v>9.053112500000001</v>
      </c>
      <c r="L22" s="22">
        <f>Test!B20</f>
        <v>11832.412700000001</v>
      </c>
      <c r="M22" s="23">
        <f>Test!C20</f>
        <v>33.539200000000001</v>
      </c>
      <c r="N22" s="23">
        <f>Test!D20</f>
        <v>37.526800000000001</v>
      </c>
      <c r="O22" s="23">
        <f>Test!E20</f>
        <v>38.918700000000001</v>
      </c>
      <c r="P22" s="23">
        <f>Test!F20</f>
        <v>32886.440999999999</v>
      </c>
      <c r="Q22" s="23">
        <f>Test!G20</f>
        <v>10.358000000000001</v>
      </c>
      <c r="R22" s="23">
        <f t="shared" si="4"/>
        <v>9.1351224999999996</v>
      </c>
      <c r="S22" s="17">
        <f t="shared" si="5"/>
        <v>1.0090587629392653</v>
      </c>
      <c r="T22" s="18">
        <f t="shared" si="6"/>
        <v>1.1006269259377326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42267.911099999998</v>
      </c>
      <c r="E23" s="13">
        <f>Reference!C21</f>
        <v>40.197000000000003</v>
      </c>
      <c r="F23" s="13">
        <f>Reference!D21</f>
        <v>44.213000000000001</v>
      </c>
      <c r="G23" s="13">
        <f>Reference!E21</f>
        <v>45.685099999999998</v>
      </c>
      <c r="H23" s="13">
        <f>Reference!F21</f>
        <v>74323.531000000003</v>
      </c>
      <c r="I23" s="13">
        <f>Reference!G21</f>
        <v>13.212</v>
      </c>
      <c r="J23" s="14">
        <f t="shared" si="3"/>
        <v>20.645425277777779</v>
      </c>
      <c r="L23" s="12">
        <f>Test!B21</f>
        <v>42267.911099999998</v>
      </c>
      <c r="M23" s="13">
        <f>Test!C21</f>
        <v>40.197000000000003</v>
      </c>
      <c r="N23" s="13">
        <f>Test!D21</f>
        <v>44.213000000000001</v>
      </c>
      <c r="O23" s="13">
        <f>Test!E21</f>
        <v>45.685099999999998</v>
      </c>
      <c r="P23" s="13">
        <f>Test!F21</f>
        <v>75806.297000000006</v>
      </c>
      <c r="Q23" s="13">
        <f>Test!G21</f>
        <v>15.456</v>
      </c>
      <c r="R23" s="13">
        <f t="shared" si="4"/>
        <v>21.057304722222224</v>
      </c>
      <c r="S23" s="17">
        <f t="shared" si="5"/>
        <v>1.019950155489787</v>
      </c>
      <c r="T23" s="18">
        <f t="shared" si="6"/>
        <v>1.1698455949137148</v>
      </c>
      <c r="U23" s="91"/>
      <c r="V23" s="42">
        <f>bdrate($D23:$D26,E23:E26,$L23:$L26,M23:M26)</f>
        <v>0</v>
      </c>
      <c r="W23" s="42">
        <f>bdrate($D23:$D26,F23:F26,$L23:$L26,N23:N26)</f>
        <v>0</v>
      </c>
      <c r="X23" s="42">
        <f>bdrate($D23:$D26,G23:G26,$L23:$L26,O23:O26)</f>
        <v>0</v>
      </c>
      <c r="Y23" s="40">
        <f>bdrateOld($D23:$D26,E23:E26,$L23:$L26,M23:M26)</f>
        <v>0</v>
      </c>
      <c r="Z23" s="44">
        <f>bdrateOld($D23:$D26,F23:F26,$L23:$L26,N23:N26)</f>
        <v>0</v>
      </c>
      <c r="AA23" s="45">
        <f>bdrateOld($D23:$D26,G23:G26,$L23:$L26,O23:O26)</f>
        <v>0</v>
      </c>
    </row>
    <row r="24" spans="1:27" x14ac:dyDescent="0.2">
      <c r="A24" s="34"/>
      <c r="B24" s="85"/>
      <c r="C24" s="16">
        <v>32</v>
      </c>
      <c r="D24" s="17">
        <f>Reference!B22</f>
        <v>22922.736499999999</v>
      </c>
      <c r="E24" s="18">
        <f>Reference!C22</f>
        <v>38.721800000000002</v>
      </c>
      <c r="F24" s="18">
        <f>Reference!D22</f>
        <v>43.267299999999999</v>
      </c>
      <c r="G24" s="18">
        <f>Reference!E22</f>
        <v>44.241100000000003</v>
      </c>
      <c r="H24" s="18">
        <f>Reference!F22</f>
        <v>52120.711000000003</v>
      </c>
      <c r="I24" s="18">
        <f>Reference!G22</f>
        <v>11.167999999999999</v>
      </c>
      <c r="J24" s="19">
        <f t="shared" si="3"/>
        <v>14.477975277777778</v>
      </c>
      <c r="L24" s="17">
        <f>Test!B22</f>
        <v>22922.736499999999</v>
      </c>
      <c r="M24" s="18">
        <f>Test!C22</f>
        <v>38.721800000000002</v>
      </c>
      <c r="N24" s="18">
        <f>Test!D22</f>
        <v>43.267299999999999</v>
      </c>
      <c r="O24" s="18">
        <f>Test!E22</f>
        <v>44.241100000000003</v>
      </c>
      <c r="P24" s="18">
        <f>Test!F22</f>
        <v>52801.495999999999</v>
      </c>
      <c r="Q24" s="18">
        <f>Test!G22</f>
        <v>12.599</v>
      </c>
      <c r="R24" s="18">
        <f t="shared" si="4"/>
        <v>14.667082222222222</v>
      </c>
      <c r="S24" s="17">
        <f t="shared" si="5"/>
        <v>1.0130616982565721</v>
      </c>
      <c r="T24" s="18">
        <f t="shared" si="6"/>
        <v>1.1281339541547279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12964.0762</v>
      </c>
      <c r="E25" s="18">
        <f>Reference!C23</f>
        <v>37.282600000000002</v>
      </c>
      <c r="F25" s="18">
        <f>Reference!D23</f>
        <v>42.193399999999997</v>
      </c>
      <c r="G25" s="18">
        <f>Reference!E23</f>
        <v>42.682499999999997</v>
      </c>
      <c r="H25" s="18">
        <f>Reference!F23</f>
        <v>35656.163999999997</v>
      </c>
      <c r="I25" s="18">
        <f>Reference!G23</f>
        <v>9.8239999999999998</v>
      </c>
      <c r="J25" s="19">
        <f t="shared" si="3"/>
        <v>9.9044899999999991</v>
      </c>
      <c r="L25" s="17">
        <f>Test!B23</f>
        <v>12964.0762</v>
      </c>
      <c r="M25" s="18">
        <f>Test!C23</f>
        <v>37.282600000000002</v>
      </c>
      <c r="N25" s="18">
        <f>Test!D23</f>
        <v>42.193399999999997</v>
      </c>
      <c r="O25" s="18">
        <f>Test!E23</f>
        <v>42.682499999999997</v>
      </c>
      <c r="P25" s="18">
        <f>Test!F23</f>
        <v>35632.625</v>
      </c>
      <c r="Q25" s="18">
        <f>Test!G23</f>
        <v>10.631</v>
      </c>
      <c r="R25" s="18">
        <f t="shared" si="4"/>
        <v>9.8979513888888881</v>
      </c>
      <c r="S25" s="17">
        <f t="shared" si="5"/>
        <v>0.99933983363998447</v>
      </c>
      <c r="T25" s="18">
        <f t="shared" si="6"/>
        <v>1.0821457654723128</v>
      </c>
      <c r="U25" s="91"/>
      <c r="V25" s="25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Reference!B24</f>
        <v>6928.9396999999999</v>
      </c>
      <c r="E26" s="23">
        <f>Reference!C24</f>
        <v>35.361499999999999</v>
      </c>
      <c r="F26" s="23">
        <f>Reference!D24</f>
        <v>40.691000000000003</v>
      </c>
      <c r="G26" s="23">
        <f>Reference!E24</f>
        <v>40.660200000000003</v>
      </c>
      <c r="H26" s="23">
        <f>Reference!F24</f>
        <v>21637.708999999999</v>
      </c>
      <c r="I26" s="23">
        <f>Reference!G24</f>
        <v>8.5719999999999992</v>
      </c>
      <c r="J26" s="24">
        <f t="shared" si="3"/>
        <v>6.0104747222222219</v>
      </c>
      <c r="L26" s="22">
        <f>Test!B24</f>
        <v>6928.9396999999999</v>
      </c>
      <c r="M26" s="23">
        <f>Test!C24</f>
        <v>35.361499999999999</v>
      </c>
      <c r="N26" s="23">
        <f>Test!D24</f>
        <v>40.691000000000003</v>
      </c>
      <c r="O26" s="23">
        <f>Test!E24</f>
        <v>40.660200000000003</v>
      </c>
      <c r="P26" s="23">
        <f>Test!F24</f>
        <v>21489.57</v>
      </c>
      <c r="Q26" s="23">
        <f>Test!G24</f>
        <v>9.1829999999999998</v>
      </c>
      <c r="R26" s="23">
        <f t="shared" si="4"/>
        <v>5.9693249999999995</v>
      </c>
      <c r="S26" s="17">
        <f t="shared" si="5"/>
        <v>0.99315366520549841</v>
      </c>
      <c r="T26" s="18">
        <f t="shared" si="6"/>
        <v>1.0712785814279049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64671.494400000003</v>
      </c>
      <c r="E27" s="13">
        <f>Reference!C25</f>
        <v>41.737299999999998</v>
      </c>
      <c r="F27" s="13">
        <f>Reference!D25</f>
        <v>44.441200000000002</v>
      </c>
      <c r="G27" s="13">
        <f>Reference!E25</f>
        <v>45.163499999999999</v>
      </c>
      <c r="H27" s="13">
        <f>Reference!F25</f>
        <v>91012.773000000001</v>
      </c>
      <c r="I27" s="13">
        <f>Reference!G25</f>
        <v>16.559000000000001</v>
      </c>
      <c r="J27" s="14">
        <f>H27/3600</f>
        <v>25.281325833333334</v>
      </c>
      <c r="L27" s="12">
        <f>Test!B25</f>
        <v>64671.494400000003</v>
      </c>
      <c r="M27" s="13">
        <f>Test!C25</f>
        <v>41.737299999999998</v>
      </c>
      <c r="N27" s="13">
        <f>Test!D25</f>
        <v>44.441200000000002</v>
      </c>
      <c r="O27" s="13">
        <f>Test!E25</f>
        <v>45.163499999999999</v>
      </c>
      <c r="P27" s="13">
        <f>Test!F25</f>
        <v>89133.351999999999</v>
      </c>
      <c r="Q27" s="13">
        <f>Test!G25</f>
        <v>18.071999999999999</v>
      </c>
      <c r="R27" s="13">
        <f>P27/3600</f>
        <v>24.759264444444444</v>
      </c>
      <c r="S27" s="17">
        <f>P27/H27</f>
        <v>0.97934992047764546</v>
      </c>
      <c r="T27" s="18">
        <f>Q27/I27</f>
        <v>1.0913702518268009</v>
      </c>
      <c r="U27" s="91"/>
      <c r="V27" s="42">
        <f>bdrate($D27:$D30,E27:E30,$L27:$L30,M27:M30)</f>
        <v>0</v>
      </c>
      <c r="W27" s="42">
        <f>bdrate($D27:$D30,F27:F30,$L27:$L30,N27:N30)</f>
        <v>0</v>
      </c>
      <c r="X27" s="43">
        <f>bdrate($D27:$D30,G27:G30,$L27:$L30,O27:O30)</f>
        <v>0</v>
      </c>
      <c r="Y27" s="37">
        <f>bdrateOld($D27:$D30,E27:E30,$L27:$L30,M27:M30)</f>
        <v>0</v>
      </c>
      <c r="Z27" s="42">
        <f>bdrateOld($D27:$D30,F27:F30,$L27:$L30,N27:N30)</f>
        <v>0</v>
      </c>
      <c r="AA27" s="43">
        <f>bdrateOld($D27:$D30,G27:G30,$L27:$L30,O27:O30)</f>
        <v>0</v>
      </c>
    </row>
    <row r="28" spans="1:27" x14ac:dyDescent="0.2">
      <c r="A28" s="16"/>
      <c r="B28" s="85"/>
      <c r="C28" s="16">
        <v>48</v>
      </c>
      <c r="D28" s="17">
        <f>Reference!B26</f>
        <v>41712.6656</v>
      </c>
      <c r="E28" s="18">
        <f>Reference!C26</f>
        <v>39.930900000000001</v>
      </c>
      <c r="F28" s="18">
        <f>Reference!D26</f>
        <v>43.0349</v>
      </c>
      <c r="G28" s="18">
        <f>Reference!E26</f>
        <v>43.9268</v>
      </c>
      <c r="H28" s="18">
        <f>Reference!F26</f>
        <v>67792.695000000007</v>
      </c>
      <c r="I28" s="18">
        <f>Reference!G26</f>
        <v>14.101000000000001</v>
      </c>
      <c r="J28" s="19">
        <f t="shared" ref="J28:J46" si="7">H28/3600</f>
        <v>18.831304166666669</v>
      </c>
      <c r="L28" s="17">
        <f>Test!B26</f>
        <v>41712.6656</v>
      </c>
      <c r="M28" s="18">
        <f>Test!C26</f>
        <v>39.930900000000001</v>
      </c>
      <c r="N28" s="18">
        <f>Test!D26</f>
        <v>43.0349</v>
      </c>
      <c r="O28" s="18">
        <f>Test!E26</f>
        <v>43.9268</v>
      </c>
      <c r="P28" s="18">
        <f>Test!F26</f>
        <v>67714.672000000006</v>
      </c>
      <c r="Q28" s="18">
        <f>Test!G26</f>
        <v>15.513999999999999</v>
      </c>
      <c r="R28" s="18">
        <f t="shared" ref="R28:R46" si="8">P28/3600</f>
        <v>18.809631111111113</v>
      </c>
      <c r="S28" s="17">
        <f t="shared" ref="S28:S46" si="9">P28/H28</f>
        <v>0.99884909428663371</v>
      </c>
      <c r="T28" s="18">
        <f t="shared" ref="T28:T46" si="10">Q28/I28</f>
        <v>1.1002056591731082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24533.356800000001</v>
      </c>
      <c r="E29" s="18">
        <f>Reference!C27</f>
        <v>37.703699999999998</v>
      </c>
      <c r="F29" s="18">
        <f>Reference!D27</f>
        <v>41.734000000000002</v>
      </c>
      <c r="G29" s="18">
        <f>Reference!E27</f>
        <v>42.630400000000002</v>
      </c>
      <c r="H29" s="18">
        <f>Reference!F27</f>
        <v>50014.211000000003</v>
      </c>
      <c r="I29" s="18">
        <f>Reference!G27</f>
        <v>12.351000000000001</v>
      </c>
      <c r="J29" s="19">
        <f t="shared" si="7"/>
        <v>13.89283638888889</v>
      </c>
      <c r="L29" s="17">
        <f>Test!B27</f>
        <v>24533.356800000001</v>
      </c>
      <c r="M29" s="18">
        <f>Test!C27</f>
        <v>37.703699999999998</v>
      </c>
      <c r="N29" s="18">
        <f>Test!D27</f>
        <v>41.734000000000002</v>
      </c>
      <c r="O29" s="18">
        <f>Test!E27</f>
        <v>42.630400000000002</v>
      </c>
      <c r="P29" s="18">
        <f>Test!F27</f>
        <v>49789.188000000002</v>
      </c>
      <c r="Q29" s="18">
        <f>Test!G27</f>
        <v>13.327999999999999</v>
      </c>
      <c r="R29" s="18">
        <f t="shared" si="8"/>
        <v>13.83033</v>
      </c>
      <c r="S29" s="17">
        <f t="shared" si="9"/>
        <v>0.99550081875729279</v>
      </c>
      <c r="T29" s="18">
        <f t="shared" si="10"/>
        <v>1.0791029066472348</v>
      </c>
      <c r="U29" s="91"/>
      <c r="V29" s="25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Reference!B28</f>
        <v>12379.712</v>
      </c>
      <c r="E30" s="23">
        <f>Reference!C28</f>
        <v>35.008899999999997</v>
      </c>
      <c r="F30" s="23">
        <f>Reference!D28</f>
        <v>40.169499999999999</v>
      </c>
      <c r="G30" s="23">
        <f>Reference!E28</f>
        <v>41.012300000000003</v>
      </c>
      <c r="H30" s="23">
        <f>Reference!F28</f>
        <v>31297.107</v>
      </c>
      <c r="I30" s="23">
        <f>Reference!G28</f>
        <v>10.813000000000001</v>
      </c>
      <c r="J30" s="24">
        <f t="shared" si="7"/>
        <v>8.6936408333333333</v>
      </c>
      <c r="L30" s="22">
        <f>Test!B28</f>
        <v>12379.712</v>
      </c>
      <c r="M30" s="23">
        <f>Test!C28</f>
        <v>35.008899999999997</v>
      </c>
      <c r="N30" s="23">
        <f>Test!D28</f>
        <v>40.169499999999999</v>
      </c>
      <c r="O30" s="23">
        <f>Test!E28</f>
        <v>41.012300000000003</v>
      </c>
      <c r="P30" s="23">
        <f>Test!F28</f>
        <v>31724.171999999999</v>
      </c>
      <c r="Q30" s="23">
        <f>Test!G28</f>
        <v>11.516999999999999</v>
      </c>
      <c r="R30" s="23">
        <f t="shared" si="8"/>
        <v>8.8122699999999998</v>
      </c>
      <c r="S30" s="17">
        <f t="shared" si="9"/>
        <v>1.0136455104300854</v>
      </c>
      <c r="T30" s="18">
        <f t="shared" si="10"/>
        <v>1.0651068158697863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39540.6976</v>
      </c>
      <c r="E31" s="13">
        <f>Reference!C29</f>
        <v>44.935200000000002</v>
      </c>
      <c r="F31" s="13">
        <f>Reference!D29</f>
        <v>47.607900000000001</v>
      </c>
      <c r="G31" s="13">
        <f>Reference!E29</f>
        <v>48.338799999999999</v>
      </c>
      <c r="H31" s="13">
        <f>Reference!F29</f>
        <v>61787.144999999997</v>
      </c>
      <c r="I31" s="13">
        <f>Reference!G29</f>
        <v>14.675000000000001</v>
      </c>
      <c r="J31" s="14">
        <f t="shared" si="7"/>
        <v>17.163095833333333</v>
      </c>
      <c r="L31" s="12">
        <f>Test!B29</f>
        <v>39540.6976</v>
      </c>
      <c r="M31" s="13">
        <f>Test!C29</f>
        <v>44.935200000000002</v>
      </c>
      <c r="N31" s="13">
        <f>Test!D29</f>
        <v>47.607900000000001</v>
      </c>
      <c r="O31" s="13">
        <f>Test!E29</f>
        <v>48.338799999999999</v>
      </c>
      <c r="P31" s="13">
        <f>Test!F29</f>
        <v>60376.785000000003</v>
      </c>
      <c r="Q31" s="13">
        <f>Test!G29</f>
        <v>16.047999999999998</v>
      </c>
      <c r="R31" s="13">
        <f t="shared" si="8"/>
        <v>16.771329166666668</v>
      </c>
      <c r="S31" s="17">
        <f t="shared" si="9"/>
        <v>0.97717389272477317</v>
      </c>
      <c r="T31" s="18">
        <f t="shared" si="10"/>
        <v>1.0935604770017033</v>
      </c>
      <c r="U31" s="91"/>
      <c r="V31" s="42">
        <f>bdrate($D31:$D34,E31:E34,$L31:$L34,M31:M34)</f>
        <v>0</v>
      </c>
      <c r="W31" s="42">
        <f>bdrate($D31:$D34,F31:F34,$L31:$L34,N31:N34)</f>
        <v>0</v>
      </c>
      <c r="X31" s="42">
        <f>bdrate($D31:$D34,G31:G34,$L31:$L34,O31:O34)</f>
        <v>0</v>
      </c>
      <c r="Y31" s="40">
        <f>bdrateOld($D31:$D34,E31:E34,$L31:$L34,M31:M34)</f>
        <v>0</v>
      </c>
      <c r="Z31" s="44">
        <f>bdrateOld($D31:$D34,F31:F34,$L31:$L34,N31:N34)</f>
        <v>0</v>
      </c>
      <c r="AA31" s="45">
        <f>bdrateOld($D31:$D34,G31:G34,$L31:$L34,O31:O34)</f>
        <v>0</v>
      </c>
    </row>
    <row r="32" spans="1:27" x14ac:dyDescent="0.2">
      <c r="A32" s="16"/>
      <c r="B32" s="85"/>
      <c r="C32" s="16">
        <v>48</v>
      </c>
      <c r="D32" s="17">
        <f>Reference!B30</f>
        <v>26056.460800000001</v>
      </c>
      <c r="E32" s="18">
        <f>Reference!C30</f>
        <v>42.767699999999998</v>
      </c>
      <c r="F32" s="18">
        <f>Reference!D30</f>
        <v>46.0075</v>
      </c>
      <c r="G32" s="18">
        <f>Reference!E30</f>
        <v>46.536099999999998</v>
      </c>
      <c r="H32" s="18">
        <f>Reference!F30</f>
        <v>49611.828000000001</v>
      </c>
      <c r="I32" s="18">
        <f>Reference!G30</f>
        <v>12.9</v>
      </c>
      <c r="J32" s="19">
        <f t="shared" si="7"/>
        <v>13.781063333333334</v>
      </c>
      <c r="L32" s="17">
        <f>Test!B30</f>
        <v>26056.460800000001</v>
      </c>
      <c r="M32" s="18">
        <f>Test!C30</f>
        <v>42.767699999999998</v>
      </c>
      <c r="N32" s="18">
        <f>Test!D30</f>
        <v>46.0075</v>
      </c>
      <c r="O32" s="18">
        <f>Test!E30</f>
        <v>46.536099999999998</v>
      </c>
      <c r="P32" s="18">
        <f>Test!F30</f>
        <v>50571.961000000003</v>
      </c>
      <c r="Q32" s="18">
        <f>Test!G30</f>
        <v>14.237</v>
      </c>
      <c r="R32" s="18">
        <f t="shared" si="8"/>
        <v>14.047766944444446</v>
      </c>
      <c r="S32" s="17">
        <f t="shared" si="9"/>
        <v>1.019352905117707</v>
      </c>
      <c r="T32" s="18">
        <f t="shared" si="10"/>
        <v>1.1036434108527131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15441.3696</v>
      </c>
      <c r="E33" s="18">
        <f>Reference!C31</f>
        <v>40.0809</v>
      </c>
      <c r="F33" s="18">
        <f>Reference!D31</f>
        <v>44.455599999999997</v>
      </c>
      <c r="G33" s="18">
        <f>Reference!E31</f>
        <v>44.716099999999997</v>
      </c>
      <c r="H33" s="18">
        <f>Reference!F31</f>
        <v>36779.781000000003</v>
      </c>
      <c r="I33" s="18">
        <f>Reference!G31</f>
        <v>11.404999999999999</v>
      </c>
      <c r="J33" s="19">
        <f t="shared" si="7"/>
        <v>10.216605833333334</v>
      </c>
      <c r="L33" s="17">
        <f>Test!B31</f>
        <v>15441.3696</v>
      </c>
      <c r="M33" s="18">
        <f>Test!C31</f>
        <v>40.0809</v>
      </c>
      <c r="N33" s="18">
        <f>Test!D31</f>
        <v>44.455599999999997</v>
      </c>
      <c r="O33" s="18">
        <f>Test!E31</f>
        <v>44.716099999999997</v>
      </c>
      <c r="P33" s="18">
        <f>Test!F31</f>
        <v>37080.050999999999</v>
      </c>
      <c r="Q33" s="18">
        <f>Test!G31</f>
        <v>12.394</v>
      </c>
      <c r="R33" s="18">
        <f t="shared" si="8"/>
        <v>10.300014166666667</v>
      </c>
      <c r="S33" s="17">
        <f t="shared" si="9"/>
        <v>1.0081639964087876</v>
      </c>
      <c r="T33" s="18">
        <f t="shared" si="10"/>
        <v>1.0867163524769838</v>
      </c>
      <c r="U33" s="91"/>
      <c r="V33" s="25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Reference!B32</f>
        <v>8055.1296000000002</v>
      </c>
      <c r="E34" s="23">
        <f>Reference!C32</f>
        <v>37.008699999999997</v>
      </c>
      <c r="F34" s="23">
        <f>Reference!D32</f>
        <v>42.448500000000003</v>
      </c>
      <c r="G34" s="23">
        <f>Reference!E32</f>
        <v>42.4863</v>
      </c>
      <c r="H34" s="23">
        <f>Reference!F32</f>
        <v>24175.578000000001</v>
      </c>
      <c r="I34" s="23">
        <f>Reference!G32</f>
        <v>9.827</v>
      </c>
      <c r="J34" s="24">
        <f t="shared" si="7"/>
        <v>6.7154383333333341</v>
      </c>
      <c r="L34" s="22">
        <f>Test!B32</f>
        <v>8055.1296000000002</v>
      </c>
      <c r="M34" s="23">
        <f>Test!C32</f>
        <v>37.008699999999997</v>
      </c>
      <c r="N34" s="23">
        <f>Test!D32</f>
        <v>42.448500000000003</v>
      </c>
      <c r="O34" s="23">
        <f>Test!E32</f>
        <v>42.4863</v>
      </c>
      <c r="P34" s="23">
        <f>Test!F32</f>
        <v>23999.076000000001</v>
      </c>
      <c r="Q34" s="23">
        <f>Test!G32</f>
        <v>10.502000000000001</v>
      </c>
      <c r="R34" s="23">
        <f t="shared" si="8"/>
        <v>6.6664099999999999</v>
      </c>
      <c r="S34" s="17">
        <f t="shared" si="9"/>
        <v>0.99269916111209422</v>
      </c>
      <c r="T34" s="18">
        <f t="shared" si="10"/>
        <v>1.0686883077236187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53885.331200000001</v>
      </c>
      <c r="E35" s="13">
        <f>Reference!C33</f>
        <v>41.744900000000001</v>
      </c>
      <c r="F35" s="13">
        <f>Reference!D33</f>
        <v>46.070099999999996</v>
      </c>
      <c r="G35" s="13">
        <f>Reference!E33</f>
        <v>46.383099999999999</v>
      </c>
      <c r="H35" s="13">
        <f>Reference!F33</f>
        <v>52000.832000000002</v>
      </c>
      <c r="I35" s="13">
        <f>Reference!G33</f>
        <v>9.1259999999999994</v>
      </c>
      <c r="J35" s="14">
        <f t="shared" si="7"/>
        <v>14.444675555555555</v>
      </c>
      <c r="L35" s="12">
        <f>Test!B33</f>
        <v>53885.331200000001</v>
      </c>
      <c r="M35" s="13">
        <f>Test!C33</f>
        <v>41.744900000000001</v>
      </c>
      <c r="N35" s="13">
        <f>Test!D33</f>
        <v>46.070099999999996</v>
      </c>
      <c r="O35" s="13">
        <f>Test!E33</f>
        <v>46.383099999999999</v>
      </c>
      <c r="P35" s="13">
        <f>Test!F33</f>
        <v>52097.305</v>
      </c>
      <c r="Q35" s="13">
        <f>Test!G33</f>
        <v>10.884</v>
      </c>
      <c r="R35" s="13">
        <f t="shared" si="8"/>
        <v>14.471473611111112</v>
      </c>
      <c r="S35" s="12">
        <f t="shared" si="9"/>
        <v>1.001855220316475</v>
      </c>
      <c r="T35" s="13">
        <f t="shared" si="10"/>
        <v>1.1926364234056543</v>
      </c>
      <c r="U35" s="90"/>
      <c r="V35" s="42">
        <f>bdrate($D35:$D38,E35:E38,$L35:$L38,M35:M38)</f>
        <v>0</v>
      </c>
      <c r="W35" s="42">
        <f>bdrate($D35:$D38,F35:F38,$L35:$L38,N35:N38)</f>
        <v>0</v>
      </c>
      <c r="X35" s="42">
        <f>bdrate($D35:$D38,G35:G38,$L35:$L38,O35:O38)</f>
        <v>0</v>
      </c>
      <c r="Y35" s="40">
        <f>bdrateOld($D35:$D38,E35:E38,$L35:$L38,M35:M38)</f>
        <v>0</v>
      </c>
      <c r="Z35" s="44">
        <f>bdrateOld($D35:$D38,F35:F38,$L35:$L38,N35:N38)</f>
        <v>0</v>
      </c>
      <c r="AA35" s="45">
        <f>bdrateOld($D35:$D38,G35:G38,$L35:$L38,O35:O38)</f>
        <v>0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36759.296000000002</v>
      </c>
      <c r="E36" s="18">
        <f>Reference!C34</f>
        <v>38.811300000000003</v>
      </c>
      <c r="F36" s="18">
        <f>Reference!D34</f>
        <v>44.322299999999998</v>
      </c>
      <c r="G36" s="18">
        <f>Reference!E34</f>
        <v>44.660899999999998</v>
      </c>
      <c r="H36" s="18">
        <f>Reference!F34</f>
        <v>44212.137000000002</v>
      </c>
      <c r="I36" s="18">
        <f>Reference!G34</f>
        <v>8.2390000000000008</v>
      </c>
      <c r="J36" s="19">
        <f t="shared" si="7"/>
        <v>12.281149166666667</v>
      </c>
      <c r="L36" s="17">
        <f>Test!B34</f>
        <v>36759.296000000002</v>
      </c>
      <c r="M36" s="18">
        <f>Test!C34</f>
        <v>38.811300000000003</v>
      </c>
      <c r="N36" s="18">
        <f>Test!D34</f>
        <v>44.322299999999998</v>
      </c>
      <c r="O36" s="18">
        <f>Test!E34</f>
        <v>44.660899999999998</v>
      </c>
      <c r="P36" s="18">
        <f>Test!F34</f>
        <v>44878.995999999999</v>
      </c>
      <c r="Q36" s="18">
        <f>Test!G34</f>
        <v>9.7929999999999993</v>
      </c>
      <c r="R36" s="18">
        <f t="shared" si="8"/>
        <v>12.466387777777777</v>
      </c>
      <c r="S36" s="17">
        <f t="shared" si="9"/>
        <v>1.0150831659641333</v>
      </c>
      <c r="T36" s="18">
        <f t="shared" si="10"/>
        <v>1.1886151231945623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21831.2448</v>
      </c>
      <c r="E37" s="18">
        <f>Reference!C35</f>
        <v>35.423699999999997</v>
      </c>
      <c r="F37" s="18">
        <f>Reference!D35</f>
        <v>42.871499999999997</v>
      </c>
      <c r="G37" s="18">
        <f>Reference!E35</f>
        <v>43.200699999999998</v>
      </c>
      <c r="H37" s="18">
        <f>Reference!F35</f>
        <v>36413.938000000002</v>
      </c>
      <c r="I37" s="18">
        <f>Reference!G35</f>
        <v>7.15</v>
      </c>
      <c r="J37" s="19">
        <f t="shared" si="7"/>
        <v>10.114982777777778</v>
      </c>
      <c r="L37" s="17">
        <f>Test!B35</f>
        <v>21831.2448</v>
      </c>
      <c r="M37" s="18">
        <f>Test!C35</f>
        <v>35.423699999999997</v>
      </c>
      <c r="N37" s="18">
        <f>Test!D35</f>
        <v>42.871499999999997</v>
      </c>
      <c r="O37" s="18">
        <f>Test!E35</f>
        <v>43.200699999999998</v>
      </c>
      <c r="P37" s="18">
        <f>Test!F35</f>
        <v>35711.480000000003</v>
      </c>
      <c r="Q37" s="18">
        <f>Test!G35</f>
        <v>8.0719999999999992</v>
      </c>
      <c r="R37" s="18">
        <f t="shared" si="8"/>
        <v>9.9198555555555572</v>
      </c>
      <c r="S37" s="17">
        <f t="shared" si="9"/>
        <v>0.98070909001932172</v>
      </c>
      <c r="T37" s="18">
        <f t="shared" si="10"/>
        <v>1.1289510489510488</v>
      </c>
      <c r="U37" s="91"/>
      <c r="V37" s="25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Reference!B36</f>
        <v>10756.2176</v>
      </c>
      <c r="E38" s="23">
        <f>Reference!C36</f>
        <v>31.796500000000002</v>
      </c>
      <c r="F38" s="23">
        <f>Reference!D36</f>
        <v>41.5002</v>
      </c>
      <c r="G38" s="23">
        <f>Reference!E36</f>
        <v>41.678800000000003</v>
      </c>
      <c r="H38" s="23">
        <f>Reference!F36</f>
        <v>26073.588</v>
      </c>
      <c r="I38" s="23">
        <f>Reference!G36</f>
        <v>5.62</v>
      </c>
      <c r="J38" s="24">
        <f t="shared" si="7"/>
        <v>7.2426633333333337</v>
      </c>
      <c r="L38" s="22">
        <f>Test!B36</f>
        <v>10756.2176</v>
      </c>
      <c r="M38" s="23">
        <f>Test!C36</f>
        <v>31.796500000000002</v>
      </c>
      <c r="N38" s="23">
        <f>Test!D36</f>
        <v>41.5002</v>
      </c>
      <c r="O38" s="23">
        <f>Test!E36</f>
        <v>41.678800000000003</v>
      </c>
      <c r="P38" s="23">
        <f>Test!F36</f>
        <v>26312.206999999999</v>
      </c>
      <c r="Q38" s="23">
        <f>Test!G36</f>
        <v>6.3449999999999998</v>
      </c>
      <c r="R38" s="23">
        <f t="shared" si="8"/>
        <v>7.3089463888888888</v>
      </c>
      <c r="S38" s="17">
        <f t="shared" si="9"/>
        <v>1.009151751573278</v>
      </c>
      <c r="T38" s="18">
        <f t="shared" si="10"/>
        <v>1.1290035587188612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20107.385600000001</v>
      </c>
      <c r="E39" s="13">
        <f>Reference!C37</f>
        <v>42.69</v>
      </c>
      <c r="F39" s="13">
        <f>Reference!D37</f>
        <v>45.481200000000001</v>
      </c>
      <c r="G39" s="13">
        <f>Reference!E37</f>
        <v>47.031799999999997</v>
      </c>
      <c r="H39" s="13">
        <f>Reference!F37</f>
        <v>34731.476999999999</v>
      </c>
      <c r="I39" s="13">
        <f>Reference!G37</f>
        <v>6.4219999999999997</v>
      </c>
      <c r="J39" s="14">
        <f t="shared" si="7"/>
        <v>9.6476325000000003</v>
      </c>
      <c r="L39" s="12">
        <f>Test!B37</f>
        <v>20107.385600000001</v>
      </c>
      <c r="M39" s="13">
        <f>Test!C37</f>
        <v>42.69</v>
      </c>
      <c r="N39" s="13">
        <f>Test!D37</f>
        <v>45.481200000000001</v>
      </c>
      <c r="O39" s="13">
        <f>Test!E37</f>
        <v>47.031799999999997</v>
      </c>
      <c r="P39" s="13">
        <f>Test!F37</f>
        <v>35179.391000000003</v>
      </c>
      <c r="Q39" s="13">
        <f>Test!G37</f>
        <v>7.3890000000000002</v>
      </c>
      <c r="R39" s="13">
        <f t="shared" si="8"/>
        <v>9.7720530555555563</v>
      </c>
      <c r="S39" s="17">
        <f t="shared" si="9"/>
        <v>1.0128964858016261</v>
      </c>
      <c r="T39" s="18">
        <f t="shared" si="10"/>
        <v>1.1505761445032701</v>
      </c>
      <c r="U39" s="91"/>
      <c r="V39" s="42">
        <f>bdrate($D39:$D42,E39:E42,$L39:$L42,M39:M42)</f>
        <v>0</v>
      </c>
      <c r="W39" s="42">
        <f>bdrate($D39:$D42,F39:F42,$L39:$L42,N39:N42)</f>
        <v>0</v>
      </c>
      <c r="X39" s="42">
        <f>bdrate($D39:$D42,G39:G42,$L39:$L42,O39:O42)</f>
        <v>0</v>
      </c>
      <c r="Y39" s="40">
        <f>bdrateOld($D39:$D42,E39:E42,$L39:$L42,M39:M42)</f>
        <v>0</v>
      </c>
      <c r="Z39" s="44">
        <f>bdrateOld($D39:$D42,F39:F42,$L39:$L42,N39:N42)</f>
        <v>0</v>
      </c>
      <c r="AA39" s="45">
        <f>bdrateOld($D39:$D42,G39:G42,$L39:$L42,O39:O42)</f>
        <v>0</v>
      </c>
    </row>
    <row r="40" spans="1:27" x14ac:dyDescent="0.2">
      <c r="A40" s="16"/>
      <c r="B40" s="85"/>
      <c r="C40" s="16">
        <v>32</v>
      </c>
      <c r="D40" s="17">
        <f>Reference!B38</f>
        <v>11409.843199999999</v>
      </c>
      <c r="E40" s="18">
        <f>Reference!C38</f>
        <v>40.6663</v>
      </c>
      <c r="F40" s="18">
        <f>Reference!D38</f>
        <v>44.567500000000003</v>
      </c>
      <c r="G40" s="18">
        <f>Reference!E38</f>
        <v>45.400300000000001</v>
      </c>
      <c r="H40" s="18">
        <f>Reference!F38</f>
        <v>25553.859</v>
      </c>
      <c r="I40" s="18">
        <f>Reference!G38</f>
        <v>5.3680000000000003</v>
      </c>
      <c r="J40" s="19">
        <f t="shared" si="7"/>
        <v>7.0982941666666663</v>
      </c>
      <c r="L40" s="17">
        <f>Test!B38</f>
        <v>11409.843199999999</v>
      </c>
      <c r="M40" s="18">
        <f>Test!C38</f>
        <v>40.6663</v>
      </c>
      <c r="N40" s="18">
        <f>Test!D38</f>
        <v>44.567500000000003</v>
      </c>
      <c r="O40" s="18">
        <f>Test!E38</f>
        <v>45.400300000000001</v>
      </c>
      <c r="P40" s="18">
        <f>Test!F38</f>
        <v>24989.035</v>
      </c>
      <c r="Q40" s="18">
        <f>Test!G38</f>
        <v>6.0640000000000001</v>
      </c>
      <c r="R40" s="18">
        <f t="shared" si="8"/>
        <v>6.9413986111111114</v>
      </c>
      <c r="S40" s="17">
        <f t="shared" si="9"/>
        <v>0.97789672393512073</v>
      </c>
      <c r="T40" s="18">
        <f t="shared" si="10"/>
        <v>1.1296572280178836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6331.4687999999996</v>
      </c>
      <c r="E41" s="18">
        <f>Reference!C39</f>
        <v>38.6648</v>
      </c>
      <c r="F41" s="18">
        <f>Reference!D39</f>
        <v>43.620399999999997</v>
      </c>
      <c r="G41" s="18">
        <f>Reference!E39</f>
        <v>43.6327</v>
      </c>
      <c r="H41" s="18">
        <f>Reference!F39</f>
        <v>17025.596000000001</v>
      </c>
      <c r="I41" s="18">
        <f>Reference!G39</f>
        <v>4.7060000000000004</v>
      </c>
      <c r="J41" s="19">
        <f t="shared" si="7"/>
        <v>4.7293322222222223</v>
      </c>
      <c r="L41" s="17">
        <f>Test!B39</f>
        <v>6331.4687999999996</v>
      </c>
      <c r="M41" s="18">
        <f>Test!C39</f>
        <v>38.6648</v>
      </c>
      <c r="N41" s="18">
        <f>Test!D39</f>
        <v>43.620399999999997</v>
      </c>
      <c r="O41" s="18">
        <f>Test!E39</f>
        <v>43.6327</v>
      </c>
      <c r="P41" s="18">
        <f>Test!F39</f>
        <v>17550.745999999999</v>
      </c>
      <c r="Q41" s="18">
        <f>Test!G39</f>
        <v>5.1840000000000002</v>
      </c>
      <c r="R41" s="18">
        <f t="shared" si="8"/>
        <v>4.8752072222222216</v>
      </c>
      <c r="S41" s="17">
        <f t="shared" si="9"/>
        <v>1.0308447351857755</v>
      </c>
      <c r="T41" s="18">
        <f t="shared" si="10"/>
        <v>1.1015724606884827</v>
      </c>
      <c r="U41" s="91"/>
      <c r="V41" s="25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Reference!B40</f>
        <v>3230.4895999999999</v>
      </c>
      <c r="E42" s="23">
        <f>Reference!C40</f>
        <v>36.290999999999997</v>
      </c>
      <c r="F42" s="23">
        <f>Reference!D40</f>
        <v>42.315899999999999</v>
      </c>
      <c r="G42" s="23">
        <f>Reference!E40</f>
        <v>41.464500000000001</v>
      </c>
      <c r="H42" s="23">
        <f>Reference!F40</f>
        <v>10776.124</v>
      </c>
      <c r="I42" s="23">
        <f>Reference!G40</f>
        <v>4.3410000000000002</v>
      </c>
      <c r="J42" s="24">
        <f t="shared" si="7"/>
        <v>2.9933677777777778</v>
      </c>
      <c r="L42" s="22">
        <f>Test!B40</f>
        <v>3230.4895999999999</v>
      </c>
      <c r="M42" s="23">
        <f>Test!C40</f>
        <v>36.290999999999997</v>
      </c>
      <c r="N42" s="23">
        <f>Test!D40</f>
        <v>42.315899999999999</v>
      </c>
      <c r="O42" s="23">
        <f>Test!E40</f>
        <v>41.464500000000001</v>
      </c>
      <c r="P42" s="23">
        <f>Test!F40</f>
        <v>10708.688</v>
      </c>
      <c r="Q42" s="23">
        <f>Test!G40</f>
        <v>4.9080000000000004</v>
      </c>
      <c r="R42" s="23">
        <f t="shared" si="8"/>
        <v>2.9746355555555555</v>
      </c>
      <c r="S42" s="17">
        <f t="shared" si="9"/>
        <v>0.99374209131223812</v>
      </c>
      <c r="T42" s="18">
        <f t="shared" si="10"/>
        <v>1.1306150656530753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15114.5152</v>
      </c>
      <c r="E43" s="13">
        <f>Reference!C41</f>
        <v>44.225700000000003</v>
      </c>
      <c r="F43" s="13">
        <f>Reference!D41</f>
        <v>47.0792</v>
      </c>
      <c r="G43" s="13">
        <f>Reference!E41</f>
        <v>47.969700000000003</v>
      </c>
      <c r="H43" s="13">
        <f>Reference!F41</f>
        <v>26963.344000000001</v>
      </c>
      <c r="I43" s="13">
        <f>Reference!G41</f>
        <v>6.0629999999999997</v>
      </c>
      <c r="J43" s="14">
        <f t="shared" si="7"/>
        <v>7.4898177777777777</v>
      </c>
      <c r="L43" s="12">
        <f>Test!B41</f>
        <v>15114.5152</v>
      </c>
      <c r="M43" s="13">
        <f>Test!C41</f>
        <v>44.225700000000003</v>
      </c>
      <c r="N43" s="13">
        <f>Test!D41</f>
        <v>47.0792</v>
      </c>
      <c r="O43" s="13">
        <f>Test!E41</f>
        <v>47.969700000000003</v>
      </c>
      <c r="P43" s="13">
        <f>Test!F41</f>
        <v>26363.976999999999</v>
      </c>
      <c r="Q43" s="13">
        <f>Test!G41</f>
        <v>6.7649999999999997</v>
      </c>
      <c r="R43" s="13">
        <f t="shared" si="8"/>
        <v>7.3233269444444442</v>
      </c>
      <c r="S43" s="17">
        <f t="shared" si="9"/>
        <v>0.97777104353228583</v>
      </c>
      <c r="T43" s="18">
        <f t="shared" si="10"/>
        <v>1.1157842652152399</v>
      </c>
      <c r="U43" s="91"/>
      <c r="V43" s="42">
        <f>bdrate($D43:$D46,E43:E46,$L43:$L46,M43:M46)</f>
        <v>0</v>
      </c>
      <c r="W43" s="42">
        <f>bdrate($D43:$D46,F43:F46,$L43:$L46,N43:N46)</f>
        <v>0</v>
      </c>
      <c r="X43" s="42">
        <f>bdrate($D43:$D46,G43:G46,$L43:$L46,O43:O46)</f>
        <v>0</v>
      </c>
      <c r="Y43" s="40">
        <f>bdrateOld($D43:$D46,E43:E46,$L43:$L46,M43:M46)</f>
        <v>0</v>
      </c>
      <c r="Z43" s="44">
        <f>bdrateOld($D43:$D46,F43:F46,$L43:$L46,N43:N46)</f>
        <v>0</v>
      </c>
      <c r="AA43" s="45">
        <f>bdrateOld($D43:$D46,G43:G46,$L43:$L46,O43:O46)</f>
        <v>0</v>
      </c>
    </row>
    <row r="44" spans="1:27" x14ac:dyDescent="0.2">
      <c r="A44" s="16"/>
      <c r="B44" s="85"/>
      <c r="C44" s="16">
        <v>32</v>
      </c>
      <c r="D44" s="17">
        <f>Reference!B42</f>
        <v>10258.822399999999</v>
      </c>
      <c r="E44" s="18">
        <f>Reference!C42</f>
        <v>42.495899999999999</v>
      </c>
      <c r="F44" s="18">
        <f>Reference!D42</f>
        <v>45.927500000000002</v>
      </c>
      <c r="G44" s="18">
        <f>Reference!E42</f>
        <v>46.6449</v>
      </c>
      <c r="H44" s="18">
        <f>Reference!F42</f>
        <v>20800.028999999999</v>
      </c>
      <c r="I44" s="18">
        <f>Reference!G42</f>
        <v>5.4340000000000002</v>
      </c>
      <c r="J44" s="19">
        <f t="shared" si="7"/>
        <v>5.7777858333333327</v>
      </c>
      <c r="L44" s="17">
        <f>Test!B42</f>
        <v>10258.822399999999</v>
      </c>
      <c r="M44" s="18">
        <f>Test!C42</f>
        <v>42.495899999999999</v>
      </c>
      <c r="N44" s="18">
        <f>Test!D42</f>
        <v>45.927500000000002</v>
      </c>
      <c r="O44" s="18">
        <f>Test!E42</f>
        <v>46.6449</v>
      </c>
      <c r="P44" s="18">
        <f>Test!F42</f>
        <v>20759.421999999999</v>
      </c>
      <c r="Q44" s="18">
        <f>Test!G42</f>
        <v>6.0419999999999998</v>
      </c>
      <c r="R44" s="18">
        <f t="shared" si="8"/>
        <v>5.7665061111111111</v>
      </c>
      <c r="S44" s="17">
        <f t="shared" si="9"/>
        <v>0.99804774310651201</v>
      </c>
      <c r="T44" s="18">
        <f t="shared" si="10"/>
        <v>1.1118881118881119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6478.7071999999998</v>
      </c>
      <c r="E45" s="18">
        <f>Reference!C43</f>
        <v>40.162300000000002</v>
      </c>
      <c r="F45" s="18">
        <f>Reference!D43</f>
        <v>44.5916</v>
      </c>
      <c r="G45" s="18">
        <f>Reference!E43</f>
        <v>45.1053</v>
      </c>
      <c r="H45" s="18">
        <f>Reference!F43</f>
        <v>16141.370999999999</v>
      </c>
      <c r="I45" s="18">
        <f>Reference!G43</f>
        <v>5.0640000000000001</v>
      </c>
      <c r="J45" s="19">
        <f t="shared" si="7"/>
        <v>4.4837141666666662</v>
      </c>
      <c r="L45" s="17">
        <f>Test!B43</f>
        <v>6478.7071999999998</v>
      </c>
      <c r="M45" s="18">
        <f>Test!C43</f>
        <v>40.162300000000002</v>
      </c>
      <c r="N45" s="18">
        <f>Test!D43</f>
        <v>44.5916</v>
      </c>
      <c r="O45" s="18">
        <f>Test!E43</f>
        <v>45.1053</v>
      </c>
      <c r="P45" s="18">
        <f>Test!F43</f>
        <v>15879.299000000001</v>
      </c>
      <c r="Q45" s="18">
        <f>Test!G43</f>
        <v>5.468</v>
      </c>
      <c r="R45" s="18">
        <f t="shared" si="8"/>
        <v>4.4109163888888894</v>
      </c>
      <c r="S45" s="17">
        <f t="shared" si="9"/>
        <v>0.98376395660566884</v>
      </c>
      <c r="T45" s="18">
        <f t="shared" si="10"/>
        <v>1.0797788309636651</v>
      </c>
      <c r="U45" s="91"/>
      <c r="V45" s="25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Reference!B44</f>
        <v>3752.7359999999999</v>
      </c>
      <c r="E46" s="23">
        <f>Reference!C44</f>
        <v>37.174399999999999</v>
      </c>
      <c r="F46" s="23">
        <f>Reference!D44</f>
        <v>42.877600000000001</v>
      </c>
      <c r="G46" s="23">
        <f>Reference!E44</f>
        <v>43.065100000000001</v>
      </c>
      <c r="H46" s="23">
        <f>Reference!F44</f>
        <v>10900.236999999999</v>
      </c>
      <c r="I46" s="23">
        <f>Reference!G44</f>
        <v>4.4139999999999997</v>
      </c>
      <c r="J46" s="24">
        <f t="shared" si="7"/>
        <v>3.0278436111111109</v>
      </c>
      <c r="L46" s="22">
        <f>Test!B44</f>
        <v>3752.7359999999999</v>
      </c>
      <c r="M46" s="23">
        <f>Test!C44</f>
        <v>37.174399999999999</v>
      </c>
      <c r="N46" s="23">
        <f>Test!D44</f>
        <v>42.877600000000001</v>
      </c>
      <c r="O46" s="23">
        <f>Test!E44</f>
        <v>43.065100000000001</v>
      </c>
      <c r="P46" s="23">
        <f>Test!F44</f>
        <v>10955.843000000001</v>
      </c>
      <c r="Q46" s="23">
        <f>Test!G44</f>
        <v>4.7329999999999997</v>
      </c>
      <c r="R46" s="23">
        <f t="shared" si="8"/>
        <v>3.0432897222222226</v>
      </c>
      <c r="S46" s="17">
        <f t="shared" si="9"/>
        <v>1.0051013569704954</v>
      </c>
      <c r="T46" s="18">
        <f t="shared" si="10"/>
        <v>1.0722700498414137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16384.947199999999</v>
      </c>
      <c r="E47" s="13">
        <f>Reference!C45</f>
        <v>44.169199999999996</v>
      </c>
      <c r="F47" s="13">
        <f>Reference!D45</f>
        <v>48.808399999999999</v>
      </c>
      <c r="G47" s="13">
        <f>Reference!E45</f>
        <v>48.461799999999997</v>
      </c>
      <c r="H47" s="13">
        <f>Reference!F45</f>
        <v>27106.916000000001</v>
      </c>
      <c r="I47" s="13">
        <f>Reference!G45</f>
        <v>5.7480000000000002</v>
      </c>
      <c r="J47" s="14">
        <f>H47/3600</f>
        <v>7.5296988888888894</v>
      </c>
      <c r="L47" s="12">
        <f>Test!B45</f>
        <v>16384.947199999999</v>
      </c>
      <c r="M47" s="13">
        <f>Test!C45</f>
        <v>44.169199999999996</v>
      </c>
      <c r="N47" s="13">
        <f>Test!D45</f>
        <v>48.808399999999999</v>
      </c>
      <c r="O47" s="13">
        <f>Test!E45</f>
        <v>48.461799999999997</v>
      </c>
      <c r="P47" s="13">
        <f>Test!F45</f>
        <v>26798.838</v>
      </c>
      <c r="Q47" s="13">
        <f>Test!G45</f>
        <v>6.5659999999999998</v>
      </c>
      <c r="R47" s="13">
        <f>P47/3600</f>
        <v>7.4441216666666667</v>
      </c>
      <c r="S47" s="17">
        <f>P47/H47</f>
        <v>0.98863470857400371</v>
      </c>
      <c r="T47" s="18">
        <f>Q47/I47</f>
        <v>1.1423103688239387</v>
      </c>
      <c r="U47" s="91"/>
      <c r="V47" s="42">
        <f>bdrate($D47:$D50,E47:E50,$L47:$L50,M47:M50)</f>
        <v>0</v>
      </c>
      <c r="W47" s="42">
        <f>bdrate($D47:$D50,F47:F50,$L47:$L50,N47:N50)</f>
        <v>0</v>
      </c>
      <c r="X47" s="43">
        <f>bdrate($D47:$D50,G47:G50,$L47:$L50,O47:O50)</f>
        <v>0</v>
      </c>
      <c r="Y47" s="37">
        <f>bdrateOld($D47:$D50,E47:E50,$L47:$L50,M47:M50)</f>
        <v>0</v>
      </c>
      <c r="Z47" s="42">
        <f>bdrateOld($D47:$D50,F47:F50,$L47:$L50,N47:N50)</f>
        <v>0</v>
      </c>
      <c r="AA47" s="43">
        <f>bdrateOld($D47:$D50,G47:G50,$L47:$L50,O47:O50)</f>
        <v>0</v>
      </c>
    </row>
    <row r="48" spans="1:27" x14ac:dyDescent="0.2">
      <c r="A48" s="16"/>
      <c r="B48" s="85"/>
      <c r="C48" s="16">
        <v>32</v>
      </c>
      <c r="D48" s="17">
        <f>Reference!B46</f>
        <v>11391.315199999999</v>
      </c>
      <c r="E48" s="18">
        <f>Reference!C46</f>
        <v>42.431699999999999</v>
      </c>
      <c r="F48" s="18">
        <f>Reference!D46</f>
        <v>47.805</v>
      </c>
      <c r="G48" s="18">
        <f>Reference!E46</f>
        <v>46.991999999999997</v>
      </c>
      <c r="H48" s="18">
        <f>Reference!F46</f>
        <v>21696.025000000001</v>
      </c>
      <c r="I48" s="18">
        <f>Reference!G46</f>
        <v>5.2069999999999999</v>
      </c>
      <c r="J48" s="19">
        <f t="shared" ref="J48:J70" si="11">H48/3600</f>
        <v>6.0266736111111117</v>
      </c>
      <c r="L48" s="17">
        <f>Test!B46</f>
        <v>11391.315199999999</v>
      </c>
      <c r="M48" s="18">
        <f>Test!C46</f>
        <v>42.431699999999999</v>
      </c>
      <c r="N48" s="18">
        <f>Test!D46</f>
        <v>47.805</v>
      </c>
      <c r="O48" s="18">
        <f>Test!E46</f>
        <v>46.991999999999997</v>
      </c>
      <c r="P48" s="18">
        <f>Test!F46</f>
        <v>21858.294999999998</v>
      </c>
      <c r="Q48" s="18">
        <f>Test!G46</f>
        <v>5.8209999999999997</v>
      </c>
      <c r="R48" s="18">
        <f t="shared" ref="R48:R70" si="12">P48/3600</f>
        <v>6.0717486111111105</v>
      </c>
      <c r="S48" s="17">
        <f t="shared" ref="S48:S70" si="13">P48/H48</f>
        <v>1.007479250231321</v>
      </c>
      <c r="T48" s="18">
        <f t="shared" ref="T48:T70" si="14">Q48/I48</f>
        <v>1.1179181870558863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7412.5951999999997</v>
      </c>
      <c r="E49" s="18">
        <f>Reference!C47</f>
        <v>40.051200000000001</v>
      </c>
      <c r="F49" s="18">
        <f>Reference!D47</f>
        <v>46.616399999999999</v>
      </c>
      <c r="G49" s="18">
        <f>Reference!E47</f>
        <v>45.3123</v>
      </c>
      <c r="H49" s="18">
        <f>Reference!F47</f>
        <v>16006.404</v>
      </c>
      <c r="I49" s="18">
        <f>Reference!G47</f>
        <v>4.55</v>
      </c>
      <c r="J49" s="19">
        <f t="shared" si="11"/>
        <v>4.4462233333333332</v>
      </c>
      <c r="L49" s="17">
        <f>Test!B47</f>
        <v>7412.5951999999997</v>
      </c>
      <c r="M49" s="18">
        <f>Test!C47</f>
        <v>40.051200000000001</v>
      </c>
      <c r="N49" s="18">
        <f>Test!D47</f>
        <v>46.616399999999999</v>
      </c>
      <c r="O49" s="18">
        <f>Test!E47</f>
        <v>45.3123</v>
      </c>
      <c r="P49" s="18">
        <f>Test!F47</f>
        <v>16463.504000000001</v>
      </c>
      <c r="Q49" s="18">
        <f>Test!G47</f>
        <v>5.0949999999999998</v>
      </c>
      <c r="R49" s="18">
        <f t="shared" si="12"/>
        <v>4.5731955555555555</v>
      </c>
      <c r="S49" s="17">
        <f t="shared" si="13"/>
        <v>1.0285573199326969</v>
      </c>
      <c r="T49" s="18">
        <f t="shared" si="14"/>
        <v>1.1197802197802198</v>
      </c>
      <c r="U49" s="91"/>
      <c r="V49" s="25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Reference!B48</f>
        <v>4304.9215999999997</v>
      </c>
      <c r="E50" s="23">
        <f>Reference!C48</f>
        <v>36.829799999999999</v>
      </c>
      <c r="F50" s="23">
        <f>Reference!D48</f>
        <v>44.759900000000002</v>
      </c>
      <c r="G50" s="23">
        <f>Reference!E48</f>
        <v>42.994399999999999</v>
      </c>
      <c r="H50" s="23">
        <f>Reference!F48</f>
        <v>11414.897999999999</v>
      </c>
      <c r="I50" s="23">
        <f>Reference!G48</f>
        <v>4.2249999999999996</v>
      </c>
      <c r="J50" s="24">
        <f t="shared" si="11"/>
        <v>3.1708049999999997</v>
      </c>
      <c r="L50" s="22">
        <f>Test!B48</f>
        <v>4304.9215999999997</v>
      </c>
      <c r="M50" s="23">
        <f>Test!C48</f>
        <v>36.829799999999999</v>
      </c>
      <c r="N50" s="23">
        <f>Test!D48</f>
        <v>44.759900000000002</v>
      </c>
      <c r="O50" s="23">
        <f>Test!E48</f>
        <v>42.994399999999999</v>
      </c>
      <c r="P50" s="23">
        <f>Test!F48</f>
        <v>11298.873</v>
      </c>
      <c r="Q50" s="23">
        <f>Test!G48</f>
        <v>4.4279999999999999</v>
      </c>
      <c r="R50" s="23">
        <f t="shared" si="12"/>
        <v>3.1385758333333333</v>
      </c>
      <c r="S50" s="22">
        <f t="shared" si="13"/>
        <v>0.98983565161948883</v>
      </c>
      <c r="T50" s="23">
        <f t="shared" si="14"/>
        <v>1.0480473372781065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24.309216900078503</v>
      </c>
      <c r="J75" s="15">
        <f>GEOMEAN(J3:J18)</f>
        <v>24.540121472165918</v>
      </c>
      <c r="Q75" s="15">
        <f>GEOMEAN(Q3:Q18)</f>
        <v>26.221403839746788</v>
      </c>
      <c r="R75" s="15">
        <f>GEOMEAN(R3:R18)</f>
        <v>24.441395760520667</v>
      </c>
      <c r="S75" s="15">
        <f>GEOMEAN(S3:S18)</f>
        <v>0.99597696727959439</v>
      </c>
      <c r="T75" s="15">
        <f>GEOMEAN(T3:T18)</f>
        <v>1.078660984742051</v>
      </c>
      <c r="V75" s="37">
        <f>AVERAGE(V3:V18)</f>
        <v>0</v>
      </c>
      <c r="W75" s="42">
        <f t="shared" ref="W75:AA75" si="19">AVERAGE(W3:W18)</f>
        <v>0</v>
      </c>
      <c r="X75" s="42">
        <f t="shared" si="19"/>
        <v>0</v>
      </c>
      <c r="Y75" s="37">
        <f>AVERAGE(Y3:Y18)</f>
        <v>0</v>
      </c>
      <c r="Z75" s="42">
        <f t="shared" si="19"/>
        <v>0</v>
      </c>
      <c r="AA75" s="43">
        <f t="shared" si="19"/>
        <v>0</v>
      </c>
    </row>
    <row r="76" spans="1:27" x14ac:dyDescent="0.2">
      <c r="B76" s="89" t="s">
        <v>47</v>
      </c>
      <c r="I76" s="15">
        <f>GEOMEAN(I19:I34)</f>
        <v>11.959741797003938</v>
      </c>
      <c r="J76" s="15">
        <f>GEOMEAN(J19:J34)</f>
        <v>13.258700112177733</v>
      </c>
      <c r="Q76" s="15">
        <f>GEOMEAN(Q19:Q34)</f>
        <v>13.208664864933544</v>
      </c>
      <c r="R76" s="15">
        <f>GEOMEAN(R19:R34)</f>
        <v>13.254631498700958</v>
      </c>
      <c r="S76" s="15">
        <f>GEOMEAN(S19:S34)</f>
        <v>0.99969313632238821</v>
      </c>
      <c r="T76" s="15">
        <f>GEOMEAN(T19:T34)</f>
        <v>1.1044272601472449</v>
      </c>
      <c r="V76" s="40">
        <f>AVERAGE(V19:V34)</f>
        <v>0</v>
      </c>
      <c r="W76" s="44">
        <f t="shared" ref="W76:AA76" si="20">AVERAGE(W19:W34)</f>
        <v>0</v>
      </c>
      <c r="X76" s="44">
        <f t="shared" si="20"/>
        <v>0</v>
      </c>
      <c r="Y76" s="40">
        <f t="shared" si="20"/>
        <v>0</v>
      </c>
      <c r="Z76" s="44">
        <f t="shared" si="20"/>
        <v>0</v>
      </c>
      <c r="AA76" s="45">
        <f t="shared" si="20"/>
        <v>0</v>
      </c>
    </row>
    <row r="77" spans="1:27" x14ac:dyDescent="0.2">
      <c r="B77" s="89" t="s">
        <v>51</v>
      </c>
      <c r="I77" s="15">
        <f>GEOMEAN(I35:I50)</f>
        <v>5.587111581087524</v>
      </c>
      <c r="J77" s="15">
        <f>GEOMEAN(J35:J50)</f>
        <v>6.197411224648584</v>
      </c>
      <c r="Q77" s="15">
        <f>GEOMEAN(Q35:Q50)</f>
        <v>6.2680283953913225</v>
      </c>
      <c r="R77" s="15">
        <f>GEOMEAN(R35:R50)</f>
        <v>6.1971267910974239</v>
      </c>
      <c r="S77" s="15">
        <f>GEOMEAN(S35:S50)</f>
        <v>0.99995410445735322</v>
      </c>
      <c r="T77" s="15">
        <f>GEOMEAN(T35:T50)</f>
        <v>1.1218727788807215</v>
      </c>
      <c r="V77" s="40">
        <f>AVERAGE(V35:V50)</f>
        <v>0</v>
      </c>
      <c r="W77" s="44">
        <f t="shared" ref="W77:AA77" si="21">AVERAGE(W35:W50)</f>
        <v>0</v>
      </c>
      <c r="X77" s="44">
        <f t="shared" si="21"/>
        <v>0</v>
      </c>
      <c r="Y77" s="40">
        <f t="shared" si="21"/>
        <v>0</v>
      </c>
      <c r="Z77" s="44">
        <f t="shared" si="21"/>
        <v>0</v>
      </c>
      <c r="AA77" s="45">
        <f t="shared" si="21"/>
        <v>0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11.755110223232538</v>
      </c>
      <c r="J80" s="54">
        <f xml:space="preserve"> GEOMEAN(J3:J50)</f>
        <v>12.633664030388299</v>
      </c>
      <c r="K80" s="4"/>
      <c r="L80" s="4"/>
      <c r="M80" s="4"/>
      <c r="N80" s="4"/>
      <c r="O80" s="4"/>
      <c r="P80" s="4"/>
      <c r="Q80" s="54">
        <f xml:space="preserve"> GEOMEAN(Q3:Q50)</f>
        <v>12.948375098664362</v>
      </c>
      <c r="R80" s="54">
        <f xml:space="preserve"> GEOMEAN(R3:R50)</f>
        <v>12.615215711387533</v>
      </c>
      <c r="S80" s="54">
        <f xml:space="preserve"> GEOMEAN(S3:S50)</f>
        <v>0.99853974912136412</v>
      </c>
      <c r="T80" s="54">
        <f>GEOMEAN(T3:T50)</f>
        <v>1.1015103093694079</v>
      </c>
      <c r="U80" s="4"/>
      <c r="V80" s="41">
        <f>AVERAGE(V3:V50)</f>
        <v>0</v>
      </c>
      <c r="W80" s="46">
        <f t="shared" ref="W80:AA80" si="25">AVERAGE(W3:W50)</f>
        <v>0</v>
      </c>
      <c r="X80" s="47">
        <f t="shared" si="25"/>
        <v>0</v>
      </c>
      <c r="Y80" s="46">
        <f t="shared" si="25"/>
        <v>0</v>
      </c>
      <c r="Z80" s="46">
        <f t="shared" si="25"/>
        <v>0</v>
      </c>
      <c r="AA80" s="47">
        <f t="shared" si="25"/>
        <v>0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topLeftCell="A7" zoomScale="85" zoomScaleNormal="85" workbookViewId="0">
      <selection activeCell="J56" sqref="J56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14743.32</v>
      </c>
      <c r="E3" s="13">
        <f>Reference!C73</f>
        <v>40.090499999999999</v>
      </c>
      <c r="F3" s="13">
        <f>Reference!D73</f>
        <v>49.064700000000002</v>
      </c>
      <c r="G3" s="13">
        <f>Reference!E73</f>
        <v>47.054299999999998</v>
      </c>
      <c r="H3" s="13">
        <f>Reference!F73</f>
        <v>363405.05800000002</v>
      </c>
      <c r="I3" s="13">
        <f>Reference!G73</f>
        <v>56.738</v>
      </c>
      <c r="J3" s="14">
        <f>H3/3600</f>
        <v>100.94584944444445</v>
      </c>
      <c r="L3" s="12">
        <f>Test!B73</f>
        <v>14743.32</v>
      </c>
      <c r="M3" s="13">
        <f>Test!C73</f>
        <v>40.090499999999999</v>
      </c>
      <c r="N3" s="13">
        <f>Test!D73</f>
        <v>49.064700000000002</v>
      </c>
      <c r="O3" s="13">
        <f>Test!E73</f>
        <v>47.054299999999998</v>
      </c>
      <c r="P3" s="13">
        <f>Test!F73</f>
        <v>387314.21600000001</v>
      </c>
      <c r="Q3" s="13">
        <f>Test!G73</f>
        <v>58.447000000000003</v>
      </c>
      <c r="R3" s="14">
        <f>P3/3600</f>
        <v>107.58728222222223</v>
      </c>
      <c r="S3" s="12">
        <f>P3/H3</f>
        <v>1.0657920341879226</v>
      </c>
      <c r="T3" s="13">
        <f>Q3/I3</f>
        <v>1.0301209066234271</v>
      </c>
      <c r="U3" s="90"/>
      <c r="V3" s="37">
        <f>bdrate($D3:$D6,E3:E6,$L3:$L6,M3:M6)</f>
        <v>0</v>
      </c>
      <c r="W3" s="42">
        <f>bdrate($D3:$D6,F3:F6,$L3:$L6,N3:N6)</f>
        <v>0</v>
      </c>
      <c r="X3" s="43">
        <f>bdrate($D3:$D6,G3:G6,$L3:$L6,O3:O6)</f>
        <v>0</v>
      </c>
      <c r="Y3" s="37">
        <f>bdrateOld($D3:$D6,E3:E6,$L3:$L6,M3:M6)</f>
        <v>0</v>
      </c>
      <c r="Z3" s="42">
        <f>bdrateOld($D3:$D6,F3:F6,$L3:$L6,N3:N6)</f>
        <v>0</v>
      </c>
      <c r="AA3" s="43">
        <f>bdrateOld($D3:$D6,G3:G6,$L3:$L6,O3:O6)</f>
        <v>0</v>
      </c>
    </row>
    <row r="4" spans="1:27" x14ac:dyDescent="0.2">
      <c r="A4" s="16" t="s">
        <v>34</v>
      </c>
      <c r="B4" s="85"/>
      <c r="C4" s="16">
        <v>48</v>
      </c>
      <c r="D4" s="17">
        <f>Reference!B74</f>
        <v>6726.9920000000002</v>
      </c>
      <c r="E4" s="18">
        <f>Reference!C74</f>
        <v>39.601399999999998</v>
      </c>
      <c r="F4" s="18">
        <f>Reference!D74</f>
        <v>48.472999999999999</v>
      </c>
      <c r="G4" s="18">
        <f>Reference!E74</f>
        <v>46.148499999999999</v>
      </c>
      <c r="H4" s="18">
        <f>Reference!F74</f>
        <v>200794.53899999999</v>
      </c>
      <c r="I4" s="18">
        <f>Reference!G74</f>
        <v>52.615000000000002</v>
      </c>
      <c r="J4" s="19">
        <f t="shared" ref="J4:J14" si="0">H4/3600</f>
        <v>55.776260833333332</v>
      </c>
      <c r="L4" s="17">
        <f>Test!B74</f>
        <v>6726.9920000000002</v>
      </c>
      <c r="M4" s="18">
        <f>Test!C74</f>
        <v>39.601399999999998</v>
      </c>
      <c r="N4" s="18">
        <f>Test!D74</f>
        <v>48.472999999999999</v>
      </c>
      <c r="O4" s="18">
        <f>Test!E74</f>
        <v>46.148499999999999</v>
      </c>
      <c r="P4" s="18">
        <f>Test!F74</f>
        <v>211058.652</v>
      </c>
      <c r="Q4" s="18">
        <f>Test!G74</f>
        <v>52.926000000000002</v>
      </c>
      <c r="R4" s="19">
        <f t="shared" ref="R4:R14" si="1">P4/3600</f>
        <v>58.627403333333334</v>
      </c>
      <c r="S4" s="17">
        <f t="shared" ref="S4:T46" si="2">P4/H4</f>
        <v>1.0511174907998868</v>
      </c>
      <c r="T4" s="18">
        <f t="shared" si="2"/>
        <v>1.0059108619215054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3650.4160000000002</v>
      </c>
      <c r="E5" s="18">
        <f>Reference!C75</f>
        <v>38.760599999999997</v>
      </c>
      <c r="F5" s="18">
        <f>Reference!D75</f>
        <v>47.655799999999999</v>
      </c>
      <c r="G5" s="18">
        <f>Reference!E75</f>
        <v>44.918900000000001</v>
      </c>
      <c r="H5" s="18">
        <f>Reference!F75</f>
        <v>99178.767999999996</v>
      </c>
      <c r="I5" s="18">
        <f>Reference!G75</f>
        <v>45.987000000000002</v>
      </c>
      <c r="J5" s="19">
        <f t="shared" si="0"/>
        <v>27.549657777777778</v>
      </c>
      <c r="L5" s="17">
        <f>Test!B75</f>
        <v>3650.4160000000002</v>
      </c>
      <c r="M5" s="18">
        <f>Test!C75</f>
        <v>38.760599999999997</v>
      </c>
      <c r="N5" s="18">
        <f>Test!D75</f>
        <v>47.655799999999999</v>
      </c>
      <c r="O5" s="18">
        <f>Test!E75</f>
        <v>44.918900000000001</v>
      </c>
      <c r="P5" s="18">
        <f>Test!F75</f>
        <v>102977.395</v>
      </c>
      <c r="Q5" s="18">
        <f>Test!G75</f>
        <v>46.237000000000002</v>
      </c>
      <c r="R5" s="19">
        <f t="shared" si="1"/>
        <v>28.604831944444445</v>
      </c>
      <c r="S5" s="17">
        <f t="shared" si="2"/>
        <v>1.0383008084956249</v>
      </c>
      <c r="T5" s="18">
        <f t="shared" si="2"/>
        <v>1.005436318959706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Reference!B76</f>
        <v>1926.528</v>
      </c>
      <c r="E6" s="23">
        <f>Reference!C76</f>
        <v>37.268599999999999</v>
      </c>
      <c r="F6" s="23">
        <f>Reference!D76</f>
        <v>46.271099999999997</v>
      </c>
      <c r="G6" s="23">
        <f>Reference!E76</f>
        <v>43.187899999999999</v>
      </c>
      <c r="H6" s="23">
        <f>Reference!F76</f>
        <v>50137.783000000003</v>
      </c>
      <c r="I6" s="23">
        <f>Reference!G76</f>
        <v>42.387</v>
      </c>
      <c r="J6" s="24">
        <f t="shared" si="0"/>
        <v>13.927161944444446</v>
      </c>
      <c r="L6" s="22">
        <f>Test!B76</f>
        <v>1926.528</v>
      </c>
      <c r="M6" s="23">
        <f>Test!C76</f>
        <v>37.268599999999999</v>
      </c>
      <c r="N6" s="23">
        <f>Test!D76</f>
        <v>46.271099999999997</v>
      </c>
      <c r="O6" s="23">
        <f>Test!E76</f>
        <v>43.187899999999999</v>
      </c>
      <c r="P6" s="23">
        <f>Test!F76</f>
        <v>51326.830999999998</v>
      </c>
      <c r="Q6" s="23">
        <f>Test!G76</f>
        <v>42.518000000000001</v>
      </c>
      <c r="R6" s="24">
        <f t="shared" si="1"/>
        <v>14.257453055555555</v>
      </c>
      <c r="S6" s="17">
        <f t="shared" si="2"/>
        <v>1.0237156078480774</v>
      </c>
      <c r="T6" s="18">
        <f t="shared" si="2"/>
        <v>1.0030905702220021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75692.2</v>
      </c>
      <c r="E7" s="13">
        <f>Reference!C77</f>
        <v>41.654000000000003</v>
      </c>
      <c r="F7" s="13">
        <f>Reference!D77</f>
        <v>36.479999999999997</v>
      </c>
      <c r="G7" s="13">
        <f>Reference!E77</f>
        <v>37.613</v>
      </c>
      <c r="H7" s="13">
        <f>Reference!F77</f>
        <v>654874.68099999998</v>
      </c>
      <c r="I7" s="13">
        <f>Reference!G77</f>
        <v>64.822999999999993</v>
      </c>
      <c r="J7" s="14">
        <f t="shared" si="0"/>
        <v>181.9096336111111</v>
      </c>
      <c r="L7" s="12">
        <f>Test!B77</f>
        <v>75692.2</v>
      </c>
      <c r="M7" s="13">
        <f>Test!C77</f>
        <v>41.654000000000003</v>
      </c>
      <c r="N7" s="13">
        <f>Test!D77</f>
        <v>36.479999999999997</v>
      </c>
      <c r="O7" s="13">
        <f>Test!E77</f>
        <v>37.613</v>
      </c>
      <c r="P7" s="13">
        <f>Test!F77</f>
        <v>710856.62300000002</v>
      </c>
      <c r="Q7" s="13">
        <f>Test!G77</f>
        <v>70.316999999999993</v>
      </c>
      <c r="R7" s="14">
        <f t="shared" si="1"/>
        <v>197.46017305555557</v>
      </c>
      <c r="S7" s="17">
        <f t="shared" si="2"/>
        <v>1.0854849692990345</v>
      </c>
      <c r="T7" s="18">
        <f t="shared" si="2"/>
        <v>1.084753868225784</v>
      </c>
      <c r="U7" s="91"/>
      <c r="V7" s="37">
        <f>bdrate($D7:$D10,E7:E10,$L7:$L10,M7:M10)</f>
        <v>0</v>
      </c>
      <c r="W7" s="42">
        <f>bdrate($D7:$D10,F7:F10,$L7:$L10,N7:N10)</f>
        <v>0</v>
      </c>
      <c r="X7" s="42">
        <f>bdrate($D7:$D10,G7:G10,$L7:$L10,O7:O10)</f>
        <v>0</v>
      </c>
      <c r="Y7" s="40">
        <f>bdrateOld($D7:$D10,E7:E10,$L7:$L10,M7:M10)</f>
        <v>0</v>
      </c>
      <c r="Z7" s="44">
        <f>bdrateOld($D7:$D10,F7:F10,$L7:$L10,N7:N10)</f>
        <v>0</v>
      </c>
      <c r="AA7" s="45">
        <f>bdrateOld($D7:$D10,G7:G10,$L7:$L10,O7:O10)</f>
        <v>0</v>
      </c>
    </row>
    <row r="8" spans="1:27" x14ac:dyDescent="0.2">
      <c r="A8" s="16"/>
      <c r="B8" s="85"/>
      <c r="C8" s="16">
        <v>48</v>
      </c>
      <c r="D8" s="17">
        <f>Reference!B78</f>
        <v>39107.603999999999</v>
      </c>
      <c r="E8" s="18">
        <f>Reference!C78</f>
        <v>39.052199999999999</v>
      </c>
      <c r="F8" s="18">
        <f>Reference!D78</f>
        <v>34.556399999999996</v>
      </c>
      <c r="G8" s="18">
        <f>Reference!E78</f>
        <v>35.963299999999997</v>
      </c>
      <c r="H8" s="18">
        <f>Reference!F78</f>
        <v>443899.217</v>
      </c>
      <c r="I8" s="18">
        <f>Reference!G78</f>
        <v>57.195999999999998</v>
      </c>
      <c r="J8" s="19">
        <f t="shared" si="0"/>
        <v>123.30533805555555</v>
      </c>
      <c r="L8" s="17">
        <f>Test!B78</f>
        <v>39107.603999999999</v>
      </c>
      <c r="M8" s="18">
        <f>Test!C78</f>
        <v>39.052199999999999</v>
      </c>
      <c r="N8" s="18">
        <f>Test!D78</f>
        <v>34.556399999999996</v>
      </c>
      <c r="O8" s="18">
        <f>Test!E78</f>
        <v>35.963299999999997</v>
      </c>
      <c r="P8" s="18">
        <f>Test!F78</f>
        <v>474671.39799999999</v>
      </c>
      <c r="Q8" s="18">
        <f>Test!G78</f>
        <v>60.697000000000003</v>
      </c>
      <c r="R8" s="19">
        <f t="shared" si="1"/>
        <v>131.85316611111111</v>
      </c>
      <c r="S8" s="17">
        <f t="shared" si="2"/>
        <v>1.0693224493793148</v>
      </c>
      <c r="T8" s="18">
        <f t="shared" si="2"/>
        <v>1.0612105741660256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18801.439999999999</v>
      </c>
      <c r="E9" s="18">
        <f>Reference!C79</f>
        <v>36.145400000000002</v>
      </c>
      <c r="F9" s="18">
        <f>Reference!D79</f>
        <v>32.925600000000003</v>
      </c>
      <c r="G9" s="18">
        <f>Reference!E79</f>
        <v>34.587200000000003</v>
      </c>
      <c r="H9" s="18">
        <f>Reference!F79</f>
        <v>277063.83199999999</v>
      </c>
      <c r="I9" s="18">
        <f>Reference!G79</f>
        <v>52.875999999999998</v>
      </c>
      <c r="J9" s="19">
        <f t="shared" si="0"/>
        <v>76.962175555555561</v>
      </c>
      <c r="L9" s="17">
        <f>Test!B79</f>
        <v>18801.439999999999</v>
      </c>
      <c r="M9" s="18">
        <f>Test!C79</f>
        <v>36.145400000000002</v>
      </c>
      <c r="N9" s="18">
        <f>Test!D79</f>
        <v>32.925600000000003</v>
      </c>
      <c r="O9" s="18">
        <f>Test!E79</f>
        <v>34.587200000000003</v>
      </c>
      <c r="P9" s="18">
        <f>Test!F79</f>
        <v>295398.82</v>
      </c>
      <c r="Q9" s="18">
        <f>Test!G79</f>
        <v>53.445</v>
      </c>
      <c r="R9" s="19">
        <f t="shared" si="1"/>
        <v>82.055227777777773</v>
      </c>
      <c r="S9" s="17">
        <f t="shared" si="2"/>
        <v>1.0661760427828053</v>
      </c>
      <c r="T9" s="18">
        <f t="shared" si="2"/>
        <v>1.0107610257962025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Reference!B80</f>
        <v>7758.82</v>
      </c>
      <c r="E10" s="23">
        <f>Reference!C80</f>
        <v>33.085500000000003</v>
      </c>
      <c r="F10" s="23">
        <f>Reference!D80</f>
        <v>31.259499999999999</v>
      </c>
      <c r="G10" s="23">
        <f>Reference!E80</f>
        <v>33.171799999999998</v>
      </c>
      <c r="H10" s="23">
        <f>Reference!F80</f>
        <v>155611.06700000001</v>
      </c>
      <c r="I10" s="23">
        <f>Reference!G80</f>
        <v>47.128999999999998</v>
      </c>
      <c r="J10" s="24">
        <f t="shared" si="0"/>
        <v>43.225296388888893</v>
      </c>
      <c r="L10" s="22">
        <f>Test!B80</f>
        <v>7758.82</v>
      </c>
      <c r="M10" s="23">
        <f>Test!C80</f>
        <v>33.085500000000003</v>
      </c>
      <c r="N10" s="23">
        <f>Test!D80</f>
        <v>31.259499999999999</v>
      </c>
      <c r="O10" s="23">
        <f>Test!E80</f>
        <v>33.171799999999998</v>
      </c>
      <c r="P10" s="23">
        <f>Test!F80</f>
        <v>166994.94099999999</v>
      </c>
      <c r="Q10" s="23">
        <f>Test!G80</f>
        <v>48.271000000000001</v>
      </c>
      <c r="R10" s="24">
        <f t="shared" si="1"/>
        <v>46.387483611111108</v>
      </c>
      <c r="S10" s="17">
        <f t="shared" si="2"/>
        <v>1.0731559407660896</v>
      </c>
      <c r="T10" s="18">
        <f t="shared" si="2"/>
        <v>1.0242313649769781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37728.436000000002</v>
      </c>
      <c r="E11" s="13">
        <f>Reference!C81</f>
        <v>38.307000000000002</v>
      </c>
      <c r="F11" s="13">
        <f>Reference!D81</f>
        <v>40.465299999999999</v>
      </c>
      <c r="G11" s="13">
        <f>Reference!E81</f>
        <v>41.554000000000002</v>
      </c>
      <c r="H11" s="13">
        <f>Reference!F81</f>
        <v>384794.842</v>
      </c>
      <c r="I11" s="13">
        <f>Reference!G81</f>
        <v>35.707000000000001</v>
      </c>
      <c r="J11" s="14">
        <f t="shared" si="0"/>
        <v>106.88745611111111</v>
      </c>
      <c r="L11" s="12">
        <f>Test!B81</f>
        <v>37728.436000000002</v>
      </c>
      <c r="M11" s="13">
        <f>Test!C81</f>
        <v>38.307000000000002</v>
      </c>
      <c r="N11" s="13">
        <f>Test!D81</f>
        <v>40.465299999999999</v>
      </c>
      <c r="O11" s="13">
        <f>Test!E81</f>
        <v>41.554000000000002</v>
      </c>
      <c r="P11" s="13">
        <f>Test!F81</f>
        <v>419503.24200000003</v>
      </c>
      <c r="Q11" s="13">
        <f>Test!G81</f>
        <v>39.43</v>
      </c>
      <c r="R11" s="14">
        <f t="shared" si="1"/>
        <v>116.52867833333335</v>
      </c>
      <c r="S11" s="17">
        <f t="shared" si="2"/>
        <v>1.0901997537690487</v>
      </c>
      <c r="T11" s="18">
        <f t="shared" si="2"/>
        <v>1.1042652701151034</v>
      </c>
      <c r="U11" s="91"/>
      <c r="V11" s="37">
        <f>bdrate($D11:$D14,E11:E14,$L11:$L14,M11:M14)</f>
        <v>0</v>
      </c>
      <c r="W11" s="42">
        <f>bdrate($D11:$D14,F11:F14,$L11:$L14,N11:N14)</f>
        <v>0</v>
      </c>
      <c r="X11" s="42">
        <f>bdrate($D11:$D14,G11:G14,$L11:$L14,O11:O14)</f>
        <v>0</v>
      </c>
      <c r="Y11" s="40">
        <f>bdrateOld($D11:$D14,E11:E14,$L11:$L14,M11:M14)</f>
        <v>0</v>
      </c>
      <c r="Z11" s="44">
        <f>bdrateOld($D11:$D14,F11:F14,$L11:$L14,N11:N14)</f>
        <v>0</v>
      </c>
      <c r="AA11" s="45">
        <f>bdrateOld($D11:$D14,G11:G14,$L11:$L14,O11:O14)</f>
        <v>0</v>
      </c>
    </row>
    <row r="12" spans="1:27" x14ac:dyDescent="0.2">
      <c r="A12" s="34"/>
      <c r="B12" s="83"/>
      <c r="C12" s="16">
        <v>48</v>
      </c>
      <c r="D12" s="17">
        <f>Reference!B82</f>
        <v>18412.432000000001</v>
      </c>
      <c r="E12" s="18">
        <f>Reference!C82</f>
        <v>37.199300000000001</v>
      </c>
      <c r="F12" s="18">
        <f>Reference!D82</f>
        <v>37.925800000000002</v>
      </c>
      <c r="G12" s="18">
        <f>Reference!E82</f>
        <v>40.338500000000003</v>
      </c>
      <c r="H12" s="18">
        <f>Reference!F82</f>
        <v>230741.29699999999</v>
      </c>
      <c r="I12" s="18">
        <f>Reference!G82</f>
        <v>29.905000000000001</v>
      </c>
      <c r="J12" s="19">
        <f t="shared" si="0"/>
        <v>64.094804722222221</v>
      </c>
      <c r="L12" s="17">
        <f>Test!B82</f>
        <v>18412.432000000001</v>
      </c>
      <c r="M12" s="18">
        <f>Test!C82</f>
        <v>37.199300000000001</v>
      </c>
      <c r="N12" s="18">
        <f>Test!D82</f>
        <v>37.925800000000002</v>
      </c>
      <c r="O12" s="18">
        <f>Test!E82</f>
        <v>40.338500000000003</v>
      </c>
      <c r="P12" s="18">
        <f>Test!F82</f>
        <v>251881.386</v>
      </c>
      <c r="Q12" s="18">
        <f>Test!G82</f>
        <v>32.173000000000002</v>
      </c>
      <c r="R12" s="19">
        <f t="shared" si="1"/>
        <v>69.967051666666663</v>
      </c>
      <c r="S12" s="17">
        <f t="shared" si="2"/>
        <v>1.0916181423735345</v>
      </c>
      <c r="T12" s="18">
        <f t="shared" si="2"/>
        <v>1.0758401605082761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9150.8719999999994</v>
      </c>
      <c r="E13" s="18">
        <f>Reference!C83</f>
        <v>35.839500000000001</v>
      </c>
      <c r="F13" s="18">
        <f>Reference!D83</f>
        <v>35.709699999999998</v>
      </c>
      <c r="G13" s="18">
        <f>Reference!E83</f>
        <v>39.025500000000001</v>
      </c>
      <c r="H13" s="18">
        <f>Reference!F83</f>
        <v>138865.50200000001</v>
      </c>
      <c r="I13" s="18">
        <f>Reference!G83</f>
        <v>26.675999999999998</v>
      </c>
      <c r="J13" s="19">
        <f t="shared" si="0"/>
        <v>38.573750555555556</v>
      </c>
      <c r="L13" s="17">
        <f>Test!B83</f>
        <v>9150.8719999999994</v>
      </c>
      <c r="M13" s="18">
        <f>Test!C83</f>
        <v>35.839500000000001</v>
      </c>
      <c r="N13" s="18">
        <f>Test!D83</f>
        <v>35.709699999999998</v>
      </c>
      <c r="O13" s="18">
        <f>Test!E83</f>
        <v>39.025500000000001</v>
      </c>
      <c r="P13" s="18">
        <f>Test!F83</f>
        <v>149087.30799999999</v>
      </c>
      <c r="Q13" s="18">
        <f>Test!G83</f>
        <v>27.741</v>
      </c>
      <c r="R13" s="19">
        <f t="shared" si="1"/>
        <v>41.413141111111109</v>
      </c>
      <c r="S13" s="17">
        <f t="shared" si="2"/>
        <v>1.0736093979626415</v>
      </c>
      <c r="T13" s="18">
        <f t="shared" si="2"/>
        <v>1.0399235267656322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Reference!B84</f>
        <v>4625.5879999999997</v>
      </c>
      <c r="E14" s="23">
        <f>Reference!C84</f>
        <v>34.002000000000002</v>
      </c>
      <c r="F14" s="23">
        <f>Reference!D84</f>
        <v>33.8127</v>
      </c>
      <c r="G14" s="23">
        <f>Reference!E84</f>
        <v>37.4711</v>
      </c>
      <c r="H14" s="23">
        <f>Reference!F84</f>
        <v>79766.001999999993</v>
      </c>
      <c r="I14" s="23">
        <f>Reference!G84</f>
        <v>23.701000000000001</v>
      </c>
      <c r="J14" s="24">
        <f t="shared" si="0"/>
        <v>22.157222777777775</v>
      </c>
      <c r="L14" s="22">
        <f>Test!B84</f>
        <v>4625.5879999999997</v>
      </c>
      <c r="M14" s="23">
        <f>Test!C84</f>
        <v>34.002000000000002</v>
      </c>
      <c r="N14" s="23">
        <f>Test!D84</f>
        <v>33.8127</v>
      </c>
      <c r="O14" s="23">
        <f>Test!E84</f>
        <v>37.4711</v>
      </c>
      <c r="P14" s="23">
        <f>Test!F84</f>
        <v>85741.164999999994</v>
      </c>
      <c r="Q14" s="23">
        <f>Test!G84</f>
        <v>24.651</v>
      </c>
      <c r="R14" s="24">
        <f t="shared" si="1"/>
        <v>23.816990277777776</v>
      </c>
      <c r="S14" s="17">
        <f t="shared" si="2"/>
        <v>1.0749086434092561</v>
      </c>
      <c r="T14" s="18">
        <f t="shared" si="2"/>
        <v>1.0400826969326189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26235.632000000001</v>
      </c>
      <c r="E15" s="13">
        <f>Reference!C85</f>
        <v>37.639499999999998</v>
      </c>
      <c r="F15" s="13">
        <f>Reference!D85</f>
        <v>45.3461</v>
      </c>
      <c r="G15" s="13">
        <f>Reference!E85</f>
        <v>43.037100000000002</v>
      </c>
      <c r="H15" s="13">
        <f>Reference!F85</f>
        <v>510895.826</v>
      </c>
      <c r="I15" s="13">
        <f>Reference!G85</f>
        <v>60.878999999999998</v>
      </c>
      <c r="J15" s="14">
        <f>H15/3600</f>
        <v>141.91550722222223</v>
      </c>
      <c r="L15" s="12">
        <f>Test!B85</f>
        <v>26235.632000000001</v>
      </c>
      <c r="M15" s="13">
        <f>Test!C85</f>
        <v>37.639499999999998</v>
      </c>
      <c r="N15" s="13">
        <f>Test!D85</f>
        <v>45.3461</v>
      </c>
      <c r="O15" s="13">
        <f>Test!E85</f>
        <v>43.037100000000002</v>
      </c>
      <c r="P15" s="13">
        <f>Test!F85</f>
        <v>550620.01699999999</v>
      </c>
      <c r="Q15" s="13">
        <f>Test!G85</f>
        <v>63.97</v>
      </c>
      <c r="R15" s="14">
        <f>P15/3600</f>
        <v>152.95000472222222</v>
      </c>
      <c r="S15" s="17">
        <f>P15/H15</f>
        <v>1.0777539940206911</v>
      </c>
      <c r="T15" s="18">
        <f>Q15/I15</f>
        <v>1.0507728444948177</v>
      </c>
      <c r="U15" s="91"/>
      <c r="V15" s="37">
        <f>bdrate($D15:$D18,E15:E18,$L15:$L18,M15:M18)</f>
        <v>0</v>
      </c>
      <c r="W15" s="42">
        <f>bdrate($D15:$D18,F15:F18,$L15:$L18,N15:N18)</f>
        <v>0</v>
      </c>
      <c r="X15" s="43">
        <f>bdrate($D15:$D18,G15:G18,$L15:$L18,O15:O18)</f>
        <v>0</v>
      </c>
      <c r="Y15" s="37">
        <f>bdrateOld($D15:$D18,E15:E18,$L15:$L18,M15:M18)</f>
        <v>0</v>
      </c>
      <c r="Z15" s="42">
        <f>bdrateOld($D15:$D18,F15:F18,$L15:$L18,N15:N18)</f>
        <v>0</v>
      </c>
      <c r="AA15" s="43">
        <f>bdrateOld($D15:$D18,G15:G18,$L15:$L18,O15:O18)</f>
        <v>0</v>
      </c>
    </row>
    <row r="16" spans="1:27" x14ac:dyDescent="0.2">
      <c r="A16" s="16"/>
      <c r="B16" s="85"/>
      <c r="C16" s="16">
        <v>48</v>
      </c>
      <c r="D16" s="17">
        <f>Reference!B86</f>
        <v>9143.9959999999992</v>
      </c>
      <c r="E16" s="18">
        <f>Reference!C86</f>
        <v>37.099299999999999</v>
      </c>
      <c r="F16" s="18">
        <f>Reference!D86</f>
        <v>44.749200000000002</v>
      </c>
      <c r="G16" s="18">
        <f>Reference!E86</f>
        <v>42.405900000000003</v>
      </c>
      <c r="H16" s="18">
        <f>Reference!F86</f>
        <v>278265.46500000003</v>
      </c>
      <c r="I16" s="18">
        <f>Reference!G86</f>
        <v>52.716000000000001</v>
      </c>
      <c r="J16" s="19">
        <f t="shared" ref="J16:J26" si="3">H16/3600</f>
        <v>77.295962500000002</v>
      </c>
      <c r="L16" s="17">
        <f>Test!B86</f>
        <v>9143.9959999999992</v>
      </c>
      <c r="M16" s="18">
        <f>Test!C86</f>
        <v>37.099299999999999</v>
      </c>
      <c r="N16" s="18">
        <f>Test!D86</f>
        <v>44.749200000000002</v>
      </c>
      <c r="O16" s="18">
        <f>Test!E86</f>
        <v>42.405900000000003</v>
      </c>
      <c r="P16" s="18">
        <f>Test!F86</f>
        <v>297221.08399999997</v>
      </c>
      <c r="Q16" s="18">
        <f>Test!G86</f>
        <v>54.338999999999999</v>
      </c>
      <c r="R16" s="19">
        <f t="shared" ref="R16:R26" si="4">P16/3600</f>
        <v>82.561412222222216</v>
      </c>
      <c r="S16" s="17">
        <f t="shared" ref="S16:S26" si="5">P16/H16</f>
        <v>1.0681206307796762</v>
      </c>
      <c r="T16" s="18">
        <f t="shared" ref="T16:T26" si="6">Q16/I16</f>
        <v>1.0307876166628727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4502.3760000000002</v>
      </c>
      <c r="E17" s="18">
        <f>Reference!C87</f>
        <v>36.249200000000002</v>
      </c>
      <c r="F17" s="18">
        <f>Reference!D87</f>
        <v>44.000100000000003</v>
      </c>
      <c r="G17" s="18">
        <f>Reference!E87</f>
        <v>41.631599999999999</v>
      </c>
      <c r="H17" s="18">
        <f>Reference!F87</f>
        <v>141013.51699999999</v>
      </c>
      <c r="I17" s="18">
        <f>Reference!G87</f>
        <v>44.061999999999998</v>
      </c>
      <c r="J17" s="19">
        <f t="shared" si="3"/>
        <v>39.17042138888889</v>
      </c>
      <c r="L17" s="17">
        <f>Test!B87</f>
        <v>4502.3760000000002</v>
      </c>
      <c r="M17" s="18">
        <f>Test!C87</f>
        <v>36.249200000000002</v>
      </c>
      <c r="N17" s="18">
        <f>Test!D87</f>
        <v>44.000100000000003</v>
      </c>
      <c r="O17" s="18">
        <f>Test!E87</f>
        <v>41.631599999999999</v>
      </c>
      <c r="P17" s="18">
        <f>Test!F87</f>
        <v>149549.44099999999</v>
      </c>
      <c r="Q17" s="18">
        <f>Test!G87</f>
        <v>44.759</v>
      </c>
      <c r="R17" s="19">
        <f t="shared" si="4"/>
        <v>41.541511388888885</v>
      </c>
      <c r="S17" s="17">
        <f t="shared" si="5"/>
        <v>1.0605326651061402</v>
      </c>
      <c r="T17" s="18">
        <f t="shared" si="6"/>
        <v>1.0158186192183742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Reference!B88</f>
        <v>2183.7399999999998</v>
      </c>
      <c r="E18" s="23">
        <f>Reference!C88</f>
        <v>34.795999999999999</v>
      </c>
      <c r="F18" s="23">
        <f>Reference!D88</f>
        <v>42.691800000000001</v>
      </c>
      <c r="G18" s="23">
        <f>Reference!E88</f>
        <v>40.4833</v>
      </c>
      <c r="H18" s="23">
        <f>Reference!F88</f>
        <v>68001.14</v>
      </c>
      <c r="I18" s="23">
        <f>Reference!G88</f>
        <v>37.771999999999998</v>
      </c>
      <c r="J18" s="24">
        <f t="shared" si="3"/>
        <v>18.889205555555556</v>
      </c>
      <c r="L18" s="22">
        <f>Test!B88</f>
        <v>2183.7399999999998</v>
      </c>
      <c r="M18" s="23">
        <f>Test!C88</f>
        <v>34.795999999999999</v>
      </c>
      <c r="N18" s="23">
        <f>Test!D88</f>
        <v>42.691800000000001</v>
      </c>
      <c r="O18" s="23">
        <f>Test!E88</f>
        <v>40.4833</v>
      </c>
      <c r="P18" s="23">
        <f>Test!F88</f>
        <v>71068.091</v>
      </c>
      <c r="Q18" s="23">
        <f>Test!G88</f>
        <v>38.372</v>
      </c>
      <c r="R18" s="24">
        <f t="shared" si="4"/>
        <v>19.74113638888889</v>
      </c>
      <c r="S18" s="17">
        <f t="shared" si="5"/>
        <v>1.0451014644754486</v>
      </c>
      <c r="T18" s="18">
        <f t="shared" si="6"/>
        <v>1.0158847823784813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9764.3119999999999</v>
      </c>
      <c r="E19" s="13">
        <f>Reference!C89</f>
        <v>38.015000000000001</v>
      </c>
      <c r="F19" s="13">
        <f>Reference!D89</f>
        <v>39.850200000000001</v>
      </c>
      <c r="G19" s="13">
        <f>Reference!E89</f>
        <v>43.346299999999999</v>
      </c>
      <c r="H19" s="13">
        <f>Reference!F89</f>
        <v>115823.818</v>
      </c>
      <c r="I19" s="13">
        <f>Reference!G89</f>
        <v>12.773999999999999</v>
      </c>
      <c r="J19" s="14">
        <f t="shared" si="3"/>
        <v>32.173282777777779</v>
      </c>
      <c r="L19" s="12">
        <f>Test!B89</f>
        <v>9764.3119999999999</v>
      </c>
      <c r="M19" s="13">
        <f>Test!C89</f>
        <v>38.015000000000001</v>
      </c>
      <c r="N19" s="13">
        <f>Test!D89</f>
        <v>39.850200000000001</v>
      </c>
      <c r="O19" s="13">
        <f>Test!E89</f>
        <v>43.346299999999999</v>
      </c>
      <c r="P19" s="13">
        <f>Test!F89</f>
        <v>123632.234</v>
      </c>
      <c r="Q19" s="13">
        <f>Test!G89</f>
        <v>13.55</v>
      </c>
      <c r="R19" s="14">
        <f t="shared" si="4"/>
        <v>34.342287222222218</v>
      </c>
      <c r="S19" s="12">
        <f t="shared" si="5"/>
        <v>1.0674163236442438</v>
      </c>
      <c r="T19" s="13">
        <f t="shared" si="6"/>
        <v>1.0607483951777048</v>
      </c>
      <c r="U19" s="90"/>
      <c r="V19" s="37">
        <f>bdrate($D19:$D22,E19:E22,$L19:$L22,M19:M22)</f>
        <v>0</v>
      </c>
      <c r="W19" s="42">
        <f>bdrate($D19:$D22,F19:F22,$L19:$L22,N19:N22)</f>
        <v>0</v>
      </c>
      <c r="X19" s="42">
        <f>bdrate($D19:$D22,G19:G22,$L19:$L22,O19:O22)</f>
        <v>0</v>
      </c>
      <c r="Y19" s="40">
        <f>bdrateOld($D19:$D22,E19:E22,$L19:$L22,M19:M22)</f>
        <v>0</v>
      </c>
      <c r="Z19" s="44">
        <f>bdrateOld($D19:$D22,F19:F22,$L19:$L22,N19:N22)</f>
        <v>0</v>
      </c>
      <c r="AA19" s="45">
        <f>bdrateOld($D19:$D22,G19:G22,$L19:$L22,O19:O22)</f>
        <v>0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4528.0039999999999</v>
      </c>
      <c r="E20" s="18">
        <f>Reference!C90</f>
        <v>36.917999999999999</v>
      </c>
      <c r="F20" s="18">
        <f>Reference!D90</f>
        <v>39.341799999999999</v>
      </c>
      <c r="G20" s="18">
        <f>Reference!E90</f>
        <v>42.231400000000001</v>
      </c>
      <c r="H20" s="18">
        <f>Reference!F90</f>
        <v>69794.576000000001</v>
      </c>
      <c r="I20" s="18">
        <f>Reference!G90</f>
        <v>11.202</v>
      </c>
      <c r="J20" s="19">
        <f t="shared" si="3"/>
        <v>19.387382222222222</v>
      </c>
      <c r="L20" s="17">
        <f>Test!B90</f>
        <v>4528.0039999999999</v>
      </c>
      <c r="M20" s="18">
        <f>Test!C90</f>
        <v>36.917999999999999</v>
      </c>
      <c r="N20" s="18">
        <f>Test!D90</f>
        <v>39.341799999999999</v>
      </c>
      <c r="O20" s="18">
        <f>Test!E90</f>
        <v>42.231400000000001</v>
      </c>
      <c r="P20" s="18">
        <f>Test!F90</f>
        <v>75508.337</v>
      </c>
      <c r="Q20" s="18">
        <f>Test!G90</f>
        <v>11.462</v>
      </c>
      <c r="R20" s="19">
        <f t="shared" si="4"/>
        <v>20.974538055555556</v>
      </c>
      <c r="S20" s="17">
        <f t="shared" si="5"/>
        <v>1.0818654016896672</v>
      </c>
      <c r="T20" s="18">
        <f t="shared" si="6"/>
        <v>1.0232101410462418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2302.8119999999999</v>
      </c>
      <c r="E21" s="18">
        <f>Reference!C91</f>
        <v>35.363300000000002</v>
      </c>
      <c r="F21" s="18">
        <f>Reference!D91</f>
        <v>38.731400000000001</v>
      </c>
      <c r="G21" s="18">
        <f>Reference!E91</f>
        <v>40.962000000000003</v>
      </c>
      <c r="H21" s="18">
        <f>Reference!F91</f>
        <v>40745.11</v>
      </c>
      <c r="I21" s="18">
        <f>Reference!G91</f>
        <v>9.4009999999999998</v>
      </c>
      <c r="J21" s="19">
        <f t="shared" si="3"/>
        <v>11.318086111111111</v>
      </c>
      <c r="L21" s="17">
        <f>Test!B91</f>
        <v>2302.8119999999999</v>
      </c>
      <c r="M21" s="18">
        <f>Test!C91</f>
        <v>35.363300000000002</v>
      </c>
      <c r="N21" s="18">
        <f>Test!D91</f>
        <v>38.731400000000001</v>
      </c>
      <c r="O21" s="18">
        <f>Test!E91</f>
        <v>40.962000000000003</v>
      </c>
      <c r="P21" s="18">
        <f>Test!F91</f>
        <v>43331.330999999998</v>
      </c>
      <c r="Q21" s="18">
        <f>Test!G91</f>
        <v>9.3870000000000005</v>
      </c>
      <c r="R21" s="19">
        <f t="shared" si="4"/>
        <v>12.036480833333332</v>
      </c>
      <c r="S21" s="17">
        <f t="shared" si="5"/>
        <v>1.0634731627918048</v>
      </c>
      <c r="T21" s="18">
        <f t="shared" si="6"/>
        <v>0.99851079672375287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Reference!B92</f>
        <v>1103.6479999999999</v>
      </c>
      <c r="E22" s="23">
        <f>Reference!C92</f>
        <v>33.170200000000001</v>
      </c>
      <c r="F22" s="23">
        <f>Reference!D92</f>
        <v>37.701599999999999</v>
      </c>
      <c r="G22" s="23">
        <f>Reference!E92</f>
        <v>39.240400000000001</v>
      </c>
      <c r="H22" s="23">
        <f>Reference!F92</f>
        <v>21591.633000000002</v>
      </c>
      <c r="I22" s="23">
        <f>Reference!G92</f>
        <v>8.5820000000000007</v>
      </c>
      <c r="J22" s="24">
        <f t="shared" si="3"/>
        <v>5.997675833333334</v>
      </c>
      <c r="L22" s="22">
        <f>Test!B92</f>
        <v>1103.6479999999999</v>
      </c>
      <c r="M22" s="23">
        <f>Test!C92</f>
        <v>33.170200000000001</v>
      </c>
      <c r="N22" s="23">
        <f>Test!D92</f>
        <v>37.701599999999999</v>
      </c>
      <c r="O22" s="23">
        <f>Test!E92</f>
        <v>39.240400000000001</v>
      </c>
      <c r="P22" s="23">
        <f>Test!F92</f>
        <v>22505.429</v>
      </c>
      <c r="Q22" s="23">
        <f>Test!G92</f>
        <v>9.0730000000000004</v>
      </c>
      <c r="R22" s="24">
        <f t="shared" si="4"/>
        <v>6.251508055555556</v>
      </c>
      <c r="S22" s="17">
        <f t="shared" si="5"/>
        <v>1.0423217641759657</v>
      </c>
      <c r="T22" s="18">
        <f t="shared" si="6"/>
        <v>1.0572127709158703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8547.8439999999991</v>
      </c>
      <c r="E23" s="13">
        <f>Reference!C93</f>
        <v>38.949399999999997</v>
      </c>
      <c r="F23" s="13">
        <f>Reference!D93</f>
        <v>44.054499999999997</v>
      </c>
      <c r="G23" s="13">
        <f>Reference!E93</f>
        <v>45.214500000000001</v>
      </c>
      <c r="H23" s="13">
        <f>Reference!F93</f>
        <v>124264.728</v>
      </c>
      <c r="I23" s="13">
        <f>Reference!G93</f>
        <v>13.367000000000001</v>
      </c>
      <c r="J23" s="14">
        <f t="shared" si="3"/>
        <v>34.517980000000001</v>
      </c>
      <c r="L23" s="12">
        <f>Test!B93</f>
        <v>8547.8439999999991</v>
      </c>
      <c r="M23" s="13">
        <f>Test!C93</f>
        <v>38.949399999999997</v>
      </c>
      <c r="N23" s="13">
        <f>Test!D93</f>
        <v>44.054499999999997</v>
      </c>
      <c r="O23" s="13">
        <f>Test!E93</f>
        <v>45.214500000000001</v>
      </c>
      <c r="P23" s="13">
        <f>Test!F93</f>
        <v>133107.921</v>
      </c>
      <c r="Q23" s="13">
        <f>Test!G93</f>
        <v>14.510999999999999</v>
      </c>
      <c r="R23" s="14">
        <f t="shared" si="4"/>
        <v>36.974422500000003</v>
      </c>
      <c r="S23" s="17">
        <f t="shared" si="5"/>
        <v>1.071164144020015</v>
      </c>
      <c r="T23" s="18">
        <f t="shared" si="6"/>
        <v>1.0855839006508565</v>
      </c>
      <c r="U23" s="91"/>
      <c r="V23" s="37">
        <f>bdrate($D23:$D26,E23:E26,$L23:$L26,M23:M26)</f>
        <v>0</v>
      </c>
      <c r="W23" s="42">
        <f>bdrate($D23:$D26,F23:F26,$L23:$L26,N23:N26)</f>
        <v>0</v>
      </c>
      <c r="X23" s="42">
        <f>bdrate($D23:$D26,G23:G26,$L23:$L26,O23:O26)</f>
        <v>0</v>
      </c>
      <c r="Y23" s="40">
        <f>bdrateOld($D23:$D26,E23:E26,$L23:$L26,M23:M26)</f>
        <v>0</v>
      </c>
      <c r="Z23" s="44">
        <f>bdrateOld($D23:$D26,F23:F26,$L23:$L26,N23:N26)</f>
        <v>0</v>
      </c>
      <c r="AA23" s="45">
        <f>bdrateOld($D23:$D26,G23:G26,$L23:$L26,O23:O26)</f>
        <v>0</v>
      </c>
    </row>
    <row r="24" spans="1:27" x14ac:dyDescent="0.2">
      <c r="A24" s="34"/>
      <c r="B24" s="85"/>
      <c r="C24" s="16">
        <v>32</v>
      </c>
      <c r="D24" s="17">
        <f>Reference!B94</f>
        <v>4281.3879999999999</v>
      </c>
      <c r="E24" s="18">
        <f>Reference!C94</f>
        <v>37.921100000000003</v>
      </c>
      <c r="F24" s="18">
        <f>Reference!D94</f>
        <v>43.2151</v>
      </c>
      <c r="G24" s="18">
        <f>Reference!E94</f>
        <v>43.774500000000003</v>
      </c>
      <c r="H24" s="18">
        <f>Reference!F94</f>
        <v>75568.702000000005</v>
      </c>
      <c r="I24" s="18">
        <f>Reference!G94</f>
        <v>11.646000000000001</v>
      </c>
      <c r="J24" s="19">
        <f t="shared" si="3"/>
        <v>20.991306111111111</v>
      </c>
      <c r="L24" s="17">
        <f>Test!B94</f>
        <v>4281.3879999999999</v>
      </c>
      <c r="M24" s="18">
        <f>Test!C94</f>
        <v>37.921100000000003</v>
      </c>
      <c r="N24" s="18">
        <f>Test!D94</f>
        <v>43.2151</v>
      </c>
      <c r="O24" s="18">
        <f>Test!E94</f>
        <v>43.774500000000003</v>
      </c>
      <c r="P24" s="18">
        <f>Test!F94</f>
        <v>80715.535000000003</v>
      </c>
      <c r="Q24" s="18">
        <f>Test!G94</f>
        <v>12.492000000000001</v>
      </c>
      <c r="R24" s="19">
        <f t="shared" si="4"/>
        <v>22.420981944444446</v>
      </c>
      <c r="S24" s="17">
        <f t="shared" si="5"/>
        <v>1.0681079979380881</v>
      </c>
      <c r="T24" s="18">
        <f t="shared" si="6"/>
        <v>1.0726429675425038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2189.2399999999998</v>
      </c>
      <c r="E25" s="18">
        <f>Reference!C95</f>
        <v>36.424300000000002</v>
      </c>
      <c r="F25" s="18">
        <f>Reference!D95</f>
        <v>42.219299999999997</v>
      </c>
      <c r="G25" s="18">
        <f>Reference!E95</f>
        <v>42.212200000000003</v>
      </c>
      <c r="H25" s="18">
        <f>Reference!F95</f>
        <v>42058.254999999997</v>
      </c>
      <c r="I25" s="18">
        <f>Reference!G95</f>
        <v>10.134</v>
      </c>
      <c r="J25" s="19">
        <f t="shared" si="3"/>
        <v>11.68284861111111</v>
      </c>
      <c r="L25" s="17">
        <f>Test!B95</f>
        <v>2189.2399999999998</v>
      </c>
      <c r="M25" s="18">
        <f>Test!C95</f>
        <v>36.424300000000002</v>
      </c>
      <c r="N25" s="18">
        <f>Test!D95</f>
        <v>42.219299999999997</v>
      </c>
      <c r="O25" s="18">
        <f>Test!E95</f>
        <v>42.212200000000003</v>
      </c>
      <c r="P25" s="18">
        <f>Test!F95</f>
        <v>44539.063999999998</v>
      </c>
      <c r="Q25" s="18">
        <f>Test!G95</f>
        <v>10.515000000000001</v>
      </c>
      <c r="R25" s="19">
        <f t="shared" si="4"/>
        <v>12.371962222222221</v>
      </c>
      <c r="S25" s="17">
        <f t="shared" si="5"/>
        <v>1.0589850672596854</v>
      </c>
      <c r="T25" s="18">
        <f t="shared" si="6"/>
        <v>1.0375962107756069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Reference!B96</f>
        <v>1077.7239999999999</v>
      </c>
      <c r="E26" s="23">
        <f>Reference!C96</f>
        <v>34.359099999999998</v>
      </c>
      <c r="F26" s="23">
        <f>Reference!D96</f>
        <v>40.817900000000002</v>
      </c>
      <c r="G26" s="23">
        <f>Reference!E96</f>
        <v>40.288600000000002</v>
      </c>
      <c r="H26" s="23">
        <f>Reference!F96</f>
        <v>22950.385999999999</v>
      </c>
      <c r="I26" s="23">
        <f>Reference!G96</f>
        <v>8.9209999999999994</v>
      </c>
      <c r="J26" s="24">
        <f t="shared" si="3"/>
        <v>6.3751072222222218</v>
      </c>
      <c r="L26" s="22">
        <f>Test!B96</f>
        <v>1077.7239999999999</v>
      </c>
      <c r="M26" s="23">
        <f>Test!C96</f>
        <v>34.359099999999998</v>
      </c>
      <c r="N26" s="23">
        <f>Test!D96</f>
        <v>40.817900000000002</v>
      </c>
      <c r="O26" s="23">
        <f>Test!E96</f>
        <v>40.288600000000002</v>
      </c>
      <c r="P26" s="23">
        <f>Test!F96</f>
        <v>23973.702000000001</v>
      </c>
      <c r="Q26" s="23">
        <f>Test!G96</f>
        <v>8.9320000000000004</v>
      </c>
      <c r="R26" s="24">
        <f t="shared" si="4"/>
        <v>6.6593616666666673</v>
      </c>
      <c r="S26" s="17">
        <f t="shared" si="5"/>
        <v>1.0445881825255576</v>
      </c>
      <c r="T26" s="18">
        <f t="shared" si="6"/>
        <v>1.0012330456226881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6744.8559999999998</v>
      </c>
      <c r="E27" s="13">
        <f>Reference!C97</f>
        <v>39.7042</v>
      </c>
      <c r="F27" s="13">
        <f>Reference!D97</f>
        <v>43.905999999999999</v>
      </c>
      <c r="G27" s="13">
        <f>Reference!E97</f>
        <v>45.051400000000001</v>
      </c>
      <c r="H27" s="13">
        <f>Reference!F97</f>
        <v>112946.117</v>
      </c>
      <c r="I27" s="13">
        <f>Reference!G97</f>
        <v>14.268000000000001</v>
      </c>
      <c r="J27" s="14">
        <f>H27/3600</f>
        <v>31.373921388888888</v>
      </c>
      <c r="L27" s="12">
        <f>Test!B97</f>
        <v>6744.8559999999998</v>
      </c>
      <c r="M27" s="13">
        <f>Test!C97</f>
        <v>39.7042</v>
      </c>
      <c r="N27" s="13">
        <f>Test!D97</f>
        <v>43.905999999999999</v>
      </c>
      <c r="O27" s="13">
        <f>Test!E97</f>
        <v>45.051400000000001</v>
      </c>
      <c r="P27" s="13">
        <f>Test!F97</f>
        <v>121721.97900000001</v>
      </c>
      <c r="Q27" s="13">
        <f>Test!G97</f>
        <v>14.435</v>
      </c>
      <c r="R27" s="14">
        <f>P27/3600</f>
        <v>33.811660833333335</v>
      </c>
      <c r="S27" s="17">
        <f t="shared" si="2"/>
        <v>1.077699545881688</v>
      </c>
      <c r="T27" s="18">
        <f t="shared" si="2"/>
        <v>1.0117045135968601</v>
      </c>
      <c r="U27" s="91"/>
      <c r="V27" s="37">
        <f>bdrate($D27:$D30,E27:E30,$L27:$L30,M27:M30)</f>
        <v>0</v>
      </c>
      <c r="W27" s="42">
        <f>bdrate($D27:$D30,F27:F30,$L27:$L30,N27:N30)</f>
        <v>0</v>
      </c>
      <c r="X27" s="43">
        <f>bdrate($D27:$D30,G27:G30,$L27:$L30,O27:O30)</f>
        <v>0</v>
      </c>
      <c r="Y27" s="37">
        <f>bdrateOld($D27:$D30,E27:E30,$L27:$L30,M27:M30)</f>
        <v>0</v>
      </c>
      <c r="Z27" s="42">
        <f>bdrateOld($D27:$D30,F27:F30,$L27:$L30,N27:N30)</f>
        <v>0</v>
      </c>
      <c r="AA27" s="43">
        <f>bdrateOld($D27:$D30,G27:G30,$L27:$L30,O27:O30)</f>
        <v>0</v>
      </c>
    </row>
    <row r="28" spans="1:27" x14ac:dyDescent="0.2">
      <c r="A28" s="16"/>
      <c r="B28" s="85"/>
      <c r="C28" s="16">
        <v>48</v>
      </c>
      <c r="D28" s="17">
        <f>Reference!B98</f>
        <v>3206.7440000000001</v>
      </c>
      <c r="E28" s="18">
        <f>Reference!C98</f>
        <v>38.562600000000003</v>
      </c>
      <c r="F28" s="18">
        <f>Reference!D98</f>
        <v>43.147100000000002</v>
      </c>
      <c r="G28" s="18">
        <f>Reference!E98</f>
        <v>44.367400000000004</v>
      </c>
      <c r="H28" s="18">
        <f>Reference!F98</f>
        <v>67114.782999999996</v>
      </c>
      <c r="I28" s="18">
        <f>Reference!G98</f>
        <v>12.076000000000001</v>
      </c>
      <c r="J28" s="19">
        <f t="shared" ref="J28:J46" si="7">H28/3600</f>
        <v>18.642995277777775</v>
      </c>
      <c r="L28" s="17">
        <f>Test!B98</f>
        <v>3206.7440000000001</v>
      </c>
      <c r="M28" s="18">
        <f>Test!C98</f>
        <v>38.562600000000003</v>
      </c>
      <c r="N28" s="18">
        <f>Test!D98</f>
        <v>43.147100000000002</v>
      </c>
      <c r="O28" s="18">
        <f>Test!E98</f>
        <v>44.367400000000004</v>
      </c>
      <c r="P28" s="18">
        <f>Test!F98</f>
        <v>71774.933000000005</v>
      </c>
      <c r="Q28" s="18">
        <f>Test!G98</f>
        <v>12.183999999999999</v>
      </c>
      <c r="R28" s="19">
        <f t="shared" ref="R28:R46" si="8">P28/3600</f>
        <v>19.937481388888891</v>
      </c>
      <c r="S28" s="17">
        <f t="shared" si="2"/>
        <v>1.0694355221263252</v>
      </c>
      <c r="T28" s="18">
        <f t="shared" si="2"/>
        <v>1.0089433587280556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1547.0640000000001</v>
      </c>
      <c r="E29" s="18">
        <f>Reference!C99</f>
        <v>36.8977</v>
      </c>
      <c r="F29" s="18">
        <f>Reference!D99</f>
        <v>42.276400000000002</v>
      </c>
      <c r="G29" s="18">
        <f>Reference!E99</f>
        <v>43.483800000000002</v>
      </c>
      <c r="H29" s="18">
        <f>Reference!F99</f>
        <v>36300.002</v>
      </c>
      <c r="I29" s="18">
        <f>Reference!G99</f>
        <v>10.356</v>
      </c>
      <c r="J29" s="19">
        <f t="shared" si="7"/>
        <v>10.083333888888889</v>
      </c>
      <c r="L29" s="17">
        <f>Test!B99</f>
        <v>1547.0640000000001</v>
      </c>
      <c r="M29" s="18">
        <f>Test!C99</f>
        <v>36.8977</v>
      </c>
      <c r="N29" s="18">
        <f>Test!D99</f>
        <v>42.276400000000002</v>
      </c>
      <c r="O29" s="18">
        <f>Test!E99</f>
        <v>43.483800000000002</v>
      </c>
      <c r="P29" s="18">
        <f>Test!F99</f>
        <v>37529.858999999997</v>
      </c>
      <c r="Q29" s="18">
        <f>Test!G99</f>
        <v>10.757999999999999</v>
      </c>
      <c r="R29" s="19">
        <f t="shared" si="8"/>
        <v>10.424960833333332</v>
      </c>
      <c r="S29" s="17">
        <f t="shared" si="2"/>
        <v>1.0338803562600354</v>
      </c>
      <c r="T29" s="18">
        <f t="shared" si="2"/>
        <v>1.0388180764774044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Reference!B100</f>
        <v>695.34799999999996</v>
      </c>
      <c r="E30" s="23">
        <f>Reference!C100</f>
        <v>34.643700000000003</v>
      </c>
      <c r="F30" s="23">
        <f>Reference!D100</f>
        <v>41.024500000000003</v>
      </c>
      <c r="G30" s="23">
        <f>Reference!E100</f>
        <v>42.1111</v>
      </c>
      <c r="H30" s="23">
        <f>Reference!F100</f>
        <v>18189.531999999999</v>
      </c>
      <c r="I30" s="23">
        <f>Reference!G100</f>
        <v>9.2910000000000004</v>
      </c>
      <c r="J30" s="24">
        <f t="shared" si="7"/>
        <v>5.0526477777777776</v>
      </c>
      <c r="L30" s="22">
        <f>Test!B100</f>
        <v>695.34799999999996</v>
      </c>
      <c r="M30" s="23">
        <f>Test!C100</f>
        <v>34.643700000000003</v>
      </c>
      <c r="N30" s="23">
        <f>Test!D100</f>
        <v>41.024500000000003</v>
      </c>
      <c r="O30" s="23">
        <f>Test!E100</f>
        <v>42.1111</v>
      </c>
      <c r="P30" s="23">
        <f>Test!F100</f>
        <v>19067.578000000001</v>
      </c>
      <c r="Q30" s="23">
        <f>Test!G100</f>
        <v>9.8379999999999992</v>
      </c>
      <c r="R30" s="24">
        <f t="shared" si="8"/>
        <v>5.2965494444444445</v>
      </c>
      <c r="S30" s="17">
        <f t="shared" si="2"/>
        <v>1.0482720501000247</v>
      </c>
      <c r="T30" s="18">
        <f t="shared" si="2"/>
        <v>1.0588741793133138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5566.0720000000001</v>
      </c>
      <c r="E31" s="13">
        <f>Reference!C101</f>
        <v>44.892099999999999</v>
      </c>
      <c r="F31" s="13">
        <f>Reference!D101</f>
        <v>47.718400000000003</v>
      </c>
      <c r="G31" s="13">
        <f>Reference!E101</f>
        <v>48.500900000000001</v>
      </c>
      <c r="H31" s="13">
        <f>Reference!F101</f>
        <v>85313.195000000007</v>
      </c>
      <c r="I31" s="13">
        <f>Reference!G101</f>
        <v>13.57</v>
      </c>
      <c r="J31" s="14">
        <f t="shared" si="7"/>
        <v>23.698109722222224</v>
      </c>
      <c r="L31" s="12">
        <f>Test!B101</f>
        <v>5566.0720000000001</v>
      </c>
      <c r="M31" s="13">
        <f>Test!C101</f>
        <v>44.892099999999999</v>
      </c>
      <c r="N31" s="13">
        <f>Test!D101</f>
        <v>47.718400000000003</v>
      </c>
      <c r="O31" s="13">
        <f>Test!E101</f>
        <v>48.500900000000001</v>
      </c>
      <c r="P31" s="13">
        <f>Test!F101</f>
        <v>90759.923999999999</v>
      </c>
      <c r="Q31" s="13">
        <f>Test!G101</f>
        <v>14.457000000000001</v>
      </c>
      <c r="R31" s="14">
        <f t="shared" si="8"/>
        <v>25.211089999999999</v>
      </c>
      <c r="S31" s="17">
        <f t="shared" si="2"/>
        <v>1.0638439223850424</v>
      </c>
      <c r="T31" s="18">
        <f t="shared" si="2"/>
        <v>1.065364775239499</v>
      </c>
      <c r="U31" s="91"/>
      <c r="V31" s="37">
        <f>bdrate($D31:$D34,E31:E34,$L31:$L34,M31:M34)</f>
        <v>0</v>
      </c>
      <c r="W31" s="42">
        <f>bdrate($D31:$D34,F31:F34,$L31:$L34,N31:N34)</f>
        <v>0</v>
      </c>
      <c r="X31" s="42">
        <f>bdrate($D31:$D34,G31:G34,$L31:$L34,O31:O34)</f>
        <v>0</v>
      </c>
      <c r="Y31" s="40">
        <f>bdrateOld($D31:$D34,E31:E34,$L31:$L34,M31:M34)</f>
        <v>0</v>
      </c>
      <c r="Z31" s="44">
        <f>bdrateOld($D31:$D34,F31:F34,$L31:$L34,N31:N34)</f>
        <v>0</v>
      </c>
      <c r="AA31" s="45">
        <f>bdrateOld($D31:$D34,G31:G34,$L31:$L34,O31:O34)</f>
        <v>0</v>
      </c>
    </row>
    <row r="32" spans="1:27" x14ac:dyDescent="0.2">
      <c r="A32" s="16"/>
      <c r="B32" s="85"/>
      <c r="C32" s="16">
        <v>48</v>
      </c>
      <c r="D32" s="17">
        <f>Reference!B102</f>
        <v>3415.596</v>
      </c>
      <c r="E32" s="18">
        <f>Reference!C102</f>
        <v>42.653599999999997</v>
      </c>
      <c r="F32" s="18">
        <f>Reference!D102</f>
        <v>46.141599999999997</v>
      </c>
      <c r="G32" s="18">
        <f>Reference!E102</f>
        <v>46.721499999999999</v>
      </c>
      <c r="H32" s="18">
        <f>Reference!F102</f>
        <v>58453.275999999998</v>
      </c>
      <c r="I32" s="18">
        <f>Reference!G102</f>
        <v>12.337</v>
      </c>
      <c r="J32" s="19">
        <f t="shared" si="7"/>
        <v>16.237021111111112</v>
      </c>
      <c r="L32" s="17">
        <f>Test!B102</f>
        <v>3415.596</v>
      </c>
      <c r="M32" s="18">
        <f>Test!C102</f>
        <v>42.653599999999997</v>
      </c>
      <c r="N32" s="18">
        <f>Test!D102</f>
        <v>46.141599999999997</v>
      </c>
      <c r="O32" s="18">
        <f>Test!E102</f>
        <v>46.721499999999999</v>
      </c>
      <c r="P32" s="18">
        <f>Test!F102</f>
        <v>62945.53</v>
      </c>
      <c r="Q32" s="18">
        <f>Test!G102</f>
        <v>13.744999999999999</v>
      </c>
      <c r="R32" s="19">
        <f t="shared" si="8"/>
        <v>17.484869444444445</v>
      </c>
      <c r="S32" s="17">
        <f t="shared" si="2"/>
        <v>1.0768520484634601</v>
      </c>
      <c r="T32" s="18">
        <f t="shared" si="2"/>
        <v>1.1141282321471995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1909.672</v>
      </c>
      <c r="E33" s="18">
        <f>Reference!C103</f>
        <v>39.828000000000003</v>
      </c>
      <c r="F33" s="18">
        <f>Reference!D103</f>
        <v>44.597700000000003</v>
      </c>
      <c r="G33" s="18">
        <f>Reference!E103</f>
        <v>44.932899999999997</v>
      </c>
      <c r="H33" s="18">
        <f>Reference!F103</f>
        <v>36076.461000000003</v>
      </c>
      <c r="I33" s="18">
        <f>Reference!G103</f>
        <v>10.744</v>
      </c>
      <c r="J33" s="19">
        <f t="shared" si="7"/>
        <v>10.021239166666668</v>
      </c>
      <c r="L33" s="17">
        <f>Test!B103</f>
        <v>1909.672</v>
      </c>
      <c r="M33" s="18">
        <f>Test!C103</f>
        <v>39.828000000000003</v>
      </c>
      <c r="N33" s="18">
        <f>Test!D103</f>
        <v>44.597700000000003</v>
      </c>
      <c r="O33" s="18">
        <f>Test!E103</f>
        <v>44.932899999999997</v>
      </c>
      <c r="P33" s="18">
        <f>Test!F103</f>
        <v>38610.874000000003</v>
      </c>
      <c r="Q33" s="18">
        <f>Test!G103</f>
        <v>11.211</v>
      </c>
      <c r="R33" s="19">
        <f t="shared" si="8"/>
        <v>10.725242777777778</v>
      </c>
      <c r="S33" s="17">
        <f t="shared" si="2"/>
        <v>1.0702511535153074</v>
      </c>
      <c r="T33" s="18">
        <f t="shared" si="2"/>
        <v>1.0434661206254654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Reference!B104</f>
        <v>971.29600000000005</v>
      </c>
      <c r="E34" s="23">
        <f>Reference!C104</f>
        <v>36.645699999999998</v>
      </c>
      <c r="F34" s="23">
        <f>Reference!D104</f>
        <v>42.763199999999998</v>
      </c>
      <c r="G34" s="23">
        <f>Reference!E104</f>
        <v>42.836799999999997</v>
      </c>
      <c r="H34" s="23">
        <f>Reference!F104</f>
        <v>20634.775000000001</v>
      </c>
      <c r="I34" s="23">
        <f>Reference!G104</f>
        <v>9.8330000000000002</v>
      </c>
      <c r="J34" s="24">
        <f t="shared" si="7"/>
        <v>5.7318819444444449</v>
      </c>
      <c r="L34" s="22">
        <f>Test!B104</f>
        <v>971.29600000000005</v>
      </c>
      <c r="M34" s="23">
        <f>Test!C104</f>
        <v>36.645699999999998</v>
      </c>
      <c r="N34" s="23">
        <f>Test!D104</f>
        <v>42.763199999999998</v>
      </c>
      <c r="O34" s="23">
        <f>Test!E104</f>
        <v>42.836799999999997</v>
      </c>
      <c r="P34" s="23">
        <f>Test!F104</f>
        <v>21438.857</v>
      </c>
      <c r="Q34" s="23">
        <f>Test!G104</f>
        <v>11.54</v>
      </c>
      <c r="R34" s="24">
        <f t="shared" si="8"/>
        <v>5.9552380555555553</v>
      </c>
      <c r="S34" s="17">
        <f t="shared" si="2"/>
        <v>1.0389673257886263</v>
      </c>
      <c r="T34" s="18">
        <f t="shared" si="2"/>
        <v>1.1735991050544086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4089.3679999999999</v>
      </c>
      <c r="E35" s="13">
        <f>Reference!C105</f>
        <v>38.606299999999997</v>
      </c>
      <c r="F35" s="13">
        <f>Reference!D105</f>
        <v>46.226999999999997</v>
      </c>
      <c r="G35" s="13">
        <f>Reference!E105</f>
        <v>46.453200000000002</v>
      </c>
      <c r="H35" s="13">
        <f>Reference!F105</f>
        <v>54193.563000000002</v>
      </c>
      <c r="I35" s="13">
        <f>Reference!G105</f>
        <v>5.5949999999999998</v>
      </c>
      <c r="J35" s="14">
        <f t="shared" si="7"/>
        <v>15.053767500000001</v>
      </c>
      <c r="L35" s="12">
        <f>Test!B105</f>
        <v>4089.3679999999999</v>
      </c>
      <c r="M35" s="13">
        <f>Test!C105</f>
        <v>38.606299999999997</v>
      </c>
      <c r="N35" s="13">
        <f>Test!D105</f>
        <v>46.226999999999997</v>
      </c>
      <c r="O35" s="13">
        <f>Test!E105</f>
        <v>46.453200000000002</v>
      </c>
      <c r="P35" s="13">
        <f>Test!F105</f>
        <v>58733.796999999999</v>
      </c>
      <c r="Q35" s="13">
        <f>Test!G105</f>
        <v>6.2</v>
      </c>
      <c r="R35" s="14">
        <f t="shared" si="8"/>
        <v>16.314943611111111</v>
      </c>
      <c r="S35" s="12">
        <f t="shared" si="2"/>
        <v>1.0837781047907848</v>
      </c>
      <c r="T35" s="13">
        <f t="shared" si="2"/>
        <v>1.1081322609472744</v>
      </c>
      <c r="U35" s="90"/>
      <c r="V35" s="37">
        <f>bdrate($D35:$D38,E35:E38,$L35:$L38,M35:M38)</f>
        <v>0</v>
      </c>
      <c r="W35" s="42">
        <f>bdrate($D35:$D38,F35:F38,$L35:$L38,N35:N38)</f>
        <v>0</v>
      </c>
      <c r="X35" s="42">
        <f>bdrate($D35:$D38,G35:G38,$L35:$L38,O35:O38)</f>
        <v>0</v>
      </c>
      <c r="Y35" s="40">
        <f>bdrateOld($D35:$D38,E35:E38,$L35:$L38,M35:M38)</f>
        <v>0</v>
      </c>
      <c r="Z35" s="44">
        <f>bdrateOld($D35:$D38,F35:F38,$L35:$L38,N35:N38)</f>
        <v>0</v>
      </c>
      <c r="AA35" s="45">
        <f>bdrateOld($D35:$D38,G35:G38,$L35:$L38,O35:O38)</f>
        <v>0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1777.2</v>
      </c>
      <c r="E36" s="18">
        <f>Reference!C106</f>
        <v>37.101900000000001</v>
      </c>
      <c r="F36" s="18">
        <f>Reference!D106</f>
        <v>45.1783</v>
      </c>
      <c r="G36" s="18">
        <f>Reference!E106</f>
        <v>45.393700000000003</v>
      </c>
      <c r="H36" s="18">
        <f>Reference!F106</f>
        <v>28857.143</v>
      </c>
      <c r="I36" s="18">
        <f>Reference!G106</f>
        <v>4.556</v>
      </c>
      <c r="J36" s="19">
        <f t="shared" si="7"/>
        <v>8.0158730555555557</v>
      </c>
      <c r="L36" s="17">
        <f>Test!B106</f>
        <v>1777.2</v>
      </c>
      <c r="M36" s="18">
        <f>Test!C106</f>
        <v>37.101900000000001</v>
      </c>
      <c r="N36" s="18">
        <f>Test!D106</f>
        <v>45.1783</v>
      </c>
      <c r="O36" s="18">
        <f>Test!E106</f>
        <v>45.393700000000003</v>
      </c>
      <c r="P36" s="18">
        <f>Test!F106</f>
        <v>30905.324000000001</v>
      </c>
      <c r="Q36" s="18">
        <f>Test!G106</f>
        <v>4.7290000000000001</v>
      </c>
      <c r="R36" s="19">
        <f t="shared" si="8"/>
        <v>8.5848122222222223</v>
      </c>
      <c r="S36" s="17">
        <f t="shared" si="2"/>
        <v>1.0709765689555615</v>
      </c>
      <c r="T36" s="18">
        <f t="shared" si="2"/>
        <v>1.0379719051799825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839.98800000000006</v>
      </c>
      <c r="E37" s="18">
        <f>Reference!C107</f>
        <v>35.155099999999997</v>
      </c>
      <c r="F37" s="18">
        <f>Reference!D107</f>
        <v>43.876800000000003</v>
      </c>
      <c r="G37" s="18">
        <f>Reference!E107</f>
        <v>44.140799999999999</v>
      </c>
      <c r="H37" s="18">
        <f>Reference!F107</f>
        <v>16078.487999999999</v>
      </c>
      <c r="I37" s="18">
        <f>Reference!G107</f>
        <v>4.0910000000000002</v>
      </c>
      <c r="J37" s="19">
        <f t="shared" si="7"/>
        <v>4.4662466666666667</v>
      </c>
      <c r="L37" s="17">
        <f>Test!B107</f>
        <v>839.98800000000006</v>
      </c>
      <c r="M37" s="18">
        <f>Test!C107</f>
        <v>35.155099999999997</v>
      </c>
      <c r="N37" s="18">
        <f>Test!D107</f>
        <v>43.876800000000003</v>
      </c>
      <c r="O37" s="18">
        <f>Test!E107</f>
        <v>44.140799999999999</v>
      </c>
      <c r="P37" s="18">
        <f>Test!F107</f>
        <v>16742.579000000002</v>
      </c>
      <c r="Q37" s="18">
        <f>Test!G107</f>
        <v>4.2149999999999999</v>
      </c>
      <c r="R37" s="19">
        <f t="shared" si="8"/>
        <v>4.6507163888888892</v>
      </c>
      <c r="S37" s="17">
        <f t="shared" si="2"/>
        <v>1.0413030752642911</v>
      </c>
      <c r="T37" s="18">
        <f t="shared" si="2"/>
        <v>1.0303104375458323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Reference!B108</f>
        <v>400.084</v>
      </c>
      <c r="E38" s="23">
        <f>Reference!C108</f>
        <v>32.481000000000002</v>
      </c>
      <c r="F38" s="23">
        <f>Reference!D108</f>
        <v>42.230400000000003</v>
      </c>
      <c r="G38" s="23">
        <f>Reference!E108</f>
        <v>42.519199999999998</v>
      </c>
      <c r="H38" s="23">
        <f>Reference!F108</f>
        <v>8058.6180000000004</v>
      </c>
      <c r="I38" s="23">
        <f>Reference!G108</f>
        <v>3.427</v>
      </c>
      <c r="J38" s="24">
        <f t="shared" si="7"/>
        <v>2.238505</v>
      </c>
      <c r="L38" s="22">
        <f>Test!B108</f>
        <v>400.084</v>
      </c>
      <c r="M38" s="23">
        <f>Test!C108</f>
        <v>32.481000000000002</v>
      </c>
      <c r="N38" s="23">
        <f>Test!D108</f>
        <v>42.230400000000003</v>
      </c>
      <c r="O38" s="23">
        <f>Test!E108</f>
        <v>42.519199999999998</v>
      </c>
      <c r="P38" s="23">
        <f>Test!F108</f>
        <v>8464.8809999999994</v>
      </c>
      <c r="Q38" s="23">
        <f>Test!G108</f>
        <v>3.5329999999999999</v>
      </c>
      <c r="R38" s="24">
        <f t="shared" si="8"/>
        <v>2.3513558333333333</v>
      </c>
      <c r="S38" s="17">
        <f t="shared" si="2"/>
        <v>1.0504134828080942</v>
      </c>
      <c r="T38" s="18">
        <f t="shared" si="2"/>
        <v>1.0309308433031805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2425.9920000000002</v>
      </c>
      <c r="E39" s="13">
        <f>Reference!C109</f>
        <v>40.654299999999999</v>
      </c>
      <c r="F39" s="13">
        <f>Reference!D109</f>
        <v>46.145200000000003</v>
      </c>
      <c r="G39" s="13">
        <f>Reference!E109</f>
        <v>47.328400000000002</v>
      </c>
      <c r="H39" s="13">
        <f>Reference!F109</f>
        <v>43269.548999999999</v>
      </c>
      <c r="I39" s="13">
        <f>Reference!G109</f>
        <v>5.657</v>
      </c>
      <c r="J39" s="14">
        <f t="shared" si="7"/>
        <v>12.019319166666666</v>
      </c>
      <c r="L39" s="12">
        <f>Test!B109</f>
        <v>2425.9920000000002</v>
      </c>
      <c r="M39" s="13">
        <f>Test!C109</f>
        <v>40.654299999999999</v>
      </c>
      <c r="N39" s="13">
        <f>Test!D109</f>
        <v>46.145200000000003</v>
      </c>
      <c r="O39" s="13">
        <f>Test!E109</f>
        <v>47.328400000000002</v>
      </c>
      <c r="P39" s="13">
        <f>Test!F109</f>
        <v>46129.343000000001</v>
      </c>
      <c r="Q39" s="13">
        <f>Test!G109</f>
        <v>6.0369999999999999</v>
      </c>
      <c r="R39" s="14">
        <f t="shared" si="8"/>
        <v>12.813706388888889</v>
      </c>
      <c r="S39" s="17">
        <f t="shared" si="2"/>
        <v>1.0660925308003557</v>
      </c>
      <c r="T39" s="18">
        <f t="shared" si="2"/>
        <v>1.067173413470037</v>
      </c>
      <c r="U39" s="91"/>
      <c r="V39" s="37">
        <f>bdrate($D39:$D42,E39:E42,$L39:$L42,M39:M42)</f>
        <v>0</v>
      </c>
      <c r="W39" s="42">
        <f>bdrate($D39:$D42,F39:F42,$L39:$L42,N39:N42)</f>
        <v>0</v>
      </c>
      <c r="X39" s="42">
        <f>bdrate($D39:$D42,G39:G42,$L39:$L42,O39:O42)</f>
        <v>0</v>
      </c>
      <c r="Y39" s="40">
        <f>bdrateOld($D39:$D42,E39:E42,$L39:$L42,M39:M42)</f>
        <v>0</v>
      </c>
      <c r="Z39" s="44">
        <f>bdrateOld($D39:$D42,F39:F42,$L39:$L42,N39:N42)</f>
        <v>0</v>
      </c>
      <c r="AA39" s="45">
        <f>bdrateOld($D39:$D42,G39:G42,$L39:$L42,O39:O42)</f>
        <v>0</v>
      </c>
    </row>
    <row r="40" spans="1:27" x14ac:dyDescent="0.2">
      <c r="A40" s="16"/>
      <c r="B40" s="85"/>
      <c r="C40" s="16">
        <v>32</v>
      </c>
      <c r="D40" s="17">
        <f>Reference!B110</f>
        <v>1089.576</v>
      </c>
      <c r="E40" s="18">
        <f>Reference!C110</f>
        <v>39.504800000000003</v>
      </c>
      <c r="F40" s="18">
        <f>Reference!D110</f>
        <v>45.5672</v>
      </c>
      <c r="G40" s="18">
        <f>Reference!E110</f>
        <v>46.040599999999998</v>
      </c>
      <c r="H40" s="18">
        <f>Reference!F110</f>
        <v>23768.14</v>
      </c>
      <c r="I40" s="18">
        <f>Reference!G110</f>
        <v>5.1929999999999996</v>
      </c>
      <c r="J40" s="19">
        <f t="shared" si="7"/>
        <v>6.6022611111111109</v>
      </c>
      <c r="L40" s="17">
        <f>Test!B110</f>
        <v>1089.576</v>
      </c>
      <c r="M40" s="18">
        <f>Test!C110</f>
        <v>39.504800000000003</v>
      </c>
      <c r="N40" s="18">
        <f>Test!D110</f>
        <v>45.5672</v>
      </c>
      <c r="O40" s="18">
        <f>Test!E110</f>
        <v>46.040599999999998</v>
      </c>
      <c r="P40" s="18">
        <f>Test!F110</f>
        <v>25515.115000000002</v>
      </c>
      <c r="Q40" s="18">
        <f>Test!G110</f>
        <v>5.2370000000000001</v>
      </c>
      <c r="R40" s="19">
        <f t="shared" si="8"/>
        <v>7.0875319444444447</v>
      </c>
      <c r="S40" s="17">
        <f t="shared" si="2"/>
        <v>1.0735007030419714</v>
      </c>
      <c r="T40" s="18">
        <f t="shared" si="2"/>
        <v>1.008472944348161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515.31600000000003</v>
      </c>
      <c r="E41" s="18">
        <f>Reference!C111</f>
        <v>37.945099999999996</v>
      </c>
      <c r="F41" s="18">
        <f>Reference!D111</f>
        <v>44.795999999999999</v>
      </c>
      <c r="G41" s="18">
        <f>Reference!E111</f>
        <v>44.499400000000001</v>
      </c>
      <c r="H41" s="18">
        <f>Reference!F111</f>
        <v>12061.73</v>
      </c>
      <c r="I41" s="18">
        <f>Reference!G111</f>
        <v>4.1689999999999996</v>
      </c>
      <c r="J41" s="19">
        <f t="shared" si="7"/>
        <v>3.3504805555555555</v>
      </c>
      <c r="L41" s="17">
        <f>Test!B111</f>
        <v>515.31600000000003</v>
      </c>
      <c r="M41" s="18">
        <f>Test!C111</f>
        <v>37.945099999999996</v>
      </c>
      <c r="N41" s="18">
        <f>Test!D111</f>
        <v>44.795999999999999</v>
      </c>
      <c r="O41" s="18">
        <f>Test!E111</f>
        <v>44.499400000000001</v>
      </c>
      <c r="P41" s="18">
        <f>Test!F111</f>
        <v>12772.574000000001</v>
      </c>
      <c r="Q41" s="18">
        <f>Test!G111</f>
        <v>4.2210000000000001</v>
      </c>
      <c r="R41" s="19">
        <f t="shared" si="8"/>
        <v>3.5479372222222225</v>
      </c>
      <c r="S41" s="17">
        <f t="shared" si="2"/>
        <v>1.0589338345328574</v>
      </c>
      <c r="T41" s="18">
        <f t="shared" si="2"/>
        <v>1.0124730151115378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Reference!B112</f>
        <v>233.3</v>
      </c>
      <c r="E42" s="23">
        <f>Reference!C112</f>
        <v>35.849200000000003</v>
      </c>
      <c r="F42" s="23">
        <f>Reference!D112</f>
        <v>43.615299999999998</v>
      </c>
      <c r="G42" s="23">
        <f>Reference!E112</f>
        <v>42.397100000000002</v>
      </c>
      <c r="H42" s="23">
        <f>Reference!F112</f>
        <v>5930.5649999999996</v>
      </c>
      <c r="I42" s="23">
        <f>Reference!G112</f>
        <v>3.8180000000000001</v>
      </c>
      <c r="J42" s="24">
        <f t="shared" si="7"/>
        <v>1.6473791666666666</v>
      </c>
      <c r="L42" s="22">
        <f>Test!B112</f>
        <v>233.3</v>
      </c>
      <c r="M42" s="23">
        <f>Test!C112</f>
        <v>35.849200000000003</v>
      </c>
      <c r="N42" s="23">
        <f>Test!D112</f>
        <v>43.615299999999998</v>
      </c>
      <c r="O42" s="23">
        <f>Test!E112</f>
        <v>42.397100000000002</v>
      </c>
      <c r="P42" s="23">
        <f>Test!F112</f>
        <v>6156.8609999999999</v>
      </c>
      <c r="Q42" s="23">
        <f>Test!G112</f>
        <v>3.6549999999999998</v>
      </c>
      <c r="R42" s="24">
        <f t="shared" si="8"/>
        <v>1.7102391666666665</v>
      </c>
      <c r="S42" s="17">
        <f t="shared" si="2"/>
        <v>1.038157578578095</v>
      </c>
      <c r="T42" s="18">
        <f t="shared" si="2"/>
        <v>0.95730749083289679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922.76800000000003</v>
      </c>
      <c r="E43" s="13">
        <f>Reference!C113</f>
        <v>43.542400000000001</v>
      </c>
      <c r="F43" s="13">
        <f>Reference!D113</f>
        <v>47.266100000000002</v>
      </c>
      <c r="G43" s="13">
        <f>Reference!E113</f>
        <v>48.2973</v>
      </c>
      <c r="H43" s="13">
        <f>Reference!F113</f>
        <v>18809.621999999999</v>
      </c>
      <c r="I43" s="13">
        <f>Reference!G113</f>
        <v>4.2729999999999997</v>
      </c>
      <c r="J43" s="14">
        <f t="shared" si="7"/>
        <v>5.2248950000000001</v>
      </c>
      <c r="L43" s="12">
        <f>Test!B113</f>
        <v>922.76800000000003</v>
      </c>
      <c r="M43" s="13">
        <f>Test!C113</f>
        <v>43.542400000000001</v>
      </c>
      <c r="N43" s="13">
        <f>Test!D113</f>
        <v>47.266100000000002</v>
      </c>
      <c r="O43" s="13">
        <f>Test!E113</f>
        <v>48.2973</v>
      </c>
      <c r="P43" s="13">
        <f>Test!F113</f>
        <v>20015.905999999999</v>
      </c>
      <c r="Q43" s="13">
        <f>Test!G113</f>
        <v>4.8730000000000002</v>
      </c>
      <c r="R43" s="14">
        <f t="shared" si="8"/>
        <v>5.559973888888889</v>
      </c>
      <c r="S43" s="17">
        <f t="shared" si="2"/>
        <v>1.0641312196491775</v>
      </c>
      <c r="T43" s="18">
        <f t="shared" si="2"/>
        <v>1.1404165691551604</v>
      </c>
      <c r="U43" s="91"/>
      <c r="V43" s="37">
        <f>bdrate($D43:$D46,E43:E46,$L43:$L46,M43:M46)</f>
        <v>0</v>
      </c>
      <c r="W43" s="42">
        <f>bdrate($D43:$D46,F43:F46,$L43:$L46,N43:N46)</f>
        <v>0</v>
      </c>
      <c r="X43" s="42">
        <f>bdrate($D43:$D46,G43:G46,$L43:$L46,O43:O46)</f>
        <v>0</v>
      </c>
      <c r="Y43" s="40">
        <f>bdrateOld($D43:$D46,E43:E46,$L43:$L46,M43:M46)</f>
        <v>0</v>
      </c>
      <c r="Z43" s="44">
        <f>bdrateOld($D43:$D46,F43:F46,$L43:$L46,N43:N46)</f>
        <v>0</v>
      </c>
      <c r="AA43" s="45">
        <f>bdrateOld($D43:$D46,G43:G46,$L43:$L46,O43:O46)</f>
        <v>0</v>
      </c>
    </row>
    <row r="44" spans="1:27" x14ac:dyDescent="0.2">
      <c r="A44" s="16"/>
      <c r="B44" s="85"/>
      <c r="C44" s="16">
        <v>32</v>
      </c>
      <c r="D44" s="17">
        <f>Reference!B114</f>
        <v>505.84399999999999</v>
      </c>
      <c r="E44" s="18">
        <f>Reference!C114</f>
        <v>42.268099999999997</v>
      </c>
      <c r="F44" s="18">
        <f>Reference!D114</f>
        <v>46.544800000000002</v>
      </c>
      <c r="G44" s="18">
        <f>Reference!E114</f>
        <v>47.351399999999998</v>
      </c>
      <c r="H44" s="18">
        <f>Reference!F114</f>
        <v>10451.950000000001</v>
      </c>
      <c r="I44" s="18">
        <f>Reference!G114</f>
        <v>3.9580000000000002</v>
      </c>
      <c r="J44" s="19">
        <f t="shared" si="7"/>
        <v>2.9033194444444446</v>
      </c>
      <c r="L44" s="17">
        <f>Test!B114</f>
        <v>505.84399999999999</v>
      </c>
      <c r="M44" s="18">
        <f>Test!C114</f>
        <v>42.268099999999997</v>
      </c>
      <c r="N44" s="18">
        <f>Test!D114</f>
        <v>46.544800000000002</v>
      </c>
      <c r="O44" s="18">
        <f>Test!E114</f>
        <v>47.351399999999998</v>
      </c>
      <c r="P44" s="18">
        <f>Test!F114</f>
        <v>10946.06</v>
      </c>
      <c r="Q44" s="18">
        <f>Test!G114</f>
        <v>4.18</v>
      </c>
      <c r="R44" s="19">
        <f t="shared" si="8"/>
        <v>3.040572222222222</v>
      </c>
      <c r="S44" s="17">
        <f t="shared" si="2"/>
        <v>1.0472744320437812</v>
      </c>
      <c r="T44" s="18">
        <f t="shared" si="2"/>
        <v>1.0560889338049519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290.04399999999998</v>
      </c>
      <c r="E45" s="18">
        <f>Reference!C115</f>
        <v>40.489600000000003</v>
      </c>
      <c r="F45" s="18">
        <f>Reference!D115</f>
        <v>45.544800000000002</v>
      </c>
      <c r="G45" s="18">
        <f>Reference!E115</f>
        <v>46.074100000000001</v>
      </c>
      <c r="H45" s="18">
        <f>Reference!F115</f>
        <v>5884.4080000000004</v>
      </c>
      <c r="I45" s="18">
        <f>Reference!G115</f>
        <v>3.6230000000000002</v>
      </c>
      <c r="J45" s="19">
        <f t="shared" si="7"/>
        <v>1.6345577777777778</v>
      </c>
      <c r="L45" s="17">
        <f>Test!B115</f>
        <v>290.04399999999998</v>
      </c>
      <c r="M45" s="18">
        <f>Test!C115</f>
        <v>40.489600000000003</v>
      </c>
      <c r="N45" s="18">
        <f>Test!D115</f>
        <v>45.544800000000002</v>
      </c>
      <c r="O45" s="18">
        <f>Test!E115</f>
        <v>46.074100000000001</v>
      </c>
      <c r="P45" s="18">
        <f>Test!F115</f>
        <v>6156.39</v>
      </c>
      <c r="Q45" s="18">
        <f>Test!G115</f>
        <v>3.661</v>
      </c>
      <c r="R45" s="19">
        <f t="shared" si="8"/>
        <v>1.7101083333333333</v>
      </c>
      <c r="S45" s="17">
        <f t="shared" si="2"/>
        <v>1.0462207923040006</v>
      </c>
      <c r="T45" s="18">
        <f t="shared" si="2"/>
        <v>1.0104885454043611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Reference!B116</f>
        <v>163.44</v>
      </c>
      <c r="E46" s="23">
        <f>Reference!C116</f>
        <v>37.929900000000004</v>
      </c>
      <c r="F46" s="23">
        <f>Reference!D116</f>
        <v>43.895299999999999</v>
      </c>
      <c r="G46" s="23">
        <f>Reference!E116</f>
        <v>43.986699999999999</v>
      </c>
      <c r="H46" s="23">
        <f>Reference!F116</f>
        <v>3435.0320000000002</v>
      </c>
      <c r="I46" s="23">
        <f>Reference!G116</f>
        <v>3.61</v>
      </c>
      <c r="J46" s="24">
        <f t="shared" si="7"/>
        <v>0.95417555555555555</v>
      </c>
      <c r="L46" s="22">
        <f>Test!B116</f>
        <v>163.44</v>
      </c>
      <c r="M46" s="23">
        <f>Test!C116</f>
        <v>37.929900000000004</v>
      </c>
      <c r="N46" s="23">
        <f>Test!D116</f>
        <v>43.895299999999999</v>
      </c>
      <c r="O46" s="23">
        <f>Test!E116</f>
        <v>43.986699999999999</v>
      </c>
      <c r="P46" s="23">
        <f>Test!F116</f>
        <v>3493.527</v>
      </c>
      <c r="Q46" s="23">
        <f>Test!G116</f>
        <v>3.669</v>
      </c>
      <c r="R46" s="24">
        <f t="shared" si="8"/>
        <v>0.97042416666666664</v>
      </c>
      <c r="S46" s="17">
        <f t="shared" si="2"/>
        <v>1.017028953442064</v>
      </c>
      <c r="T46" s="18">
        <f t="shared" si="2"/>
        <v>1.0163434903047093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1282.78</v>
      </c>
      <c r="E47" s="13">
        <f>Reference!C117</f>
        <v>42.9146</v>
      </c>
      <c r="F47" s="13">
        <f>Reference!D117</f>
        <v>49.038800000000002</v>
      </c>
      <c r="G47" s="13">
        <f>Reference!E117</f>
        <v>48.691200000000002</v>
      </c>
      <c r="H47" s="13">
        <f>Reference!F117</f>
        <v>21413.208999999999</v>
      </c>
      <c r="I47" s="13">
        <f>Reference!G117</f>
        <v>4.1909999999999998</v>
      </c>
      <c r="J47" s="14">
        <f>H47/3600</f>
        <v>5.9481136111111113</v>
      </c>
      <c r="L47" s="12">
        <f>Test!B117</f>
        <v>1282.78</v>
      </c>
      <c r="M47" s="13">
        <f>Test!C117</f>
        <v>42.9146</v>
      </c>
      <c r="N47" s="13">
        <f>Test!D117</f>
        <v>49.038800000000002</v>
      </c>
      <c r="O47" s="13">
        <f>Test!E117</f>
        <v>48.691200000000002</v>
      </c>
      <c r="P47" s="13">
        <f>Test!F117</f>
        <v>23308.399000000001</v>
      </c>
      <c r="Q47" s="13">
        <f>Test!G117</f>
        <v>4.3289999999999997</v>
      </c>
      <c r="R47" s="14">
        <f>P47/3600</f>
        <v>6.4745552777777782</v>
      </c>
      <c r="S47" s="17">
        <f t="shared" ref="S47:T62" si="9">P47/H47</f>
        <v>1.0885056508811921</v>
      </c>
      <c r="T47" s="18">
        <f t="shared" si="9"/>
        <v>1.0329277022190408</v>
      </c>
      <c r="U47" s="91"/>
      <c r="V47" s="72">
        <f>bdrate($D47:$D50,E47:E50,$L47:$L50,M47:M50)</f>
        <v>0</v>
      </c>
      <c r="W47" s="73">
        <f>bdrate($D47:$D50,F47:F50,$L47:$L50,N47:N50)</f>
        <v>0</v>
      </c>
      <c r="X47" s="74">
        <f>bdrate($D47:$D50,G47:G50,$L47:$L50,O47:O50)</f>
        <v>0</v>
      </c>
      <c r="Y47" s="37">
        <f>bdrateOld($D47:$D50,E47:E50,$L47:$L50,M47:M50)</f>
        <v>0</v>
      </c>
      <c r="Z47" s="42">
        <f>bdrateOld($D47:$D50,F47:F50,$L47:$L50,N47:N50)</f>
        <v>0</v>
      </c>
      <c r="AA47" s="43">
        <f>bdrateOld($D47:$D50,G47:G50,$L47:$L50,O47:O50)</f>
        <v>0</v>
      </c>
    </row>
    <row r="48" spans="1:27" x14ac:dyDescent="0.2">
      <c r="A48" s="16"/>
      <c r="B48" s="85"/>
      <c r="C48" s="16">
        <v>32</v>
      </c>
      <c r="D48" s="17">
        <f>Reference!B118</f>
        <v>691.64800000000002</v>
      </c>
      <c r="E48" s="18">
        <f>Reference!C118</f>
        <v>41.625599999999999</v>
      </c>
      <c r="F48" s="18">
        <f>Reference!D118</f>
        <v>48.256599999999999</v>
      </c>
      <c r="G48" s="18">
        <f>Reference!E118</f>
        <v>47.727699999999999</v>
      </c>
      <c r="H48" s="18">
        <f>Reference!F118</f>
        <v>12472.735000000001</v>
      </c>
      <c r="I48" s="18">
        <f>Reference!G118</f>
        <v>3.7519999999999998</v>
      </c>
      <c r="J48" s="19">
        <f t="shared" ref="J48:J70" si="10">H48/3600</f>
        <v>3.4646486111111114</v>
      </c>
      <c r="L48" s="17">
        <f>Test!B118</f>
        <v>691.64800000000002</v>
      </c>
      <c r="M48" s="18">
        <f>Test!C118</f>
        <v>41.625599999999999</v>
      </c>
      <c r="N48" s="18">
        <f>Test!D118</f>
        <v>48.256599999999999</v>
      </c>
      <c r="O48" s="18">
        <f>Test!E118</f>
        <v>47.727699999999999</v>
      </c>
      <c r="P48" s="18">
        <f>Test!F118</f>
        <v>13194.079</v>
      </c>
      <c r="Q48" s="18">
        <f>Test!G118</f>
        <v>3.8420000000000001</v>
      </c>
      <c r="R48" s="19">
        <f t="shared" ref="R48:R70" si="11">P48/3600</f>
        <v>3.6650219444444443</v>
      </c>
      <c r="S48" s="17">
        <f t="shared" si="9"/>
        <v>1.0578336667940109</v>
      </c>
      <c r="T48" s="18">
        <f t="shared" si="9"/>
        <v>1.0239872068230278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393.80799999999999</v>
      </c>
      <c r="E49" s="18">
        <f>Reference!C119</f>
        <v>39.769599999999997</v>
      </c>
      <c r="F49" s="18">
        <f>Reference!D119</f>
        <v>47.268000000000001</v>
      </c>
      <c r="G49" s="18">
        <f>Reference!E119</f>
        <v>46.258299999999998</v>
      </c>
      <c r="H49" s="18">
        <f>Reference!F119</f>
        <v>7132.7389999999996</v>
      </c>
      <c r="I49" s="18">
        <f>Reference!G119</f>
        <v>3.581</v>
      </c>
      <c r="J49" s="19">
        <f t="shared" si="10"/>
        <v>1.9813163888888887</v>
      </c>
      <c r="L49" s="17">
        <f>Test!B119</f>
        <v>393.80799999999999</v>
      </c>
      <c r="M49" s="18">
        <f>Test!C119</f>
        <v>39.769599999999997</v>
      </c>
      <c r="N49" s="18">
        <f>Test!D119</f>
        <v>47.268000000000001</v>
      </c>
      <c r="O49" s="18">
        <f>Test!E119</f>
        <v>46.258299999999998</v>
      </c>
      <c r="P49" s="18">
        <f>Test!F119</f>
        <v>7539.5010000000002</v>
      </c>
      <c r="Q49" s="18">
        <f>Test!G119</f>
        <v>3.6619999999999999</v>
      </c>
      <c r="R49" s="19">
        <f t="shared" si="11"/>
        <v>2.0943058333333333</v>
      </c>
      <c r="S49" s="17">
        <f t="shared" si="9"/>
        <v>1.057027461680569</v>
      </c>
      <c r="T49" s="18">
        <f t="shared" si="9"/>
        <v>1.0226193800614354</v>
      </c>
      <c r="U49" s="91"/>
      <c r="V49" s="75"/>
      <c r="W49" s="76"/>
      <c r="X49" s="77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Reference!B120</f>
        <v>219.56</v>
      </c>
      <c r="E50" s="23">
        <f>Reference!C120</f>
        <v>37.060499999999998</v>
      </c>
      <c r="F50" s="23">
        <f>Reference!D120</f>
        <v>45.668500000000002</v>
      </c>
      <c r="G50" s="23">
        <f>Reference!E120</f>
        <v>43.982700000000001</v>
      </c>
      <c r="H50" s="23">
        <f>Reference!F120</f>
        <v>4169.7650000000003</v>
      </c>
      <c r="I50" s="23">
        <f>Reference!G120</f>
        <v>3.5419999999999998</v>
      </c>
      <c r="J50" s="24">
        <f t="shared" si="10"/>
        <v>1.1582680555555556</v>
      </c>
      <c r="L50" s="22">
        <f>Test!B120</f>
        <v>219.56</v>
      </c>
      <c r="M50" s="23">
        <f>Test!C120</f>
        <v>37.060499999999998</v>
      </c>
      <c r="N50" s="23">
        <f>Test!D120</f>
        <v>45.668500000000002</v>
      </c>
      <c r="O50" s="23">
        <f>Test!E120</f>
        <v>43.982700000000001</v>
      </c>
      <c r="P50" s="23">
        <f>Test!F120</f>
        <v>4325.8779999999997</v>
      </c>
      <c r="Q50" s="23">
        <f>Test!G120</f>
        <v>3.5419999999999998</v>
      </c>
      <c r="R50" s="24">
        <f t="shared" si="11"/>
        <v>1.2016327777777778</v>
      </c>
      <c r="S50" s="22">
        <f t="shared" si="9"/>
        <v>1.0374392801512793</v>
      </c>
      <c r="T50" s="23">
        <f t="shared" si="9"/>
        <v>1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>
        <f>GEOMEAN(I3:I18)</f>
        <v>43.951135869855172</v>
      </c>
      <c r="J75" s="15">
        <f>GEOMEAN(J3:J18)</f>
        <v>55.305434604646507</v>
      </c>
      <c r="Q75" s="15">
        <f>GEOMEAN(Q3:Q18)</f>
        <v>45.577923113742756</v>
      </c>
      <c r="R75" s="15">
        <f>GEOMEAN(R3:R18)</f>
        <v>58.943312236241781</v>
      </c>
      <c r="S75" s="15">
        <f>GEOMEAN(S3:S18)</f>
        <v>1.0657779413108461</v>
      </c>
      <c r="T75" s="15">
        <f>GEOMEAN(T3:T18)</f>
        <v>1.0370135426921547</v>
      </c>
      <c r="V75" s="37">
        <f>AVERAGE(V3:V18)</f>
        <v>0</v>
      </c>
      <c r="W75" s="42">
        <f t="shared" ref="W75:AA75" si="16">AVERAGE(W3:W18)</f>
        <v>0</v>
      </c>
      <c r="X75" s="42">
        <f t="shared" si="16"/>
        <v>0</v>
      </c>
      <c r="Y75" s="37">
        <f>AVERAGE(Y3:Y18)</f>
        <v>0</v>
      </c>
      <c r="Z75" s="42">
        <f t="shared" si="16"/>
        <v>0</v>
      </c>
      <c r="AA75" s="43">
        <f t="shared" si="16"/>
        <v>0</v>
      </c>
    </row>
    <row r="76" spans="1:27" x14ac:dyDescent="0.2">
      <c r="B76" s="89" t="s">
        <v>47</v>
      </c>
      <c r="I76" s="15">
        <f>GEOMEAN(I19:I34)</f>
        <v>11.024864826749402</v>
      </c>
      <c r="J76" s="15">
        <f>GEOMEAN(J19:J34)</f>
        <v>13.680315867675628</v>
      </c>
      <c r="Q76" s="15">
        <f>GEOMEAN(Q19:Q34)</f>
        <v>11.601928342270144</v>
      </c>
      <c r="R76" s="15">
        <f>GEOMEAN(R19:R34)</f>
        <v>14.5144256836584</v>
      </c>
      <c r="S76" s="15">
        <f>GEOMEAN(S19:S34)</f>
        <v>1.0609715319478581</v>
      </c>
      <c r="T76" s="15">
        <f>GEOMEAN(T19:T34)</f>
        <v>1.052342003697009</v>
      </c>
      <c r="V76" s="40">
        <f>AVERAGE(V19:V34)</f>
        <v>0</v>
      </c>
      <c r="W76" s="44">
        <f t="shared" ref="W76:AA76" si="17">AVERAGE(W19:W34)</f>
        <v>0</v>
      </c>
      <c r="X76" s="44">
        <f t="shared" si="17"/>
        <v>0</v>
      </c>
      <c r="Y76" s="40">
        <f t="shared" si="17"/>
        <v>0</v>
      </c>
      <c r="Z76" s="44">
        <f t="shared" si="17"/>
        <v>0</v>
      </c>
      <c r="AA76" s="45">
        <f t="shared" si="17"/>
        <v>0</v>
      </c>
    </row>
    <row r="77" spans="1:27" x14ac:dyDescent="0.2">
      <c r="B77" s="89" t="s">
        <v>51</v>
      </c>
      <c r="I77" s="15">
        <f>GEOMEAN(I35:I50)</f>
        <v>4.1373863863082043</v>
      </c>
      <c r="J77" s="15">
        <f>GEOMEAN(J35:J50)</f>
        <v>3.5337496000057675</v>
      </c>
      <c r="Q77" s="15">
        <f>GEOMEAN(Q35:Q50)</f>
        <v>4.2776849177656846</v>
      </c>
      <c r="R77" s="15">
        <f>GEOMEAN(R35:R50)</f>
        <v>3.7316792141841213</v>
      </c>
      <c r="S77" s="15">
        <f>GEOMEAN(S35:S50)</f>
        <v>1.0560112165780029</v>
      </c>
      <c r="T77" s="15">
        <f>GEOMEAN(T35:T50)</f>
        <v>1.033909941774297</v>
      </c>
      <c r="V77" s="40">
        <f>AVERAGE(V35:V50)</f>
        <v>0</v>
      </c>
      <c r="W77" s="44">
        <f t="shared" ref="W77:AA77" si="18">AVERAGE(W35:W50)</f>
        <v>0</v>
      </c>
      <c r="X77" s="44">
        <f t="shared" si="18"/>
        <v>0</v>
      </c>
      <c r="Y77" s="40">
        <f t="shared" si="18"/>
        <v>0</v>
      </c>
      <c r="Z77" s="44">
        <f t="shared" si="18"/>
        <v>0</v>
      </c>
      <c r="AA77" s="45">
        <f t="shared" si="18"/>
        <v>0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12.609266371241503</v>
      </c>
      <c r="J80" s="54">
        <f xml:space="preserve"> GEOMEAN(J3:J50)</f>
        <v>13.879268228285667</v>
      </c>
      <c r="K80" s="4"/>
      <c r="L80" s="4"/>
      <c r="M80" s="4"/>
      <c r="N80" s="4"/>
      <c r="O80" s="4"/>
      <c r="P80" s="4"/>
      <c r="Q80" s="54">
        <f xml:space="preserve"> GEOMEAN(Q3:Q50)</f>
        <v>13.126970247535684</v>
      </c>
      <c r="R80" s="54">
        <f xml:space="preserve"> GEOMEAN(R3:R50)</f>
        <v>14.724692433724796</v>
      </c>
      <c r="S80" s="54">
        <f>GEOMEAN(S3:S50)</f>
        <v>1.0609127362864976</v>
      </c>
      <c r="T80" s="54">
        <f>GEOMEAN(T3:T50)</f>
        <v>1.0410574145276945</v>
      </c>
      <c r="U80" s="4"/>
      <c r="V80" s="41">
        <f>AVERAGE(V3:V50)</f>
        <v>0</v>
      </c>
      <c r="W80" s="46">
        <f t="shared" ref="W80:AA80" si="22">AVERAGE(W3:W50)</f>
        <v>0</v>
      </c>
      <c r="X80" s="47">
        <f t="shared" si="22"/>
        <v>0</v>
      </c>
      <c r="Y80" s="46">
        <f t="shared" si="22"/>
        <v>0</v>
      </c>
      <c r="Z80" s="46">
        <f t="shared" si="22"/>
        <v>0</v>
      </c>
      <c r="AA80" s="47">
        <f t="shared" si="22"/>
        <v>0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zoomScale="85" zoomScaleNormal="85" workbookViewId="0">
      <selection activeCell="I44" sqref="I4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19" width="8.3984375" style="1" customWidth="1"/>
    <col min="20" max="20" width="8.5" style="1" customWidth="1"/>
    <col min="21" max="21" width="7.199218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17070.168000000001</v>
      </c>
      <c r="E3" s="13">
        <f>Reference!C145</f>
        <v>40.171100000000003</v>
      </c>
      <c r="F3" s="13">
        <f>Reference!D145</f>
        <v>48.753500000000003</v>
      </c>
      <c r="G3" s="13">
        <f>Reference!E145</f>
        <v>46.677999999999997</v>
      </c>
      <c r="H3" s="13">
        <f>Reference!F145</f>
        <v>203919.625</v>
      </c>
      <c r="I3" s="13">
        <f>Reference!G145</f>
        <v>27.786999999999999</v>
      </c>
      <c r="J3" s="14">
        <f>H3/3600</f>
        <v>56.644340277777779</v>
      </c>
      <c r="L3" s="12">
        <f>Test!B145</f>
        <v>17070.168000000001</v>
      </c>
      <c r="M3" s="13">
        <f>Test!C145</f>
        <v>40.171100000000003</v>
      </c>
      <c r="N3" s="13">
        <f>Test!D145</f>
        <v>48.753500000000003</v>
      </c>
      <c r="O3" s="13">
        <f>Test!E145</f>
        <v>46.677999999999997</v>
      </c>
      <c r="P3" s="13">
        <f>Test!F145</f>
        <v>218197.875</v>
      </c>
      <c r="Q3" s="13">
        <f>Test!G145</f>
        <v>28.495000000000001</v>
      </c>
      <c r="R3" s="14">
        <f>P3/3600</f>
        <v>60.610520833333332</v>
      </c>
      <c r="S3" s="12">
        <f t="shared" ref="S3:T3" si="0">P3/H3</f>
        <v>1.0700190087148307</v>
      </c>
      <c r="T3" s="13">
        <f t="shared" si="0"/>
        <v>1.0254795407924571</v>
      </c>
      <c r="U3" s="90"/>
      <c r="V3" s="37">
        <f>bdrate($D3:$D6,E3:E6,$L3:$L6,M3:M6)</f>
        <v>0</v>
      </c>
      <c r="W3" s="42">
        <f>bdrate($D3:$D6,F3:F6,$L3:$L6,N3:N6)</f>
        <v>0</v>
      </c>
      <c r="X3" s="43">
        <f>bdrate($D3:$D6,G3:G6,$L3:$L6,O3:O6)</f>
        <v>0</v>
      </c>
      <c r="Y3" s="37">
        <f>bdrateOld($D3:$D6,E3:E6,$L3:$L6,M3:M6)</f>
        <v>0</v>
      </c>
      <c r="Z3" s="42">
        <f>bdrateOld($D3:$D6,F3:F6,$L3:$L6,N3:N6)</f>
        <v>0</v>
      </c>
      <c r="AA3" s="43">
        <f>bdrateOld($D3:$D6,G3:G6,$L3:$L6,O3:O6)</f>
        <v>0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8441.7999999999993</v>
      </c>
      <c r="E4" s="18">
        <f>Reference!C146</f>
        <v>39.565300000000001</v>
      </c>
      <c r="F4" s="18">
        <f>Reference!D146</f>
        <v>47.950200000000002</v>
      </c>
      <c r="G4" s="18">
        <f>Reference!E146</f>
        <v>45.532299999999999</v>
      </c>
      <c r="H4" s="18">
        <f>Reference!F146</f>
        <v>114692.773</v>
      </c>
      <c r="I4" s="18">
        <f>Reference!G146</f>
        <v>24.707999999999998</v>
      </c>
      <c r="J4" s="19">
        <f t="shared" ref="J4:J14" si="1">H4/3600</f>
        <v>31.859103611111113</v>
      </c>
      <c r="L4" s="17">
        <f>Test!B146</f>
        <v>8441.7999999999993</v>
      </c>
      <c r="M4" s="18">
        <f>Test!C146</f>
        <v>39.565300000000001</v>
      </c>
      <c r="N4" s="18">
        <f>Test!D146</f>
        <v>47.950200000000002</v>
      </c>
      <c r="O4" s="18">
        <f>Test!E146</f>
        <v>45.532299999999999</v>
      </c>
      <c r="P4" s="18">
        <f>Test!F146</f>
        <v>122554.359</v>
      </c>
      <c r="Q4" s="18">
        <f>Test!G146</f>
        <v>25.372</v>
      </c>
      <c r="R4" s="19">
        <f t="shared" ref="R4:R14" si="2">P4/3600</f>
        <v>34.042877499999996</v>
      </c>
      <c r="S4" s="17">
        <f t="shared" ref="S4:S26" si="3">P4/H4</f>
        <v>1.0685447373392916</v>
      </c>
      <c r="T4" s="18">
        <f t="shared" ref="T4:T26" si="4">Q4/I4</f>
        <v>1.0268738870001619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4596.96</v>
      </c>
      <c r="E5" s="18">
        <f>Reference!C147</f>
        <v>38.576999999999998</v>
      </c>
      <c r="F5" s="18">
        <f>Reference!D147</f>
        <v>46.903100000000002</v>
      </c>
      <c r="G5" s="18">
        <f>Reference!E147</f>
        <v>44.168100000000003</v>
      </c>
      <c r="H5" s="18">
        <f>Reference!F147</f>
        <v>61833.91</v>
      </c>
      <c r="I5" s="18">
        <f>Reference!G147</f>
        <v>21.664000000000001</v>
      </c>
      <c r="J5" s="19">
        <f t="shared" si="1"/>
        <v>17.176086111111111</v>
      </c>
      <c r="L5" s="17">
        <f>Test!B147</f>
        <v>4596.96</v>
      </c>
      <c r="M5" s="18">
        <f>Test!C147</f>
        <v>38.576999999999998</v>
      </c>
      <c r="N5" s="18">
        <f>Test!D147</f>
        <v>46.903100000000002</v>
      </c>
      <c r="O5" s="18">
        <f>Test!E147</f>
        <v>44.168100000000003</v>
      </c>
      <c r="P5" s="18">
        <f>Test!F147</f>
        <v>64312.847999999998</v>
      </c>
      <c r="Q5" s="18">
        <f>Test!G147</f>
        <v>21.36</v>
      </c>
      <c r="R5" s="19">
        <f t="shared" si="2"/>
        <v>17.86468</v>
      </c>
      <c r="S5" s="17">
        <f t="shared" si="3"/>
        <v>1.0400902676217627</v>
      </c>
      <c r="T5" s="18">
        <f t="shared" si="4"/>
        <v>0.98596750369276209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Reference!B148</f>
        <v>2501.6799999999998</v>
      </c>
      <c r="E6" s="23">
        <f>Reference!C148</f>
        <v>37.0351</v>
      </c>
      <c r="F6" s="23">
        <f>Reference!D148</f>
        <v>45.561399999999999</v>
      </c>
      <c r="G6" s="23">
        <f>Reference!E148</f>
        <v>42.4816</v>
      </c>
      <c r="H6" s="23">
        <f>Reference!F148</f>
        <v>32113.641</v>
      </c>
      <c r="I6" s="23">
        <f>Reference!G148</f>
        <v>18.802</v>
      </c>
      <c r="J6" s="24">
        <f t="shared" si="1"/>
        <v>8.9204558333333335</v>
      </c>
      <c r="L6" s="22">
        <f>Test!B148</f>
        <v>2501.6799999999998</v>
      </c>
      <c r="M6" s="23">
        <f>Test!C148</f>
        <v>37.0351</v>
      </c>
      <c r="N6" s="23">
        <f>Test!D148</f>
        <v>45.561399999999999</v>
      </c>
      <c r="O6" s="23">
        <f>Test!E148</f>
        <v>42.4816</v>
      </c>
      <c r="P6" s="23">
        <f>Test!F148</f>
        <v>33149.476999999999</v>
      </c>
      <c r="Q6" s="23">
        <f>Test!G148</f>
        <v>18.792000000000002</v>
      </c>
      <c r="R6" s="24">
        <f t="shared" si="2"/>
        <v>9.2081880555555546</v>
      </c>
      <c r="S6" s="17">
        <f t="shared" si="3"/>
        <v>1.032255327261085</v>
      </c>
      <c r="T6" s="18">
        <f t="shared" si="4"/>
        <v>0.99946814168705467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91155.728000000003</v>
      </c>
      <c r="E7" s="13">
        <f>Reference!C149</f>
        <v>41.737099999999998</v>
      </c>
      <c r="F7" s="13">
        <f>Reference!D149</f>
        <v>36.691600000000001</v>
      </c>
      <c r="G7" s="13">
        <f>Reference!E149</f>
        <v>37.7104</v>
      </c>
      <c r="H7" s="13">
        <f>Reference!F149</f>
        <v>353513.09399999998</v>
      </c>
      <c r="I7" s="13">
        <f>Reference!G149</f>
        <v>30.756</v>
      </c>
      <c r="J7" s="14">
        <f t="shared" si="1"/>
        <v>98.198081666666667</v>
      </c>
      <c r="L7" s="12">
        <f>Test!B149</f>
        <v>91155.728000000003</v>
      </c>
      <c r="M7" s="13">
        <f>Test!C149</f>
        <v>41.737099999999998</v>
      </c>
      <c r="N7" s="13">
        <f>Test!D149</f>
        <v>36.691600000000001</v>
      </c>
      <c r="O7" s="13">
        <f>Test!E149</f>
        <v>37.7104</v>
      </c>
      <c r="P7" s="13">
        <f>Test!F149</f>
        <v>378760.53100000002</v>
      </c>
      <c r="Q7" s="13">
        <f>Test!G149</f>
        <v>32.911999999999999</v>
      </c>
      <c r="R7" s="14">
        <f t="shared" si="2"/>
        <v>105.21125861111112</v>
      </c>
      <c r="S7" s="17">
        <f t="shared" si="3"/>
        <v>1.0714186756544866</v>
      </c>
      <c r="T7" s="18">
        <f t="shared" si="4"/>
        <v>1.0701001430615165</v>
      </c>
      <c r="U7" s="91"/>
      <c r="V7" s="37">
        <f>bdrate($D7:$D10,E7:E10,$L7:$L10,M7:M10)</f>
        <v>0</v>
      </c>
      <c r="W7" s="42">
        <f>bdrate($D7:$D10,F7:F10,$L7:$L10,N7:N10)</f>
        <v>0</v>
      </c>
      <c r="X7" s="43">
        <f>bdrate($D7:$D10,G7:G10,$L7:$L10,O7:O10)</f>
        <v>0</v>
      </c>
      <c r="Y7" s="37">
        <f>bdrateOld($D7:$D10,E7:E10,$L7:$L10,M7:M10)</f>
        <v>0</v>
      </c>
      <c r="Z7" s="42">
        <f>bdrateOld($D7:$D10,F7:F10,$L7:$L10,N7:N10)</f>
        <v>0</v>
      </c>
      <c r="AA7" s="43">
        <f>bdrateOld($D7:$D10,G7:G10,$L7:$L10,O7:O10)</f>
        <v>0</v>
      </c>
    </row>
    <row r="8" spans="1:27" x14ac:dyDescent="0.2">
      <c r="A8" s="16"/>
      <c r="B8" s="85"/>
      <c r="C8" s="16">
        <v>48</v>
      </c>
      <c r="D8" s="17">
        <f>Reference!B150</f>
        <v>46662.248</v>
      </c>
      <c r="E8" s="18">
        <f>Reference!C150</f>
        <v>38.941600000000001</v>
      </c>
      <c r="F8" s="18">
        <f>Reference!D150</f>
        <v>34.414900000000003</v>
      </c>
      <c r="G8" s="18">
        <f>Reference!E150</f>
        <v>35.797499999999999</v>
      </c>
      <c r="H8" s="18">
        <f>Reference!F150</f>
        <v>245635.21900000001</v>
      </c>
      <c r="I8" s="18">
        <f>Reference!G150</f>
        <v>26.32</v>
      </c>
      <c r="J8" s="19">
        <f t="shared" si="1"/>
        <v>68.232005277777787</v>
      </c>
      <c r="L8" s="17">
        <f>Test!B150</f>
        <v>46662.248</v>
      </c>
      <c r="M8" s="18">
        <f>Test!C150</f>
        <v>38.941600000000001</v>
      </c>
      <c r="N8" s="18">
        <f>Test!D150</f>
        <v>34.414900000000003</v>
      </c>
      <c r="O8" s="18">
        <f>Test!E150</f>
        <v>35.797499999999999</v>
      </c>
      <c r="P8" s="18">
        <f>Test!F150</f>
        <v>262084.17199999999</v>
      </c>
      <c r="Q8" s="18">
        <f>Test!G150</f>
        <v>28.419</v>
      </c>
      <c r="R8" s="19">
        <f t="shared" si="2"/>
        <v>72.801158888888892</v>
      </c>
      <c r="S8" s="17">
        <f t="shared" si="3"/>
        <v>1.0669649615676651</v>
      </c>
      <c r="T8" s="18">
        <f t="shared" si="4"/>
        <v>1.0797492401215805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21694.335999999999</v>
      </c>
      <c r="E9" s="18">
        <f>Reference!C151</f>
        <v>35.843499999999999</v>
      </c>
      <c r="F9" s="18">
        <f>Reference!D151</f>
        <v>32.5105</v>
      </c>
      <c r="G9" s="18">
        <f>Reference!E151</f>
        <v>34.191299999999998</v>
      </c>
      <c r="H9" s="18">
        <f>Reference!F151</f>
        <v>161778.15599999999</v>
      </c>
      <c r="I9" s="18">
        <f>Reference!G151</f>
        <v>22.448</v>
      </c>
      <c r="J9" s="19">
        <f t="shared" si="1"/>
        <v>44.938376666666663</v>
      </c>
      <c r="L9" s="17">
        <f>Test!B151</f>
        <v>21694.335999999999</v>
      </c>
      <c r="M9" s="18">
        <f>Test!C151</f>
        <v>35.843499999999999</v>
      </c>
      <c r="N9" s="18">
        <f>Test!D151</f>
        <v>32.5105</v>
      </c>
      <c r="O9" s="18">
        <f>Test!E151</f>
        <v>34.191299999999998</v>
      </c>
      <c r="P9" s="18">
        <f>Test!F151</f>
        <v>173972.234</v>
      </c>
      <c r="Q9" s="18">
        <f>Test!G151</f>
        <v>23.178000000000001</v>
      </c>
      <c r="R9" s="19">
        <f t="shared" si="2"/>
        <v>48.325620555555552</v>
      </c>
      <c r="S9" s="17">
        <f t="shared" si="3"/>
        <v>1.0753753059220184</v>
      </c>
      <c r="T9" s="18">
        <f t="shared" si="4"/>
        <v>1.0325196008553101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Reference!B152</f>
        <v>9164.4</v>
      </c>
      <c r="E10" s="23">
        <f>Reference!C152</f>
        <v>32.828099999999999</v>
      </c>
      <c r="F10" s="23">
        <f>Reference!D152</f>
        <v>30.808700000000002</v>
      </c>
      <c r="G10" s="23">
        <f>Reference!E152</f>
        <v>32.814</v>
      </c>
      <c r="H10" s="23">
        <f>Reference!F152</f>
        <v>91877.695000000007</v>
      </c>
      <c r="I10" s="23">
        <f>Reference!G152</f>
        <v>19.463999999999999</v>
      </c>
      <c r="J10" s="24">
        <f t="shared" si="1"/>
        <v>25.521581944444446</v>
      </c>
      <c r="L10" s="22">
        <f>Test!B152</f>
        <v>9164.4</v>
      </c>
      <c r="M10" s="23">
        <f>Test!C152</f>
        <v>32.828099999999999</v>
      </c>
      <c r="N10" s="23">
        <f>Test!D152</f>
        <v>30.808700000000002</v>
      </c>
      <c r="O10" s="23">
        <f>Test!E152</f>
        <v>32.814</v>
      </c>
      <c r="P10" s="23">
        <f>Test!F152</f>
        <v>98734.608999999997</v>
      </c>
      <c r="Q10" s="23">
        <f>Test!G152</f>
        <v>19.248999999999999</v>
      </c>
      <c r="R10" s="24">
        <f t="shared" si="2"/>
        <v>27.426280277777778</v>
      </c>
      <c r="S10" s="17">
        <f t="shared" si="3"/>
        <v>1.0746308883782945</v>
      </c>
      <c r="T10" s="18">
        <f t="shared" si="4"/>
        <v>0.98895396629675303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45095.807999999997</v>
      </c>
      <c r="E11" s="13">
        <f>Reference!C153</f>
        <v>38.879199999999997</v>
      </c>
      <c r="F11" s="13">
        <f>Reference!D153</f>
        <v>41.2179</v>
      </c>
      <c r="G11" s="13">
        <f>Reference!E153</f>
        <v>41.491399999999999</v>
      </c>
      <c r="H11" s="13">
        <f>Reference!F153</f>
        <v>188482.40599999999</v>
      </c>
      <c r="I11" s="13">
        <f>Reference!G153</f>
        <v>16.978999999999999</v>
      </c>
      <c r="J11" s="14">
        <f t="shared" si="1"/>
        <v>52.356223888888884</v>
      </c>
      <c r="L11" s="12">
        <f>Test!B153</f>
        <v>45095.807999999997</v>
      </c>
      <c r="M11" s="13">
        <f>Test!C153</f>
        <v>38.879199999999997</v>
      </c>
      <c r="N11" s="13">
        <f>Test!D153</f>
        <v>41.2179</v>
      </c>
      <c r="O11" s="13">
        <f>Test!E153</f>
        <v>41.491399999999999</v>
      </c>
      <c r="P11" s="13">
        <f>Test!F153</f>
        <v>204024.016</v>
      </c>
      <c r="Q11" s="13">
        <f>Test!G153</f>
        <v>18.602</v>
      </c>
      <c r="R11" s="14">
        <f t="shared" si="2"/>
        <v>56.673337777777782</v>
      </c>
      <c r="S11" s="17">
        <f t="shared" si="3"/>
        <v>1.0824565556532635</v>
      </c>
      <c r="T11" s="18">
        <f t="shared" si="4"/>
        <v>1.0955886683550269</v>
      </c>
      <c r="U11" s="91"/>
      <c r="V11" s="37">
        <f>bdrate($D11:$D14,E11:E14,$L11:$L14,M11:M14)</f>
        <v>0</v>
      </c>
      <c r="W11" s="42">
        <f>bdrate($D11:$D14,F11:F14,$L11:$L14,N11:N14)</f>
        <v>0</v>
      </c>
      <c r="X11" s="43">
        <f>bdrate($D11:$D14,G11:G14,$L11:$L14,O11:O14)</f>
        <v>0</v>
      </c>
      <c r="Y11" s="37">
        <f>bdrateOld($D11:$D14,E11:E14,$L11:$L14,M11:M14)</f>
        <v>0</v>
      </c>
      <c r="Z11" s="42">
        <f>bdrateOld($D11:$D14,F11:F14,$L11:$L14,N11:N14)</f>
        <v>0</v>
      </c>
      <c r="AA11" s="43">
        <f>bdrateOld($D11:$D14,G11:G14,$L11:$L14,O11:O14)</f>
        <v>0</v>
      </c>
    </row>
    <row r="12" spans="1:27" x14ac:dyDescent="0.2">
      <c r="A12" s="34"/>
      <c r="B12" s="83"/>
      <c r="C12" s="16">
        <v>48</v>
      </c>
      <c r="D12" s="17">
        <f>Reference!B154</f>
        <v>22161.552</v>
      </c>
      <c r="E12" s="18">
        <f>Reference!C154</f>
        <v>37.521299999999997</v>
      </c>
      <c r="F12" s="18">
        <f>Reference!D154</f>
        <v>38.649900000000002</v>
      </c>
      <c r="G12" s="18">
        <f>Reference!E154</f>
        <v>40.113100000000003</v>
      </c>
      <c r="H12" s="18">
        <f>Reference!F154</f>
        <v>115579.961</v>
      </c>
      <c r="I12" s="18">
        <f>Reference!G154</f>
        <v>13.746</v>
      </c>
      <c r="J12" s="19">
        <f t="shared" si="1"/>
        <v>32.10554472222222</v>
      </c>
      <c r="L12" s="17">
        <f>Test!B154</f>
        <v>22161.552</v>
      </c>
      <c r="M12" s="18">
        <f>Test!C154</f>
        <v>37.521299999999997</v>
      </c>
      <c r="N12" s="18">
        <f>Test!D154</f>
        <v>38.649900000000002</v>
      </c>
      <c r="O12" s="18">
        <f>Test!E154</f>
        <v>40.113100000000003</v>
      </c>
      <c r="P12" s="18">
        <f>Test!F154</f>
        <v>123059.344</v>
      </c>
      <c r="Q12" s="18">
        <f>Test!G154</f>
        <v>15.14</v>
      </c>
      <c r="R12" s="19">
        <f t="shared" si="2"/>
        <v>34.183151111111108</v>
      </c>
      <c r="S12" s="17">
        <f t="shared" si="3"/>
        <v>1.0647117626212039</v>
      </c>
      <c r="T12" s="18">
        <f t="shared" si="4"/>
        <v>1.1014113196566273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11565.152</v>
      </c>
      <c r="E13" s="18">
        <f>Reference!C155</f>
        <v>35.9681</v>
      </c>
      <c r="F13" s="18">
        <f>Reference!D155</f>
        <v>36.411900000000003</v>
      </c>
      <c r="G13" s="18">
        <f>Reference!E155</f>
        <v>38.676000000000002</v>
      </c>
      <c r="H13" s="18">
        <f>Reference!F155</f>
        <v>73237.960999999996</v>
      </c>
      <c r="I13" s="18">
        <f>Reference!G155</f>
        <v>12.053000000000001</v>
      </c>
      <c r="J13" s="19">
        <f t="shared" si="1"/>
        <v>20.343878055555553</v>
      </c>
      <c r="L13" s="17">
        <f>Test!B155</f>
        <v>11565.152</v>
      </c>
      <c r="M13" s="18">
        <f>Test!C155</f>
        <v>35.9681</v>
      </c>
      <c r="N13" s="18">
        <f>Test!D155</f>
        <v>36.411900000000003</v>
      </c>
      <c r="O13" s="18">
        <f>Test!E155</f>
        <v>38.676000000000002</v>
      </c>
      <c r="P13" s="18">
        <f>Test!F155</f>
        <v>78155.75</v>
      </c>
      <c r="Q13" s="18">
        <f>Test!G155</f>
        <v>12.43</v>
      </c>
      <c r="R13" s="19">
        <f t="shared" si="2"/>
        <v>21.709930555555555</v>
      </c>
      <c r="S13" s="17">
        <f t="shared" si="3"/>
        <v>1.0671480873149923</v>
      </c>
      <c r="T13" s="18">
        <f t="shared" si="4"/>
        <v>1.0312785198705716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Reference!B156</f>
        <v>5673.8720000000003</v>
      </c>
      <c r="E14" s="23">
        <f>Reference!C156</f>
        <v>34.048499999999997</v>
      </c>
      <c r="F14" s="23">
        <f>Reference!D156</f>
        <v>33.981999999999999</v>
      </c>
      <c r="G14" s="23">
        <f>Reference!E156</f>
        <v>36.909500000000001</v>
      </c>
      <c r="H14" s="23">
        <f>Reference!F156</f>
        <v>43574.535000000003</v>
      </c>
      <c r="I14" s="23">
        <f>Reference!G156</f>
        <v>10.784000000000001</v>
      </c>
      <c r="J14" s="24">
        <f t="shared" si="1"/>
        <v>12.1040375</v>
      </c>
      <c r="L14" s="22">
        <f>Test!B156</f>
        <v>5673.8720000000003</v>
      </c>
      <c r="M14" s="23">
        <f>Test!C156</f>
        <v>34.048499999999997</v>
      </c>
      <c r="N14" s="23">
        <f>Test!D156</f>
        <v>33.981999999999999</v>
      </c>
      <c r="O14" s="23">
        <f>Test!E156</f>
        <v>36.909500000000001</v>
      </c>
      <c r="P14" s="23">
        <f>Test!F156</f>
        <v>45778.788999999997</v>
      </c>
      <c r="Q14" s="23">
        <f>Test!G156</f>
        <v>11.1</v>
      </c>
      <c r="R14" s="24">
        <f t="shared" si="2"/>
        <v>12.716330277777777</v>
      </c>
      <c r="S14" s="17">
        <f t="shared" si="3"/>
        <v>1.0505858295447099</v>
      </c>
      <c r="T14" s="18">
        <f t="shared" si="4"/>
        <v>1.0293026706231454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24500.968000000001</v>
      </c>
      <c r="E15" s="13">
        <f>Reference!C157</f>
        <v>37.540300000000002</v>
      </c>
      <c r="F15" s="13">
        <f>Reference!D157</f>
        <v>45.035699999999999</v>
      </c>
      <c r="G15" s="13">
        <f>Reference!E157</f>
        <v>42.8018</v>
      </c>
      <c r="H15" s="13">
        <f>Reference!F157</f>
        <v>274301.06199999998</v>
      </c>
      <c r="I15" s="13">
        <f>Reference!G157</f>
        <v>27.655999999999999</v>
      </c>
      <c r="J15" s="14">
        <f>H15/3600</f>
        <v>76.194739444444437</v>
      </c>
      <c r="L15" s="12">
        <f>Test!B157</f>
        <v>24500.968000000001</v>
      </c>
      <c r="M15" s="13">
        <f>Test!C157</f>
        <v>37.540300000000002</v>
      </c>
      <c r="N15" s="13">
        <f>Test!D157</f>
        <v>45.035699999999999</v>
      </c>
      <c r="O15" s="13">
        <f>Test!E157</f>
        <v>42.8018</v>
      </c>
      <c r="P15" s="13">
        <f>Test!F157</f>
        <v>295832.56199999998</v>
      </c>
      <c r="Q15" s="13">
        <f>Test!G157</f>
        <v>29.152999999999999</v>
      </c>
      <c r="R15" s="14">
        <f>P15/3600</f>
        <v>82.175711666666658</v>
      </c>
      <c r="S15" s="17">
        <f t="shared" si="3"/>
        <v>1.0784958681640102</v>
      </c>
      <c r="T15" s="18">
        <f t="shared" si="4"/>
        <v>1.0541293028637546</v>
      </c>
      <c r="U15" s="91"/>
      <c r="V15" s="37">
        <f>bdrate($D15:$D18,E15:E18,$L15:$L18,M15:M18)</f>
        <v>0</v>
      </c>
      <c r="W15" s="42">
        <f>bdrate($D15:$D18,F15:F18,$L15:$L18,N15:N18)</f>
        <v>0</v>
      </c>
      <c r="X15" s="43">
        <f>bdrate($D15:$D18,G15:G18,$L15:$L18,O15:O18)</f>
        <v>0</v>
      </c>
      <c r="Y15" s="37">
        <f>bdrateOld($D15:$D18,E15:E18,$L15:$L18,M15:M18)</f>
        <v>0</v>
      </c>
      <c r="Z15" s="42">
        <f>bdrateOld($D15:$D18,F15:F18,$L15:$L18,N15:N18)</f>
        <v>0</v>
      </c>
      <c r="AA15" s="43">
        <f>bdrateOld($D15:$D18,G15:G18,$L15:$L18,O15:O18)</f>
        <v>0</v>
      </c>
    </row>
    <row r="16" spans="1:27" x14ac:dyDescent="0.2">
      <c r="A16" s="16"/>
      <c r="B16" s="85"/>
      <c r="C16" s="16">
        <v>48</v>
      </c>
      <c r="D16" s="17">
        <f>Reference!B158</f>
        <v>10320.304</v>
      </c>
      <c r="E16" s="18">
        <f>Reference!C158</f>
        <v>36.917499999999997</v>
      </c>
      <c r="F16" s="18">
        <f>Reference!D158</f>
        <v>44.389299999999999</v>
      </c>
      <c r="G16" s="18">
        <f>Reference!E158</f>
        <v>42.0869</v>
      </c>
      <c r="H16" s="18">
        <f>Reference!F158</f>
        <v>151623.54699999999</v>
      </c>
      <c r="I16" s="18">
        <f>Reference!G158</f>
        <v>23.286999999999999</v>
      </c>
      <c r="J16" s="19">
        <f t="shared" ref="J16:J26" si="5">H16/3600</f>
        <v>42.117651944444439</v>
      </c>
      <c r="L16" s="17">
        <f>Test!B158</f>
        <v>10320.304</v>
      </c>
      <c r="M16" s="18">
        <f>Test!C158</f>
        <v>36.917499999999997</v>
      </c>
      <c r="N16" s="18">
        <f>Test!D158</f>
        <v>44.389299999999999</v>
      </c>
      <c r="O16" s="18">
        <f>Test!E158</f>
        <v>42.0869</v>
      </c>
      <c r="P16" s="18">
        <f>Test!F158</f>
        <v>159648.67199999999</v>
      </c>
      <c r="Q16" s="18">
        <f>Test!G158</f>
        <v>23.504000000000001</v>
      </c>
      <c r="R16" s="19">
        <f t="shared" ref="R16:R26" si="6">P16/3600</f>
        <v>44.346853333333328</v>
      </c>
      <c r="S16" s="17">
        <f t="shared" si="3"/>
        <v>1.0529279597976955</v>
      </c>
      <c r="T16" s="18">
        <f t="shared" si="4"/>
        <v>1.0093185038862886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5155.6880000000001</v>
      </c>
      <c r="E17" s="18">
        <f>Reference!C159</f>
        <v>35.905999999999999</v>
      </c>
      <c r="F17" s="18">
        <f>Reference!D159</f>
        <v>43.4709</v>
      </c>
      <c r="G17" s="18">
        <f>Reference!E159</f>
        <v>41.149099999999997</v>
      </c>
      <c r="H17" s="18">
        <f>Reference!F159</f>
        <v>81867.875</v>
      </c>
      <c r="I17" s="18">
        <f>Reference!G159</f>
        <v>18.448</v>
      </c>
      <c r="J17" s="19">
        <f t="shared" si="5"/>
        <v>22.741076388888889</v>
      </c>
      <c r="L17" s="17">
        <f>Test!B159</f>
        <v>5155.6880000000001</v>
      </c>
      <c r="M17" s="18">
        <f>Test!C159</f>
        <v>35.905999999999999</v>
      </c>
      <c r="N17" s="18">
        <f>Test!D159</f>
        <v>43.4709</v>
      </c>
      <c r="O17" s="18">
        <f>Test!E159</f>
        <v>41.149099999999997</v>
      </c>
      <c r="P17" s="18">
        <f>Test!F159</f>
        <v>86351.039000000004</v>
      </c>
      <c r="Q17" s="18">
        <f>Test!G159</f>
        <v>19.050999999999998</v>
      </c>
      <c r="R17" s="19">
        <f t="shared" si="6"/>
        <v>23.986399722222224</v>
      </c>
      <c r="S17" s="17">
        <f t="shared" si="3"/>
        <v>1.0547609669849132</v>
      </c>
      <c r="T17" s="18">
        <f t="shared" si="4"/>
        <v>1.0326864700780571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Reference!B160</f>
        <v>2560.0880000000002</v>
      </c>
      <c r="E18" s="23">
        <f>Reference!C160</f>
        <v>34.327399999999997</v>
      </c>
      <c r="F18" s="23">
        <f>Reference!D160</f>
        <v>42.154800000000002</v>
      </c>
      <c r="G18" s="23">
        <f>Reference!E160</f>
        <v>40.0107</v>
      </c>
      <c r="H18" s="23">
        <f>Reference!F160</f>
        <v>41587.559000000001</v>
      </c>
      <c r="I18" s="23">
        <f>Reference!G160</f>
        <v>14.887</v>
      </c>
      <c r="J18" s="24">
        <f t="shared" si="5"/>
        <v>11.552099722222222</v>
      </c>
      <c r="L18" s="22">
        <f>Test!B160</f>
        <v>2560.0880000000002</v>
      </c>
      <c r="M18" s="23">
        <f>Test!C160</f>
        <v>34.327399999999997</v>
      </c>
      <c r="N18" s="23">
        <f>Test!D160</f>
        <v>42.154800000000002</v>
      </c>
      <c r="O18" s="23">
        <f>Test!E160</f>
        <v>40.0107</v>
      </c>
      <c r="P18" s="23">
        <f>Test!F160</f>
        <v>42869.858999999997</v>
      </c>
      <c r="Q18" s="23">
        <f>Test!G160</f>
        <v>15.49</v>
      </c>
      <c r="R18" s="24">
        <f t="shared" si="6"/>
        <v>11.908294166666666</v>
      </c>
      <c r="S18" s="17">
        <f t="shared" si="3"/>
        <v>1.0308337404462713</v>
      </c>
      <c r="T18" s="18">
        <f t="shared" si="4"/>
        <v>1.0405051387116275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7975.5551999999998</v>
      </c>
      <c r="E19" s="13">
        <f>Reference!C161</f>
        <v>38.023899999999998</v>
      </c>
      <c r="F19" s="13">
        <f>Reference!D161</f>
        <v>39.7393</v>
      </c>
      <c r="G19" s="13">
        <f>Reference!E161</f>
        <v>42.8294</v>
      </c>
      <c r="H19" s="13">
        <f>Reference!F161</f>
        <v>315817.31199999998</v>
      </c>
      <c r="I19" s="13">
        <f>Reference!G161</f>
        <v>25.189</v>
      </c>
      <c r="J19" s="14">
        <f t="shared" si="5"/>
        <v>87.727031111111103</v>
      </c>
      <c r="L19" s="12">
        <f>Test!B161</f>
        <v>7975.5551999999998</v>
      </c>
      <c r="M19" s="13">
        <f>Test!C161</f>
        <v>38.023899999999998</v>
      </c>
      <c r="N19" s="13">
        <f>Test!D161</f>
        <v>39.7393</v>
      </c>
      <c r="O19" s="13">
        <f>Test!E161</f>
        <v>42.8294</v>
      </c>
      <c r="P19" s="13">
        <f>Test!F161</f>
        <v>343987.375</v>
      </c>
      <c r="Q19" s="13">
        <f>Test!G161</f>
        <v>27.777000000000001</v>
      </c>
      <c r="R19" s="14">
        <f t="shared" si="6"/>
        <v>95.552048611111104</v>
      </c>
      <c r="S19" s="12">
        <f t="shared" si="3"/>
        <v>1.0891973363385477</v>
      </c>
      <c r="T19" s="13">
        <f t="shared" si="4"/>
        <v>1.102743260947239</v>
      </c>
      <c r="U19" s="90"/>
      <c r="V19" s="37">
        <f>bdrate($D19:$D22,E19:E22,$L19:$L22,M19:M22)</f>
        <v>0</v>
      </c>
      <c r="W19" s="42">
        <f>bdrate($D19:$D22,F19:F22,$L19:$L22,N19:N22)</f>
        <v>0</v>
      </c>
      <c r="X19" s="43">
        <f>bdrate($D19:$D22,G19:G22,$L19:$L22,O19:O22)</f>
        <v>0</v>
      </c>
      <c r="Y19" s="37">
        <f>bdrateOld($D19:$D22,E19:E22,$L19:$L22,M19:M22)</f>
        <v>0</v>
      </c>
      <c r="Z19" s="42">
        <f>bdrateOld($D19:$D22,F19:F22,$L19:$L22,N19:N22)</f>
        <v>0</v>
      </c>
      <c r="AA19" s="43">
        <f>bdrateOld($D19:$D22,G19:G22,$L19:$L22,O19:O22)</f>
        <v>0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3756.7808</v>
      </c>
      <c r="E20" s="18">
        <f>Reference!C162</f>
        <v>36.681100000000001</v>
      </c>
      <c r="F20" s="18">
        <f>Reference!D162</f>
        <v>39.101199999999999</v>
      </c>
      <c r="G20" s="18">
        <f>Reference!E162</f>
        <v>41.656100000000002</v>
      </c>
      <c r="H20" s="18">
        <f>Reference!F162</f>
        <v>192482</v>
      </c>
      <c r="I20" s="18">
        <f>Reference!G162</f>
        <v>20.878</v>
      </c>
      <c r="J20" s="19">
        <f t="shared" si="5"/>
        <v>53.467222222222219</v>
      </c>
      <c r="L20" s="17">
        <f>Test!B162</f>
        <v>3756.7808</v>
      </c>
      <c r="M20" s="18">
        <f>Test!C162</f>
        <v>36.681100000000001</v>
      </c>
      <c r="N20" s="18">
        <f>Test!D162</f>
        <v>39.101199999999999</v>
      </c>
      <c r="O20" s="18">
        <f>Test!E162</f>
        <v>41.656100000000002</v>
      </c>
      <c r="P20" s="18">
        <f>Test!F162</f>
        <v>213408.65599999999</v>
      </c>
      <c r="Q20" s="18">
        <f>Test!G162</f>
        <v>22.449000000000002</v>
      </c>
      <c r="R20" s="19">
        <f t="shared" si="6"/>
        <v>59.280182222222216</v>
      </c>
      <c r="S20" s="17">
        <f t="shared" si="3"/>
        <v>1.1087200673309712</v>
      </c>
      <c r="T20" s="18">
        <f t="shared" si="4"/>
        <v>1.0752466711370823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1844.6415999999999</v>
      </c>
      <c r="E21" s="18">
        <f>Reference!C163</f>
        <v>34.813000000000002</v>
      </c>
      <c r="F21" s="18">
        <f>Reference!D163</f>
        <v>38.273600000000002</v>
      </c>
      <c r="G21" s="18">
        <f>Reference!E163</f>
        <v>40.192599999999999</v>
      </c>
      <c r="H21" s="18">
        <f>Reference!F163</f>
        <v>117964.93799999999</v>
      </c>
      <c r="I21" s="18">
        <f>Reference!G163</f>
        <v>17.817</v>
      </c>
      <c r="J21" s="19">
        <f t="shared" si="5"/>
        <v>32.76803833333333</v>
      </c>
      <c r="L21" s="17">
        <f>Test!B163</f>
        <v>1844.6415999999999</v>
      </c>
      <c r="M21" s="18">
        <f>Test!C163</f>
        <v>34.813000000000002</v>
      </c>
      <c r="N21" s="18">
        <f>Test!D163</f>
        <v>38.273600000000002</v>
      </c>
      <c r="O21" s="18">
        <f>Test!E163</f>
        <v>40.192599999999999</v>
      </c>
      <c r="P21" s="18">
        <f>Test!F163</f>
        <v>128075.961</v>
      </c>
      <c r="Q21" s="18">
        <f>Test!G163</f>
        <v>17.797999999999998</v>
      </c>
      <c r="R21" s="19">
        <f t="shared" si="6"/>
        <v>35.576655833333334</v>
      </c>
      <c r="S21" s="17">
        <f t="shared" si="3"/>
        <v>1.0857121037100024</v>
      </c>
      <c r="T21" s="18">
        <f t="shared" si="4"/>
        <v>0.99893360273895704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Reference!B164</f>
        <v>881.34720000000004</v>
      </c>
      <c r="E22" s="23">
        <f>Reference!C164</f>
        <v>32.496699999999997</v>
      </c>
      <c r="F22" s="23">
        <f>Reference!D164</f>
        <v>37.268099999999997</v>
      </c>
      <c r="G22" s="23">
        <f>Reference!E164</f>
        <v>38.512099999999997</v>
      </c>
      <c r="H22" s="23">
        <f>Reference!F164</f>
        <v>67245.820000000007</v>
      </c>
      <c r="I22" s="23">
        <f>Reference!G164</f>
        <v>14.164999999999999</v>
      </c>
      <c r="J22" s="24">
        <f t="shared" si="5"/>
        <v>18.679394444444448</v>
      </c>
      <c r="L22" s="22">
        <f>Test!B164</f>
        <v>881.34720000000004</v>
      </c>
      <c r="M22" s="23">
        <f>Test!C164</f>
        <v>32.496699999999997</v>
      </c>
      <c r="N22" s="23">
        <f>Test!D164</f>
        <v>37.268099999999997</v>
      </c>
      <c r="O22" s="23">
        <f>Test!E164</f>
        <v>38.512099999999997</v>
      </c>
      <c r="P22" s="23">
        <f>Test!F164</f>
        <v>70770.164000000004</v>
      </c>
      <c r="Q22" s="23">
        <f>Test!G164</f>
        <v>13.904999999999999</v>
      </c>
      <c r="R22" s="24">
        <f t="shared" si="6"/>
        <v>19.65837888888889</v>
      </c>
      <c r="S22" s="17">
        <f t="shared" si="3"/>
        <v>1.0524098598247444</v>
      </c>
      <c r="T22" s="18">
        <f t="shared" si="4"/>
        <v>0.98164489939992938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9098.1872000000003</v>
      </c>
      <c r="E23" s="13">
        <f>Reference!C165</f>
        <v>38.740400000000001</v>
      </c>
      <c r="F23" s="13">
        <f>Reference!D165</f>
        <v>43.691400000000002</v>
      </c>
      <c r="G23" s="13">
        <f>Reference!E165</f>
        <v>44.623899999999999</v>
      </c>
      <c r="H23" s="13">
        <f>Reference!F165</f>
        <v>340053.84399999998</v>
      </c>
      <c r="I23" s="13">
        <f>Reference!G165</f>
        <v>31.335999999999999</v>
      </c>
      <c r="J23" s="14">
        <f t="shared" si="5"/>
        <v>94.459401111111106</v>
      </c>
      <c r="L23" s="12">
        <f>Test!B165</f>
        <v>9098.1872000000003</v>
      </c>
      <c r="M23" s="13">
        <f>Test!C165</f>
        <v>38.740400000000001</v>
      </c>
      <c r="N23" s="13">
        <f>Test!D165</f>
        <v>43.691400000000002</v>
      </c>
      <c r="O23" s="13">
        <f>Test!E165</f>
        <v>44.623899999999999</v>
      </c>
      <c r="P23" s="13">
        <f>Test!F165</f>
        <v>374425.09399999998</v>
      </c>
      <c r="Q23" s="13">
        <f>Test!G165</f>
        <v>35.561999999999998</v>
      </c>
      <c r="R23" s="14">
        <f t="shared" si="6"/>
        <v>104.00697055555555</v>
      </c>
      <c r="S23" s="17">
        <f t="shared" si="3"/>
        <v>1.1010759049087533</v>
      </c>
      <c r="T23" s="18">
        <f t="shared" si="4"/>
        <v>1.1348608629052845</v>
      </c>
      <c r="U23" s="91"/>
      <c r="V23" s="37">
        <f>bdrate($D23:$D26,E23:E26,$L23:$L26,M23:M26)</f>
        <v>0</v>
      </c>
      <c r="W23" s="42">
        <f>bdrate($D23:$D26,F23:F26,$L23:$L26,N23:N26)</f>
        <v>0</v>
      </c>
      <c r="X23" s="43">
        <f>bdrate($D23:$D26,G23:G26,$L23:$L26,O23:O26)</f>
        <v>0</v>
      </c>
      <c r="Y23" s="37">
        <f>bdrateOld($D23:$D26,E23:E26,$L23:$L26,M23:M26)</f>
        <v>0</v>
      </c>
      <c r="Z23" s="42">
        <f>bdrateOld($D23:$D26,F23:F26,$L23:$L26,N23:N26)</f>
        <v>0</v>
      </c>
      <c r="AA23" s="43">
        <f>bdrateOld($D23:$D26,G23:G26,$L23:$L26,O23:O26)</f>
        <v>0</v>
      </c>
    </row>
    <row r="24" spans="1:27" x14ac:dyDescent="0.2">
      <c r="A24" s="34"/>
      <c r="B24" s="85"/>
      <c r="C24" s="16">
        <v>32</v>
      </c>
      <c r="D24" s="17">
        <f>Reference!B166</f>
        <v>4704.5871999999999</v>
      </c>
      <c r="E24" s="18">
        <f>Reference!C166</f>
        <v>37.535299999999999</v>
      </c>
      <c r="F24" s="18">
        <f>Reference!D166</f>
        <v>42.713700000000003</v>
      </c>
      <c r="G24" s="18">
        <f>Reference!E166</f>
        <v>43.125999999999998</v>
      </c>
      <c r="H24" s="18">
        <f>Reference!F166</f>
        <v>213285.95300000001</v>
      </c>
      <c r="I24" s="18">
        <f>Reference!G166</f>
        <v>26.832000000000001</v>
      </c>
      <c r="J24" s="19">
        <f t="shared" si="5"/>
        <v>59.246098055555557</v>
      </c>
      <c r="L24" s="17">
        <f>Test!B166</f>
        <v>4704.5871999999999</v>
      </c>
      <c r="M24" s="18">
        <f>Test!C166</f>
        <v>37.535299999999999</v>
      </c>
      <c r="N24" s="18">
        <f>Test!D166</f>
        <v>42.713700000000003</v>
      </c>
      <c r="O24" s="18">
        <f>Test!E166</f>
        <v>43.125999999999998</v>
      </c>
      <c r="P24" s="18">
        <f>Test!F166</f>
        <v>233166.56200000001</v>
      </c>
      <c r="Q24" s="18">
        <f>Test!G166</f>
        <v>28.021999999999998</v>
      </c>
      <c r="R24" s="19">
        <f t="shared" si="6"/>
        <v>64.768489444444441</v>
      </c>
      <c r="S24" s="17">
        <f t="shared" si="3"/>
        <v>1.0932110564262054</v>
      </c>
      <c r="T24" s="18">
        <f t="shared" si="4"/>
        <v>1.044350029815146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2397.5680000000002</v>
      </c>
      <c r="E25" s="18">
        <f>Reference!C167</f>
        <v>35.856099999999998</v>
      </c>
      <c r="F25" s="18">
        <f>Reference!D167</f>
        <v>41.487299999999998</v>
      </c>
      <c r="G25" s="18">
        <f>Reference!E167</f>
        <v>41.3994</v>
      </c>
      <c r="H25" s="18">
        <f>Reference!F167</f>
        <v>128304.734</v>
      </c>
      <c r="I25" s="18">
        <f>Reference!G167</f>
        <v>22.25</v>
      </c>
      <c r="J25" s="19">
        <f t="shared" si="5"/>
        <v>35.640203888888891</v>
      </c>
      <c r="L25" s="17">
        <f>Test!B167</f>
        <v>2397.5680000000002</v>
      </c>
      <c r="M25" s="18">
        <f>Test!C167</f>
        <v>35.856099999999998</v>
      </c>
      <c r="N25" s="18">
        <f>Test!D167</f>
        <v>41.487299999999998</v>
      </c>
      <c r="O25" s="18">
        <f>Test!E167</f>
        <v>41.3994</v>
      </c>
      <c r="P25" s="18">
        <f>Test!F167</f>
        <v>137420.984</v>
      </c>
      <c r="Q25" s="18">
        <f>Test!G167</f>
        <v>23.071000000000002</v>
      </c>
      <c r="R25" s="19">
        <f t="shared" si="6"/>
        <v>38.172495555555557</v>
      </c>
      <c r="S25" s="17">
        <f t="shared" si="3"/>
        <v>1.0710515482616565</v>
      </c>
      <c r="T25" s="18">
        <f t="shared" si="4"/>
        <v>1.0368988764044944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Reference!B168</f>
        <v>1187.904</v>
      </c>
      <c r="E26" s="23">
        <f>Reference!C168</f>
        <v>33.766500000000001</v>
      </c>
      <c r="F26" s="23">
        <f>Reference!D168</f>
        <v>40.118299999999998</v>
      </c>
      <c r="G26" s="23">
        <f>Reference!E168</f>
        <v>39.478499999999997</v>
      </c>
      <c r="H26" s="23">
        <f>Reference!F168</f>
        <v>71520.445000000007</v>
      </c>
      <c r="I26" s="23">
        <f>Reference!G168</f>
        <v>18.263999999999999</v>
      </c>
      <c r="J26" s="24">
        <f t="shared" si="5"/>
        <v>19.866790277777781</v>
      </c>
      <c r="L26" s="22">
        <f>Test!B168</f>
        <v>1187.904</v>
      </c>
      <c r="M26" s="23">
        <f>Test!C168</f>
        <v>33.766500000000001</v>
      </c>
      <c r="N26" s="23">
        <f>Test!D168</f>
        <v>40.118299999999998</v>
      </c>
      <c r="O26" s="23">
        <f>Test!E168</f>
        <v>39.478499999999997</v>
      </c>
      <c r="P26" s="23">
        <f>Test!F168</f>
        <v>75389.172000000006</v>
      </c>
      <c r="Q26" s="23">
        <f>Test!G168</f>
        <v>18.408000000000001</v>
      </c>
      <c r="R26" s="24">
        <f t="shared" si="6"/>
        <v>20.941436666666668</v>
      </c>
      <c r="S26" s="17">
        <f t="shared" si="3"/>
        <v>1.0540926024719226</v>
      </c>
      <c r="T26" s="18">
        <f t="shared" si="4"/>
        <v>1.0078843626806835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6358.5087999999996</v>
      </c>
      <c r="E27" s="13">
        <f>Reference!C169</f>
        <v>39.8339</v>
      </c>
      <c r="F27" s="13">
        <f>Reference!D169</f>
        <v>43.804099999999998</v>
      </c>
      <c r="G27" s="13">
        <f>Reference!E169</f>
        <v>44.508299999999998</v>
      </c>
      <c r="H27" s="13">
        <f>Reference!F169</f>
        <v>305559.40600000002</v>
      </c>
      <c r="I27" s="13">
        <f>Reference!G169</f>
        <v>32.112000000000002</v>
      </c>
      <c r="J27" s="14">
        <f>H27/3600</f>
        <v>84.877612777777784</v>
      </c>
      <c r="L27" s="12">
        <f>Test!B169</f>
        <v>6358.5087999999996</v>
      </c>
      <c r="M27" s="13">
        <f>Test!C169</f>
        <v>39.8339</v>
      </c>
      <c r="N27" s="13">
        <f>Test!D169</f>
        <v>43.804099999999998</v>
      </c>
      <c r="O27" s="13">
        <f>Test!E169</f>
        <v>44.508299999999998</v>
      </c>
      <c r="P27" s="13">
        <f>Test!F169</f>
        <v>339079.96899999998</v>
      </c>
      <c r="Q27" s="13">
        <f>Test!G169</f>
        <v>33.944000000000003</v>
      </c>
      <c r="R27" s="14">
        <f>P27/3600</f>
        <v>94.18888027777777</v>
      </c>
      <c r="S27" s="17">
        <f t="shared" ref="S27:T46" si="7">P27/H27</f>
        <v>1.1097022783189989</v>
      </c>
      <c r="T27" s="18">
        <f t="shared" si="7"/>
        <v>1.0570503238664675</v>
      </c>
      <c r="U27" s="91"/>
      <c r="V27" s="37">
        <f>bdrate($D27:$D30,E27:E30,$L27:$L30,M27:M30)</f>
        <v>0</v>
      </c>
      <c r="W27" s="42">
        <f>bdrate($D27:$D30,F27:F30,$L27:$L30,N27:N30)</f>
        <v>0</v>
      </c>
      <c r="X27" s="43">
        <f>bdrate($D27:$D30,G27:G30,$L27:$L30,O27:O30)</f>
        <v>0</v>
      </c>
      <c r="Y27" s="37">
        <f>bdrateOld($D27:$D30,E27:E30,$L27:$L30,M27:M30)</f>
        <v>0</v>
      </c>
      <c r="Z27" s="42">
        <f>bdrateOld($D27:$D30,F27:F30,$L27:$L30,N27:N30)</f>
        <v>0</v>
      </c>
      <c r="AA27" s="43">
        <f>bdrateOld($D27:$D30,G27:G30,$L27:$L30,O27:O30)</f>
        <v>0</v>
      </c>
    </row>
    <row r="28" spans="1:27" x14ac:dyDescent="0.2">
      <c r="A28" s="16"/>
      <c r="B28" s="85"/>
      <c r="C28" s="16">
        <v>48</v>
      </c>
      <c r="D28" s="17">
        <f>Reference!B170</f>
        <v>3030.1968000000002</v>
      </c>
      <c r="E28" s="18">
        <f>Reference!C170</f>
        <v>38.537700000000001</v>
      </c>
      <c r="F28" s="18">
        <f>Reference!D170</f>
        <v>42.933500000000002</v>
      </c>
      <c r="G28" s="18">
        <f>Reference!E170</f>
        <v>43.659799999999997</v>
      </c>
      <c r="H28" s="18">
        <f>Reference!F170</f>
        <v>178516.04699999999</v>
      </c>
      <c r="I28" s="18">
        <f>Reference!G170</f>
        <v>25.238</v>
      </c>
      <c r="J28" s="19">
        <f t="shared" ref="J28:J46" si="8">H28/3600</f>
        <v>49.587790833333329</v>
      </c>
      <c r="L28" s="17">
        <f>Test!B170</f>
        <v>3030.1968000000002</v>
      </c>
      <c r="M28" s="18">
        <f>Test!C170</f>
        <v>38.537700000000001</v>
      </c>
      <c r="N28" s="18">
        <f>Test!D170</f>
        <v>42.933500000000002</v>
      </c>
      <c r="O28" s="18">
        <f>Test!E170</f>
        <v>43.659799999999997</v>
      </c>
      <c r="P28" s="18">
        <f>Test!F170</f>
        <v>193239</v>
      </c>
      <c r="Q28" s="18">
        <f>Test!G170</f>
        <v>27.1</v>
      </c>
      <c r="R28" s="19">
        <f t="shared" ref="R28:R46" si="9">P28/3600</f>
        <v>53.677500000000002</v>
      </c>
      <c r="S28" s="17">
        <f t="shared" si="7"/>
        <v>1.082474115058127</v>
      </c>
      <c r="T28" s="18">
        <f t="shared" si="7"/>
        <v>1.0737776368967431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1462.6768</v>
      </c>
      <c r="E29" s="18">
        <f>Reference!C171</f>
        <v>36.720999999999997</v>
      </c>
      <c r="F29" s="18">
        <f>Reference!D171</f>
        <v>41.8369</v>
      </c>
      <c r="G29" s="18">
        <f>Reference!E171</f>
        <v>42.421599999999998</v>
      </c>
      <c r="H29" s="18">
        <f>Reference!F171</f>
        <v>100943.359</v>
      </c>
      <c r="I29" s="18">
        <f>Reference!G171</f>
        <v>21.579000000000001</v>
      </c>
      <c r="J29" s="19">
        <f t="shared" si="8"/>
        <v>28.039821944444444</v>
      </c>
      <c r="L29" s="17">
        <f>Test!B171</f>
        <v>1462.6768</v>
      </c>
      <c r="M29" s="18">
        <f>Test!C171</f>
        <v>36.720999999999997</v>
      </c>
      <c r="N29" s="18">
        <f>Test!D171</f>
        <v>41.8369</v>
      </c>
      <c r="O29" s="18">
        <f>Test!E171</f>
        <v>42.421599999999998</v>
      </c>
      <c r="P29" s="18">
        <f>Test!F171</f>
        <v>105884.469</v>
      </c>
      <c r="Q29" s="18">
        <f>Test!G171</f>
        <v>21.777000000000001</v>
      </c>
      <c r="R29" s="19">
        <f t="shared" si="9"/>
        <v>29.412352500000001</v>
      </c>
      <c r="S29" s="17">
        <f t="shared" si="7"/>
        <v>1.0489493320704733</v>
      </c>
      <c r="T29" s="18">
        <f t="shared" si="7"/>
        <v>1.0091755873766162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Reference!B172</f>
        <v>686.36800000000005</v>
      </c>
      <c r="E30" s="23">
        <f>Reference!C172</f>
        <v>34.432099999999998</v>
      </c>
      <c r="F30" s="23">
        <f>Reference!D172</f>
        <v>40.6858</v>
      </c>
      <c r="G30" s="23">
        <f>Reference!E172</f>
        <v>41.043599999999998</v>
      </c>
      <c r="H30" s="23">
        <f>Reference!F172</f>
        <v>53545.48</v>
      </c>
      <c r="I30" s="23">
        <f>Reference!G172</f>
        <v>17.419</v>
      </c>
      <c r="J30" s="24">
        <f t="shared" si="8"/>
        <v>14.873744444444446</v>
      </c>
      <c r="L30" s="22">
        <f>Test!B172</f>
        <v>686.36800000000005</v>
      </c>
      <c r="M30" s="23">
        <f>Test!C172</f>
        <v>34.432099999999998</v>
      </c>
      <c r="N30" s="23">
        <f>Test!D172</f>
        <v>40.6858</v>
      </c>
      <c r="O30" s="23">
        <f>Test!E172</f>
        <v>41.043599999999998</v>
      </c>
      <c r="P30" s="23">
        <f>Test!F172</f>
        <v>56264.237999999998</v>
      </c>
      <c r="Q30" s="23">
        <f>Test!G172</f>
        <v>17.887</v>
      </c>
      <c r="R30" s="24">
        <f t="shared" si="9"/>
        <v>15.628954999999999</v>
      </c>
      <c r="S30" s="17">
        <f t="shared" si="7"/>
        <v>1.0507747432649777</v>
      </c>
      <c r="T30" s="18">
        <f t="shared" si="7"/>
        <v>1.0268672139617658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6708.232</v>
      </c>
      <c r="E31" s="13">
        <f>Reference!C173</f>
        <v>43.389400000000002</v>
      </c>
      <c r="F31" s="13">
        <f>Reference!D173</f>
        <v>46.723700000000001</v>
      </c>
      <c r="G31" s="13">
        <f>Reference!E173</f>
        <v>47.319499999999998</v>
      </c>
      <c r="H31" s="13">
        <f>Reference!F173</f>
        <v>256379</v>
      </c>
      <c r="I31" s="13">
        <f>Reference!G173</f>
        <v>32.25</v>
      </c>
      <c r="J31" s="14">
        <f t="shared" si="8"/>
        <v>71.216388888888886</v>
      </c>
      <c r="L31" s="12">
        <f>Test!B173</f>
        <v>6708.232</v>
      </c>
      <c r="M31" s="13">
        <f>Test!C173</f>
        <v>43.389400000000002</v>
      </c>
      <c r="N31" s="13">
        <f>Test!D173</f>
        <v>46.723700000000001</v>
      </c>
      <c r="O31" s="13">
        <f>Test!E173</f>
        <v>47.319499999999998</v>
      </c>
      <c r="P31" s="13">
        <f>Test!F173</f>
        <v>275898.21899999998</v>
      </c>
      <c r="Q31" s="13">
        <f>Test!G173</f>
        <v>36.508000000000003</v>
      </c>
      <c r="R31" s="14">
        <f t="shared" si="9"/>
        <v>76.638394166666657</v>
      </c>
      <c r="S31" s="17">
        <f t="shared" si="7"/>
        <v>1.0761342348632297</v>
      </c>
      <c r="T31" s="18">
        <f t="shared" si="7"/>
        <v>1.132031007751938</v>
      </c>
      <c r="U31" s="91"/>
      <c r="V31" s="37">
        <f>bdrate($D31:$D34,E31:E34,$L31:$L34,M31:M34)</f>
        <v>0</v>
      </c>
      <c r="W31" s="42">
        <f>bdrate($D31:$D34,F31:F34,$L31:$L34,N31:N34)</f>
        <v>0</v>
      </c>
      <c r="X31" s="42">
        <f>bdrate($D31:$D34,G31:G34,$L31:$L34,O31:O34)</f>
        <v>0</v>
      </c>
      <c r="Y31" s="40">
        <f>bdrateOld($D31:$D34,E31:E34,$L31:$L34,M31:M34)</f>
        <v>0</v>
      </c>
      <c r="Z31" s="44">
        <f>bdrateOld($D31:$D34,F31:F34,$L31:$L34,N31:N34)</f>
        <v>0</v>
      </c>
      <c r="AA31" s="45">
        <f>bdrateOld($D31:$D34,G31:G34,$L31:$L34,O31:O34)</f>
        <v>0</v>
      </c>
    </row>
    <row r="32" spans="1:27" x14ac:dyDescent="0.2">
      <c r="A32" s="16"/>
      <c r="B32" s="85"/>
      <c r="C32" s="16">
        <v>48</v>
      </c>
      <c r="D32" s="17">
        <f>Reference!B174</f>
        <v>4085.5455999999999</v>
      </c>
      <c r="E32" s="18">
        <f>Reference!C174</f>
        <v>41.072200000000002</v>
      </c>
      <c r="F32" s="18">
        <f>Reference!D174</f>
        <v>45.262799999999999</v>
      </c>
      <c r="G32" s="18">
        <f>Reference!E174</f>
        <v>45.640799999999999</v>
      </c>
      <c r="H32" s="18">
        <f>Reference!F174</f>
        <v>180170.734</v>
      </c>
      <c r="I32" s="18">
        <f>Reference!G174</f>
        <v>28.957999999999998</v>
      </c>
      <c r="J32" s="19">
        <f t="shared" si="8"/>
        <v>50.047426111111108</v>
      </c>
      <c r="L32" s="17">
        <f>Test!B174</f>
        <v>4085.5455999999999</v>
      </c>
      <c r="M32" s="18">
        <f>Test!C174</f>
        <v>41.072200000000002</v>
      </c>
      <c r="N32" s="18">
        <f>Test!D174</f>
        <v>45.262799999999999</v>
      </c>
      <c r="O32" s="18">
        <f>Test!E174</f>
        <v>45.640799999999999</v>
      </c>
      <c r="P32" s="18">
        <f>Test!F174</f>
        <v>196024.57800000001</v>
      </c>
      <c r="Q32" s="18">
        <f>Test!G174</f>
        <v>30.286999999999999</v>
      </c>
      <c r="R32" s="19">
        <f t="shared" si="9"/>
        <v>54.451271666666671</v>
      </c>
      <c r="S32" s="17">
        <f t="shared" si="7"/>
        <v>1.0879934473708699</v>
      </c>
      <c r="T32" s="18">
        <f t="shared" si="7"/>
        <v>1.0458940534567305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2258.0464000000002</v>
      </c>
      <c r="E33" s="18">
        <f>Reference!C175</f>
        <v>38.269100000000002</v>
      </c>
      <c r="F33" s="18">
        <f>Reference!D175</f>
        <v>43.609499999999997</v>
      </c>
      <c r="G33" s="18">
        <f>Reference!E175</f>
        <v>43.7849</v>
      </c>
      <c r="H33" s="18">
        <f>Reference!F175</f>
        <v>115133.367</v>
      </c>
      <c r="I33" s="18">
        <f>Reference!G175</f>
        <v>24.803000000000001</v>
      </c>
      <c r="J33" s="19">
        <f t="shared" si="8"/>
        <v>31.981490833333332</v>
      </c>
      <c r="L33" s="17">
        <f>Test!B175</f>
        <v>2258.0464000000002</v>
      </c>
      <c r="M33" s="18">
        <f>Test!C175</f>
        <v>38.269100000000002</v>
      </c>
      <c r="N33" s="18">
        <f>Test!D175</f>
        <v>43.609499999999997</v>
      </c>
      <c r="O33" s="18">
        <f>Test!E175</f>
        <v>43.7849</v>
      </c>
      <c r="P33" s="18">
        <f>Test!F175</f>
        <v>120547.352</v>
      </c>
      <c r="Q33" s="18">
        <f>Test!G175</f>
        <v>26.071000000000002</v>
      </c>
      <c r="R33" s="19">
        <f t="shared" si="9"/>
        <v>33.485375555555557</v>
      </c>
      <c r="S33" s="17">
        <f t="shared" si="7"/>
        <v>1.0470235965565047</v>
      </c>
      <c r="T33" s="18">
        <f t="shared" si="7"/>
        <v>1.0511228480425756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Reference!B176</f>
        <v>1174.8208</v>
      </c>
      <c r="E34" s="23">
        <f>Reference!C176</f>
        <v>35.308</v>
      </c>
      <c r="F34" s="23">
        <f>Reference!D176</f>
        <v>41.942399999999999</v>
      </c>
      <c r="G34" s="23">
        <f>Reference!E176</f>
        <v>41.872999999999998</v>
      </c>
      <c r="H34" s="23">
        <f>Reference!F176</f>
        <v>66505.25</v>
      </c>
      <c r="I34" s="23">
        <f>Reference!G176</f>
        <v>20.053000000000001</v>
      </c>
      <c r="J34" s="24">
        <f t="shared" si="8"/>
        <v>18.473680555555557</v>
      </c>
      <c r="L34" s="22">
        <f>Test!B176</f>
        <v>1174.8208</v>
      </c>
      <c r="M34" s="23">
        <f>Test!C176</f>
        <v>35.308</v>
      </c>
      <c r="N34" s="23">
        <f>Test!D176</f>
        <v>41.942399999999999</v>
      </c>
      <c r="O34" s="23">
        <f>Test!E176</f>
        <v>41.872999999999998</v>
      </c>
      <c r="P34" s="23">
        <f>Test!F176</f>
        <v>70165.195000000007</v>
      </c>
      <c r="Q34" s="23">
        <f>Test!G176</f>
        <v>20.603000000000002</v>
      </c>
      <c r="R34" s="24">
        <f t="shared" si="9"/>
        <v>19.490331944444446</v>
      </c>
      <c r="S34" s="17">
        <f t="shared" si="7"/>
        <v>1.0550324222523786</v>
      </c>
      <c r="T34" s="18">
        <f t="shared" si="7"/>
        <v>1.0274273176083379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4672.9567999999999</v>
      </c>
      <c r="E35" s="13">
        <f>Reference!C177</f>
        <v>38.456099999999999</v>
      </c>
      <c r="F35" s="13">
        <f>Reference!D177</f>
        <v>45.520600000000002</v>
      </c>
      <c r="G35" s="13">
        <f>Reference!E177</f>
        <v>45.731099999999998</v>
      </c>
      <c r="H35" s="13">
        <f>Reference!F177</f>
        <v>178096.484</v>
      </c>
      <c r="I35" s="13">
        <f>Reference!G177</f>
        <v>14.079000000000001</v>
      </c>
      <c r="J35" s="14">
        <f t="shared" si="8"/>
        <v>49.471245555555555</v>
      </c>
      <c r="L35" s="12">
        <f>Test!B177</f>
        <v>4672.9567999999999</v>
      </c>
      <c r="M35" s="13">
        <f>Test!C177</f>
        <v>38.456099999999999</v>
      </c>
      <c r="N35" s="13">
        <f>Test!D177</f>
        <v>45.520600000000002</v>
      </c>
      <c r="O35" s="13">
        <f>Test!E177</f>
        <v>45.731099999999998</v>
      </c>
      <c r="P35" s="13">
        <f>Test!F177</f>
        <v>194347.266</v>
      </c>
      <c r="Q35" s="13">
        <f>Test!G177</f>
        <v>15.659000000000001</v>
      </c>
      <c r="R35" s="14">
        <f t="shared" si="9"/>
        <v>53.985351666666666</v>
      </c>
      <c r="S35" s="12">
        <f t="shared" si="7"/>
        <v>1.0912470680779975</v>
      </c>
      <c r="T35" s="13">
        <f t="shared" si="7"/>
        <v>1.1122238795368988</v>
      </c>
      <c r="U35" s="90"/>
      <c r="V35" s="37">
        <f>bdrate($D35:$D38,E35:E38,$L35:$L38,M35:M38)</f>
        <v>0</v>
      </c>
      <c r="W35" s="42">
        <f>bdrate($D35:$D38,F35:F38,$L35:$L38,N35:N38)</f>
        <v>0</v>
      </c>
      <c r="X35" s="42">
        <f>bdrate($D35:$D38,G35:G38,$L35:$L38,O35:O38)</f>
        <v>0</v>
      </c>
      <c r="Y35" s="40">
        <f>bdrateOld($D35:$D38,E35:E38,$L35:$L38,M35:M38)</f>
        <v>0</v>
      </c>
      <c r="Z35" s="44">
        <f>bdrateOld($D35:$D38,F35:F38,$L35:$L38,N35:N38)</f>
        <v>0</v>
      </c>
      <c r="AA35" s="45">
        <f>bdrateOld($D35:$D38,G35:G38,$L35:$L38,O35:O38)</f>
        <v>0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1631.5072</v>
      </c>
      <c r="E36" s="18">
        <f>Reference!C178</f>
        <v>36.460099999999997</v>
      </c>
      <c r="F36" s="18">
        <f>Reference!D178</f>
        <v>44.547899999999998</v>
      </c>
      <c r="G36" s="18">
        <f>Reference!E178</f>
        <v>44.764899999999997</v>
      </c>
      <c r="H36" s="18">
        <f>Reference!F178</f>
        <v>89564.202999999994</v>
      </c>
      <c r="I36" s="18">
        <f>Reference!G178</f>
        <v>10.167</v>
      </c>
      <c r="J36" s="19">
        <f t="shared" si="8"/>
        <v>24.878945277777778</v>
      </c>
      <c r="L36" s="17">
        <f>Test!B178</f>
        <v>1631.5072</v>
      </c>
      <c r="M36" s="18">
        <f>Test!C178</f>
        <v>36.460099999999997</v>
      </c>
      <c r="N36" s="18">
        <f>Test!D178</f>
        <v>44.547899999999998</v>
      </c>
      <c r="O36" s="18">
        <f>Test!E178</f>
        <v>44.764899999999997</v>
      </c>
      <c r="P36" s="18">
        <f>Test!F178</f>
        <v>98540.43</v>
      </c>
      <c r="Q36" s="18">
        <f>Test!G178</f>
        <v>10.866</v>
      </c>
      <c r="R36" s="19">
        <f t="shared" si="9"/>
        <v>27.372341666666664</v>
      </c>
      <c r="S36" s="17">
        <f t="shared" si="7"/>
        <v>1.1002211452716215</v>
      </c>
      <c r="T36" s="18">
        <f t="shared" si="7"/>
        <v>1.0687518442018293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651.71519999999998</v>
      </c>
      <c r="E37" s="18">
        <f>Reference!C179</f>
        <v>34.033799999999999</v>
      </c>
      <c r="F37" s="18">
        <f>Reference!D179</f>
        <v>43.205399999999997</v>
      </c>
      <c r="G37" s="18">
        <f>Reference!E179</f>
        <v>43.345199999999998</v>
      </c>
      <c r="H37" s="18">
        <f>Reference!F179</f>
        <v>51116.722999999998</v>
      </c>
      <c r="I37" s="18">
        <f>Reference!G179</f>
        <v>7.8540000000000001</v>
      </c>
      <c r="J37" s="19">
        <f t="shared" si="8"/>
        <v>14.199089722222222</v>
      </c>
      <c r="L37" s="17">
        <f>Test!B179</f>
        <v>651.71519999999998</v>
      </c>
      <c r="M37" s="18">
        <f>Test!C179</f>
        <v>34.033799999999999</v>
      </c>
      <c r="N37" s="18">
        <f>Test!D179</f>
        <v>43.205399999999997</v>
      </c>
      <c r="O37" s="18">
        <f>Test!E179</f>
        <v>43.345199999999998</v>
      </c>
      <c r="P37" s="18">
        <f>Test!F179</f>
        <v>55357.347999999998</v>
      </c>
      <c r="Q37" s="18">
        <f>Test!G179</f>
        <v>8.0690000000000008</v>
      </c>
      <c r="R37" s="19">
        <f t="shared" si="9"/>
        <v>15.37704111111111</v>
      </c>
      <c r="S37" s="17">
        <f t="shared" si="7"/>
        <v>1.0829596412117419</v>
      </c>
      <c r="T37" s="18">
        <f t="shared" si="7"/>
        <v>1.0273745861981156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Reference!B180</f>
        <v>275.03680000000003</v>
      </c>
      <c r="E38" s="23">
        <f>Reference!C180</f>
        <v>31.0291</v>
      </c>
      <c r="F38" s="23">
        <f>Reference!D180</f>
        <v>41.9285</v>
      </c>
      <c r="G38" s="23">
        <f>Reference!E180</f>
        <v>42.004899999999999</v>
      </c>
      <c r="H38" s="23">
        <f>Reference!F180</f>
        <v>29530.125</v>
      </c>
      <c r="I38" s="23">
        <f>Reference!G180</f>
        <v>6.3630000000000004</v>
      </c>
      <c r="J38" s="24">
        <f t="shared" si="8"/>
        <v>8.2028125000000003</v>
      </c>
      <c r="L38" s="22">
        <f>Test!B180</f>
        <v>275.03680000000003</v>
      </c>
      <c r="M38" s="23">
        <f>Test!C180</f>
        <v>31.0291</v>
      </c>
      <c r="N38" s="23">
        <f>Test!D180</f>
        <v>41.9285</v>
      </c>
      <c r="O38" s="23">
        <f>Test!E180</f>
        <v>42.004899999999999</v>
      </c>
      <c r="P38" s="23">
        <f>Test!F180</f>
        <v>31117.891</v>
      </c>
      <c r="Q38" s="23">
        <f>Test!G180</f>
        <v>6.4480000000000004</v>
      </c>
      <c r="R38" s="24">
        <f t="shared" si="9"/>
        <v>8.6438586111111118</v>
      </c>
      <c r="S38" s="17">
        <f t="shared" si="7"/>
        <v>1.0537676694561908</v>
      </c>
      <c r="T38" s="18">
        <f t="shared" si="7"/>
        <v>1.0133584787050134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3773.4335999999998</v>
      </c>
      <c r="E39" s="13">
        <f>Reference!C181</f>
        <v>40.5336</v>
      </c>
      <c r="F39" s="13">
        <f>Reference!D181</f>
        <v>45.262799999999999</v>
      </c>
      <c r="G39" s="13">
        <f>Reference!E181</f>
        <v>46.059800000000003</v>
      </c>
      <c r="H39" s="13">
        <f>Reference!F181</f>
        <v>153004.45300000001</v>
      </c>
      <c r="I39" s="13">
        <f>Reference!G181</f>
        <v>15.148999999999999</v>
      </c>
      <c r="J39" s="14">
        <f t="shared" si="8"/>
        <v>42.50123694444445</v>
      </c>
      <c r="L39" s="12">
        <f>Test!B181</f>
        <v>3773.4335999999998</v>
      </c>
      <c r="M39" s="13">
        <f>Test!C181</f>
        <v>40.5336</v>
      </c>
      <c r="N39" s="13">
        <f>Test!D181</f>
        <v>45.262799999999999</v>
      </c>
      <c r="O39" s="13">
        <f>Test!E181</f>
        <v>46.059800000000003</v>
      </c>
      <c r="P39" s="13">
        <f>Test!F181</f>
        <v>166142.391</v>
      </c>
      <c r="Q39" s="13">
        <f>Test!G181</f>
        <v>16.2</v>
      </c>
      <c r="R39" s="14">
        <f t="shared" si="9"/>
        <v>46.150664166666665</v>
      </c>
      <c r="S39" s="17">
        <f t="shared" si="7"/>
        <v>1.0858663767125785</v>
      </c>
      <c r="T39" s="18">
        <f t="shared" si="7"/>
        <v>1.0693775166677668</v>
      </c>
      <c r="U39" s="91"/>
      <c r="V39" s="37">
        <f>bdrate($D39:$D42,E39:E42,$L39:$L42,M39:M42)</f>
        <v>0</v>
      </c>
      <c r="W39" s="42">
        <f>bdrate($D39:$D42,F39:F42,$L39:$L42,N39:N42)</f>
        <v>0</v>
      </c>
      <c r="X39" s="42">
        <f>bdrate($D39:$D42,G39:G42,$L39:$L42,O39:O42)</f>
        <v>0</v>
      </c>
      <c r="Y39" s="40">
        <f>bdrateOld($D39:$D42,E39:E42,$L39:$L42,M39:M42)</f>
        <v>0</v>
      </c>
      <c r="Z39" s="44">
        <f>bdrateOld($D39:$D42,F39:F42,$L39:$L42,N39:N42)</f>
        <v>0</v>
      </c>
      <c r="AA39" s="45">
        <f>bdrateOld($D39:$D42,G39:G42,$L39:$L42,O39:O42)</f>
        <v>0</v>
      </c>
    </row>
    <row r="40" spans="1:27" x14ac:dyDescent="0.2">
      <c r="A40" s="16"/>
      <c r="B40" s="85"/>
      <c r="C40" s="16">
        <v>32</v>
      </c>
      <c r="D40" s="17">
        <f>Reference!B182</f>
        <v>1703.84</v>
      </c>
      <c r="E40" s="18">
        <f>Reference!C182</f>
        <v>38.878799999999998</v>
      </c>
      <c r="F40" s="18">
        <f>Reference!D182</f>
        <v>44.4407</v>
      </c>
      <c r="G40" s="18">
        <f>Reference!E182</f>
        <v>44.523299999999999</v>
      </c>
      <c r="H40" s="18">
        <f>Reference!F182</f>
        <v>89647.539000000004</v>
      </c>
      <c r="I40" s="18">
        <f>Reference!G182</f>
        <v>12.471</v>
      </c>
      <c r="J40" s="19">
        <f t="shared" si="8"/>
        <v>24.902094166666668</v>
      </c>
      <c r="L40" s="17">
        <f>Test!B182</f>
        <v>1703.84</v>
      </c>
      <c r="M40" s="18">
        <f>Test!C182</f>
        <v>38.878799999999998</v>
      </c>
      <c r="N40" s="18">
        <f>Test!D182</f>
        <v>44.4407</v>
      </c>
      <c r="O40" s="18">
        <f>Test!E182</f>
        <v>44.523299999999999</v>
      </c>
      <c r="P40" s="18">
        <f>Test!F182</f>
        <v>96380.547000000006</v>
      </c>
      <c r="Q40" s="18">
        <f>Test!G182</f>
        <v>12.731999999999999</v>
      </c>
      <c r="R40" s="19">
        <f t="shared" si="9"/>
        <v>26.772374166666669</v>
      </c>
      <c r="S40" s="17">
        <f t="shared" si="7"/>
        <v>1.0751053299968447</v>
      </c>
      <c r="T40" s="18">
        <f t="shared" si="7"/>
        <v>1.0209285542458504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813.72</v>
      </c>
      <c r="E41" s="18">
        <f>Reference!C183</f>
        <v>36.9131</v>
      </c>
      <c r="F41" s="18">
        <f>Reference!D183</f>
        <v>43.4193</v>
      </c>
      <c r="G41" s="18">
        <f>Reference!E183</f>
        <v>42.713799999999999</v>
      </c>
      <c r="H41" s="18">
        <f>Reference!F183</f>
        <v>49676.906000000003</v>
      </c>
      <c r="I41" s="18">
        <f>Reference!G183</f>
        <v>9.6989999999999998</v>
      </c>
      <c r="J41" s="19">
        <f t="shared" si="8"/>
        <v>13.799140555555557</v>
      </c>
      <c r="L41" s="17">
        <f>Test!B183</f>
        <v>813.72</v>
      </c>
      <c r="M41" s="18">
        <f>Test!C183</f>
        <v>36.9131</v>
      </c>
      <c r="N41" s="18">
        <f>Test!D183</f>
        <v>43.4193</v>
      </c>
      <c r="O41" s="18">
        <f>Test!E183</f>
        <v>42.713799999999999</v>
      </c>
      <c r="P41" s="18">
        <f>Test!F183</f>
        <v>53767.023000000001</v>
      </c>
      <c r="Q41" s="18">
        <f>Test!G183</f>
        <v>10.068</v>
      </c>
      <c r="R41" s="19">
        <f t="shared" si="9"/>
        <v>14.935284166666667</v>
      </c>
      <c r="S41" s="17">
        <f t="shared" si="7"/>
        <v>1.0823343748501566</v>
      </c>
      <c r="T41" s="18">
        <f t="shared" si="7"/>
        <v>1.0380451592947726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Reference!B184</f>
        <v>380.64800000000002</v>
      </c>
      <c r="E42" s="23">
        <f>Reference!C184</f>
        <v>34.6661</v>
      </c>
      <c r="F42" s="23">
        <f>Reference!D184</f>
        <v>42.103299999999997</v>
      </c>
      <c r="G42" s="23">
        <f>Reference!E184</f>
        <v>40.647599999999997</v>
      </c>
      <c r="H42" s="23">
        <f>Reference!F184</f>
        <v>26083.521000000001</v>
      </c>
      <c r="I42" s="23">
        <f>Reference!G184</f>
        <v>7.569</v>
      </c>
      <c r="J42" s="24">
        <f t="shared" si="8"/>
        <v>7.2454225000000001</v>
      </c>
      <c r="L42" s="22">
        <f>Test!B184</f>
        <v>380.64800000000002</v>
      </c>
      <c r="M42" s="23">
        <f>Test!C184</f>
        <v>34.6661</v>
      </c>
      <c r="N42" s="23">
        <f>Test!D184</f>
        <v>42.103299999999997</v>
      </c>
      <c r="O42" s="23">
        <f>Test!E184</f>
        <v>40.647599999999997</v>
      </c>
      <c r="P42" s="23">
        <f>Test!F184</f>
        <v>27447.361000000001</v>
      </c>
      <c r="Q42" s="23">
        <f>Test!G184</f>
        <v>7.7060000000000004</v>
      </c>
      <c r="R42" s="24">
        <f t="shared" si="9"/>
        <v>7.6242669444444449</v>
      </c>
      <c r="S42" s="17">
        <f t="shared" si="7"/>
        <v>1.0522874193250213</v>
      </c>
      <c r="T42" s="18">
        <f t="shared" si="7"/>
        <v>1.0181001453296341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917.99519999999995</v>
      </c>
      <c r="E43" s="13">
        <f>Reference!C185</f>
        <v>42.971499999999999</v>
      </c>
      <c r="F43" s="13">
        <f>Reference!D185</f>
        <v>46.786200000000001</v>
      </c>
      <c r="G43" s="13">
        <f>Reference!E185</f>
        <v>47.612699999999997</v>
      </c>
      <c r="H43" s="13">
        <f>Reference!F185</f>
        <v>59687.188000000002</v>
      </c>
      <c r="I43" s="13">
        <f>Reference!G185</f>
        <v>7.8250000000000002</v>
      </c>
      <c r="J43" s="14">
        <f t="shared" si="8"/>
        <v>16.579774444444446</v>
      </c>
      <c r="L43" s="12">
        <f>Test!B185</f>
        <v>917.99519999999995</v>
      </c>
      <c r="M43" s="13">
        <f>Test!C185</f>
        <v>42.971499999999999</v>
      </c>
      <c r="N43" s="13">
        <f>Test!D185</f>
        <v>46.786200000000001</v>
      </c>
      <c r="O43" s="13">
        <f>Test!E185</f>
        <v>47.612699999999997</v>
      </c>
      <c r="P43" s="13">
        <f>Test!F185</f>
        <v>63337.542999999998</v>
      </c>
      <c r="Q43" s="13">
        <f>Test!G185</f>
        <v>8.52</v>
      </c>
      <c r="R43" s="14">
        <f t="shared" si="9"/>
        <v>17.593761944444445</v>
      </c>
      <c r="S43" s="17">
        <f t="shared" si="7"/>
        <v>1.0611580997918681</v>
      </c>
      <c r="T43" s="18">
        <f t="shared" si="7"/>
        <v>1.0888178913738018</v>
      </c>
      <c r="U43" s="91"/>
      <c r="V43" s="37">
        <f>bdrate($D43:$D46,E43:E46,$L43:$L46,M43:M46)</f>
        <v>0</v>
      </c>
      <c r="W43" s="42">
        <f>bdrate($D43:$D46,F43:F46,$L43:$L46,N43:N46)</f>
        <v>0</v>
      </c>
      <c r="X43" s="42">
        <f>bdrate($D43:$D46,G43:G46,$L43:$L46,O43:O46)</f>
        <v>0</v>
      </c>
      <c r="Y43" s="40">
        <f>bdrateOld($D43:$D46,E43:E46,$L43:$L46,M43:M46)</f>
        <v>0</v>
      </c>
      <c r="Z43" s="44">
        <f>bdrateOld($D43:$D46,F43:F46,$L43:$L46,N43:N46)</f>
        <v>0</v>
      </c>
      <c r="AA43" s="45">
        <f>bdrateOld($D43:$D46,G43:G46,$L43:$L46,O43:O46)</f>
        <v>0</v>
      </c>
    </row>
    <row r="44" spans="1:27" x14ac:dyDescent="0.2">
      <c r="A44" s="16"/>
      <c r="B44" s="85"/>
      <c r="C44" s="16">
        <v>32</v>
      </c>
      <c r="D44" s="17">
        <f>Reference!B186</f>
        <v>468.488</v>
      </c>
      <c r="E44" s="18">
        <f>Reference!C186</f>
        <v>41.298499999999997</v>
      </c>
      <c r="F44" s="18">
        <f>Reference!D186</f>
        <v>45.937600000000003</v>
      </c>
      <c r="G44" s="18">
        <f>Reference!E186</f>
        <v>46.558799999999998</v>
      </c>
      <c r="H44" s="18">
        <f>Reference!F186</f>
        <v>35041.226999999999</v>
      </c>
      <c r="I44" s="18">
        <f>Reference!G186</f>
        <v>6.5789999999999997</v>
      </c>
      <c r="J44" s="19">
        <f t="shared" si="8"/>
        <v>9.7336741666666668</v>
      </c>
      <c r="L44" s="17">
        <f>Test!B186</f>
        <v>468.488</v>
      </c>
      <c r="M44" s="18">
        <f>Test!C186</f>
        <v>41.298499999999997</v>
      </c>
      <c r="N44" s="18">
        <f>Test!D186</f>
        <v>45.937600000000003</v>
      </c>
      <c r="O44" s="18">
        <f>Test!E186</f>
        <v>46.558799999999998</v>
      </c>
      <c r="P44" s="18">
        <f>Test!F186</f>
        <v>37625.714999999997</v>
      </c>
      <c r="Q44" s="18">
        <f>Test!G186</f>
        <v>6.6120000000000001</v>
      </c>
      <c r="R44" s="19">
        <f t="shared" si="9"/>
        <v>10.451587499999999</v>
      </c>
      <c r="S44" s="17">
        <f t="shared" si="7"/>
        <v>1.0737556364678669</v>
      </c>
      <c r="T44" s="18">
        <f t="shared" si="7"/>
        <v>1.0050159598723212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249.78720000000001</v>
      </c>
      <c r="E45" s="18">
        <f>Reference!C187</f>
        <v>39.070500000000003</v>
      </c>
      <c r="F45" s="18">
        <f>Reference!D187</f>
        <v>44.763100000000001</v>
      </c>
      <c r="G45" s="18">
        <f>Reference!E187</f>
        <v>45.157600000000002</v>
      </c>
      <c r="H45" s="18">
        <f>Reference!F187</f>
        <v>20151.692999999999</v>
      </c>
      <c r="I45" s="18">
        <f>Reference!G187</f>
        <v>5.5069999999999997</v>
      </c>
      <c r="J45" s="19">
        <f t="shared" si="8"/>
        <v>5.5976925</v>
      </c>
      <c r="L45" s="17">
        <f>Test!B187</f>
        <v>249.78720000000001</v>
      </c>
      <c r="M45" s="18">
        <f>Test!C187</f>
        <v>39.070500000000003</v>
      </c>
      <c r="N45" s="18">
        <f>Test!D187</f>
        <v>44.763100000000001</v>
      </c>
      <c r="O45" s="18">
        <f>Test!E187</f>
        <v>45.157600000000002</v>
      </c>
      <c r="P45" s="18">
        <f>Test!F187</f>
        <v>21107.01</v>
      </c>
      <c r="Q45" s="18">
        <f>Test!G187</f>
        <v>5.3250000000000002</v>
      </c>
      <c r="R45" s="19">
        <f t="shared" si="9"/>
        <v>5.863058333333333</v>
      </c>
      <c r="S45" s="17">
        <f t="shared" si="7"/>
        <v>1.0474062898834355</v>
      </c>
      <c r="T45" s="18">
        <f t="shared" si="7"/>
        <v>0.96695115307790092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Reference!B188</f>
        <v>135.88319999999999</v>
      </c>
      <c r="E46" s="23">
        <f>Reference!C188</f>
        <v>36.289499999999997</v>
      </c>
      <c r="F46" s="23">
        <f>Reference!D188</f>
        <v>43.033999999999999</v>
      </c>
      <c r="G46" s="23">
        <f>Reference!E188</f>
        <v>43.249200000000002</v>
      </c>
      <c r="H46" s="23">
        <f>Reference!F188</f>
        <v>11772.521000000001</v>
      </c>
      <c r="I46" s="23">
        <f>Reference!G188</f>
        <v>4.7699999999999996</v>
      </c>
      <c r="J46" s="24">
        <f t="shared" si="8"/>
        <v>3.2701447222222222</v>
      </c>
      <c r="L46" s="22">
        <f>Test!B188</f>
        <v>135.88319999999999</v>
      </c>
      <c r="M46" s="23">
        <f>Test!C188</f>
        <v>36.289499999999997</v>
      </c>
      <c r="N46" s="23">
        <f>Test!D188</f>
        <v>43.033999999999999</v>
      </c>
      <c r="O46" s="23">
        <f>Test!E188</f>
        <v>43.249200000000002</v>
      </c>
      <c r="P46" s="23">
        <f>Test!F188</f>
        <v>12200.159</v>
      </c>
      <c r="Q46" s="23">
        <f>Test!G188</f>
        <v>4.6719999999999997</v>
      </c>
      <c r="R46" s="24">
        <f t="shared" si="9"/>
        <v>3.3889330555555555</v>
      </c>
      <c r="S46" s="17">
        <f t="shared" si="7"/>
        <v>1.0363250997810918</v>
      </c>
      <c r="T46" s="18">
        <f t="shared" si="7"/>
        <v>0.97945492662473799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1257.3599999999999</v>
      </c>
      <c r="E47" s="13">
        <f>Reference!C189</f>
        <v>42.676299999999998</v>
      </c>
      <c r="F47" s="13">
        <f>Reference!D189</f>
        <v>48.558199999999999</v>
      </c>
      <c r="G47" s="13">
        <f>Reference!E189</f>
        <v>47.600299999999997</v>
      </c>
      <c r="H47" s="13">
        <f>Reference!F189</f>
        <v>65798.820000000007</v>
      </c>
      <c r="I47" s="13">
        <f>Reference!G189</f>
        <v>8.6999999999999993</v>
      </c>
      <c r="J47" s="14">
        <f>H47/3600</f>
        <v>18.277450000000002</v>
      </c>
      <c r="L47" s="12">
        <f>Test!B189</f>
        <v>1257.3599999999999</v>
      </c>
      <c r="M47" s="13">
        <f>Test!C189</f>
        <v>42.676299999999998</v>
      </c>
      <c r="N47" s="13">
        <f>Test!D189</f>
        <v>48.558199999999999</v>
      </c>
      <c r="O47" s="13">
        <f>Test!E189</f>
        <v>47.600299999999997</v>
      </c>
      <c r="P47" s="13">
        <f>Test!F189</f>
        <v>69471.883000000002</v>
      </c>
      <c r="Q47" s="13">
        <f>Test!G189</f>
        <v>9.1669999999999998</v>
      </c>
      <c r="R47" s="14">
        <f>P47/3600</f>
        <v>19.297745277777778</v>
      </c>
      <c r="S47" s="17">
        <f t="shared" ref="S47:T62" si="10">P47/H47</f>
        <v>1.0558226272142874</v>
      </c>
      <c r="T47" s="18">
        <f t="shared" si="10"/>
        <v>1.0536781609195403</v>
      </c>
      <c r="U47" s="91"/>
      <c r="V47" s="37">
        <f>bdrate($D47:$D50,E47:E50,$L47:$L50,M47:M50)</f>
        <v>0</v>
      </c>
      <c r="W47" s="42">
        <f>bdrate($D47:$D50,F47:F50,$L47:$L50,N47:N50)</f>
        <v>0</v>
      </c>
      <c r="X47" s="43">
        <f>bdrate($D47:$D50,G47:G50,$L47:$L50,O47:O50)</f>
        <v>0</v>
      </c>
      <c r="Y47" s="37">
        <f>bdrateOld($D47:$D50,E47:E50,$L47:$L50,M47:M50)</f>
        <v>0</v>
      </c>
      <c r="Z47" s="42">
        <f>bdrateOld($D47:$D50,F47:F50,$L47:$L50,N47:N50)</f>
        <v>0</v>
      </c>
      <c r="AA47" s="43">
        <f>bdrateOld($D47:$D50,G47:G50,$L47:$L50,O47:O50)</f>
        <v>0</v>
      </c>
    </row>
    <row r="48" spans="1:27" x14ac:dyDescent="0.2">
      <c r="A48" s="16"/>
      <c r="B48" s="85"/>
      <c r="C48" s="16">
        <v>32</v>
      </c>
      <c r="D48" s="17">
        <f>Reference!B190</f>
        <v>606.52</v>
      </c>
      <c r="E48" s="18">
        <f>Reference!C190</f>
        <v>40.899700000000003</v>
      </c>
      <c r="F48" s="18">
        <f>Reference!D190</f>
        <v>47.768500000000003</v>
      </c>
      <c r="G48" s="18">
        <f>Reference!E190</f>
        <v>46.985199999999999</v>
      </c>
      <c r="H48" s="18">
        <f>Reference!F190</f>
        <v>37507.902000000002</v>
      </c>
      <c r="I48" s="18">
        <f>Reference!G190</f>
        <v>6.4989999999999997</v>
      </c>
      <c r="J48" s="19">
        <f t="shared" ref="J48:J70" si="11">H48/3600</f>
        <v>10.418861666666666</v>
      </c>
      <c r="L48" s="17">
        <f>Test!B190</f>
        <v>606.52</v>
      </c>
      <c r="M48" s="18">
        <f>Test!C190</f>
        <v>40.899700000000003</v>
      </c>
      <c r="N48" s="18">
        <f>Test!D190</f>
        <v>47.768500000000003</v>
      </c>
      <c r="O48" s="18">
        <f>Test!E190</f>
        <v>46.985199999999999</v>
      </c>
      <c r="P48" s="18">
        <f>Test!F190</f>
        <v>40245.366999999998</v>
      </c>
      <c r="Q48" s="18">
        <f>Test!G190</f>
        <v>6.7380000000000004</v>
      </c>
      <c r="R48" s="19">
        <f t="shared" ref="R48:R70" si="12">P48/3600</f>
        <v>11.179268611111111</v>
      </c>
      <c r="S48" s="17">
        <f t="shared" si="10"/>
        <v>1.0729836875440273</v>
      </c>
      <c r="T48" s="18">
        <f t="shared" si="10"/>
        <v>1.0367748884443762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322.7072</v>
      </c>
      <c r="E49" s="18">
        <f>Reference!C191</f>
        <v>38.521700000000003</v>
      </c>
      <c r="F49" s="18">
        <f>Reference!D191</f>
        <v>46.616799999999998</v>
      </c>
      <c r="G49" s="18">
        <f>Reference!E191</f>
        <v>45.488500000000002</v>
      </c>
      <c r="H49" s="18">
        <f>Reference!F191</f>
        <v>21859.859</v>
      </c>
      <c r="I49" s="18">
        <f>Reference!G191</f>
        <v>5.5629999999999997</v>
      </c>
      <c r="J49" s="19">
        <f t="shared" si="11"/>
        <v>6.0721830555555556</v>
      </c>
      <c r="L49" s="17">
        <f>Test!B191</f>
        <v>322.7072</v>
      </c>
      <c r="M49" s="18">
        <f>Test!C191</f>
        <v>38.521700000000003</v>
      </c>
      <c r="N49" s="18">
        <f>Test!D191</f>
        <v>46.616799999999998</v>
      </c>
      <c r="O49" s="18">
        <f>Test!E191</f>
        <v>45.488500000000002</v>
      </c>
      <c r="P49" s="18">
        <f>Test!F191</f>
        <v>23567.463</v>
      </c>
      <c r="Q49" s="18">
        <f>Test!G191</f>
        <v>5.819</v>
      </c>
      <c r="R49" s="19">
        <f t="shared" si="12"/>
        <v>6.5465175000000002</v>
      </c>
      <c r="S49" s="17">
        <f t="shared" si="10"/>
        <v>1.0781159658898074</v>
      </c>
      <c r="T49" s="18">
        <f t="shared" si="10"/>
        <v>1.0460183354305232</v>
      </c>
      <c r="U49" s="91"/>
      <c r="V49" s="38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Reference!B192</f>
        <v>176.328</v>
      </c>
      <c r="E50" s="23">
        <f>Reference!C192</f>
        <v>35.425899999999999</v>
      </c>
      <c r="F50" s="23">
        <f>Reference!D192</f>
        <v>45.2301</v>
      </c>
      <c r="G50" s="23">
        <f>Reference!E192</f>
        <v>43.411499999999997</v>
      </c>
      <c r="H50" s="23">
        <f>Reference!F192</f>
        <v>13439.754000000001</v>
      </c>
      <c r="I50" s="23">
        <f>Reference!G192</f>
        <v>5.42</v>
      </c>
      <c r="J50" s="24">
        <f t="shared" si="11"/>
        <v>3.7332650000000003</v>
      </c>
      <c r="L50" s="22">
        <f>Test!B192</f>
        <v>176.328</v>
      </c>
      <c r="M50" s="23">
        <f>Test!C192</f>
        <v>35.425899999999999</v>
      </c>
      <c r="N50" s="23">
        <f>Test!D192</f>
        <v>45.2301</v>
      </c>
      <c r="O50" s="23">
        <f>Test!E192</f>
        <v>43.411499999999997</v>
      </c>
      <c r="P50" s="23">
        <f>Test!F192</f>
        <v>14179.312</v>
      </c>
      <c r="Q50" s="23">
        <f>Test!G192</f>
        <v>5.1719999999999997</v>
      </c>
      <c r="R50" s="24">
        <f t="shared" si="12"/>
        <v>3.9386977777777776</v>
      </c>
      <c r="S50" s="22">
        <f t="shared" si="10"/>
        <v>1.0550276441071762</v>
      </c>
      <c r="T50" s="23">
        <f t="shared" si="10"/>
        <v>0.95424354243542431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19.738056791758993</v>
      </c>
      <c r="J75" s="15">
        <f>GEOMEAN(J3:J18)</f>
        <v>31.037067492533328</v>
      </c>
      <c r="Q75" s="15">
        <f>GEOMEAN(Q3:Q18)</f>
        <v>20.471570737523706</v>
      </c>
      <c r="R75" s="15">
        <f>GEOMEAN(R3:R18)</f>
        <v>32.936885978280529</v>
      </c>
      <c r="S75" s="15">
        <f>GEOMEAN(S3:S18)</f>
        <v>1.0612112753952749</v>
      </c>
      <c r="T75" s="15">
        <f>GEOMEAN(T3:T18)</f>
        <v>1.037162419457166</v>
      </c>
      <c r="V75" s="37">
        <f>AVERAGE(V3:V18)</f>
        <v>0</v>
      </c>
      <c r="W75" s="42">
        <f t="shared" ref="W75:AA75" si="17">AVERAGE(W3:W18)</f>
        <v>0</v>
      </c>
      <c r="X75" s="42">
        <f t="shared" si="17"/>
        <v>0</v>
      </c>
      <c r="Y75" s="37">
        <f>AVERAGE(Y3:Y18)</f>
        <v>0</v>
      </c>
      <c r="Z75" s="42">
        <f t="shared" si="17"/>
        <v>0</v>
      </c>
      <c r="AA75" s="43">
        <f t="shared" si="17"/>
        <v>0</v>
      </c>
    </row>
    <row r="76" spans="1:27" x14ac:dyDescent="0.2">
      <c r="B76" s="89" t="s">
        <v>47</v>
      </c>
      <c r="I76" s="15">
        <f>GEOMEAN(I19:I34)</f>
        <v>23.065255018728433</v>
      </c>
      <c r="J76" s="15">
        <f>GEOMEAN(J19:J34)</f>
        <v>39.947216836380726</v>
      </c>
      <c r="Q76" s="15">
        <f>GEOMEAN(Q19:Q34)</f>
        <v>24.206747999592508</v>
      </c>
      <c r="R76" s="15">
        <f>GEOMEAN(R19:R34)</f>
        <v>42.968641972974723</v>
      </c>
      <c r="S76" s="15">
        <f>GEOMEAN(S19:S34)</f>
        <v>1.0756354353538424</v>
      </c>
      <c r="T76" s="15">
        <f>GEOMEAN(T19:T34)</f>
        <v>1.0494897186238439</v>
      </c>
      <c r="V76" s="38">
        <f>AVERAGE(V19:V34)</f>
        <v>0</v>
      </c>
      <c r="W76" s="25">
        <f t="shared" ref="W76:AA76" si="18">AVERAGE(W19:W34)</f>
        <v>0</v>
      </c>
      <c r="X76" s="25">
        <f t="shared" si="18"/>
        <v>0</v>
      </c>
      <c r="Y76" s="38">
        <f t="shared" si="18"/>
        <v>0</v>
      </c>
      <c r="Z76" s="25">
        <f t="shared" si="18"/>
        <v>0</v>
      </c>
      <c r="AA76" s="50">
        <f t="shared" si="18"/>
        <v>0</v>
      </c>
    </row>
    <row r="77" spans="1:27" x14ac:dyDescent="0.2">
      <c r="B77" s="89" t="s">
        <v>51</v>
      </c>
      <c r="I77" s="15">
        <f>GEOMEAN(I35:I50)</f>
        <v>7.8969156494416755</v>
      </c>
      <c r="J77" s="15">
        <f>GEOMEAN(J35:J50)</f>
        <v>12.034003743104918</v>
      </c>
      <c r="Q77" s="15">
        <f>GEOMEAN(Q35:Q50)</f>
        <v>8.136640820372449</v>
      </c>
      <c r="R77" s="15">
        <f>GEOMEAN(R35:R50)</f>
        <v>12.862962157957949</v>
      </c>
      <c r="S77" s="15">
        <f>GEOMEAN(S35:S50)</f>
        <v>1.0688846731768713</v>
      </c>
      <c r="T77" s="15">
        <f>GEOMEAN(T35:T50)</f>
        <v>1.0303568103766845</v>
      </c>
      <c r="V77" s="38">
        <f>AVERAGE(V35:V50)</f>
        <v>0</v>
      </c>
      <c r="W77" s="25">
        <f t="shared" ref="W77:AA77" si="19">AVERAGE(W35:W50)</f>
        <v>0</v>
      </c>
      <c r="X77" s="25">
        <f t="shared" si="19"/>
        <v>0</v>
      </c>
      <c r="Y77" s="38">
        <f t="shared" si="19"/>
        <v>0</v>
      </c>
      <c r="Z77" s="25">
        <f t="shared" si="19"/>
        <v>0</v>
      </c>
      <c r="AA77" s="50">
        <f t="shared" si="19"/>
        <v>0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15.319339868670507</v>
      </c>
      <c r="J80" s="54">
        <f xml:space="preserve"> GEOMEAN(J3:J50)</f>
        <v>24.618359910655624</v>
      </c>
      <c r="K80" s="4"/>
      <c r="L80" s="4"/>
      <c r="M80" s="4"/>
      <c r="N80" s="4"/>
      <c r="O80" s="4"/>
      <c r="P80" s="4"/>
      <c r="Q80" s="54">
        <f xml:space="preserve"> GEOMEAN(Q3:Q50)</f>
        <v>15.916378323216923</v>
      </c>
      <c r="R80" s="54">
        <f xml:space="preserve"> GEOMEAN(R3:R50)</f>
        <v>26.306216221645876</v>
      </c>
      <c r="S80" s="54">
        <f>GEOMEAN(S3:S50)</f>
        <v>1.068560875586992</v>
      </c>
      <c r="T80" s="54">
        <f>GEOMEAN(T3:T50)</f>
        <v>1.0389728578166357</v>
      </c>
      <c r="U80" s="4"/>
      <c r="V80" s="41">
        <f>AVERAGE(V3:V50)</f>
        <v>0</v>
      </c>
      <c r="W80" s="46">
        <f t="shared" ref="W80:AA80" si="23">AVERAGE(W3:W50)</f>
        <v>0</v>
      </c>
      <c r="X80" s="47">
        <f t="shared" si="23"/>
        <v>0</v>
      </c>
      <c r="Y80" s="46">
        <f t="shared" si="23"/>
        <v>0</v>
      </c>
      <c r="Z80" s="46">
        <f t="shared" si="23"/>
        <v>0</v>
      </c>
      <c r="AA80" s="47">
        <f t="shared" si="23"/>
        <v>0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J288"/>
  <sheetViews>
    <sheetView topLeftCell="A184" workbookViewId="0">
      <selection activeCell="B1" sqref="B1:G192"/>
    </sheetView>
  </sheetViews>
  <sheetFormatPr defaultColWidth="9" defaultRowHeight="15.6" x14ac:dyDescent="0.25"/>
  <cols>
    <col min="1" max="1" width="25" bestFit="1" customWidth="1"/>
    <col min="6" max="6" width="14" customWidth="1"/>
  </cols>
  <sheetData>
    <row r="1" spans="1:10" x14ac:dyDescent="0.25">
      <c r="A1" s="141" t="s">
        <v>190</v>
      </c>
      <c r="B1">
        <v>76202.309200000003</v>
      </c>
      <c r="C1">
        <v>40.811</v>
      </c>
      <c r="D1">
        <v>49.245199999999997</v>
      </c>
      <c r="E1">
        <v>47.749400000000001</v>
      </c>
      <c r="F1">
        <v>129629.383</v>
      </c>
      <c r="G1">
        <v>24.882999999999999</v>
      </c>
      <c r="H1">
        <v>0</v>
      </c>
      <c r="I1" t="s">
        <v>566</v>
      </c>
      <c r="J1" t="s">
        <v>567</v>
      </c>
    </row>
    <row r="2" spans="1:10" x14ac:dyDescent="0.25">
      <c r="A2" s="141" t="s">
        <v>191</v>
      </c>
      <c r="B2">
        <v>41139.580499999996</v>
      </c>
      <c r="C2">
        <v>40.157699999999998</v>
      </c>
      <c r="D2">
        <v>48.549599999999998</v>
      </c>
      <c r="E2">
        <v>46.663200000000003</v>
      </c>
      <c r="F2">
        <v>69066.366999999998</v>
      </c>
      <c r="G2">
        <v>21.675999999999998</v>
      </c>
      <c r="H2">
        <v>0</v>
      </c>
      <c r="I2" t="s">
        <v>568</v>
      </c>
      <c r="J2" t="s">
        <v>569</v>
      </c>
    </row>
    <row r="3" spans="1:10" x14ac:dyDescent="0.25">
      <c r="A3" s="141" t="s">
        <v>192</v>
      </c>
      <c r="B3">
        <v>24713.215100000001</v>
      </c>
      <c r="C3">
        <v>39.433700000000002</v>
      </c>
      <c r="D3">
        <v>47.615099999999998</v>
      </c>
      <c r="E3">
        <v>45.389400000000002</v>
      </c>
      <c r="F3">
        <v>42846.773000000001</v>
      </c>
      <c r="G3">
        <v>20.45</v>
      </c>
      <c r="H3">
        <v>0</v>
      </c>
      <c r="I3" t="s">
        <v>570</v>
      </c>
      <c r="J3" t="s">
        <v>571</v>
      </c>
    </row>
    <row r="4" spans="1:10" x14ac:dyDescent="0.25">
      <c r="A4" s="141" t="s">
        <v>193</v>
      </c>
      <c r="B4">
        <v>14116.813</v>
      </c>
      <c r="C4">
        <v>38.220500000000001</v>
      </c>
      <c r="D4">
        <v>46.123199999999997</v>
      </c>
      <c r="E4">
        <v>43.593800000000002</v>
      </c>
      <c r="F4">
        <v>23882.115000000002</v>
      </c>
      <c r="G4">
        <v>18.581</v>
      </c>
      <c r="H4">
        <v>0</v>
      </c>
      <c r="I4" t="s">
        <v>572</v>
      </c>
      <c r="J4" t="s">
        <v>573</v>
      </c>
    </row>
    <row r="5" spans="1:10" x14ac:dyDescent="0.25">
      <c r="A5" s="141" t="s">
        <v>194</v>
      </c>
      <c r="B5">
        <v>322485.86320000002</v>
      </c>
      <c r="C5">
        <v>44.758600000000001</v>
      </c>
      <c r="D5">
        <v>39.131500000000003</v>
      </c>
      <c r="E5">
        <v>39.621699999999997</v>
      </c>
      <c r="F5">
        <v>197759.15599999999</v>
      </c>
      <c r="G5">
        <v>36.856000000000002</v>
      </c>
      <c r="H5">
        <v>0</v>
      </c>
      <c r="I5" t="s">
        <v>582</v>
      </c>
      <c r="J5" t="s">
        <v>583</v>
      </c>
    </row>
    <row r="6" spans="1:10" x14ac:dyDescent="0.25">
      <c r="A6" s="141" t="s">
        <v>195</v>
      </c>
      <c r="B6">
        <v>205619.13680000001</v>
      </c>
      <c r="C6">
        <v>41.967700000000001</v>
      </c>
      <c r="D6">
        <v>36.638399999999997</v>
      </c>
      <c r="E6">
        <v>37.444800000000001</v>
      </c>
      <c r="F6">
        <v>161612.016</v>
      </c>
      <c r="G6">
        <v>33.124000000000002</v>
      </c>
      <c r="H6">
        <v>0</v>
      </c>
      <c r="I6" t="s">
        <v>584</v>
      </c>
      <c r="J6" t="s">
        <v>585</v>
      </c>
    </row>
    <row r="7" spans="1:10" x14ac:dyDescent="0.25">
      <c r="A7" s="141" t="s">
        <v>196</v>
      </c>
      <c r="B7">
        <v>117444.0105</v>
      </c>
      <c r="C7">
        <v>38.709000000000003</v>
      </c>
      <c r="D7">
        <v>34.3626</v>
      </c>
      <c r="E7">
        <v>35.525500000000001</v>
      </c>
      <c r="F7">
        <v>120584.45299999999</v>
      </c>
      <c r="G7">
        <v>28.446000000000002</v>
      </c>
      <c r="H7">
        <v>0</v>
      </c>
      <c r="I7" t="s">
        <v>586</v>
      </c>
      <c r="J7" t="s">
        <v>587</v>
      </c>
    </row>
    <row r="8" spans="1:10" x14ac:dyDescent="0.25">
      <c r="A8" s="141" t="s">
        <v>197</v>
      </c>
      <c r="B8">
        <v>55569.347399999999</v>
      </c>
      <c r="C8">
        <v>35.227899999999998</v>
      </c>
      <c r="D8">
        <v>32.007800000000003</v>
      </c>
      <c r="E8">
        <v>33.7012</v>
      </c>
      <c r="F8">
        <v>79689.452999999994</v>
      </c>
      <c r="G8">
        <v>23.513999999999999</v>
      </c>
      <c r="H8">
        <v>0</v>
      </c>
      <c r="I8" t="s">
        <v>588</v>
      </c>
      <c r="J8" t="s">
        <v>589</v>
      </c>
    </row>
    <row r="9" spans="1:10" x14ac:dyDescent="0.25">
      <c r="A9" s="141" t="s">
        <v>198</v>
      </c>
      <c r="B9">
        <v>124771.6042</v>
      </c>
      <c r="C9">
        <v>41.574300000000001</v>
      </c>
      <c r="D9">
        <v>44.012099999999997</v>
      </c>
      <c r="E9">
        <v>42.909799999999997</v>
      </c>
      <c r="F9">
        <v>166623.5</v>
      </c>
      <c r="G9">
        <v>30.965</v>
      </c>
      <c r="H9">
        <v>0</v>
      </c>
      <c r="I9" t="s">
        <v>574</v>
      </c>
      <c r="J9" t="s">
        <v>575</v>
      </c>
    </row>
    <row r="10" spans="1:10" x14ac:dyDescent="0.25">
      <c r="A10" s="141" t="s">
        <v>199</v>
      </c>
      <c r="B10">
        <v>55894.098899999997</v>
      </c>
      <c r="C10">
        <v>38.880299999999998</v>
      </c>
      <c r="D10">
        <v>41.386600000000001</v>
      </c>
      <c r="E10">
        <v>41.7851</v>
      </c>
      <c r="F10">
        <v>116864.75</v>
      </c>
      <c r="G10">
        <v>24.382000000000001</v>
      </c>
      <c r="H10">
        <v>0</v>
      </c>
      <c r="I10" t="s">
        <v>576</v>
      </c>
      <c r="J10" t="s">
        <v>577</v>
      </c>
    </row>
    <row r="11" spans="1:10" x14ac:dyDescent="0.25">
      <c r="A11" s="141" t="s">
        <v>200</v>
      </c>
      <c r="B11">
        <v>25285.1937</v>
      </c>
      <c r="C11">
        <v>37.308300000000003</v>
      </c>
      <c r="D11">
        <v>39.062800000000003</v>
      </c>
      <c r="E11">
        <v>40.705399999999997</v>
      </c>
      <c r="F11">
        <v>67011.460999999996</v>
      </c>
      <c r="G11">
        <v>19.559000000000001</v>
      </c>
      <c r="H11">
        <v>0</v>
      </c>
      <c r="I11" t="s">
        <v>578</v>
      </c>
      <c r="J11" t="s">
        <v>579</v>
      </c>
    </row>
    <row r="12" spans="1:10" x14ac:dyDescent="0.25">
      <c r="A12" s="141" t="s">
        <v>201</v>
      </c>
      <c r="B12">
        <v>12252.606299999999</v>
      </c>
      <c r="C12">
        <v>35.924399999999999</v>
      </c>
      <c r="D12">
        <v>36.3444</v>
      </c>
      <c r="E12">
        <v>39.223100000000002</v>
      </c>
      <c r="F12">
        <v>38646.773000000001</v>
      </c>
      <c r="G12">
        <v>17.658999999999999</v>
      </c>
      <c r="H12">
        <v>0</v>
      </c>
      <c r="I12" t="s">
        <v>580</v>
      </c>
      <c r="J12" t="s">
        <v>581</v>
      </c>
    </row>
    <row r="13" spans="1:10" x14ac:dyDescent="0.25">
      <c r="A13" s="141" t="s">
        <v>202</v>
      </c>
      <c r="B13">
        <v>177370.96419999999</v>
      </c>
      <c r="C13">
        <v>38.624200000000002</v>
      </c>
      <c r="D13">
        <v>45.659500000000001</v>
      </c>
      <c r="E13">
        <v>43.478000000000002</v>
      </c>
      <c r="F13">
        <v>204050.67199999999</v>
      </c>
      <c r="G13">
        <v>31.89</v>
      </c>
      <c r="H13">
        <v>0</v>
      </c>
      <c r="I13" t="s">
        <v>590</v>
      </c>
      <c r="J13" t="s">
        <v>591</v>
      </c>
    </row>
    <row r="14" spans="1:10" x14ac:dyDescent="0.25">
      <c r="A14" s="141" t="s">
        <v>203</v>
      </c>
      <c r="B14">
        <v>86182.433699999994</v>
      </c>
      <c r="C14">
        <v>37.677599999999998</v>
      </c>
      <c r="D14">
        <v>44.793999999999997</v>
      </c>
      <c r="E14">
        <v>42.493400000000001</v>
      </c>
      <c r="F14">
        <v>124427</v>
      </c>
      <c r="G14">
        <v>25.31</v>
      </c>
      <c r="H14">
        <v>0</v>
      </c>
      <c r="I14" t="s">
        <v>592</v>
      </c>
      <c r="J14" t="s">
        <v>593</v>
      </c>
    </row>
    <row r="15" spans="1:10" x14ac:dyDescent="0.25">
      <c r="A15" s="141" t="s">
        <v>204</v>
      </c>
      <c r="B15">
        <v>49710.378900000003</v>
      </c>
      <c r="C15">
        <v>36.759099999999997</v>
      </c>
      <c r="D15">
        <v>43.830100000000002</v>
      </c>
      <c r="E15">
        <v>41.468299999999999</v>
      </c>
      <c r="F15">
        <v>78259.585999999996</v>
      </c>
      <c r="G15">
        <v>21.756</v>
      </c>
      <c r="H15">
        <v>0</v>
      </c>
      <c r="I15" t="s">
        <v>594</v>
      </c>
      <c r="J15" t="s">
        <v>595</v>
      </c>
    </row>
    <row r="16" spans="1:10" x14ac:dyDescent="0.25">
      <c r="A16" s="141" t="s">
        <v>205</v>
      </c>
      <c r="B16">
        <v>26284.4211</v>
      </c>
      <c r="C16">
        <v>35.2605</v>
      </c>
      <c r="D16">
        <v>42.428100000000001</v>
      </c>
      <c r="E16">
        <v>40.2164</v>
      </c>
      <c r="F16">
        <v>48835.050999999999</v>
      </c>
      <c r="G16">
        <v>19.405000000000001</v>
      </c>
      <c r="H16">
        <v>0</v>
      </c>
      <c r="I16" t="s">
        <v>596</v>
      </c>
      <c r="J16" t="s">
        <v>597</v>
      </c>
    </row>
    <row r="17" spans="1:10" x14ac:dyDescent="0.25">
      <c r="A17" s="141" t="s">
        <v>94</v>
      </c>
      <c r="B17">
        <v>67494.945999999996</v>
      </c>
      <c r="C17">
        <v>39.563000000000002</v>
      </c>
      <c r="D17">
        <v>40.538800000000002</v>
      </c>
      <c r="E17">
        <v>43.534300000000002</v>
      </c>
      <c r="F17">
        <v>86797.304999999993</v>
      </c>
      <c r="G17">
        <v>15.602</v>
      </c>
      <c r="H17">
        <v>0</v>
      </c>
      <c r="I17" t="s">
        <v>542</v>
      </c>
      <c r="J17" t="s">
        <v>543</v>
      </c>
    </row>
    <row r="18" spans="1:10" x14ac:dyDescent="0.25">
      <c r="A18" s="141" t="s">
        <v>95</v>
      </c>
      <c r="B18">
        <v>40264.393700000001</v>
      </c>
      <c r="C18">
        <v>37.929099999999998</v>
      </c>
      <c r="D18">
        <v>39.567500000000003</v>
      </c>
      <c r="E18">
        <v>42.1432</v>
      </c>
      <c r="F18">
        <v>66728.023000000001</v>
      </c>
      <c r="G18">
        <v>13.189</v>
      </c>
      <c r="H18">
        <v>0</v>
      </c>
      <c r="I18" t="s">
        <v>544</v>
      </c>
      <c r="J18" t="s">
        <v>545</v>
      </c>
    </row>
    <row r="19" spans="1:10" x14ac:dyDescent="0.25">
      <c r="A19" s="141" t="s">
        <v>96</v>
      </c>
      <c r="B19">
        <v>23215.707900000001</v>
      </c>
      <c r="C19">
        <v>36.014099999999999</v>
      </c>
      <c r="D19">
        <v>38.716099999999997</v>
      </c>
      <c r="E19">
        <v>40.761899999999997</v>
      </c>
      <c r="F19">
        <v>48877.105000000003</v>
      </c>
      <c r="G19">
        <v>11.005000000000001</v>
      </c>
      <c r="H19">
        <v>0</v>
      </c>
      <c r="I19" t="s">
        <v>546</v>
      </c>
      <c r="J19" t="s">
        <v>547</v>
      </c>
    </row>
    <row r="20" spans="1:10" x14ac:dyDescent="0.25">
      <c r="A20" s="141" t="s">
        <v>97</v>
      </c>
      <c r="B20">
        <v>11832.412700000001</v>
      </c>
      <c r="C20">
        <v>33.539200000000001</v>
      </c>
      <c r="D20">
        <v>37.526800000000001</v>
      </c>
      <c r="E20">
        <v>38.918700000000001</v>
      </c>
      <c r="F20">
        <v>32591.205000000002</v>
      </c>
      <c r="G20">
        <v>9.4109999999999996</v>
      </c>
      <c r="H20">
        <v>0</v>
      </c>
      <c r="I20" t="s">
        <v>548</v>
      </c>
      <c r="J20" t="s">
        <v>549</v>
      </c>
    </row>
    <row r="21" spans="1:10" x14ac:dyDescent="0.25">
      <c r="A21" s="141" t="s">
        <v>98</v>
      </c>
      <c r="B21">
        <v>42267.911099999998</v>
      </c>
      <c r="C21">
        <v>40.197000000000003</v>
      </c>
      <c r="D21">
        <v>44.213000000000001</v>
      </c>
      <c r="E21">
        <v>45.685099999999998</v>
      </c>
      <c r="F21">
        <v>74323.531000000003</v>
      </c>
      <c r="G21">
        <v>13.212</v>
      </c>
      <c r="H21">
        <v>0</v>
      </c>
      <c r="I21" t="s">
        <v>534</v>
      </c>
      <c r="J21" t="s">
        <v>535</v>
      </c>
    </row>
    <row r="22" spans="1:10" x14ac:dyDescent="0.25">
      <c r="A22" s="141" t="s">
        <v>99</v>
      </c>
      <c r="B22">
        <v>22922.736499999999</v>
      </c>
      <c r="C22">
        <v>38.721800000000002</v>
      </c>
      <c r="D22">
        <v>43.267299999999999</v>
      </c>
      <c r="E22">
        <v>44.241100000000003</v>
      </c>
      <c r="F22">
        <v>52120.711000000003</v>
      </c>
      <c r="G22">
        <v>11.167999999999999</v>
      </c>
      <c r="H22">
        <v>0</v>
      </c>
      <c r="I22" t="s">
        <v>536</v>
      </c>
      <c r="J22" t="s">
        <v>537</v>
      </c>
    </row>
    <row r="23" spans="1:10" x14ac:dyDescent="0.25">
      <c r="A23" s="141" t="s">
        <v>100</v>
      </c>
      <c r="B23">
        <v>12964.0762</v>
      </c>
      <c r="C23">
        <v>37.282600000000002</v>
      </c>
      <c r="D23">
        <v>42.193399999999997</v>
      </c>
      <c r="E23">
        <v>42.682499999999997</v>
      </c>
      <c r="F23">
        <v>35656.163999999997</v>
      </c>
      <c r="G23">
        <v>9.8239999999999998</v>
      </c>
      <c r="H23">
        <v>0</v>
      </c>
      <c r="I23" t="s">
        <v>538</v>
      </c>
      <c r="J23" t="s">
        <v>539</v>
      </c>
    </row>
    <row r="24" spans="1:10" x14ac:dyDescent="0.25">
      <c r="A24" s="141" t="s">
        <v>101</v>
      </c>
      <c r="B24">
        <v>6928.9396999999999</v>
      </c>
      <c r="C24">
        <v>35.361499999999999</v>
      </c>
      <c r="D24">
        <v>40.691000000000003</v>
      </c>
      <c r="E24">
        <v>40.660200000000003</v>
      </c>
      <c r="F24">
        <v>21637.708999999999</v>
      </c>
      <c r="G24">
        <v>8.5719999999999992</v>
      </c>
      <c r="H24">
        <v>0</v>
      </c>
      <c r="I24" t="s">
        <v>540</v>
      </c>
      <c r="J24" t="s">
        <v>541</v>
      </c>
    </row>
    <row r="25" spans="1:10" x14ac:dyDescent="0.25">
      <c r="A25" s="141" t="s">
        <v>206</v>
      </c>
      <c r="B25">
        <v>64671.494400000003</v>
      </c>
      <c r="C25">
        <v>41.737299999999998</v>
      </c>
      <c r="D25">
        <v>44.441200000000002</v>
      </c>
      <c r="E25">
        <v>45.163499999999999</v>
      </c>
      <c r="F25">
        <v>91012.773000000001</v>
      </c>
      <c r="G25">
        <v>16.559000000000001</v>
      </c>
      <c r="H25">
        <v>0</v>
      </c>
      <c r="I25" t="s">
        <v>550</v>
      </c>
      <c r="J25" t="s">
        <v>551</v>
      </c>
    </row>
    <row r="26" spans="1:10" x14ac:dyDescent="0.25">
      <c r="A26" s="141" t="s">
        <v>207</v>
      </c>
      <c r="B26">
        <v>41712.6656</v>
      </c>
      <c r="C26">
        <v>39.930900000000001</v>
      </c>
      <c r="D26">
        <v>43.0349</v>
      </c>
      <c r="E26">
        <v>43.9268</v>
      </c>
      <c r="F26">
        <v>67792.695000000007</v>
      </c>
      <c r="G26">
        <v>14.101000000000001</v>
      </c>
      <c r="H26">
        <v>0</v>
      </c>
      <c r="I26" t="s">
        <v>552</v>
      </c>
      <c r="J26" t="s">
        <v>553</v>
      </c>
    </row>
    <row r="27" spans="1:10" x14ac:dyDescent="0.25">
      <c r="A27" s="141" t="s">
        <v>208</v>
      </c>
      <c r="B27">
        <v>24533.356800000001</v>
      </c>
      <c r="C27">
        <v>37.703699999999998</v>
      </c>
      <c r="D27">
        <v>41.734000000000002</v>
      </c>
      <c r="E27">
        <v>42.630400000000002</v>
      </c>
      <c r="F27">
        <v>50014.211000000003</v>
      </c>
      <c r="G27">
        <v>12.351000000000001</v>
      </c>
      <c r="H27">
        <v>0</v>
      </c>
      <c r="I27" t="s">
        <v>554</v>
      </c>
      <c r="J27" t="s">
        <v>555</v>
      </c>
    </row>
    <row r="28" spans="1:10" x14ac:dyDescent="0.25">
      <c r="A28" s="141" t="s">
        <v>209</v>
      </c>
      <c r="B28">
        <v>12379.712</v>
      </c>
      <c r="C28">
        <v>35.008899999999997</v>
      </c>
      <c r="D28">
        <v>40.169499999999999</v>
      </c>
      <c r="E28">
        <v>41.012300000000003</v>
      </c>
      <c r="F28">
        <v>31297.107</v>
      </c>
      <c r="G28">
        <v>10.813000000000001</v>
      </c>
      <c r="H28">
        <v>0</v>
      </c>
      <c r="I28" t="s">
        <v>556</v>
      </c>
      <c r="J28" t="s">
        <v>557</v>
      </c>
    </row>
    <row r="29" spans="1:10" x14ac:dyDescent="0.25">
      <c r="A29" s="141" t="s">
        <v>210</v>
      </c>
      <c r="B29">
        <v>39540.6976</v>
      </c>
      <c r="C29">
        <v>44.935200000000002</v>
      </c>
      <c r="D29">
        <v>47.607900000000001</v>
      </c>
      <c r="E29">
        <v>48.338799999999999</v>
      </c>
      <c r="F29">
        <v>61787.144999999997</v>
      </c>
      <c r="G29">
        <v>14.675000000000001</v>
      </c>
      <c r="H29">
        <v>0</v>
      </c>
      <c r="I29" t="s">
        <v>558</v>
      </c>
      <c r="J29" t="s">
        <v>559</v>
      </c>
    </row>
    <row r="30" spans="1:10" x14ac:dyDescent="0.25">
      <c r="A30" s="141" t="s">
        <v>211</v>
      </c>
      <c r="B30">
        <v>26056.460800000001</v>
      </c>
      <c r="C30">
        <v>42.767699999999998</v>
      </c>
      <c r="D30">
        <v>46.0075</v>
      </c>
      <c r="E30">
        <v>46.536099999999998</v>
      </c>
      <c r="F30">
        <v>49611.828000000001</v>
      </c>
      <c r="G30">
        <v>12.9</v>
      </c>
      <c r="H30">
        <v>0</v>
      </c>
      <c r="I30" t="s">
        <v>560</v>
      </c>
      <c r="J30" t="s">
        <v>561</v>
      </c>
    </row>
    <row r="31" spans="1:10" x14ac:dyDescent="0.25">
      <c r="A31" s="141" t="s">
        <v>212</v>
      </c>
      <c r="B31">
        <v>15441.3696</v>
      </c>
      <c r="C31">
        <v>40.0809</v>
      </c>
      <c r="D31">
        <v>44.455599999999997</v>
      </c>
      <c r="E31">
        <v>44.716099999999997</v>
      </c>
      <c r="F31">
        <v>36779.781000000003</v>
      </c>
      <c r="G31">
        <v>11.404999999999999</v>
      </c>
      <c r="H31">
        <v>0</v>
      </c>
      <c r="I31" t="s">
        <v>562</v>
      </c>
      <c r="J31" t="s">
        <v>563</v>
      </c>
    </row>
    <row r="32" spans="1:10" x14ac:dyDescent="0.25">
      <c r="A32" s="141" t="s">
        <v>213</v>
      </c>
      <c r="B32">
        <v>8055.1296000000002</v>
      </c>
      <c r="C32">
        <v>37.008699999999997</v>
      </c>
      <c r="D32">
        <v>42.448500000000003</v>
      </c>
      <c r="E32">
        <v>42.4863</v>
      </c>
      <c r="F32">
        <v>24175.578000000001</v>
      </c>
      <c r="G32">
        <v>9.827</v>
      </c>
      <c r="H32">
        <v>0</v>
      </c>
      <c r="I32" t="s">
        <v>564</v>
      </c>
      <c r="J32" t="s">
        <v>565</v>
      </c>
    </row>
    <row r="33" spans="1:10" x14ac:dyDescent="0.25">
      <c r="A33" s="141" t="s">
        <v>102</v>
      </c>
      <c r="B33">
        <v>53885.331200000001</v>
      </c>
      <c r="C33">
        <v>41.744900000000001</v>
      </c>
      <c r="D33">
        <v>46.070099999999996</v>
      </c>
      <c r="E33">
        <v>46.383099999999999</v>
      </c>
      <c r="F33">
        <v>52000.832000000002</v>
      </c>
      <c r="G33">
        <v>9.1259999999999994</v>
      </c>
      <c r="H33">
        <v>0</v>
      </c>
      <c r="I33" t="s">
        <v>502</v>
      </c>
      <c r="J33" t="s">
        <v>503</v>
      </c>
    </row>
    <row r="34" spans="1:10" x14ac:dyDescent="0.25">
      <c r="A34" s="141" t="s">
        <v>103</v>
      </c>
      <c r="B34">
        <v>36759.296000000002</v>
      </c>
      <c r="C34">
        <v>38.811300000000003</v>
      </c>
      <c r="D34">
        <v>44.322299999999998</v>
      </c>
      <c r="E34">
        <v>44.660899999999998</v>
      </c>
      <c r="F34">
        <v>44212.137000000002</v>
      </c>
      <c r="G34">
        <v>8.2390000000000008</v>
      </c>
      <c r="H34">
        <v>0</v>
      </c>
      <c r="I34" t="s">
        <v>504</v>
      </c>
      <c r="J34" t="s">
        <v>505</v>
      </c>
    </row>
    <row r="35" spans="1:10" x14ac:dyDescent="0.25">
      <c r="A35" s="141" t="s">
        <v>104</v>
      </c>
      <c r="B35">
        <v>21831.2448</v>
      </c>
      <c r="C35">
        <v>35.423699999999997</v>
      </c>
      <c r="D35">
        <v>42.871499999999997</v>
      </c>
      <c r="E35">
        <v>43.200699999999998</v>
      </c>
      <c r="F35">
        <v>36413.938000000002</v>
      </c>
      <c r="G35">
        <v>7.15</v>
      </c>
      <c r="H35">
        <v>0</v>
      </c>
      <c r="I35" t="s">
        <v>506</v>
      </c>
      <c r="J35" t="s">
        <v>507</v>
      </c>
    </row>
    <row r="36" spans="1:10" x14ac:dyDescent="0.25">
      <c r="A36" s="141" t="s">
        <v>105</v>
      </c>
      <c r="B36">
        <v>10756.2176</v>
      </c>
      <c r="C36">
        <v>31.796500000000002</v>
      </c>
      <c r="D36">
        <v>41.5002</v>
      </c>
      <c r="E36">
        <v>41.678800000000003</v>
      </c>
      <c r="F36">
        <v>26073.588</v>
      </c>
      <c r="G36">
        <v>5.62</v>
      </c>
      <c r="H36">
        <v>0</v>
      </c>
      <c r="I36" t="s">
        <v>508</v>
      </c>
      <c r="J36" t="s">
        <v>509</v>
      </c>
    </row>
    <row r="37" spans="1:10" x14ac:dyDescent="0.25">
      <c r="A37" s="141" t="s">
        <v>106</v>
      </c>
      <c r="B37">
        <v>20107.385600000001</v>
      </c>
      <c r="C37">
        <v>42.69</v>
      </c>
      <c r="D37">
        <v>45.481200000000001</v>
      </c>
      <c r="E37">
        <v>47.031799999999997</v>
      </c>
      <c r="F37">
        <v>34731.476999999999</v>
      </c>
      <c r="G37">
        <v>6.4219999999999997</v>
      </c>
      <c r="H37">
        <v>0</v>
      </c>
      <c r="I37" t="s">
        <v>510</v>
      </c>
      <c r="J37" t="s">
        <v>511</v>
      </c>
    </row>
    <row r="38" spans="1:10" x14ac:dyDescent="0.25">
      <c r="A38" s="141" t="s">
        <v>107</v>
      </c>
      <c r="B38">
        <v>11409.843199999999</v>
      </c>
      <c r="C38">
        <v>40.6663</v>
      </c>
      <c r="D38">
        <v>44.567500000000003</v>
      </c>
      <c r="E38">
        <v>45.400300000000001</v>
      </c>
      <c r="F38">
        <v>25553.859</v>
      </c>
      <c r="G38">
        <v>5.3680000000000003</v>
      </c>
      <c r="H38">
        <v>0</v>
      </c>
      <c r="I38" t="s">
        <v>512</v>
      </c>
      <c r="J38" t="s">
        <v>513</v>
      </c>
    </row>
    <row r="39" spans="1:10" x14ac:dyDescent="0.25">
      <c r="A39" s="141" t="s">
        <v>108</v>
      </c>
      <c r="B39">
        <v>6331.4687999999996</v>
      </c>
      <c r="C39">
        <v>38.6648</v>
      </c>
      <c r="D39">
        <v>43.620399999999997</v>
      </c>
      <c r="E39">
        <v>43.6327</v>
      </c>
      <c r="F39">
        <v>17025.596000000001</v>
      </c>
      <c r="G39">
        <v>4.7060000000000004</v>
      </c>
      <c r="H39">
        <v>0</v>
      </c>
      <c r="I39" t="s">
        <v>514</v>
      </c>
      <c r="J39" t="s">
        <v>515</v>
      </c>
    </row>
    <row r="40" spans="1:10" x14ac:dyDescent="0.25">
      <c r="A40" s="141" t="s">
        <v>109</v>
      </c>
      <c r="B40">
        <v>3230.4895999999999</v>
      </c>
      <c r="C40">
        <v>36.290999999999997</v>
      </c>
      <c r="D40">
        <v>42.315899999999999</v>
      </c>
      <c r="E40">
        <v>41.464500000000001</v>
      </c>
      <c r="F40">
        <v>10776.124</v>
      </c>
      <c r="G40">
        <v>4.3410000000000002</v>
      </c>
      <c r="H40">
        <v>0</v>
      </c>
      <c r="I40" t="s">
        <v>516</v>
      </c>
      <c r="J40" t="s">
        <v>517</v>
      </c>
    </row>
    <row r="41" spans="1:10" x14ac:dyDescent="0.25">
      <c r="A41" s="141" t="s">
        <v>110</v>
      </c>
      <c r="B41">
        <v>15114.5152</v>
      </c>
      <c r="C41">
        <v>44.225700000000003</v>
      </c>
      <c r="D41">
        <v>47.0792</v>
      </c>
      <c r="E41">
        <v>47.969700000000003</v>
      </c>
      <c r="F41">
        <v>26963.344000000001</v>
      </c>
      <c r="G41">
        <v>6.0629999999999997</v>
      </c>
      <c r="H41">
        <v>0</v>
      </c>
      <c r="I41" t="s">
        <v>518</v>
      </c>
      <c r="J41" t="s">
        <v>519</v>
      </c>
    </row>
    <row r="42" spans="1:10" x14ac:dyDescent="0.25">
      <c r="A42" s="141" t="s">
        <v>111</v>
      </c>
      <c r="B42">
        <v>10258.822399999999</v>
      </c>
      <c r="C42">
        <v>42.495899999999999</v>
      </c>
      <c r="D42">
        <v>45.927500000000002</v>
      </c>
      <c r="E42">
        <v>46.6449</v>
      </c>
      <c r="F42">
        <v>20800.028999999999</v>
      </c>
      <c r="G42">
        <v>5.4340000000000002</v>
      </c>
      <c r="H42">
        <v>0</v>
      </c>
      <c r="I42" t="s">
        <v>520</v>
      </c>
      <c r="J42" t="s">
        <v>521</v>
      </c>
    </row>
    <row r="43" spans="1:10" x14ac:dyDescent="0.25">
      <c r="A43" s="141" t="s">
        <v>112</v>
      </c>
      <c r="B43">
        <v>6478.7071999999998</v>
      </c>
      <c r="C43">
        <v>40.162300000000002</v>
      </c>
      <c r="D43">
        <v>44.5916</v>
      </c>
      <c r="E43">
        <v>45.1053</v>
      </c>
      <c r="F43">
        <v>16141.370999999999</v>
      </c>
      <c r="G43">
        <v>5.0640000000000001</v>
      </c>
      <c r="H43">
        <v>0</v>
      </c>
      <c r="I43" t="s">
        <v>522</v>
      </c>
      <c r="J43" t="s">
        <v>523</v>
      </c>
    </row>
    <row r="44" spans="1:10" x14ac:dyDescent="0.25">
      <c r="A44" s="141" t="s">
        <v>113</v>
      </c>
      <c r="B44">
        <v>3752.7359999999999</v>
      </c>
      <c r="C44">
        <v>37.174399999999999</v>
      </c>
      <c r="D44">
        <v>42.877600000000001</v>
      </c>
      <c r="E44">
        <v>43.065100000000001</v>
      </c>
      <c r="F44">
        <v>10900.236999999999</v>
      </c>
      <c r="G44">
        <v>4.4139999999999997</v>
      </c>
      <c r="H44">
        <v>0</v>
      </c>
      <c r="I44" t="s">
        <v>524</v>
      </c>
      <c r="J44" t="s">
        <v>525</v>
      </c>
    </row>
    <row r="45" spans="1:10" x14ac:dyDescent="0.25">
      <c r="A45" s="141" t="s">
        <v>114</v>
      </c>
      <c r="B45">
        <v>16384.947199999999</v>
      </c>
      <c r="C45">
        <v>44.169199999999996</v>
      </c>
      <c r="D45">
        <v>48.808399999999999</v>
      </c>
      <c r="E45">
        <v>48.461799999999997</v>
      </c>
      <c r="F45">
        <v>27106.916000000001</v>
      </c>
      <c r="G45">
        <v>5.7480000000000002</v>
      </c>
      <c r="H45">
        <v>0</v>
      </c>
      <c r="I45" t="s">
        <v>526</v>
      </c>
      <c r="J45" t="s">
        <v>527</v>
      </c>
    </row>
    <row r="46" spans="1:10" x14ac:dyDescent="0.25">
      <c r="A46" s="141" t="s">
        <v>115</v>
      </c>
      <c r="B46">
        <v>11391.315199999999</v>
      </c>
      <c r="C46">
        <v>42.431699999999999</v>
      </c>
      <c r="D46">
        <v>47.805</v>
      </c>
      <c r="E46">
        <v>46.991999999999997</v>
      </c>
      <c r="F46">
        <v>21696.025000000001</v>
      </c>
      <c r="G46">
        <v>5.2069999999999999</v>
      </c>
      <c r="H46">
        <v>0</v>
      </c>
      <c r="I46" t="s">
        <v>528</v>
      </c>
      <c r="J46" t="s">
        <v>529</v>
      </c>
    </row>
    <row r="47" spans="1:10" x14ac:dyDescent="0.25">
      <c r="A47" s="141" t="s">
        <v>116</v>
      </c>
      <c r="B47">
        <v>7412.5951999999997</v>
      </c>
      <c r="C47">
        <v>40.051200000000001</v>
      </c>
      <c r="D47">
        <v>46.616399999999999</v>
      </c>
      <c r="E47">
        <v>45.3123</v>
      </c>
      <c r="F47">
        <v>16006.404</v>
      </c>
      <c r="G47">
        <v>4.55</v>
      </c>
      <c r="H47">
        <v>0</v>
      </c>
      <c r="I47" t="s">
        <v>530</v>
      </c>
      <c r="J47" t="s">
        <v>531</v>
      </c>
    </row>
    <row r="48" spans="1:10" x14ac:dyDescent="0.25">
      <c r="A48" s="141" t="s">
        <v>117</v>
      </c>
      <c r="B48">
        <v>4304.9215999999997</v>
      </c>
      <c r="C48">
        <v>36.829799999999999</v>
      </c>
      <c r="D48">
        <v>44.759900000000002</v>
      </c>
      <c r="E48">
        <v>42.994399999999999</v>
      </c>
      <c r="F48">
        <v>11414.897999999999</v>
      </c>
      <c r="G48">
        <v>4.2249999999999996</v>
      </c>
      <c r="H48">
        <v>0</v>
      </c>
      <c r="I48" t="s">
        <v>532</v>
      </c>
      <c r="J48" t="s">
        <v>533</v>
      </c>
    </row>
    <row r="49" spans="1:1" x14ac:dyDescent="0.25">
      <c r="A49" s="141" t="s">
        <v>214</v>
      </c>
    </row>
    <row r="50" spans="1:1" x14ac:dyDescent="0.25">
      <c r="A50" s="141" t="s">
        <v>215</v>
      </c>
    </row>
    <row r="51" spans="1:1" x14ac:dyDescent="0.25">
      <c r="A51" s="141" t="s">
        <v>216</v>
      </c>
    </row>
    <row r="52" spans="1:1" x14ac:dyDescent="0.25">
      <c r="A52" s="141" t="s">
        <v>217</v>
      </c>
    </row>
    <row r="53" spans="1:1" x14ac:dyDescent="0.25">
      <c r="A53" s="141" t="s">
        <v>218</v>
      </c>
    </row>
    <row r="54" spans="1:1" x14ac:dyDescent="0.25">
      <c r="A54" s="141" t="s">
        <v>219</v>
      </c>
    </row>
    <row r="55" spans="1:1" x14ac:dyDescent="0.25">
      <c r="A55" s="141" t="s">
        <v>220</v>
      </c>
    </row>
    <row r="56" spans="1:1" x14ac:dyDescent="0.25">
      <c r="A56" s="141" t="s">
        <v>221</v>
      </c>
    </row>
    <row r="57" spans="1:1" x14ac:dyDescent="0.25">
      <c r="A57" s="141" t="s">
        <v>318</v>
      </c>
    </row>
    <row r="58" spans="1:1" x14ac:dyDescent="0.25">
      <c r="A58" s="141" t="s">
        <v>319</v>
      </c>
    </row>
    <row r="59" spans="1:1" x14ac:dyDescent="0.25">
      <c r="A59" s="141" t="s">
        <v>320</v>
      </c>
    </row>
    <row r="60" spans="1:1" x14ac:dyDescent="0.25">
      <c r="A60" s="141" t="s">
        <v>321</v>
      </c>
    </row>
    <row r="61" spans="1:1" x14ac:dyDescent="0.25">
      <c r="A61" s="141" t="s">
        <v>322</v>
      </c>
    </row>
    <row r="62" spans="1:1" x14ac:dyDescent="0.25">
      <c r="A62" s="141" t="s">
        <v>323</v>
      </c>
    </row>
    <row r="63" spans="1:1" x14ac:dyDescent="0.25">
      <c r="A63" s="141" t="s">
        <v>324</v>
      </c>
    </row>
    <row r="64" spans="1:1" x14ac:dyDescent="0.25">
      <c r="A64" s="141" t="s">
        <v>325</v>
      </c>
    </row>
    <row r="65" spans="1:10" x14ac:dyDescent="0.25">
      <c r="A65" s="141" t="s">
        <v>326</v>
      </c>
    </row>
    <row r="66" spans="1:10" x14ac:dyDescent="0.25">
      <c r="A66" s="141" t="s">
        <v>327</v>
      </c>
    </row>
    <row r="67" spans="1:10" x14ac:dyDescent="0.25">
      <c r="A67" s="141" t="s">
        <v>328</v>
      </c>
    </row>
    <row r="68" spans="1:10" x14ac:dyDescent="0.25">
      <c r="A68" s="141" t="s">
        <v>329</v>
      </c>
    </row>
    <row r="69" spans="1:10" x14ac:dyDescent="0.25">
      <c r="A69" s="141" t="s">
        <v>330</v>
      </c>
    </row>
    <row r="70" spans="1:10" x14ac:dyDescent="0.25">
      <c r="A70" s="141" t="s">
        <v>331</v>
      </c>
    </row>
    <row r="71" spans="1:10" x14ac:dyDescent="0.25">
      <c r="A71" s="141" t="s">
        <v>332</v>
      </c>
    </row>
    <row r="72" spans="1:10" x14ac:dyDescent="0.25">
      <c r="A72" s="141" t="s">
        <v>333</v>
      </c>
    </row>
    <row r="73" spans="1:10" x14ac:dyDescent="0.25">
      <c r="A73" s="141" t="s">
        <v>222</v>
      </c>
      <c r="B73">
        <v>14743.32</v>
      </c>
      <c r="C73">
        <v>40.090499999999999</v>
      </c>
      <c r="D73">
        <v>49.064700000000002</v>
      </c>
      <c r="E73">
        <v>47.054299999999998</v>
      </c>
      <c r="F73">
        <v>363405.05800000002</v>
      </c>
      <c r="G73">
        <v>56.738</v>
      </c>
      <c r="H73">
        <v>0</v>
      </c>
      <c r="I73" t="s">
        <v>470</v>
      </c>
      <c r="J73" t="s">
        <v>471</v>
      </c>
    </row>
    <row r="74" spans="1:10" x14ac:dyDescent="0.25">
      <c r="A74" s="141" t="s">
        <v>223</v>
      </c>
      <c r="B74">
        <v>6726.9920000000002</v>
      </c>
      <c r="C74">
        <v>39.601399999999998</v>
      </c>
      <c r="D74">
        <v>48.472999999999999</v>
      </c>
      <c r="E74">
        <v>46.148499999999999</v>
      </c>
      <c r="F74">
        <v>200794.53899999999</v>
      </c>
      <c r="G74">
        <v>52.615000000000002</v>
      </c>
      <c r="H74">
        <v>0</v>
      </c>
      <c r="I74" t="s">
        <v>472</v>
      </c>
      <c r="J74" t="s">
        <v>473</v>
      </c>
    </row>
    <row r="75" spans="1:10" x14ac:dyDescent="0.25">
      <c r="A75" s="141" t="s">
        <v>224</v>
      </c>
      <c r="B75">
        <v>3650.4160000000002</v>
      </c>
      <c r="C75">
        <v>38.760599999999997</v>
      </c>
      <c r="D75">
        <v>47.655799999999999</v>
      </c>
      <c r="E75">
        <v>44.918900000000001</v>
      </c>
      <c r="F75">
        <v>99178.767999999996</v>
      </c>
      <c r="G75">
        <v>45.987000000000002</v>
      </c>
      <c r="H75">
        <v>0</v>
      </c>
      <c r="I75" t="s">
        <v>474</v>
      </c>
      <c r="J75" t="s">
        <v>475</v>
      </c>
    </row>
    <row r="76" spans="1:10" x14ac:dyDescent="0.25">
      <c r="A76" s="141" t="s">
        <v>225</v>
      </c>
      <c r="B76">
        <v>1926.528</v>
      </c>
      <c r="C76">
        <v>37.268599999999999</v>
      </c>
      <c r="D76">
        <v>46.271099999999997</v>
      </c>
      <c r="E76">
        <v>43.187899999999999</v>
      </c>
      <c r="F76">
        <v>50137.783000000003</v>
      </c>
      <c r="G76">
        <v>42.387</v>
      </c>
      <c r="H76">
        <v>0</v>
      </c>
      <c r="I76" t="s">
        <v>476</v>
      </c>
      <c r="J76" t="s">
        <v>477</v>
      </c>
    </row>
    <row r="77" spans="1:10" x14ac:dyDescent="0.25">
      <c r="A77" s="141" t="s">
        <v>226</v>
      </c>
      <c r="B77">
        <v>75692.2</v>
      </c>
      <c r="C77">
        <v>41.654000000000003</v>
      </c>
      <c r="D77">
        <v>36.479999999999997</v>
      </c>
      <c r="E77">
        <v>37.613</v>
      </c>
      <c r="F77">
        <v>654874.68099999998</v>
      </c>
      <c r="G77">
        <v>64.822999999999993</v>
      </c>
      <c r="H77">
        <v>0</v>
      </c>
      <c r="I77" t="s">
        <v>694</v>
      </c>
      <c r="J77" t="s">
        <v>486</v>
      </c>
    </row>
    <row r="78" spans="1:10" x14ac:dyDescent="0.25">
      <c r="A78" s="141" t="s">
        <v>227</v>
      </c>
      <c r="B78">
        <v>39107.603999999999</v>
      </c>
      <c r="C78">
        <v>39.052199999999999</v>
      </c>
      <c r="D78">
        <v>34.556399999999996</v>
      </c>
      <c r="E78">
        <v>35.963299999999997</v>
      </c>
      <c r="F78">
        <v>443899.217</v>
      </c>
      <c r="G78">
        <v>57.195999999999998</v>
      </c>
      <c r="H78">
        <v>0</v>
      </c>
      <c r="I78" t="s">
        <v>487</v>
      </c>
      <c r="J78" t="s">
        <v>488</v>
      </c>
    </row>
    <row r="79" spans="1:10" x14ac:dyDescent="0.25">
      <c r="A79" s="141" t="s">
        <v>228</v>
      </c>
      <c r="B79">
        <v>18801.439999999999</v>
      </c>
      <c r="C79">
        <v>36.145400000000002</v>
      </c>
      <c r="D79">
        <v>32.925600000000003</v>
      </c>
      <c r="E79">
        <v>34.587200000000003</v>
      </c>
      <c r="F79">
        <v>277063.83199999999</v>
      </c>
      <c r="G79">
        <v>52.875999999999998</v>
      </c>
      <c r="H79">
        <v>0</v>
      </c>
      <c r="I79" t="s">
        <v>489</v>
      </c>
      <c r="J79" t="s">
        <v>490</v>
      </c>
    </row>
    <row r="80" spans="1:10" x14ac:dyDescent="0.25">
      <c r="A80" s="141" t="s">
        <v>229</v>
      </c>
      <c r="B80">
        <v>7758.82</v>
      </c>
      <c r="C80">
        <v>33.085500000000003</v>
      </c>
      <c r="D80">
        <v>31.259499999999999</v>
      </c>
      <c r="E80">
        <v>33.171799999999998</v>
      </c>
      <c r="F80">
        <v>155611.06700000001</v>
      </c>
      <c r="G80">
        <v>47.128999999999998</v>
      </c>
      <c r="H80">
        <v>0</v>
      </c>
      <c r="I80" t="s">
        <v>491</v>
      </c>
      <c r="J80" t="s">
        <v>492</v>
      </c>
    </row>
    <row r="81" spans="1:10" x14ac:dyDescent="0.25">
      <c r="A81" s="141" t="s">
        <v>230</v>
      </c>
      <c r="B81">
        <v>37728.436000000002</v>
      </c>
      <c r="C81">
        <v>38.307000000000002</v>
      </c>
      <c r="D81">
        <v>40.465299999999999</v>
      </c>
      <c r="E81">
        <v>41.554000000000002</v>
      </c>
      <c r="F81">
        <v>384794.842</v>
      </c>
      <c r="G81">
        <v>35.707000000000001</v>
      </c>
      <c r="H81">
        <v>0</v>
      </c>
      <c r="I81" t="s">
        <v>478</v>
      </c>
      <c r="J81" t="s">
        <v>479</v>
      </c>
    </row>
    <row r="82" spans="1:10" x14ac:dyDescent="0.25">
      <c r="A82" s="141" t="s">
        <v>231</v>
      </c>
      <c r="B82">
        <v>18412.432000000001</v>
      </c>
      <c r="C82">
        <v>37.199300000000001</v>
      </c>
      <c r="D82">
        <v>37.925800000000002</v>
      </c>
      <c r="E82">
        <v>40.338500000000003</v>
      </c>
      <c r="F82">
        <v>230741.29699999999</v>
      </c>
      <c r="G82">
        <v>29.905000000000001</v>
      </c>
      <c r="H82">
        <v>0</v>
      </c>
      <c r="I82" t="s">
        <v>480</v>
      </c>
      <c r="J82" t="s">
        <v>481</v>
      </c>
    </row>
    <row r="83" spans="1:10" x14ac:dyDescent="0.25">
      <c r="A83" s="141" t="s">
        <v>232</v>
      </c>
      <c r="B83">
        <v>9150.8719999999994</v>
      </c>
      <c r="C83">
        <v>35.839500000000001</v>
      </c>
      <c r="D83">
        <v>35.709699999999998</v>
      </c>
      <c r="E83">
        <v>39.025500000000001</v>
      </c>
      <c r="F83">
        <v>138865.50200000001</v>
      </c>
      <c r="G83">
        <v>26.675999999999998</v>
      </c>
      <c r="H83">
        <v>0</v>
      </c>
      <c r="I83" t="s">
        <v>482</v>
      </c>
      <c r="J83" t="s">
        <v>483</v>
      </c>
    </row>
    <row r="84" spans="1:10" x14ac:dyDescent="0.25">
      <c r="A84" s="141" t="s">
        <v>233</v>
      </c>
      <c r="B84">
        <v>4625.5879999999997</v>
      </c>
      <c r="C84">
        <v>34.002000000000002</v>
      </c>
      <c r="D84">
        <v>33.8127</v>
      </c>
      <c r="E84">
        <v>37.4711</v>
      </c>
      <c r="F84">
        <v>79766.001999999993</v>
      </c>
      <c r="G84">
        <v>23.701000000000001</v>
      </c>
      <c r="H84">
        <v>0</v>
      </c>
      <c r="I84" t="s">
        <v>484</v>
      </c>
      <c r="J84" t="s">
        <v>485</v>
      </c>
    </row>
    <row r="85" spans="1:10" x14ac:dyDescent="0.25">
      <c r="A85" s="141" t="s">
        <v>234</v>
      </c>
      <c r="B85">
        <v>26235.632000000001</v>
      </c>
      <c r="C85">
        <v>37.639499999999998</v>
      </c>
      <c r="D85">
        <v>45.3461</v>
      </c>
      <c r="E85">
        <v>43.037100000000002</v>
      </c>
      <c r="F85">
        <v>510895.826</v>
      </c>
      <c r="G85">
        <v>60.878999999999998</v>
      </c>
      <c r="H85">
        <v>0</v>
      </c>
      <c r="I85" t="s">
        <v>493</v>
      </c>
      <c r="J85" t="s">
        <v>494</v>
      </c>
    </row>
    <row r="86" spans="1:10" x14ac:dyDescent="0.25">
      <c r="A86" s="141" t="s">
        <v>235</v>
      </c>
      <c r="B86">
        <v>9143.9959999999992</v>
      </c>
      <c r="C86">
        <v>37.099299999999999</v>
      </c>
      <c r="D86">
        <v>44.749200000000002</v>
      </c>
      <c r="E86">
        <v>42.405900000000003</v>
      </c>
      <c r="F86">
        <v>278265.46500000003</v>
      </c>
      <c r="G86">
        <v>52.716000000000001</v>
      </c>
      <c r="H86">
        <v>0</v>
      </c>
      <c r="I86" t="s">
        <v>495</v>
      </c>
      <c r="J86" t="s">
        <v>496</v>
      </c>
    </row>
    <row r="87" spans="1:10" x14ac:dyDescent="0.25">
      <c r="A87" s="141" t="s">
        <v>236</v>
      </c>
      <c r="B87">
        <v>4502.3760000000002</v>
      </c>
      <c r="C87">
        <v>36.249200000000002</v>
      </c>
      <c r="D87">
        <v>44.000100000000003</v>
      </c>
      <c r="E87">
        <v>41.631599999999999</v>
      </c>
      <c r="F87">
        <v>141013.51699999999</v>
      </c>
      <c r="G87">
        <v>44.061999999999998</v>
      </c>
      <c r="H87">
        <v>0</v>
      </c>
      <c r="I87" t="s">
        <v>497</v>
      </c>
      <c r="J87" t="s">
        <v>498</v>
      </c>
    </row>
    <row r="88" spans="1:10" x14ac:dyDescent="0.25">
      <c r="A88" s="141" t="s">
        <v>237</v>
      </c>
      <c r="B88">
        <v>2183.7399999999998</v>
      </c>
      <c r="C88">
        <v>34.795999999999999</v>
      </c>
      <c r="D88">
        <v>42.691800000000001</v>
      </c>
      <c r="E88">
        <v>40.4833</v>
      </c>
      <c r="F88">
        <v>68001.14</v>
      </c>
      <c r="G88">
        <v>37.771999999999998</v>
      </c>
      <c r="H88">
        <v>0</v>
      </c>
      <c r="I88" t="s">
        <v>499</v>
      </c>
      <c r="J88" t="s">
        <v>500</v>
      </c>
    </row>
    <row r="89" spans="1:10" x14ac:dyDescent="0.25">
      <c r="A89" s="141" t="s">
        <v>118</v>
      </c>
      <c r="B89">
        <v>9764.3119999999999</v>
      </c>
      <c r="C89">
        <v>38.015000000000001</v>
      </c>
      <c r="D89">
        <v>39.850200000000001</v>
      </c>
      <c r="E89">
        <v>43.346299999999999</v>
      </c>
      <c r="F89">
        <v>115823.818</v>
      </c>
      <c r="G89">
        <v>12.773999999999999</v>
      </c>
      <c r="H89">
        <v>0</v>
      </c>
      <c r="I89" t="s">
        <v>446</v>
      </c>
      <c r="J89" t="s">
        <v>447</v>
      </c>
    </row>
    <row r="90" spans="1:10" x14ac:dyDescent="0.25">
      <c r="A90" s="141" t="s">
        <v>119</v>
      </c>
      <c r="B90">
        <v>4528.0039999999999</v>
      </c>
      <c r="C90">
        <v>36.917999999999999</v>
      </c>
      <c r="D90">
        <v>39.341799999999999</v>
      </c>
      <c r="E90">
        <v>42.231400000000001</v>
      </c>
      <c r="F90">
        <v>69794.576000000001</v>
      </c>
      <c r="G90">
        <v>11.202</v>
      </c>
      <c r="H90">
        <v>0</v>
      </c>
      <c r="I90" t="s">
        <v>448</v>
      </c>
      <c r="J90" t="s">
        <v>449</v>
      </c>
    </row>
    <row r="91" spans="1:10" x14ac:dyDescent="0.25">
      <c r="A91" s="141" t="s">
        <v>120</v>
      </c>
      <c r="B91">
        <v>2302.8119999999999</v>
      </c>
      <c r="C91">
        <v>35.363300000000002</v>
      </c>
      <c r="D91">
        <v>38.731400000000001</v>
      </c>
      <c r="E91">
        <v>40.962000000000003</v>
      </c>
      <c r="F91">
        <v>40745.11</v>
      </c>
      <c r="G91">
        <v>9.4009999999999998</v>
      </c>
      <c r="H91">
        <v>0</v>
      </c>
      <c r="I91" t="s">
        <v>450</v>
      </c>
      <c r="J91" t="s">
        <v>451</v>
      </c>
    </row>
    <row r="92" spans="1:10" x14ac:dyDescent="0.25">
      <c r="A92" s="141" t="s">
        <v>121</v>
      </c>
      <c r="B92">
        <v>1103.6479999999999</v>
      </c>
      <c r="C92">
        <v>33.170200000000001</v>
      </c>
      <c r="D92">
        <v>37.701599999999999</v>
      </c>
      <c r="E92">
        <v>39.240400000000001</v>
      </c>
      <c r="F92">
        <v>21591.633000000002</v>
      </c>
      <c r="G92">
        <v>8.5820000000000007</v>
      </c>
      <c r="H92">
        <v>0</v>
      </c>
      <c r="I92" t="s">
        <v>452</v>
      </c>
      <c r="J92" t="s">
        <v>453</v>
      </c>
    </row>
    <row r="93" spans="1:10" x14ac:dyDescent="0.25">
      <c r="A93" s="141" t="s">
        <v>122</v>
      </c>
      <c r="B93">
        <v>8547.8439999999991</v>
      </c>
      <c r="C93">
        <v>38.949399999999997</v>
      </c>
      <c r="D93">
        <v>44.054499999999997</v>
      </c>
      <c r="E93">
        <v>45.214500000000001</v>
      </c>
      <c r="F93">
        <v>124264.728</v>
      </c>
      <c r="G93">
        <v>13.367000000000001</v>
      </c>
      <c r="H93">
        <v>0</v>
      </c>
      <c r="I93" t="s">
        <v>438</v>
      </c>
      <c r="J93" t="s">
        <v>439</v>
      </c>
    </row>
    <row r="94" spans="1:10" x14ac:dyDescent="0.25">
      <c r="A94" s="141" t="s">
        <v>123</v>
      </c>
      <c r="B94">
        <v>4281.3879999999999</v>
      </c>
      <c r="C94">
        <v>37.921100000000003</v>
      </c>
      <c r="D94">
        <v>43.2151</v>
      </c>
      <c r="E94">
        <v>43.774500000000003</v>
      </c>
      <c r="F94">
        <v>75568.702000000005</v>
      </c>
      <c r="G94">
        <v>11.646000000000001</v>
      </c>
      <c r="H94">
        <v>0</v>
      </c>
      <c r="I94" t="s">
        <v>440</v>
      </c>
      <c r="J94" t="s">
        <v>441</v>
      </c>
    </row>
    <row r="95" spans="1:10" x14ac:dyDescent="0.25">
      <c r="A95" s="141" t="s">
        <v>124</v>
      </c>
      <c r="B95">
        <v>2189.2399999999998</v>
      </c>
      <c r="C95">
        <v>36.424300000000002</v>
      </c>
      <c r="D95">
        <v>42.219299999999997</v>
      </c>
      <c r="E95">
        <v>42.212200000000003</v>
      </c>
      <c r="F95">
        <v>42058.254999999997</v>
      </c>
      <c r="G95">
        <v>10.134</v>
      </c>
      <c r="H95">
        <v>0</v>
      </c>
      <c r="I95" t="s">
        <v>442</v>
      </c>
      <c r="J95" t="s">
        <v>443</v>
      </c>
    </row>
    <row r="96" spans="1:10" x14ac:dyDescent="0.25">
      <c r="A96" s="141" t="s">
        <v>125</v>
      </c>
      <c r="B96">
        <v>1077.7239999999999</v>
      </c>
      <c r="C96">
        <v>34.359099999999998</v>
      </c>
      <c r="D96">
        <v>40.817900000000002</v>
      </c>
      <c r="E96">
        <v>40.288600000000002</v>
      </c>
      <c r="F96">
        <v>22950.385999999999</v>
      </c>
      <c r="G96">
        <v>8.9209999999999994</v>
      </c>
      <c r="H96">
        <v>0</v>
      </c>
      <c r="I96" t="s">
        <v>444</v>
      </c>
      <c r="J96" t="s">
        <v>445</v>
      </c>
    </row>
    <row r="97" spans="1:10" x14ac:dyDescent="0.25">
      <c r="A97" s="141" t="s">
        <v>238</v>
      </c>
      <c r="B97">
        <v>6744.8559999999998</v>
      </c>
      <c r="C97">
        <v>39.7042</v>
      </c>
      <c r="D97">
        <v>43.905999999999999</v>
      </c>
      <c r="E97">
        <v>45.051400000000001</v>
      </c>
      <c r="F97">
        <v>112946.117</v>
      </c>
      <c r="G97">
        <v>14.268000000000001</v>
      </c>
      <c r="H97">
        <v>0</v>
      </c>
      <c r="I97" t="s">
        <v>454</v>
      </c>
      <c r="J97" t="s">
        <v>455</v>
      </c>
    </row>
    <row r="98" spans="1:10" x14ac:dyDescent="0.25">
      <c r="A98" s="141" t="s">
        <v>239</v>
      </c>
      <c r="B98">
        <v>3206.7440000000001</v>
      </c>
      <c r="C98">
        <v>38.562600000000003</v>
      </c>
      <c r="D98">
        <v>43.147100000000002</v>
      </c>
      <c r="E98">
        <v>44.367400000000004</v>
      </c>
      <c r="F98">
        <v>67114.782999999996</v>
      </c>
      <c r="G98">
        <v>12.076000000000001</v>
      </c>
      <c r="H98">
        <v>0</v>
      </c>
      <c r="I98" t="s">
        <v>456</v>
      </c>
      <c r="J98" t="s">
        <v>457</v>
      </c>
    </row>
    <row r="99" spans="1:10" x14ac:dyDescent="0.25">
      <c r="A99" s="141" t="s">
        <v>240</v>
      </c>
      <c r="B99">
        <v>1547.0640000000001</v>
      </c>
      <c r="C99">
        <v>36.8977</v>
      </c>
      <c r="D99">
        <v>42.276400000000002</v>
      </c>
      <c r="E99">
        <v>43.483800000000002</v>
      </c>
      <c r="F99">
        <v>36300.002</v>
      </c>
      <c r="G99">
        <v>10.356</v>
      </c>
      <c r="H99">
        <v>0</v>
      </c>
      <c r="I99" t="s">
        <v>458</v>
      </c>
      <c r="J99" t="s">
        <v>459</v>
      </c>
    </row>
    <row r="100" spans="1:10" x14ac:dyDescent="0.25">
      <c r="A100" s="141" t="s">
        <v>241</v>
      </c>
      <c r="B100">
        <v>695.34799999999996</v>
      </c>
      <c r="C100">
        <v>34.643700000000003</v>
      </c>
      <c r="D100">
        <v>41.024500000000003</v>
      </c>
      <c r="E100">
        <v>42.1111</v>
      </c>
      <c r="F100">
        <v>18189.531999999999</v>
      </c>
      <c r="G100">
        <v>9.2910000000000004</v>
      </c>
      <c r="H100">
        <v>0</v>
      </c>
      <c r="I100" t="s">
        <v>460</v>
      </c>
      <c r="J100" t="s">
        <v>461</v>
      </c>
    </row>
    <row r="101" spans="1:10" x14ac:dyDescent="0.25">
      <c r="A101" s="141" t="s">
        <v>242</v>
      </c>
      <c r="B101">
        <v>5566.0720000000001</v>
      </c>
      <c r="C101">
        <v>44.892099999999999</v>
      </c>
      <c r="D101">
        <v>47.718400000000003</v>
      </c>
      <c r="E101">
        <v>48.500900000000001</v>
      </c>
      <c r="F101">
        <v>85313.195000000007</v>
      </c>
      <c r="G101">
        <v>13.57</v>
      </c>
      <c r="H101">
        <v>0</v>
      </c>
      <c r="I101" t="s">
        <v>462</v>
      </c>
      <c r="J101" t="s">
        <v>463</v>
      </c>
    </row>
    <row r="102" spans="1:10" x14ac:dyDescent="0.25">
      <c r="A102" s="141" t="s">
        <v>243</v>
      </c>
      <c r="B102">
        <v>3415.596</v>
      </c>
      <c r="C102">
        <v>42.653599999999997</v>
      </c>
      <c r="D102">
        <v>46.141599999999997</v>
      </c>
      <c r="E102">
        <v>46.721499999999999</v>
      </c>
      <c r="F102">
        <v>58453.275999999998</v>
      </c>
      <c r="G102">
        <v>12.337</v>
      </c>
      <c r="H102">
        <v>0</v>
      </c>
      <c r="I102" t="s">
        <v>464</v>
      </c>
      <c r="J102" t="s">
        <v>465</v>
      </c>
    </row>
    <row r="103" spans="1:10" x14ac:dyDescent="0.25">
      <c r="A103" s="141" t="s">
        <v>244</v>
      </c>
      <c r="B103">
        <v>1909.672</v>
      </c>
      <c r="C103">
        <v>39.828000000000003</v>
      </c>
      <c r="D103">
        <v>44.597700000000003</v>
      </c>
      <c r="E103">
        <v>44.932899999999997</v>
      </c>
      <c r="F103">
        <v>36076.461000000003</v>
      </c>
      <c r="G103">
        <v>10.744</v>
      </c>
      <c r="H103">
        <v>0</v>
      </c>
      <c r="I103" t="s">
        <v>466</v>
      </c>
      <c r="J103" t="s">
        <v>467</v>
      </c>
    </row>
    <row r="104" spans="1:10" x14ac:dyDescent="0.25">
      <c r="A104" s="141" t="s">
        <v>245</v>
      </c>
      <c r="B104">
        <v>971.29600000000005</v>
      </c>
      <c r="C104">
        <v>36.645699999999998</v>
      </c>
      <c r="D104">
        <v>42.763199999999998</v>
      </c>
      <c r="E104">
        <v>42.836799999999997</v>
      </c>
      <c r="F104">
        <v>20634.775000000001</v>
      </c>
      <c r="G104">
        <v>9.8330000000000002</v>
      </c>
      <c r="H104">
        <v>0</v>
      </c>
      <c r="I104" t="s">
        <v>468</v>
      </c>
      <c r="J104" t="s">
        <v>469</v>
      </c>
    </row>
    <row r="105" spans="1:10" x14ac:dyDescent="0.25">
      <c r="A105" s="141" t="s">
        <v>126</v>
      </c>
      <c r="B105">
        <v>4089.3679999999999</v>
      </c>
      <c r="C105">
        <v>38.606299999999997</v>
      </c>
      <c r="D105">
        <v>46.226999999999997</v>
      </c>
      <c r="E105">
        <v>46.453200000000002</v>
      </c>
      <c r="F105">
        <v>54193.563000000002</v>
      </c>
      <c r="G105">
        <v>5.5949999999999998</v>
      </c>
      <c r="H105">
        <v>0</v>
      </c>
      <c r="I105" t="s">
        <v>406</v>
      </c>
      <c r="J105" t="s">
        <v>407</v>
      </c>
    </row>
    <row r="106" spans="1:10" x14ac:dyDescent="0.25">
      <c r="A106" s="141" t="s">
        <v>127</v>
      </c>
      <c r="B106">
        <v>1777.2</v>
      </c>
      <c r="C106">
        <v>37.101900000000001</v>
      </c>
      <c r="D106">
        <v>45.1783</v>
      </c>
      <c r="E106">
        <v>45.393700000000003</v>
      </c>
      <c r="F106">
        <v>28857.143</v>
      </c>
      <c r="G106">
        <v>4.556</v>
      </c>
      <c r="H106">
        <v>0</v>
      </c>
      <c r="I106" t="s">
        <v>408</v>
      </c>
      <c r="J106" t="s">
        <v>409</v>
      </c>
    </row>
    <row r="107" spans="1:10" x14ac:dyDescent="0.25">
      <c r="A107" s="141" t="s">
        <v>128</v>
      </c>
      <c r="B107">
        <v>839.98800000000006</v>
      </c>
      <c r="C107">
        <v>35.155099999999997</v>
      </c>
      <c r="D107">
        <v>43.876800000000003</v>
      </c>
      <c r="E107">
        <v>44.140799999999999</v>
      </c>
      <c r="F107">
        <v>16078.487999999999</v>
      </c>
      <c r="G107">
        <v>4.0910000000000002</v>
      </c>
      <c r="H107">
        <v>0</v>
      </c>
      <c r="I107" t="s">
        <v>410</v>
      </c>
      <c r="J107" t="s">
        <v>411</v>
      </c>
    </row>
    <row r="108" spans="1:10" x14ac:dyDescent="0.25">
      <c r="A108" s="141" t="s">
        <v>129</v>
      </c>
      <c r="B108">
        <v>400.084</v>
      </c>
      <c r="C108">
        <v>32.481000000000002</v>
      </c>
      <c r="D108">
        <v>42.230400000000003</v>
      </c>
      <c r="E108">
        <v>42.519199999999998</v>
      </c>
      <c r="F108">
        <v>8058.6180000000004</v>
      </c>
      <c r="G108">
        <v>3.427</v>
      </c>
      <c r="H108">
        <v>0</v>
      </c>
      <c r="I108" t="s">
        <v>412</v>
      </c>
      <c r="J108" t="s">
        <v>413</v>
      </c>
    </row>
    <row r="109" spans="1:10" x14ac:dyDescent="0.25">
      <c r="A109" s="141" t="s">
        <v>130</v>
      </c>
      <c r="B109">
        <v>2425.9920000000002</v>
      </c>
      <c r="C109">
        <v>40.654299999999999</v>
      </c>
      <c r="D109">
        <v>46.145200000000003</v>
      </c>
      <c r="E109">
        <v>47.328400000000002</v>
      </c>
      <c r="F109">
        <v>43269.548999999999</v>
      </c>
      <c r="G109">
        <v>5.657</v>
      </c>
      <c r="H109">
        <v>0</v>
      </c>
      <c r="I109" t="s">
        <v>414</v>
      </c>
      <c r="J109" t="s">
        <v>415</v>
      </c>
    </row>
    <row r="110" spans="1:10" x14ac:dyDescent="0.25">
      <c r="A110" s="141" t="s">
        <v>131</v>
      </c>
      <c r="B110">
        <v>1089.576</v>
      </c>
      <c r="C110">
        <v>39.504800000000003</v>
      </c>
      <c r="D110">
        <v>45.5672</v>
      </c>
      <c r="E110">
        <v>46.040599999999998</v>
      </c>
      <c r="F110">
        <v>23768.14</v>
      </c>
      <c r="G110">
        <v>5.1929999999999996</v>
      </c>
      <c r="H110">
        <v>0</v>
      </c>
      <c r="I110" t="s">
        <v>416</v>
      </c>
      <c r="J110" t="s">
        <v>417</v>
      </c>
    </row>
    <row r="111" spans="1:10" x14ac:dyDescent="0.25">
      <c r="A111" s="141" t="s">
        <v>132</v>
      </c>
      <c r="B111">
        <v>515.31600000000003</v>
      </c>
      <c r="C111">
        <v>37.945099999999996</v>
      </c>
      <c r="D111">
        <v>44.795999999999999</v>
      </c>
      <c r="E111">
        <v>44.499400000000001</v>
      </c>
      <c r="F111">
        <v>12061.73</v>
      </c>
      <c r="G111">
        <v>4.1689999999999996</v>
      </c>
      <c r="H111">
        <v>0</v>
      </c>
      <c r="I111" t="s">
        <v>418</v>
      </c>
      <c r="J111" t="s">
        <v>419</v>
      </c>
    </row>
    <row r="112" spans="1:10" x14ac:dyDescent="0.25">
      <c r="A112" s="141" t="s">
        <v>133</v>
      </c>
      <c r="B112">
        <v>233.3</v>
      </c>
      <c r="C112">
        <v>35.849200000000003</v>
      </c>
      <c r="D112">
        <v>43.615299999999998</v>
      </c>
      <c r="E112">
        <v>42.397100000000002</v>
      </c>
      <c r="F112">
        <v>5930.5649999999996</v>
      </c>
      <c r="G112">
        <v>3.8180000000000001</v>
      </c>
      <c r="H112">
        <v>0</v>
      </c>
      <c r="I112" t="s">
        <v>420</v>
      </c>
      <c r="J112" t="s">
        <v>421</v>
      </c>
    </row>
    <row r="113" spans="1:10" x14ac:dyDescent="0.25">
      <c r="A113" s="141" t="s">
        <v>134</v>
      </c>
      <c r="B113">
        <v>922.76800000000003</v>
      </c>
      <c r="C113">
        <v>43.542400000000001</v>
      </c>
      <c r="D113">
        <v>47.266100000000002</v>
      </c>
      <c r="E113">
        <v>48.2973</v>
      </c>
      <c r="F113">
        <v>18809.621999999999</v>
      </c>
      <c r="G113">
        <v>4.2729999999999997</v>
      </c>
      <c r="H113">
        <v>0</v>
      </c>
      <c r="I113" t="s">
        <v>422</v>
      </c>
      <c r="J113" t="s">
        <v>423</v>
      </c>
    </row>
    <row r="114" spans="1:10" x14ac:dyDescent="0.25">
      <c r="A114" s="141" t="s">
        <v>135</v>
      </c>
      <c r="B114">
        <v>505.84399999999999</v>
      </c>
      <c r="C114">
        <v>42.268099999999997</v>
      </c>
      <c r="D114">
        <v>46.544800000000002</v>
      </c>
      <c r="E114">
        <v>47.351399999999998</v>
      </c>
      <c r="F114">
        <v>10451.950000000001</v>
      </c>
      <c r="G114">
        <v>3.9580000000000002</v>
      </c>
      <c r="H114">
        <v>0</v>
      </c>
      <c r="I114" t="s">
        <v>424</v>
      </c>
      <c r="J114" t="s">
        <v>425</v>
      </c>
    </row>
    <row r="115" spans="1:10" x14ac:dyDescent="0.25">
      <c r="A115" s="141" t="s">
        <v>136</v>
      </c>
      <c r="B115">
        <v>290.04399999999998</v>
      </c>
      <c r="C115">
        <v>40.489600000000003</v>
      </c>
      <c r="D115">
        <v>45.544800000000002</v>
      </c>
      <c r="E115">
        <v>46.074100000000001</v>
      </c>
      <c r="F115">
        <v>5884.4080000000004</v>
      </c>
      <c r="G115">
        <v>3.6230000000000002</v>
      </c>
      <c r="H115">
        <v>0</v>
      </c>
      <c r="I115" t="s">
        <v>426</v>
      </c>
      <c r="J115" t="s">
        <v>427</v>
      </c>
    </row>
    <row r="116" spans="1:10" x14ac:dyDescent="0.25">
      <c r="A116" s="141" t="s">
        <v>137</v>
      </c>
      <c r="B116">
        <v>163.44</v>
      </c>
      <c r="C116">
        <v>37.929900000000004</v>
      </c>
      <c r="D116">
        <v>43.895299999999999</v>
      </c>
      <c r="E116">
        <v>43.986699999999999</v>
      </c>
      <c r="F116">
        <v>3435.0320000000002</v>
      </c>
      <c r="G116">
        <v>3.61</v>
      </c>
      <c r="H116">
        <v>0</v>
      </c>
      <c r="I116" t="s">
        <v>428</v>
      </c>
      <c r="J116" t="s">
        <v>429</v>
      </c>
    </row>
    <row r="117" spans="1:10" x14ac:dyDescent="0.25">
      <c r="A117" s="141" t="s">
        <v>138</v>
      </c>
      <c r="B117">
        <v>1282.78</v>
      </c>
      <c r="C117">
        <v>42.9146</v>
      </c>
      <c r="D117">
        <v>49.038800000000002</v>
      </c>
      <c r="E117">
        <v>48.691200000000002</v>
      </c>
      <c r="F117">
        <v>21413.208999999999</v>
      </c>
      <c r="G117">
        <v>4.1909999999999998</v>
      </c>
      <c r="H117">
        <v>0</v>
      </c>
      <c r="I117" t="s">
        <v>430</v>
      </c>
      <c r="J117" t="s">
        <v>431</v>
      </c>
    </row>
    <row r="118" spans="1:10" x14ac:dyDescent="0.25">
      <c r="A118" s="141" t="s">
        <v>139</v>
      </c>
      <c r="B118">
        <v>691.64800000000002</v>
      </c>
      <c r="C118">
        <v>41.625599999999999</v>
      </c>
      <c r="D118">
        <v>48.256599999999999</v>
      </c>
      <c r="E118">
        <v>47.727699999999999</v>
      </c>
      <c r="F118">
        <v>12472.735000000001</v>
      </c>
      <c r="G118">
        <v>3.7519999999999998</v>
      </c>
      <c r="H118">
        <v>0</v>
      </c>
      <c r="I118" t="s">
        <v>432</v>
      </c>
      <c r="J118" t="s">
        <v>433</v>
      </c>
    </row>
    <row r="119" spans="1:10" x14ac:dyDescent="0.25">
      <c r="A119" s="141" t="s">
        <v>140</v>
      </c>
      <c r="B119">
        <v>393.80799999999999</v>
      </c>
      <c r="C119">
        <v>39.769599999999997</v>
      </c>
      <c r="D119">
        <v>47.268000000000001</v>
      </c>
      <c r="E119">
        <v>46.258299999999998</v>
      </c>
      <c r="F119">
        <v>7132.7389999999996</v>
      </c>
      <c r="G119">
        <v>3.581</v>
      </c>
      <c r="H119">
        <v>0</v>
      </c>
      <c r="I119" t="s">
        <v>434</v>
      </c>
      <c r="J119" t="s">
        <v>435</v>
      </c>
    </row>
    <row r="120" spans="1:10" x14ac:dyDescent="0.25">
      <c r="A120" s="141" t="s">
        <v>141</v>
      </c>
      <c r="B120">
        <v>219.56</v>
      </c>
      <c r="C120">
        <v>37.060499999999998</v>
      </c>
      <c r="D120">
        <v>45.668500000000002</v>
      </c>
      <c r="E120">
        <v>43.982700000000001</v>
      </c>
      <c r="F120">
        <v>4169.7650000000003</v>
      </c>
      <c r="G120">
        <v>3.5419999999999998</v>
      </c>
      <c r="H120">
        <v>0</v>
      </c>
      <c r="I120" t="s">
        <v>436</v>
      </c>
      <c r="J120" t="s">
        <v>437</v>
      </c>
    </row>
    <row r="121" spans="1:10" x14ac:dyDescent="0.25">
      <c r="A121" s="141" t="s">
        <v>246</v>
      </c>
    </row>
    <row r="122" spans="1:10" x14ac:dyDescent="0.25">
      <c r="A122" s="141" t="s">
        <v>247</v>
      </c>
    </row>
    <row r="123" spans="1:10" x14ac:dyDescent="0.25">
      <c r="A123" s="141" t="s">
        <v>248</v>
      </c>
    </row>
    <row r="124" spans="1:10" x14ac:dyDescent="0.25">
      <c r="A124" s="141" t="s">
        <v>249</v>
      </c>
    </row>
    <row r="125" spans="1:10" x14ac:dyDescent="0.25">
      <c r="A125" s="141" t="s">
        <v>250</v>
      </c>
    </row>
    <row r="126" spans="1:10" x14ac:dyDescent="0.25">
      <c r="A126" s="141" t="s">
        <v>251</v>
      </c>
    </row>
    <row r="127" spans="1:10" x14ac:dyDescent="0.25">
      <c r="A127" s="141" t="s">
        <v>252</v>
      </c>
    </row>
    <row r="128" spans="1:10" x14ac:dyDescent="0.25">
      <c r="A128" s="141" t="s">
        <v>253</v>
      </c>
    </row>
    <row r="129" spans="1:1" x14ac:dyDescent="0.25">
      <c r="A129" s="141" t="s">
        <v>334</v>
      </c>
    </row>
    <row r="130" spans="1:1" x14ac:dyDescent="0.25">
      <c r="A130" s="141" t="s">
        <v>335</v>
      </c>
    </row>
    <row r="131" spans="1:1" x14ac:dyDescent="0.25">
      <c r="A131" s="141" t="s">
        <v>336</v>
      </c>
    </row>
    <row r="132" spans="1:1" x14ac:dyDescent="0.25">
      <c r="A132" s="141" t="s">
        <v>337</v>
      </c>
    </row>
    <row r="133" spans="1:1" x14ac:dyDescent="0.25">
      <c r="A133" s="141" t="s">
        <v>338</v>
      </c>
    </row>
    <row r="134" spans="1:1" x14ac:dyDescent="0.25">
      <c r="A134" s="141" t="s">
        <v>339</v>
      </c>
    </row>
    <row r="135" spans="1:1" x14ac:dyDescent="0.25">
      <c r="A135" s="141" t="s">
        <v>340</v>
      </c>
    </row>
    <row r="136" spans="1:1" x14ac:dyDescent="0.25">
      <c r="A136" s="141" t="s">
        <v>341</v>
      </c>
    </row>
    <row r="137" spans="1:1" x14ac:dyDescent="0.25">
      <c r="A137" s="141" t="s">
        <v>342</v>
      </c>
    </row>
    <row r="138" spans="1:1" x14ac:dyDescent="0.25">
      <c r="A138" s="141" t="s">
        <v>343</v>
      </c>
    </row>
    <row r="139" spans="1:1" x14ac:dyDescent="0.25">
      <c r="A139" s="141" t="s">
        <v>344</v>
      </c>
    </row>
    <row r="140" spans="1:1" x14ac:dyDescent="0.25">
      <c r="A140" s="141" t="s">
        <v>345</v>
      </c>
    </row>
    <row r="141" spans="1:1" x14ac:dyDescent="0.25">
      <c r="A141" s="141" t="s">
        <v>346</v>
      </c>
    </row>
    <row r="142" spans="1:1" x14ac:dyDescent="0.25">
      <c r="A142" s="141" t="s">
        <v>347</v>
      </c>
    </row>
    <row r="143" spans="1:1" x14ac:dyDescent="0.25">
      <c r="A143" s="141" t="s">
        <v>348</v>
      </c>
    </row>
    <row r="144" spans="1:1" x14ac:dyDescent="0.25">
      <c r="A144" s="141" t="s">
        <v>349</v>
      </c>
    </row>
    <row r="145" spans="1:10" x14ac:dyDescent="0.25">
      <c r="A145" s="141" t="s">
        <v>254</v>
      </c>
      <c r="B145">
        <v>17070.168000000001</v>
      </c>
      <c r="C145">
        <v>40.171100000000003</v>
      </c>
      <c r="D145">
        <v>48.753500000000003</v>
      </c>
      <c r="E145">
        <v>46.677999999999997</v>
      </c>
      <c r="F145">
        <v>203919.625</v>
      </c>
      <c r="G145">
        <v>27.786999999999999</v>
      </c>
      <c r="H145">
        <v>0</v>
      </c>
      <c r="I145" t="s">
        <v>598</v>
      </c>
      <c r="J145" t="s">
        <v>599</v>
      </c>
    </row>
    <row r="146" spans="1:10" x14ac:dyDescent="0.25">
      <c r="A146" s="141" t="s">
        <v>255</v>
      </c>
      <c r="B146">
        <v>8441.7999999999993</v>
      </c>
      <c r="C146">
        <v>39.565300000000001</v>
      </c>
      <c r="D146">
        <v>47.950200000000002</v>
      </c>
      <c r="E146">
        <v>45.532299999999999</v>
      </c>
      <c r="F146">
        <v>114692.773</v>
      </c>
      <c r="G146">
        <v>24.707999999999998</v>
      </c>
      <c r="H146">
        <v>0</v>
      </c>
      <c r="I146" t="s">
        <v>600</v>
      </c>
      <c r="J146" t="s">
        <v>601</v>
      </c>
    </row>
    <row r="147" spans="1:10" x14ac:dyDescent="0.25">
      <c r="A147" s="141" t="s">
        <v>256</v>
      </c>
      <c r="B147">
        <v>4596.96</v>
      </c>
      <c r="C147">
        <v>38.576999999999998</v>
      </c>
      <c r="D147">
        <v>46.903100000000002</v>
      </c>
      <c r="E147">
        <v>44.168100000000003</v>
      </c>
      <c r="F147">
        <v>61833.91</v>
      </c>
      <c r="G147">
        <v>21.664000000000001</v>
      </c>
      <c r="H147">
        <v>0</v>
      </c>
      <c r="I147" t="s">
        <v>602</v>
      </c>
      <c r="J147" t="s">
        <v>603</v>
      </c>
    </row>
    <row r="148" spans="1:10" x14ac:dyDescent="0.25">
      <c r="A148" s="141" t="s">
        <v>257</v>
      </c>
      <c r="B148">
        <v>2501.6799999999998</v>
      </c>
      <c r="C148">
        <v>37.0351</v>
      </c>
      <c r="D148">
        <v>45.561399999999999</v>
      </c>
      <c r="E148">
        <v>42.4816</v>
      </c>
      <c r="F148">
        <v>32113.641</v>
      </c>
      <c r="G148">
        <v>18.802</v>
      </c>
      <c r="H148">
        <v>0</v>
      </c>
      <c r="I148" t="s">
        <v>604</v>
      </c>
      <c r="J148" t="s">
        <v>605</v>
      </c>
    </row>
    <row r="149" spans="1:10" x14ac:dyDescent="0.25">
      <c r="A149" s="141" t="s">
        <v>258</v>
      </c>
      <c r="B149">
        <v>91155.728000000003</v>
      </c>
      <c r="C149">
        <v>41.737099999999998</v>
      </c>
      <c r="D149">
        <v>36.691600000000001</v>
      </c>
      <c r="E149">
        <v>37.7104</v>
      </c>
      <c r="F149">
        <v>353513.09399999998</v>
      </c>
      <c r="G149">
        <v>30.756</v>
      </c>
      <c r="H149">
        <v>0</v>
      </c>
      <c r="I149" t="s">
        <v>606</v>
      </c>
      <c r="J149" t="s">
        <v>607</v>
      </c>
    </row>
    <row r="150" spans="1:10" x14ac:dyDescent="0.25">
      <c r="A150" s="141" t="s">
        <v>259</v>
      </c>
      <c r="B150">
        <v>46662.248</v>
      </c>
      <c r="C150">
        <v>38.941600000000001</v>
      </c>
      <c r="D150">
        <v>34.414900000000003</v>
      </c>
      <c r="E150">
        <v>35.797499999999999</v>
      </c>
      <c r="F150">
        <v>245635.21900000001</v>
      </c>
      <c r="G150">
        <v>26.32</v>
      </c>
      <c r="H150">
        <v>0</v>
      </c>
      <c r="I150" t="s">
        <v>608</v>
      </c>
      <c r="J150" t="s">
        <v>609</v>
      </c>
    </row>
    <row r="151" spans="1:10" x14ac:dyDescent="0.25">
      <c r="A151" s="141" t="s">
        <v>260</v>
      </c>
      <c r="B151">
        <v>21694.335999999999</v>
      </c>
      <c r="C151">
        <v>35.843499999999999</v>
      </c>
      <c r="D151">
        <v>32.5105</v>
      </c>
      <c r="E151">
        <v>34.191299999999998</v>
      </c>
      <c r="F151">
        <v>161778.15599999999</v>
      </c>
      <c r="G151">
        <v>22.448</v>
      </c>
      <c r="H151">
        <v>0</v>
      </c>
      <c r="I151" t="s">
        <v>610</v>
      </c>
      <c r="J151" t="s">
        <v>611</v>
      </c>
    </row>
    <row r="152" spans="1:10" x14ac:dyDescent="0.25">
      <c r="A152" s="141" t="s">
        <v>261</v>
      </c>
      <c r="B152">
        <v>9164.4</v>
      </c>
      <c r="C152">
        <v>32.828099999999999</v>
      </c>
      <c r="D152">
        <v>30.808700000000002</v>
      </c>
      <c r="E152">
        <v>32.814</v>
      </c>
      <c r="F152">
        <v>91877.695000000007</v>
      </c>
      <c r="G152">
        <v>19.463999999999999</v>
      </c>
      <c r="H152">
        <v>0</v>
      </c>
      <c r="I152" t="s">
        <v>612</v>
      </c>
      <c r="J152" t="s">
        <v>613</v>
      </c>
    </row>
    <row r="153" spans="1:10" x14ac:dyDescent="0.25">
      <c r="A153" s="141" t="s">
        <v>262</v>
      </c>
      <c r="B153">
        <v>45095.807999999997</v>
      </c>
      <c r="C153">
        <v>38.879199999999997</v>
      </c>
      <c r="D153">
        <v>41.2179</v>
      </c>
      <c r="E153">
        <v>41.491399999999999</v>
      </c>
      <c r="F153">
        <v>188482.40599999999</v>
      </c>
      <c r="G153">
        <v>16.978999999999999</v>
      </c>
      <c r="H153">
        <v>0</v>
      </c>
      <c r="I153" t="s">
        <v>614</v>
      </c>
      <c r="J153" t="s">
        <v>615</v>
      </c>
    </row>
    <row r="154" spans="1:10" x14ac:dyDescent="0.25">
      <c r="A154" s="141" t="s">
        <v>263</v>
      </c>
      <c r="B154">
        <v>22161.552</v>
      </c>
      <c r="C154">
        <v>37.521299999999997</v>
      </c>
      <c r="D154">
        <v>38.649900000000002</v>
      </c>
      <c r="E154">
        <v>40.113100000000003</v>
      </c>
      <c r="F154">
        <v>115579.961</v>
      </c>
      <c r="G154">
        <v>13.746</v>
      </c>
      <c r="H154">
        <v>0</v>
      </c>
      <c r="I154" t="s">
        <v>616</v>
      </c>
      <c r="J154" t="s">
        <v>617</v>
      </c>
    </row>
    <row r="155" spans="1:10" x14ac:dyDescent="0.25">
      <c r="A155" s="141" t="s">
        <v>264</v>
      </c>
      <c r="B155">
        <v>11565.152</v>
      </c>
      <c r="C155">
        <v>35.9681</v>
      </c>
      <c r="D155">
        <v>36.411900000000003</v>
      </c>
      <c r="E155">
        <v>38.676000000000002</v>
      </c>
      <c r="F155">
        <v>73237.960999999996</v>
      </c>
      <c r="G155">
        <v>12.053000000000001</v>
      </c>
      <c r="H155">
        <v>0</v>
      </c>
      <c r="I155" t="s">
        <v>618</v>
      </c>
      <c r="J155" t="s">
        <v>619</v>
      </c>
    </row>
    <row r="156" spans="1:10" x14ac:dyDescent="0.25">
      <c r="A156" s="141" t="s">
        <v>265</v>
      </c>
      <c r="B156">
        <v>5673.8720000000003</v>
      </c>
      <c r="C156">
        <v>34.048499999999997</v>
      </c>
      <c r="D156">
        <v>33.981999999999999</v>
      </c>
      <c r="E156">
        <v>36.909500000000001</v>
      </c>
      <c r="F156">
        <v>43574.535000000003</v>
      </c>
      <c r="G156">
        <v>10.784000000000001</v>
      </c>
      <c r="H156">
        <v>0</v>
      </c>
      <c r="I156" t="s">
        <v>620</v>
      </c>
      <c r="J156" t="s">
        <v>621</v>
      </c>
    </row>
    <row r="157" spans="1:10" x14ac:dyDescent="0.25">
      <c r="A157" s="141" t="s">
        <v>266</v>
      </c>
      <c r="B157">
        <v>24500.968000000001</v>
      </c>
      <c r="C157">
        <v>37.540300000000002</v>
      </c>
      <c r="D157">
        <v>45.035699999999999</v>
      </c>
      <c r="E157">
        <v>42.8018</v>
      </c>
      <c r="F157">
        <v>274301.06199999998</v>
      </c>
      <c r="G157">
        <v>27.655999999999999</v>
      </c>
      <c r="H157">
        <v>0</v>
      </c>
      <c r="I157" t="s">
        <v>622</v>
      </c>
      <c r="J157" t="s">
        <v>623</v>
      </c>
    </row>
    <row r="158" spans="1:10" x14ac:dyDescent="0.25">
      <c r="A158" s="141" t="s">
        <v>267</v>
      </c>
      <c r="B158">
        <v>10320.304</v>
      </c>
      <c r="C158">
        <v>36.917499999999997</v>
      </c>
      <c r="D158">
        <v>44.389299999999999</v>
      </c>
      <c r="E158">
        <v>42.0869</v>
      </c>
      <c r="F158">
        <v>151623.54699999999</v>
      </c>
      <c r="G158">
        <v>23.286999999999999</v>
      </c>
      <c r="H158">
        <v>0</v>
      </c>
      <c r="I158" t="s">
        <v>624</v>
      </c>
      <c r="J158" t="s">
        <v>625</v>
      </c>
    </row>
    <row r="159" spans="1:10" x14ac:dyDescent="0.25">
      <c r="A159" s="141" t="s">
        <v>268</v>
      </c>
      <c r="B159">
        <v>5155.6880000000001</v>
      </c>
      <c r="C159">
        <v>35.905999999999999</v>
      </c>
      <c r="D159">
        <v>43.4709</v>
      </c>
      <c r="E159">
        <v>41.149099999999997</v>
      </c>
      <c r="F159">
        <v>81867.875</v>
      </c>
      <c r="G159">
        <v>18.448</v>
      </c>
      <c r="H159">
        <v>0</v>
      </c>
      <c r="I159" t="s">
        <v>626</v>
      </c>
      <c r="J159" t="s">
        <v>627</v>
      </c>
    </row>
    <row r="160" spans="1:10" x14ac:dyDescent="0.25">
      <c r="A160" s="141" t="s">
        <v>269</v>
      </c>
      <c r="B160">
        <v>2560.0880000000002</v>
      </c>
      <c r="C160">
        <v>34.327399999999997</v>
      </c>
      <c r="D160">
        <v>42.154800000000002</v>
      </c>
      <c r="E160">
        <v>40.0107</v>
      </c>
      <c r="F160">
        <v>41587.559000000001</v>
      </c>
      <c r="G160">
        <v>14.887</v>
      </c>
      <c r="H160">
        <v>0</v>
      </c>
      <c r="I160" t="s">
        <v>628</v>
      </c>
      <c r="J160" t="s">
        <v>629</v>
      </c>
    </row>
    <row r="161" spans="1:10" x14ac:dyDescent="0.25">
      <c r="A161" s="141" t="s">
        <v>142</v>
      </c>
      <c r="B161">
        <v>7975.5551999999998</v>
      </c>
      <c r="C161">
        <v>38.023899999999998</v>
      </c>
      <c r="D161">
        <v>39.7393</v>
      </c>
      <c r="E161">
        <v>42.8294</v>
      </c>
      <c r="F161">
        <v>315817.31199999998</v>
      </c>
      <c r="G161">
        <v>25.189</v>
      </c>
      <c r="H161">
        <v>0</v>
      </c>
      <c r="I161" t="s">
        <v>630</v>
      </c>
      <c r="J161" t="s">
        <v>631</v>
      </c>
    </row>
    <row r="162" spans="1:10" x14ac:dyDescent="0.25">
      <c r="A162" s="141" t="s">
        <v>143</v>
      </c>
      <c r="B162">
        <v>3756.7808</v>
      </c>
      <c r="C162">
        <v>36.681100000000001</v>
      </c>
      <c r="D162">
        <v>39.101199999999999</v>
      </c>
      <c r="E162">
        <v>41.656100000000002</v>
      </c>
      <c r="F162">
        <v>192482</v>
      </c>
      <c r="G162">
        <v>20.878</v>
      </c>
      <c r="H162">
        <v>0</v>
      </c>
      <c r="I162" t="s">
        <v>632</v>
      </c>
      <c r="J162" t="s">
        <v>633</v>
      </c>
    </row>
    <row r="163" spans="1:10" x14ac:dyDescent="0.25">
      <c r="A163" s="141" t="s">
        <v>144</v>
      </c>
      <c r="B163">
        <v>1844.6415999999999</v>
      </c>
      <c r="C163">
        <v>34.813000000000002</v>
      </c>
      <c r="D163">
        <v>38.273600000000002</v>
      </c>
      <c r="E163">
        <v>40.192599999999999</v>
      </c>
      <c r="F163">
        <v>117964.93799999999</v>
      </c>
      <c r="G163">
        <v>17.817</v>
      </c>
      <c r="H163">
        <v>0</v>
      </c>
      <c r="I163" t="s">
        <v>634</v>
      </c>
      <c r="J163" t="s">
        <v>635</v>
      </c>
    </row>
    <row r="164" spans="1:10" x14ac:dyDescent="0.25">
      <c r="A164" s="141" t="s">
        <v>145</v>
      </c>
      <c r="B164">
        <v>881.34720000000004</v>
      </c>
      <c r="C164">
        <v>32.496699999999997</v>
      </c>
      <c r="D164">
        <v>37.268099999999997</v>
      </c>
      <c r="E164">
        <v>38.512099999999997</v>
      </c>
      <c r="F164">
        <v>67245.820000000007</v>
      </c>
      <c r="G164">
        <v>14.164999999999999</v>
      </c>
      <c r="H164">
        <v>0</v>
      </c>
      <c r="I164" t="s">
        <v>636</v>
      </c>
      <c r="J164" t="s">
        <v>637</v>
      </c>
    </row>
    <row r="165" spans="1:10" x14ac:dyDescent="0.25">
      <c r="A165" s="141" t="s">
        <v>146</v>
      </c>
      <c r="B165">
        <v>9098.1872000000003</v>
      </c>
      <c r="C165">
        <v>38.740400000000001</v>
      </c>
      <c r="D165">
        <v>43.691400000000002</v>
      </c>
      <c r="E165">
        <v>44.623899999999999</v>
      </c>
      <c r="F165">
        <v>340053.84399999998</v>
      </c>
      <c r="G165">
        <v>31.335999999999999</v>
      </c>
      <c r="H165">
        <v>0</v>
      </c>
      <c r="I165" t="s">
        <v>638</v>
      </c>
      <c r="J165" t="s">
        <v>639</v>
      </c>
    </row>
    <row r="166" spans="1:10" x14ac:dyDescent="0.25">
      <c r="A166" s="141" t="s">
        <v>147</v>
      </c>
      <c r="B166">
        <v>4704.5871999999999</v>
      </c>
      <c r="C166">
        <v>37.535299999999999</v>
      </c>
      <c r="D166">
        <v>42.713700000000003</v>
      </c>
      <c r="E166">
        <v>43.125999999999998</v>
      </c>
      <c r="F166">
        <v>213285.95300000001</v>
      </c>
      <c r="G166">
        <v>26.832000000000001</v>
      </c>
      <c r="H166">
        <v>0</v>
      </c>
      <c r="I166" t="s">
        <v>640</v>
      </c>
      <c r="J166" t="s">
        <v>641</v>
      </c>
    </row>
    <row r="167" spans="1:10" x14ac:dyDescent="0.25">
      <c r="A167" s="141" t="s">
        <v>148</v>
      </c>
      <c r="B167">
        <v>2397.5680000000002</v>
      </c>
      <c r="C167">
        <v>35.856099999999998</v>
      </c>
      <c r="D167">
        <v>41.487299999999998</v>
      </c>
      <c r="E167">
        <v>41.3994</v>
      </c>
      <c r="F167">
        <v>128304.734</v>
      </c>
      <c r="G167">
        <v>22.25</v>
      </c>
      <c r="H167">
        <v>0</v>
      </c>
      <c r="I167" t="s">
        <v>642</v>
      </c>
      <c r="J167" t="s">
        <v>643</v>
      </c>
    </row>
    <row r="168" spans="1:10" x14ac:dyDescent="0.25">
      <c r="A168" s="141" t="s">
        <v>149</v>
      </c>
      <c r="B168">
        <v>1187.904</v>
      </c>
      <c r="C168">
        <v>33.766500000000001</v>
      </c>
      <c r="D168">
        <v>40.118299999999998</v>
      </c>
      <c r="E168">
        <v>39.478499999999997</v>
      </c>
      <c r="F168">
        <v>71520.445000000007</v>
      </c>
      <c r="G168">
        <v>18.263999999999999</v>
      </c>
      <c r="H168">
        <v>0</v>
      </c>
      <c r="I168" t="s">
        <v>644</v>
      </c>
      <c r="J168" t="s">
        <v>645</v>
      </c>
    </row>
    <row r="169" spans="1:10" x14ac:dyDescent="0.25">
      <c r="A169" s="141" t="s">
        <v>270</v>
      </c>
      <c r="B169">
        <v>6358.5087999999996</v>
      </c>
      <c r="C169">
        <v>39.8339</v>
      </c>
      <c r="D169">
        <v>43.804099999999998</v>
      </c>
      <c r="E169">
        <v>44.508299999999998</v>
      </c>
      <c r="F169">
        <v>305559.40600000002</v>
      </c>
      <c r="G169">
        <v>32.112000000000002</v>
      </c>
      <c r="H169">
        <v>0</v>
      </c>
      <c r="I169" t="s">
        <v>646</v>
      </c>
      <c r="J169" t="s">
        <v>647</v>
      </c>
    </row>
    <row r="170" spans="1:10" x14ac:dyDescent="0.25">
      <c r="A170" s="141" t="s">
        <v>271</v>
      </c>
      <c r="B170">
        <v>3030.1968000000002</v>
      </c>
      <c r="C170">
        <v>38.537700000000001</v>
      </c>
      <c r="D170">
        <v>42.933500000000002</v>
      </c>
      <c r="E170">
        <v>43.659799999999997</v>
      </c>
      <c r="F170">
        <v>178516.04699999999</v>
      </c>
      <c r="G170">
        <v>25.238</v>
      </c>
      <c r="H170">
        <v>0</v>
      </c>
      <c r="I170" t="s">
        <v>648</v>
      </c>
      <c r="J170" t="s">
        <v>649</v>
      </c>
    </row>
    <row r="171" spans="1:10" x14ac:dyDescent="0.25">
      <c r="A171" s="141" t="s">
        <v>272</v>
      </c>
      <c r="B171">
        <v>1462.6768</v>
      </c>
      <c r="C171">
        <v>36.720999999999997</v>
      </c>
      <c r="D171">
        <v>41.8369</v>
      </c>
      <c r="E171">
        <v>42.421599999999998</v>
      </c>
      <c r="F171">
        <v>100943.359</v>
      </c>
      <c r="G171">
        <v>21.579000000000001</v>
      </c>
      <c r="H171">
        <v>0</v>
      </c>
      <c r="I171" t="s">
        <v>650</v>
      </c>
      <c r="J171" t="s">
        <v>651</v>
      </c>
    </row>
    <row r="172" spans="1:10" x14ac:dyDescent="0.25">
      <c r="A172" s="141" t="s">
        <v>273</v>
      </c>
      <c r="B172">
        <v>686.36800000000005</v>
      </c>
      <c r="C172">
        <v>34.432099999999998</v>
      </c>
      <c r="D172">
        <v>40.6858</v>
      </c>
      <c r="E172">
        <v>41.043599999999998</v>
      </c>
      <c r="F172">
        <v>53545.48</v>
      </c>
      <c r="G172">
        <v>17.419</v>
      </c>
      <c r="H172">
        <v>0</v>
      </c>
      <c r="I172" t="s">
        <v>652</v>
      </c>
      <c r="J172" t="s">
        <v>653</v>
      </c>
    </row>
    <row r="173" spans="1:10" x14ac:dyDescent="0.25">
      <c r="A173" s="141" t="s">
        <v>274</v>
      </c>
      <c r="B173">
        <v>6708.232</v>
      </c>
      <c r="C173">
        <v>43.389400000000002</v>
      </c>
      <c r="D173">
        <v>46.723700000000001</v>
      </c>
      <c r="E173">
        <v>47.319499999999998</v>
      </c>
      <c r="F173">
        <v>256379</v>
      </c>
      <c r="G173">
        <v>32.25</v>
      </c>
      <c r="H173">
        <v>0</v>
      </c>
      <c r="I173" t="s">
        <v>654</v>
      </c>
      <c r="J173" t="s">
        <v>655</v>
      </c>
    </row>
    <row r="174" spans="1:10" x14ac:dyDescent="0.25">
      <c r="A174" s="141" t="s">
        <v>275</v>
      </c>
      <c r="B174">
        <v>4085.5455999999999</v>
      </c>
      <c r="C174">
        <v>41.072200000000002</v>
      </c>
      <c r="D174">
        <v>45.262799999999999</v>
      </c>
      <c r="E174">
        <v>45.640799999999999</v>
      </c>
      <c r="F174">
        <v>180170.734</v>
      </c>
      <c r="G174">
        <v>28.957999999999998</v>
      </c>
      <c r="H174">
        <v>0</v>
      </c>
      <c r="I174" t="s">
        <v>656</v>
      </c>
      <c r="J174" t="s">
        <v>657</v>
      </c>
    </row>
    <row r="175" spans="1:10" x14ac:dyDescent="0.25">
      <c r="A175" s="141" t="s">
        <v>276</v>
      </c>
      <c r="B175">
        <v>2258.0464000000002</v>
      </c>
      <c r="C175">
        <v>38.269100000000002</v>
      </c>
      <c r="D175">
        <v>43.609499999999997</v>
      </c>
      <c r="E175">
        <v>43.7849</v>
      </c>
      <c r="F175">
        <v>115133.367</v>
      </c>
      <c r="G175">
        <v>24.803000000000001</v>
      </c>
      <c r="H175">
        <v>0</v>
      </c>
      <c r="I175" t="s">
        <v>658</v>
      </c>
      <c r="J175" t="s">
        <v>659</v>
      </c>
    </row>
    <row r="176" spans="1:10" x14ac:dyDescent="0.25">
      <c r="A176" s="141" t="s">
        <v>277</v>
      </c>
      <c r="B176">
        <v>1174.8208</v>
      </c>
      <c r="C176">
        <v>35.308</v>
      </c>
      <c r="D176">
        <v>41.942399999999999</v>
      </c>
      <c r="E176">
        <v>41.872999999999998</v>
      </c>
      <c r="F176">
        <v>66505.25</v>
      </c>
      <c r="G176">
        <v>20.053000000000001</v>
      </c>
      <c r="H176">
        <v>0</v>
      </c>
      <c r="I176" t="s">
        <v>660</v>
      </c>
      <c r="J176" t="s">
        <v>661</v>
      </c>
    </row>
    <row r="177" spans="1:10" x14ac:dyDescent="0.25">
      <c r="A177" s="141" t="s">
        <v>150</v>
      </c>
      <c r="B177" s="71">
        <v>4672.9567999999999</v>
      </c>
      <c r="C177" s="71">
        <v>38.456099999999999</v>
      </c>
      <c r="D177" s="71">
        <v>45.520600000000002</v>
      </c>
      <c r="E177" s="71">
        <v>45.731099999999998</v>
      </c>
      <c r="F177" s="71">
        <v>178096.484</v>
      </c>
      <c r="G177" s="71">
        <v>14.079000000000001</v>
      </c>
      <c r="H177">
        <v>0</v>
      </c>
      <c r="I177" t="s">
        <v>662</v>
      </c>
      <c r="J177" t="s">
        <v>663</v>
      </c>
    </row>
    <row r="178" spans="1:10" x14ac:dyDescent="0.25">
      <c r="A178" s="141" t="s">
        <v>151</v>
      </c>
      <c r="B178" s="71">
        <v>1631.5072</v>
      </c>
      <c r="C178" s="71">
        <v>36.460099999999997</v>
      </c>
      <c r="D178" s="71">
        <v>44.547899999999998</v>
      </c>
      <c r="E178" s="71">
        <v>44.764899999999997</v>
      </c>
      <c r="F178" s="71">
        <v>89564.202999999994</v>
      </c>
      <c r="G178" s="71">
        <v>10.167</v>
      </c>
      <c r="H178">
        <v>0</v>
      </c>
      <c r="I178" t="s">
        <v>664</v>
      </c>
      <c r="J178" t="s">
        <v>665</v>
      </c>
    </row>
    <row r="179" spans="1:10" x14ac:dyDescent="0.25">
      <c r="A179" s="141" t="s">
        <v>152</v>
      </c>
      <c r="B179" s="71">
        <v>651.71519999999998</v>
      </c>
      <c r="C179" s="71">
        <v>34.033799999999999</v>
      </c>
      <c r="D179" s="71">
        <v>43.205399999999997</v>
      </c>
      <c r="E179" s="71">
        <v>43.345199999999998</v>
      </c>
      <c r="F179" s="71">
        <v>51116.722999999998</v>
      </c>
      <c r="G179" s="71">
        <v>7.8540000000000001</v>
      </c>
      <c r="H179">
        <v>0</v>
      </c>
      <c r="I179" t="s">
        <v>666</v>
      </c>
      <c r="J179" t="s">
        <v>667</v>
      </c>
    </row>
    <row r="180" spans="1:10" x14ac:dyDescent="0.25">
      <c r="A180" s="141" t="s">
        <v>153</v>
      </c>
      <c r="B180" s="71">
        <v>275.03680000000003</v>
      </c>
      <c r="C180" s="71">
        <v>31.0291</v>
      </c>
      <c r="D180" s="71">
        <v>41.9285</v>
      </c>
      <c r="E180" s="71">
        <v>42.004899999999999</v>
      </c>
      <c r="F180" s="71">
        <v>29530.125</v>
      </c>
      <c r="G180" s="71">
        <v>6.3630000000000004</v>
      </c>
      <c r="H180">
        <v>0</v>
      </c>
      <c r="I180" t="s">
        <v>668</v>
      </c>
      <c r="J180" t="s">
        <v>669</v>
      </c>
    </row>
    <row r="181" spans="1:10" x14ac:dyDescent="0.25">
      <c r="A181" s="141" t="s">
        <v>154</v>
      </c>
      <c r="B181" s="71">
        <v>3773.4335999999998</v>
      </c>
      <c r="C181" s="71">
        <v>40.5336</v>
      </c>
      <c r="D181" s="71">
        <v>45.262799999999999</v>
      </c>
      <c r="E181" s="71">
        <v>46.059800000000003</v>
      </c>
      <c r="F181" s="71">
        <v>153004.45300000001</v>
      </c>
      <c r="G181" s="71">
        <v>15.148999999999999</v>
      </c>
      <c r="H181">
        <v>0</v>
      </c>
      <c r="I181" t="s">
        <v>670</v>
      </c>
      <c r="J181" t="s">
        <v>671</v>
      </c>
    </row>
    <row r="182" spans="1:10" x14ac:dyDescent="0.25">
      <c r="A182" s="141" t="s">
        <v>155</v>
      </c>
      <c r="B182" s="71">
        <v>1703.84</v>
      </c>
      <c r="C182" s="71">
        <v>38.878799999999998</v>
      </c>
      <c r="D182" s="71">
        <v>44.4407</v>
      </c>
      <c r="E182" s="71">
        <v>44.523299999999999</v>
      </c>
      <c r="F182" s="71">
        <v>89647.539000000004</v>
      </c>
      <c r="G182" s="71">
        <v>12.471</v>
      </c>
      <c r="H182">
        <v>0</v>
      </c>
      <c r="I182" t="s">
        <v>672</v>
      </c>
      <c r="J182" t="s">
        <v>673</v>
      </c>
    </row>
    <row r="183" spans="1:10" x14ac:dyDescent="0.25">
      <c r="A183" s="141" t="s">
        <v>156</v>
      </c>
      <c r="B183" s="71">
        <v>813.72</v>
      </c>
      <c r="C183" s="71">
        <v>36.9131</v>
      </c>
      <c r="D183" s="71">
        <v>43.4193</v>
      </c>
      <c r="E183" s="71">
        <v>42.713799999999999</v>
      </c>
      <c r="F183" s="71">
        <v>49676.906000000003</v>
      </c>
      <c r="G183" s="71">
        <v>9.6989999999999998</v>
      </c>
      <c r="H183">
        <v>0</v>
      </c>
      <c r="I183" t="s">
        <v>674</v>
      </c>
      <c r="J183" t="s">
        <v>675</v>
      </c>
    </row>
    <row r="184" spans="1:10" x14ac:dyDescent="0.25">
      <c r="A184" s="141" t="s">
        <v>157</v>
      </c>
      <c r="B184" s="71">
        <v>380.64800000000002</v>
      </c>
      <c r="C184" s="71">
        <v>34.6661</v>
      </c>
      <c r="D184" s="71">
        <v>42.103299999999997</v>
      </c>
      <c r="E184" s="71">
        <v>40.647599999999997</v>
      </c>
      <c r="F184" s="71">
        <v>26083.521000000001</v>
      </c>
      <c r="G184" s="71">
        <v>7.569</v>
      </c>
      <c r="H184">
        <v>0</v>
      </c>
      <c r="I184" t="s">
        <v>676</v>
      </c>
      <c r="J184" t="s">
        <v>677</v>
      </c>
    </row>
    <row r="185" spans="1:10" x14ac:dyDescent="0.25">
      <c r="A185" s="141" t="s">
        <v>158</v>
      </c>
      <c r="B185" s="71">
        <v>917.99519999999995</v>
      </c>
      <c r="C185" s="71">
        <v>42.971499999999999</v>
      </c>
      <c r="D185" s="71">
        <v>46.786200000000001</v>
      </c>
      <c r="E185" s="71">
        <v>47.612699999999997</v>
      </c>
      <c r="F185" s="71">
        <v>59687.188000000002</v>
      </c>
      <c r="G185" s="71">
        <v>7.8250000000000002</v>
      </c>
      <c r="H185">
        <v>0</v>
      </c>
      <c r="I185" t="s">
        <v>678</v>
      </c>
      <c r="J185" t="s">
        <v>679</v>
      </c>
    </row>
    <row r="186" spans="1:10" x14ac:dyDescent="0.25">
      <c r="A186" s="141" t="s">
        <v>159</v>
      </c>
      <c r="B186" s="71">
        <v>468.488</v>
      </c>
      <c r="C186" s="71">
        <v>41.298499999999997</v>
      </c>
      <c r="D186" s="71">
        <v>45.937600000000003</v>
      </c>
      <c r="E186" s="71">
        <v>46.558799999999998</v>
      </c>
      <c r="F186" s="71">
        <v>35041.226999999999</v>
      </c>
      <c r="G186" s="71">
        <v>6.5789999999999997</v>
      </c>
      <c r="H186">
        <v>0</v>
      </c>
      <c r="I186" t="s">
        <v>680</v>
      </c>
      <c r="J186" t="s">
        <v>681</v>
      </c>
    </row>
    <row r="187" spans="1:10" x14ac:dyDescent="0.25">
      <c r="A187" s="141" t="s">
        <v>160</v>
      </c>
      <c r="B187" s="71">
        <v>249.78720000000001</v>
      </c>
      <c r="C187" s="71">
        <v>39.070500000000003</v>
      </c>
      <c r="D187" s="71">
        <v>44.763100000000001</v>
      </c>
      <c r="E187" s="71">
        <v>45.157600000000002</v>
      </c>
      <c r="F187" s="71">
        <v>20151.692999999999</v>
      </c>
      <c r="G187" s="71">
        <v>5.5069999999999997</v>
      </c>
      <c r="H187">
        <v>0</v>
      </c>
      <c r="I187" t="s">
        <v>682</v>
      </c>
      <c r="J187" t="s">
        <v>683</v>
      </c>
    </row>
    <row r="188" spans="1:10" x14ac:dyDescent="0.25">
      <c r="A188" s="141" t="s">
        <v>161</v>
      </c>
      <c r="B188" s="71">
        <v>135.88319999999999</v>
      </c>
      <c r="C188" s="71">
        <v>36.289499999999997</v>
      </c>
      <c r="D188" s="71">
        <v>43.033999999999999</v>
      </c>
      <c r="E188" s="71">
        <v>43.249200000000002</v>
      </c>
      <c r="F188" s="71">
        <v>11772.521000000001</v>
      </c>
      <c r="G188" s="71">
        <v>4.7699999999999996</v>
      </c>
      <c r="H188">
        <v>0</v>
      </c>
      <c r="I188" t="s">
        <v>684</v>
      </c>
      <c r="J188" t="s">
        <v>685</v>
      </c>
    </row>
    <row r="189" spans="1:10" x14ac:dyDescent="0.25">
      <c r="A189" s="141" t="s">
        <v>162</v>
      </c>
      <c r="B189" s="71">
        <v>1257.3599999999999</v>
      </c>
      <c r="C189" s="71">
        <v>42.676299999999998</v>
      </c>
      <c r="D189" s="71">
        <v>48.558199999999999</v>
      </c>
      <c r="E189" s="71">
        <v>47.600299999999997</v>
      </c>
      <c r="F189" s="71">
        <v>65798.820000000007</v>
      </c>
      <c r="G189" s="71">
        <v>8.6999999999999993</v>
      </c>
      <c r="H189">
        <v>0</v>
      </c>
      <c r="I189" t="s">
        <v>686</v>
      </c>
      <c r="J189" t="s">
        <v>687</v>
      </c>
    </row>
    <row r="190" spans="1:10" x14ac:dyDescent="0.25">
      <c r="A190" s="141" t="s">
        <v>163</v>
      </c>
      <c r="B190" s="71">
        <v>606.52</v>
      </c>
      <c r="C190" s="71">
        <v>40.899700000000003</v>
      </c>
      <c r="D190" s="71">
        <v>47.768500000000003</v>
      </c>
      <c r="E190" s="71">
        <v>46.985199999999999</v>
      </c>
      <c r="F190" s="71">
        <v>37507.902000000002</v>
      </c>
      <c r="G190" s="71">
        <v>6.4989999999999997</v>
      </c>
      <c r="H190">
        <v>0</v>
      </c>
      <c r="I190" t="s">
        <v>688</v>
      </c>
      <c r="J190" t="s">
        <v>689</v>
      </c>
    </row>
    <row r="191" spans="1:10" x14ac:dyDescent="0.25">
      <c r="A191" s="141" t="s">
        <v>164</v>
      </c>
      <c r="B191" s="71">
        <v>322.7072</v>
      </c>
      <c r="C191" s="71">
        <v>38.521700000000003</v>
      </c>
      <c r="D191" s="71">
        <v>46.616799999999998</v>
      </c>
      <c r="E191" s="71">
        <v>45.488500000000002</v>
      </c>
      <c r="F191" s="71">
        <v>21859.859</v>
      </c>
      <c r="G191" s="71">
        <v>5.5629999999999997</v>
      </c>
      <c r="H191">
        <v>0</v>
      </c>
      <c r="I191" t="s">
        <v>690</v>
      </c>
      <c r="J191" t="s">
        <v>691</v>
      </c>
    </row>
    <row r="192" spans="1:10" x14ac:dyDescent="0.25">
      <c r="A192" s="141" t="s">
        <v>165</v>
      </c>
      <c r="B192" s="71">
        <v>176.328</v>
      </c>
      <c r="C192" s="71">
        <v>35.425899999999999</v>
      </c>
      <c r="D192" s="71">
        <v>45.2301</v>
      </c>
      <c r="E192" s="71">
        <v>43.411499999999997</v>
      </c>
      <c r="F192" s="71">
        <v>13439.754000000001</v>
      </c>
      <c r="G192" s="71">
        <v>5.42</v>
      </c>
      <c r="H192">
        <v>0</v>
      </c>
      <c r="I192" t="s">
        <v>692</v>
      </c>
      <c r="J192" t="s">
        <v>693</v>
      </c>
    </row>
    <row r="193" spans="1:7" x14ac:dyDescent="0.2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2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2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2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2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2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2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2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2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2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2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2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2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2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2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2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2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2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2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2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2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2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2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2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2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2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2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2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2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2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2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2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2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2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2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2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2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2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2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2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2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2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2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2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2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2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2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2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2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2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2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2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2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2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2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2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2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2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2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2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2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2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2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2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2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2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2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2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2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2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2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2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25">
      <c r="A265" s="141" t="s">
        <v>310</v>
      </c>
    </row>
    <row r="266" spans="1:7" x14ac:dyDescent="0.25">
      <c r="A266" s="141" t="s">
        <v>311</v>
      </c>
    </row>
    <row r="267" spans="1:7" x14ac:dyDescent="0.25">
      <c r="A267" s="141" t="s">
        <v>312</v>
      </c>
    </row>
    <row r="268" spans="1:7" x14ac:dyDescent="0.25">
      <c r="A268" s="141" t="s">
        <v>313</v>
      </c>
    </row>
    <row r="269" spans="1:7" x14ac:dyDescent="0.25">
      <c r="A269" s="141" t="s">
        <v>314</v>
      </c>
    </row>
    <row r="270" spans="1:7" x14ac:dyDescent="0.25">
      <c r="A270" s="141" t="s">
        <v>315</v>
      </c>
    </row>
    <row r="271" spans="1:7" x14ac:dyDescent="0.25">
      <c r="A271" s="141" t="s">
        <v>316</v>
      </c>
    </row>
    <row r="272" spans="1:7" x14ac:dyDescent="0.25">
      <c r="A272" s="141" t="s">
        <v>317</v>
      </c>
    </row>
    <row r="273" spans="1:1" x14ac:dyDescent="0.25">
      <c r="A273" s="141" t="s">
        <v>374</v>
      </c>
    </row>
    <row r="274" spans="1:1" x14ac:dyDescent="0.25">
      <c r="A274" s="141" t="s">
        <v>375</v>
      </c>
    </row>
    <row r="275" spans="1:1" x14ac:dyDescent="0.25">
      <c r="A275" s="141" t="s">
        <v>376</v>
      </c>
    </row>
    <row r="276" spans="1:1" x14ac:dyDescent="0.25">
      <c r="A276" s="141" t="s">
        <v>377</v>
      </c>
    </row>
    <row r="277" spans="1:1" x14ac:dyDescent="0.25">
      <c r="A277" s="141" t="s">
        <v>378</v>
      </c>
    </row>
    <row r="278" spans="1:1" x14ac:dyDescent="0.25">
      <c r="A278" s="141" t="s">
        <v>379</v>
      </c>
    </row>
    <row r="279" spans="1:1" x14ac:dyDescent="0.25">
      <c r="A279" s="141" t="s">
        <v>380</v>
      </c>
    </row>
    <row r="280" spans="1:1" x14ac:dyDescent="0.25">
      <c r="A280" s="141" t="s">
        <v>381</v>
      </c>
    </row>
    <row r="281" spans="1:1" x14ac:dyDescent="0.25">
      <c r="A281" s="141" t="s">
        <v>382</v>
      </c>
    </row>
    <row r="282" spans="1:1" x14ac:dyDescent="0.25">
      <c r="A282" s="141" t="s">
        <v>383</v>
      </c>
    </row>
    <row r="283" spans="1:1" x14ac:dyDescent="0.25">
      <c r="A283" s="141" t="s">
        <v>384</v>
      </c>
    </row>
    <row r="284" spans="1:1" x14ac:dyDescent="0.25">
      <c r="A284" s="141" t="s">
        <v>385</v>
      </c>
    </row>
    <row r="285" spans="1:1" x14ac:dyDescent="0.25">
      <c r="A285" s="141" t="s">
        <v>386</v>
      </c>
    </row>
    <row r="286" spans="1:1" x14ac:dyDescent="0.25">
      <c r="A286" s="141" t="s">
        <v>387</v>
      </c>
    </row>
    <row r="287" spans="1:1" x14ac:dyDescent="0.25">
      <c r="A287" s="141" t="s">
        <v>388</v>
      </c>
    </row>
    <row r="288" spans="1:1" x14ac:dyDescent="0.25">
      <c r="A288" s="141" t="s">
        <v>389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J288"/>
  <sheetViews>
    <sheetView topLeftCell="A142" zoomScaleNormal="100" workbookViewId="0">
      <selection activeCell="B145" sqref="B145:J192"/>
    </sheetView>
  </sheetViews>
  <sheetFormatPr defaultColWidth="9" defaultRowHeight="15.6" x14ac:dyDescent="0.25"/>
  <cols>
    <col min="1" max="1" width="25" bestFit="1" customWidth="1"/>
    <col min="6" max="6" width="14" customWidth="1"/>
  </cols>
  <sheetData>
    <row r="1" spans="1:10" x14ac:dyDescent="0.25">
      <c r="A1" s="141" t="s">
        <v>190</v>
      </c>
      <c r="B1">
        <v>76202.309200000003</v>
      </c>
      <c r="C1">
        <v>40.811</v>
      </c>
      <c r="D1">
        <v>49.245199999999997</v>
      </c>
      <c r="E1">
        <v>47.749400000000001</v>
      </c>
      <c r="F1">
        <v>128755.57</v>
      </c>
      <c r="G1">
        <v>25.847999999999999</v>
      </c>
      <c r="H1">
        <v>0</v>
      </c>
      <c r="I1" t="s">
        <v>566</v>
      </c>
      <c r="J1" t="s">
        <v>567</v>
      </c>
    </row>
    <row r="2" spans="1:10" x14ac:dyDescent="0.25">
      <c r="A2" s="141" t="s">
        <v>191</v>
      </c>
      <c r="B2">
        <v>41139.580499999996</v>
      </c>
      <c r="C2">
        <v>40.157699999999998</v>
      </c>
      <c r="D2">
        <v>48.549599999999998</v>
      </c>
      <c r="E2">
        <v>46.663200000000003</v>
      </c>
      <c r="F2">
        <v>68779.562000000005</v>
      </c>
      <c r="G2">
        <v>22.65</v>
      </c>
      <c r="H2">
        <v>0</v>
      </c>
      <c r="I2" t="s">
        <v>568</v>
      </c>
      <c r="J2" t="s">
        <v>569</v>
      </c>
    </row>
    <row r="3" spans="1:10" x14ac:dyDescent="0.25">
      <c r="A3" s="141" t="s">
        <v>192</v>
      </c>
      <c r="B3">
        <v>24713.215100000001</v>
      </c>
      <c r="C3">
        <v>39.433700000000002</v>
      </c>
      <c r="D3">
        <v>47.615099999999998</v>
      </c>
      <c r="E3">
        <v>45.389400000000002</v>
      </c>
      <c r="F3">
        <v>42646.879000000001</v>
      </c>
      <c r="G3">
        <v>21.335000000000001</v>
      </c>
      <c r="H3">
        <v>0</v>
      </c>
      <c r="I3" t="s">
        <v>570</v>
      </c>
      <c r="J3" t="s">
        <v>571</v>
      </c>
    </row>
    <row r="4" spans="1:10" x14ac:dyDescent="0.25">
      <c r="A4" s="141" t="s">
        <v>193</v>
      </c>
      <c r="B4">
        <v>14116.813</v>
      </c>
      <c r="C4">
        <v>38.220500000000001</v>
      </c>
      <c r="D4">
        <v>46.123199999999997</v>
      </c>
      <c r="E4">
        <v>43.593800000000002</v>
      </c>
      <c r="F4">
        <v>23756.355</v>
      </c>
      <c r="G4">
        <v>19.989999999999998</v>
      </c>
      <c r="H4">
        <v>0</v>
      </c>
      <c r="I4" t="s">
        <v>572</v>
      </c>
      <c r="J4" t="s">
        <v>573</v>
      </c>
    </row>
    <row r="5" spans="1:10" x14ac:dyDescent="0.25">
      <c r="A5" s="141" t="s">
        <v>194</v>
      </c>
      <c r="B5">
        <v>322485.86320000002</v>
      </c>
      <c r="C5">
        <v>44.758600000000001</v>
      </c>
      <c r="D5">
        <v>39.131500000000003</v>
      </c>
      <c r="E5">
        <v>39.621699999999997</v>
      </c>
      <c r="F5">
        <v>198136.391</v>
      </c>
      <c r="G5">
        <v>39.600999999999999</v>
      </c>
      <c r="H5">
        <v>0</v>
      </c>
      <c r="I5" t="s">
        <v>582</v>
      </c>
      <c r="J5" t="s">
        <v>583</v>
      </c>
    </row>
    <row r="6" spans="1:10" x14ac:dyDescent="0.25">
      <c r="A6" s="141" t="s">
        <v>195</v>
      </c>
      <c r="B6">
        <v>205619.13680000001</v>
      </c>
      <c r="C6">
        <v>41.967700000000001</v>
      </c>
      <c r="D6">
        <v>36.638399999999997</v>
      </c>
      <c r="E6">
        <v>37.444800000000001</v>
      </c>
      <c r="F6">
        <v>158319.53099999999</v>
      </c>
      <c r="G6">
        <v>34.994</v>
      </c>
      <c r="H6">
        <v>0</v>
      </c>
      <c r="I6" t="s">
        <v>584</v>
      </c>
      <c r="J6" t="s">
        <v>585</v>
      </c>
    </row>
    <row r="7" spans="1:10" x14ac:dyDescent="0.25">
      <c r="A7" s="141" t="s">
        <v>196</v>
      </c>
      <c r="B7">
        <v>117444.0105</v>
      </c>
      <c r="C7">
        <v>38.709000000000003</v>
      </c>
      <c r="D7">
        <v>34.3626</v>
      </c>
      <c r="E7">
        <v>35.525500000000001</v>
      </c>
      <c r="F7">
        <v>121560.45299999999</v>
      </c>
      <c r="G7">
        <v>30.449000000000002</v>
      </c>
      <c r="H7">
        <v>0</v>
      </c>
      <c r="I7" t="s">
        <v>586</v>
      </c>
      <c r="J7" t="s">
        <v>587</v>
      </c>
    </row>
    <row r="8" spans="1:10" x14ac:dyDescent="0.25">
      <c r="A8" s="141" t="s">
        <v>197</v>
      </c>
      <c r="B8">
        <v>55569.347399999999</v>
      </c>
      <c r="C8">
        <v>35.227899999999998</v>
      </c>
      <c r="D8">
        <v>32.007800000000003</v>
      </c>
      <c r="E8">
        <v>33.7012</v>
      </c>
      <c r="F8">
        <v>79876.539000000004</v>
      </c>
      <c r="G8">
        <v>25.468</v>
      </c>
      <c r="H8">
        <v>0</v>
      </c>
      <c r="I8" t="s">
        <v>588</v>
      </c>
      <c r="J8" t="s">
        <v>589</v>
      </c>
    </row>
    <row r="9" spans="1:10" x14ac:dyDescent="0.25">
      <c r="A9" s="141" t="s">
        <v>198</v>
      </c>
      <c r="B9">
        <v>124771.6042</v>
      </c>
      <c r="C9">
        <v>41.574300000000001</v>
      </c>
      <c r="D9">
        <v>44.012099999999997</v>
      </c>
      <c r="E9">
        <v>42.909799999999997</v>
      </c>
      <c r="F9">
        <v>168510.53099999999</v>
      </c>
      <c r="G9">
        <v>36.354999999999997</v>
      </c>
      <c r="H9">
        <v>0</v>
      </c>
      <c r="I9" t="s">
        <v>574</v>
      </c>
      <c r="J9" t="s">
        <v>575</v>
      </c>
    </row>
    <row r="10" spans="1:10" x14ac:dyDescent="0.25">
      <c r="A10" s="141" t="s">
        <v>199</v>
      </c>
      <c r="B10">
        <v>55894.098899999997</v>
      </c>
      <c r="C10">
        <v>38.880299999999998</v>
      </c>
      <c r="D10">
        <v>41.386600000000001</v>
      </c>
      <c r="E10">
        <v>41.7851</v>
      </c>
      <c r="F10">
        <v>117696.992</v>
      </c>
      <c r="G10">
        <v>27.47</v>
      </c>
      <c r="H10">
        <v>0</v>
      </c>
      <c r="I10" t="s">
        <v>576</v>
      </c>
      <c r="J10" t="s">
        <v>577</v>
      </c>
    </row>
    <row r="11" spans="1:10" x14ac:dyDescent="0.25">
      <c r="A11" s="141" t="s">
        <v>200</v>
      </c>
      <c r="B11">
        <v>25285.1937</v>
      </c>
      <c r="C11">
        <v>37.308300000000003</v>
      </c>
      <c r="D11">
        <v>39.062800000000003</v>
      </c>
      <c r="E11">
        <v>40.705399999999997</v>
      </c>
      <c r="F11">
        <v>65495.93</v>
      </c>
      <c r="G11">
        <v>20.760999999999999</v>
      </c>
      <c r="H11">
        <v>0</v>
      </c>
      <c r="I11" t="s">
        <v>578</v>
      </c>
      <c r="J11" t="s">
        <v>579</v>
      </c>
    </row>
    <row r="12" spans="1:10" x14ac:dyDescent="0.25">
      <c r="A12" s="141" t="s">
        <v>201</v>
      </c>
      <c r="B12">
        <v>12252.606299999999</v>
      </c>
      <c r="C12">
        <v>35.924399999999999</v>
      </c>
      <c r="D12">
        <v>36.3444</v>
      </c>
      <c r="E12">
        <v>39.223100000000002</v>
      </c>
      <c r="F12">
        <v>37677.699000000001</v>
      </c>
      <c r="G12">
        <v>18.202000000000002</v>
      </c>
      <c r="H12">
        <v>0</v>
      </c>
      <c r="I12" t="s">
        <v>580</v>
      </c>
      <c r="J12" t="s">
        <v>581</v>
      </c>
    </row>
    <row r="13" spans="1:10" x14ac:dyDescent="0.25">
      <c r="A13" s="141" t="s">
        <v>202</v>
      </c>
      <c r="B13">
        <v>177370.96419999999</v>
      </c>
      <c r="C13">
        <v>38.624200000000002</v>
      </c>
      <c r="D13">
        <v>45.659500000000001</v>
      </c>
      <c r="E13">
        <v>43.478000000000002</v>
      </c>
      <c r="F13">
        <v>205229.21900000001</v>
      </c>
      <c r="G13">
        <v>36.872</v>
      </c>
      <c r="H13">
        <v>0</v>
      </c>
      <c r="I13" t="s">
        <v>590</v>
      </c>
      <c r="J13" t="s">
        <v>591</v>
      </c>
    </row>
    <row r="14" spans="1:10" x14ac:dyDescent="0.25">
      <c r="A14" s="141" t="s">
        <v>203</v>
      </c>
      <c r="B14">
        <v>86182.433699999994</v>
      </c>
      <c r="C14">
        <v>37.677599999999998</v>
      </c>
      <c r="D14">
        <v>44.793999999999997</v>
      </c>
      <c r="E14">
        <v>42.493400000000001</v>
      </c>
      <c r="F14">
        <v>121989.281</v>
      </c>
      <c r="G14">
        <v>27.901</v>
      </c>
      <c r="H14">
        <v>0</v>
      </c>
      <c r="I14" t="s">
        <v>592</v>
      </c>
      <c r="J14" t="s">
        <v>593</v>
      </c>
    </row>
    <row r="15" spans="1:10" x14ac:dyDescent="0.25">
      <c r="A15" s="141" t="s">
        <v>204</v>
      </c>
      <c r="B15">
        <v>49710.378900000003</v>
      </c>
      <c r="C15">
        <v>36.759099999999997</v>
      </c>
      <c r="D15">
        <v>43.830100000000002</v>
      </c>
      <c r="E15">
        <v>41.468299999999999</v>
      </c>
      <c r="F15">
        <v>80991.648000000001</v>
      </c>
      <c r="G15">
        <v>23.574000000000002</v>
      </c>
      <c r="H15">
        <v>0</v>
      </c>
      <c r="I15" t="s">
        <v>594</v>
      </c>
      <c r="J15" t="s">
        <v>595</v>
      </c>
    </row>
    <row r="16" spans="1:10" x14ac:dyDescent="0.25">
      <c r="A16" s="141" t="s">
        <v>205</v>
      </c>
      <c r="B16">
        <v>26284.4211</v>
      </c>
      <c r="C16">
        <v>35.2605</v>
      </c>
      <c r="D16">
        <v>42.428100000000001</v>
      </c>
      <c r="E16">
        <v>40.2164</v>
      </c>
      <c r="F16">
        <v>47594.972999999998</v>
      </c>
      <c r="G16">
        <v>20.337</v>
      </c>
      <c r="H16">
        <v>0</v>
      </c>
      <c r="I16" t="s">
        <v>596</v>
      </c>
      <c r="J16" t="s">
        <v>597</v>
      </c>
    </row>
    <row r="17" spans="1:10" x14ac:dyDescent="0.25">
      <c r="A17" s="141" t="s">
        <v>94</v>
      </c>
      <c r="B17">
        <v>67494.945999999996</v>
      </c>
      <c r="C17">
        <v>39.563000000000002</v>
      </c>
      <c r="D17">
        <v>40.538800000000002</v>
      </c>
      <c r="E17">
        <v>43.534300000000002</v>
      </c>
      <c r="F17">
        <v>87530.976999999999</v>
      </c>
      <c r="G17">
        <v>18.359000000000002</v>
      </c>
      <c r="H17">
        <v>0</v>
      </c>
      <c r="I17" t="s">
        <v>542</v>
      </c>
      <c r="J17" t="s">
        <v>543</v>
      </c>
    </row>
    <row r="18" spans="1:10" x14ac:dyDescent="0.25">
      <c r="A18" s="141" t="s">
        <v>95</v>
      </c>
      <c r="B18">
        <v>40264.393700000001</v>
      </c>
      <c r="C18">
        <v>37.929099999999998</v>
      </c>
      <c r="D18">
        <v>39.567500000000003</v>
      </c>
      <c r="E18">
        <v>42.1432</v>
      </c>
      <c r="F18">
        <v>64503.805</v>
      </c>
      <c r="G18">
        <v>14.817</v>
      </c>
      <c r="H18">
        <v>0</v>
      </c>
      <c r="I18" t="s">
        <v>544</v>
      </c>
      <c r="J18" t="s">
        <v>545</v>
      </c>
    </row>
    <row r="19" spans="1:10" x14ac:dyDescent="0.25">
      <c r="A19" s="141" t="s">
        <v>96</v>
      </c>
      <c r="B19">
        <v>23215.707900000001</v>
      </c>
      <c r="C19">
        <v>36.014099999999999</v>
      </c>
      <c r="D19">
        <v>38.716099999999997</v>
      </c>
      <c r="E19">
        <v>40.761899999999997</v>
      </c>
      <c r="F19">
        <v>48996.891000000003</v>
      </c>
      <c r="G19">
        <v>12.523</v>
      </c>
      <c r="H19">
        <v>0</v>
      </c>
      <c r="I19" t="s">
        <v>546</v>
      </c>
      <c r="J19" t="s">
        <v>547</v>
      </c>
    </row>
    <row r="20" spans="1:10" x14ac:dyDescent="0.25">
      <c r="A20" s="141" t="s">
        <v>97</v>
      </c>
      <c r="B20">
        <v>11832.412700000001</v>
      </c>
      <c r="C20">
        <v>33.539200000000001</v>
      </c>
      <c r="D20">
        <v>37.526800000000001</v>
      </c>
      <c r="E20">
        <v>38.918700000000001</v>
      </c>
      <c r="F20">
        <v>32886.440999999999</v>
      </c>
      <c r="G20">
        <v>10.358000000000001</v>
      </c>
      <c r="H20">
        <v>0</v>
      </c>
      <c r="I20" t="s">
        <v>548</v>
      </c>
      <c r="J20" t="s">
        <v>549</v>
      </c>
    </row>
    <row r="21" spans="1:10" x14ac:dyDescent="0.25">
      <c r="A21" s="141" t="s">
        <v>98</v>
      </c>
      <c r="B21">
        <v>42267.911099999998</v>
      </c>
      <c r="C21">
        <v>40.197000000000003</v>
      </c>
      <c r="D21">
        <v>44.213000000000001</v>
      </c>
      <c r="E21">
        <v>45.685099999999998</v>
      </c>
      <c r="F21">
        <v>75806.297000000006</v>
      </c>
      <c r="G21">
        <v>15.456</v>
      </c>
      <c r="H21">
        <v>0</v>
      </c>
      <c r="I21" t="s">
        <v>534</v>
      </c>
      <c r="J21" t="s">
        <v>535</v>
      </c>
    </row>
    <row r="22" spans="1:10" x14ac:dyDescent="0.25">
      <c r="A22" s="141" t="s">
        <v>99</v>
      </c>
      <c r="B22">
        <v>22922.736499999999</v>
      </c>
      <c r="C22">
        <v>38.721800000000002</v>
      </c>
      <c r="D22">
        <v>43.267299999999999</v>
      </c>
      <c r="E22">
        <v>44.241100000000003</v>
      </c>
      <c r="F22">
        <v>52801.495999999999</v>
      </c>
      <c r="G22">
        <v>12.599</v>
      </c>
      <c r="H22">
        <v>0</v>
      </c>
      <c r="I22" t="s">
        <v>536</v>
      </c>
      <c r="J22" t="s">
        <v>537</v>
      </c>
    </row>
    <row r="23" spans="1:10" x14ac:dyDescent="0.25">
      <c r="A23" s="141" t="s">
        <v>100</v>
      </c>
      <c r="B23">
        <v>12964.0762</v>
      </c>
      <c r="C23">
        <v>37.282600000000002</v>
      </c>
      <c r="D23">
        <v>42.193399999999997</v>
      </c>
      <c r="E23">
        <v>42.682499999999997</v>
      </c>
      <c r="F23">
        <v>35632.625</v>
      </c>
      <c r="G23">
        <v>10.631</v>
      </c>
      <c r="H23">
        <v>0</v>
      </c>
      <c r="I23" t="s">
        <v>538</v>
      </c>
      <c r="J23" t="s">
        <v>539</v>
      </c>
    </row>
    <row r="24" spans="1:10" x14ac:dyDescent="0.25">
      <c r="A24" s="141" t="s">
        <v>101</v>
      </c>
      <c r="B24">
        <v>6928.9396999999999</v>
      </c>
      <c r="C24">
        <v>35.361499999999999</v>
      </c>
      <c r="D24">
        <v>40.691000000000003</v>
      </c>
      <c r="E24">
        <v>40.660200000000003</v>
      </c>
      <c r="F24">
        <v>21489.57</v>
      </c>
      <c r="G24">
        <v>9.1829999999999998</v>
      </c>
      <c r="H24">
        <v>0</v>
      </c>
      <c r="I24" t="s">
        <v>540</v>
      </c>
      <c r="J24" t="s">
        <v>541</v>
      </c>
    </row>
    <row r="25" spans="1:10" x14ac:dyDescent="0.25">
      <c r="A25" s="141" t="s">
        <v>206</v>
      </c>
      <c r="B25">
        <v>64671.494400000003</v>
      </c>
      <c r="C25">
        <v>41.737299999999998</v>
      </c>
      <c r="D25">
        <v>44.441200000000002</v>
      </c>
      <c r="E25">
        <v>45.163499999999999</v>
      </c>
      <c r="F25">
        <v>89133.351999999999</v>
      </c>
      <c r="G25">
        <v>18.071999999999999</v>
      </c>
      <c r="H25">
        <v>0</v>
      </c>
      <c r="I25" t="s">
        <v>550</v>
      </c>
      <c r="J25" t="s">
        <v>551</v>
      </c>
    </row>
    <row r="26" spans="1:10" x14ac:dyDescent="0.25">
      <c r="A26" s="141" t="s">
        <v>207</v>
      </c>
      <c r="B26">
        <v>41712.6656</v>
      </c>
      <c r="C26">
        <v>39.930900000000001</v>
      </c>
      <c r="D26">
        <v>43.0349</v>
      </c>
      <c r="E26">
        <v>43.9268</v>
      </c>
      <c r="F26">
        <v>67714.672000000006</v>
      </c>
      <c r="G26">
        <v>15.513999999999999</v>
      </c>
      <c r="H26">
        <v>0</v>
      </c>
      <c r="I26" t="s">
        <v>552</v>
      </c>
      <c r="J26" t="s">
        <v>553</v>
      </c>
    </row>
    <row r="27" spans="1:10" x14ac:dyDescent="0.25">
      <c r="A27" s="141" t="s">
        <v>208</v>
      </c>
      <c r="B27">
        <v>24533.356800000001</v>
      </c>
      <c r="C27">
        <v>37.703699999999998</v>
      </c>
      <c r="D27">
        <v>41.734000000000002</v>
      </c>
      <c r="E27">
        <v>42.630400000000002</v>
      </c>
      <c r="F27">
        <v>49789.188000000002</v>
      </c>
      <c r="G27">
        <v>13.327999999999999</v>
      </c>
      <c r="H27">
        <v>0</v>
      </c>
      <c r="I27" t="s">
        <v>554</v>
      </c>
      <c r="J27" t="s">
        <v>555</v>
      </c>
    </row>
    <row r="28" spans="1:10" x14ac:dyDescent="0.25">
      <c r="A28" s="141" t="s">
        <v>209</v>
      </c>
      <c r="B28">
        <v>12379.712</v>
      </c>
      <c r="C28">
        <v>35.008899999999997</v>
      </c>
      <c r="D28">
        <v>40.169499999999999</v>
      </c>
      <c r="E28">
        <v>41.012300000000003</v>
      </c>
      <c r="F28">
        <v>31724.171999999999</v>
      </c>
      <c r="G28">
        <v>11.516999999999999</v>
      </c>
      <c r="H28">
        <v>0</v>
      </c>
      <c r="I28" t="s">
        <v>556</v>
      </c>
      <c r="J28" t="s">
        <v>557</v>
      </c>
    </row>
    <row r="29" spans="1:10" x14ac:dyDescent="0.25">
      <c r="A29" s="141" t="s">
        <v>210</v>
      </c>
      <c r="B29">
        <v>39540.6976</v>
      </c>
      <c r="C29">
        <v>44.935200000000002</v>
      </c>
      <c r="D29">
        <v>47.607900000000001</v>
      </c>
      <c r="E29">
        <v>48.338799999999999</v>
      </c>
      <c r="F29">
        <v>60376.785000000003</v>
      </c>
      <c r="G29">
        <v>16.047999999999998</v>
      </c>
      <c r="H29">
        <v>0</v>
      </c>
      <c r="I29" t="s">
        <v>558</v>
      </c>
      <c r="J29" t="s">
        <v>559</v>
      </c>
    </row>
    <row r="30" spans="1:10" x14ac:dyDescent="0.25">
      <c r="A30" s="141" t="s">
        <v>211</v>
      </c>
      <c r="B30">
        <v>26056.460800000001</v>
      </c>
      <c r="C30">
        <v>42.767699999999998</v>
      </c>
      <c r="D30">
        <v>46.0075</v>
      </c>
      <c r="E30">
        <v>46.536099999999998</v>
      </c>
      <c r="F30">
        <v>50571.961000000003</v>
      </c>
      <c r="G30">
        <v>14.237</v>
      </c>
      <c r="H30">
        <v>0</v>
      </c>
      <c r="I30" t="s">
        <v>560</v>
      </c>
      <c r="J30" t="s">
        <v>561</v>
      </c>
    </row>
    <row r="31" spans="1:10" x14ac:dyDescent="0.25">
      <c r="A31" s="141" t="s">
        <v>212</v>
      </c>
      <c r="B31">
        <v>15441.3696</v>
      </c>
      <c r="C31">
        <v>40.0809</v>
      </c>
      <c r="D31">
        <v>44.455599999999997</v>
      </c>
      <c r="E31">
        <v>44.716099999999997</v>
      </c>
      <c r="F31">
        <v>37080.050999999999</v>
      </c>
      <c r="G31">
        <v>12.394</v>
      </c>
      <c r="H31">
        <v>0</v>
      </c>
      <c r="I31" t="s">
        <v>562</v>
      </c>
      <c r="J31" t="s">
        <v>563</v>
      </c>
    </row>
    <row r="32" spans="1:10" x14ac:dyDescent="0.25">
      <c r="A32" s="141" t="s">
        <v>213</v>
      </c>
      <c r="B32">
        <v>8055.1296000000002</v>
      </c>
      <c r="C32">
        <v>37.008699999999997</v>
      </c>
      <c r="D32">
        <v>42.448500000000003</v>
      </c>
      <c r="E32">
        <v>42.4863</v>
      </c>
      <c r="F32">
        <v>23999.076000000001</v>
      </c>
      <c r="G32">
        <v>10.502000000000001</v>
      </c>
      <c r="H32">
        <v>0</v>
      </c>
      <c r="I32" t="s">
        <v>564</v>
      </c>
      <c r="J32" t="s">
        <v>565</v>
      </c>
    </row>
    <row r="33" spans="1:10" x14ac:dyDescent="0.25">
      <c r="A33" s="141" t="s">
        <v>102</v>
      </c>
      <c r="B33">
        <v>53885.331200000001</v>
      </c>
      <c r="C33">
        <v>41.744900000000001</v>
      </c>
      <c r="D33">
        <v>46.070099999999996</v>
      </c>
      <c r="E33">
        <v>46.383099999999999</v>
      </c>
      <c r="F33">
        <v>52097.305</v>
      </c>
      <c r="G33">
        <v>10.884</v>
      </c>
      <c r="H33">
        <v>0</v>
      </c>
      <c r="I33" t="s">
        <v>502</v>
      </c>
      <c r="J33" t="s">
        <v>503</v>
      </c>
    </row>
    <row r="34" spans="1:10" x14ac:dyDescent="0.25">
      <c r="A34" s="141" t="s">
        <v>103</v>
      </c>
      <c r="B34">
        <v>36759.296000000002</v>
      </c>
      <c r="C34">
        <v>38.811300000000003</v>
      </c>
      <c r="D34">
        <v>44.322299999999998</v>
      </c>
      <c r="E34">
        <v>44.660899999999998</v>
      </c>
      <c r="F34">
        <v>44878.995999999999</v>
      </c>
      <c r="G34">
        <v>9.7929999999999993</v>
      </c>
      <c r="H34">
        <v>0</v>
      </c>
      <c r="I34" t="s">
        <v>504</v>
      </c>
      <c r="J34" t="s">
        <v>505</v>
      </c>
    </row>
    <row r="35" spans="1:10" x14ac:dyDescent="0.25">
      <c r="A35" s="141" t="s">
        <v>104</v>
      </c>
      <c r="B35">
        <v>21831.2448</v>
      </c>
      <c r="C35">
        <v>35.423699999999997</v>
      </c>
      <c r="D35">
        <v>42.871499999999997</v>
      </c>
      <c r="E35">
        <v>43.200699999999998</v>
      </c>
      <c r="F35">
        <v>35711.480000000003</v>
      </c>
      <c r="G35">
        <v>8.0719999999999992</v>
      </c>
      <c r="H35">
        <v>0</v>
      </c>
      <c r="I35" t="s">
        <v>506</v>
      </c>
      <c r="J35" t="s">
        <v>507</v>
      </c>
    </row>
    <row r="36" spans="1:10" x14ac:dyDescent="0.25">
      <c r="A36" s="141" t="s">
        <v>105</v>
      </c>
      <c r="B36">
        <v>10756.2176</v>
      </c>
      <c r="C36">
        <v>31.796500000000002</v>
      </c>
      <c r="D36">
        <v>41.5002</v>
      </c>
      <c r="E36">
        <v>41.678800000000003</v>
      </c>
      <c r="F36">
        <v>26312.206999999999</v>
      </c>
      <c r="G36">
        <v>6.3449999999999998</v>
      </c>
      <c r="H36">
        <v>0</v>
      </c>
      <c r="I36" t="s">
        <v>508</v>
      </c>
      <c r="J36" t="s">
        <v>509</v>
      </c>
    </row>
    <row r="37" spans="1:10" x14ac:dyDescent="0.25">
      <c r="A37" s="141" t="s">
        <v>106</v>
      </c>
      <c r="B37">
        <v>20107.385600000001</v>
      </c>
      <c r="C37">
        <v>42.69</v>
      </c>
      <c r="D37">
        <v>45.481200000000001</v>
      </c>
      <c r="E37">
        <v>47.031799999999997</v>
      </c>
      <c r="F37">
        <v>35179.391000000003</v>
      </c>
      <c r="G37">
        <v>7.3890000000000002</v>
      </c>
      <c r="H37">
        <v>0</v>
      </c>
      <c r="I37" t="s">
        <v>510</v>
      </c>
      <c r="J37" t="s">
        <v>511</v>
      </c>
    </row>
    <row r="38" spans="1:10" x14ac:dyDescent="0.25">
      <c r="A38" s="141" t="s">
        <v>107</v>
      </c>
      <c r="B38">
        <v>11409.843199999999</v>
      </c>
      <c r="C38">
        <v>40.6663</v>
      </c>
      <c r="D38">
        <v>44.567500000000003</v>
      </c>
      <c r="E38">
        <v>45.400300000000001</v>
      </c>
      <c r="F38">
        <v>24989.035</v>
      </c>
      <c r="G38">
        <v>6.0640000000000001</v>
      </c>
      <c r="H38">
        <v>0</v>
      </c>
      <c r="I38" t="s">
        <v>512</v>
      </c>
      <c r="J38" t="s">
        <v>513</v>
      </c>
    </row>
    <row r="39" spans="1:10" x14ac:dyDescent="0.25">
      <c r="A39" s="141" t="s">
        <v>108</v>
      </c>
      <c r="B39">
        <v>6331.4687999999996</v>
      </c>
      <c r="C39">
        <v>38.6648</v>
      </c>
      <c r="D39">
        <v>43.620399999999997</v>
      </c>
      <c r="E39">
        <v>43.6327</v>
      </c>
      <c r="F39">
        <v>17550.745999999999</v>
      </c>
      <c r="G39">
        <v>5.1840000000000002</v>
      </c>
      <c r="H39">
        <v>0</v>
      </c>
      <c r="I39" t="s">
        <v>514</v>
      </c>
      <c r="J39" t="s">
        <v>515</v>
      </c>
    </row>
    <row r="40" spans="1:10" x14ac:dyDescent="0.25">
      <c r="A40" s="141" t="s">
        <v>109</v>
      </c>
      <c r="B40">
        <v>3230.4895999999999</v>
      </c>
      <c r="C40">
        <v>36.290999999999997</v>
      </c>
      <c r="D40">
        <v>42.315899999999999</v>
      </c>
      <c r="E40">
        <v>41.464500000000001</v>
      </c>
      <c r="F40">
        <v>10708.688</v>
      </c>
      <c r="G40">
        <v>4.9080000000000004</v>
      </c>
      <c r="H40">
        <v>0</v>
      </c>
      <c r="I40" t="s">
        <v>516</v>
      </c>
      <c r="J40" t="s">
        <v>517</v>
      </c>
    </row>
    <row r="41" spans="1:10" x14ac:dyDescent="0.25">
      <c r="A41" s="141" t="s">
        <v>110</v>
      </c>
      <c r="B41">
        <v>15114.5152</v>
      </c>
      <c r="C41">
        <v>44.225700000000003</v>
      </c>
      <c r="D41">
        <v>47.0792</v>
      </c>
      <c r="E41">
        <v>47.969700000000003</v>
      </c>
      <c r="F41">
        <v>26363.976999999999</v>
      </c>
      <c r="G41">
        <v>6.7649999999999997</v>
      </c>
      <c r="H41">
        <v>0</v>
      </c>
      <c r="I41" t="s">
        <v>518</v>
      </c>
      <c r="J41" t="s">
        <v>519</v>
      </c>
    </row>
    <row r="42" spans="1:10" x14ac:dyDescent="0.25">
      <c r="A42" s="141" t="s">
        <v>111</v>
      </c>
      <c r="B42">
        <v>10258.822399999999</v>
      </c>
      <c r="C42">
        <v>42.495899999999999</v>
      </c>
      <c r="D42">
        <v>45.927500000000002</v>
      </c>
      <c r="E42">
        <v>46.6449</v>
      </c>
      <c r="F42">
        <v>20759.421999999999</v>
      </c>
      <c r="G42">
        <v>6.0419999999999998</v>
      </c>
      <c r="H42">
        <v>0</v>
      </c>
      <c r="I42" t="s">
        <v>520</v>
      </c>
      <c r="J42" t="s">
        <v>521</v>
      </c>
    </row>
    <row r="43" spans="1:10" x14ac:dyDescent="0.25">
      <c r="A43" s="141" t="s">
        <v>112</v>
      </c>
      <c r="B43">
        <v>6478.7071999999998</v>
      </c>
      <c r="C43">
        <v>40.162300000000002</v>
      </c>
      <c r="D43">
        <v>44.5916</v>
      </c>
      <c r="E43">
        <v>45.1053</v>
      </c>
      <c r="F43">
        <v>15879.299000000001</v>
      </c>
      <c r="G43">
        <v>5.468</v>
      </c>
      <c r="H43">
        <v>0</v>
      </c>
      <c r="I43" t="s">
        <v>522</v>
      </c>
      <c r="J43" t="s">
        <v>523</v>
      </c>
    </row>
    <row r="44" spans="1:10" x14ac:dyDescent="0.25">
      <c r="A44" s="141" t="s">
        <v>113</v>
      </c>
      <c r="B44">
        <v>3752.7359999999999</v>
      </c>
      <c r="C44">
        <v>37.174399999999999</v>
      </c>
      <c r="D44">
        <v>42.877600000000001</v>
      </c>
      <c r="E44">
        <v>43.065100000000001</v>
      </c>
      <c r="F44">
        <v>10955.843000000001</v>
      </c>
      <c r="G44">
        <v>4.7329999999999997</v>
      </c>
      <c r="H44">
        <v>0</v>
      </c>
      <c r="I44" t="s">
        <v>524</v>
      </c>
      <c r="J44" t="s">
        <v>525</v>
      </c>
    </row>
    <row r="45" spans="1:10" x14ac:dyDescent="0.25">
      <c r="A45" s="141" t="s">
        <v>114</v>
      </c>
      <c r="B45">
        <v>16384.947199999999</v>
      </c>
      <c r="C45">
        <v>44.169199999999996</v>
      </c>
      <c r="D45">
        <v>48.808399999999999</v>
      </c>
      <c r="E45">
        <v>48.461799999999997</v>
      </c>
      <c r="F45">
        <v>26798.838</v>
      </c>
      <c r="G45">
        <v>6.5659999999999998</v>
      </c>
      <c r="H45">
        <v>0</v>
      </c>
      <c r="I45" t="s">
        <v>526</v>
      </c>
      <c r="J45" t="s">
        <v>527</v>
      </c>
    </row>
    <row r="46" spans="1:10" x14ac:dyDescent="0.25">
      <c r="A46" s="141" t="s">
        <v>115</v>
      </c>
      <c r="B46">
        <v>11391.315199999999</v>
      </c>
      <c r="C46">
        <v>42.431699999999999</v>
      </c>
      <c r="D46">
        <v>47.805</v>
      </c>
      <c r="E46">
        <v>46.991999999999997</v>
      </c>
      <c r="F46">
        <v>21858.294999999998</v>
      </c>
      <c r="G46">
        <v>5.8209999999999997</v>
      </c>
      <c r="H46">
        <v>0</v>
      </c>
      <c r="I46" t="s">
        <v>528</v>
      </c>
      <c r="J46" t="s">
        <v>529</v>
      </c>
    </row>
    <row r="47" spans="1:10" x14ac:dyDescent="0.25">
      <c r="A47" s="141" t="s">
        <v>116</v>
      </c>
      <c r="B47">
        <v>7412.5951999999997</v>
      </c>
      <c r="C47">
        <v>40.051200000000001</v>
      </c>
      <c r="D47">
        <v>46.616399999999999</v>
      </c>
      <c r="E47">
        <v>45.3123</v>
      </c>
      <c r="F47">
        <v>16463.504000000001</v>
      </c>
      <c r="G47">
        <v>5.0949999999999998</v>
      </c>
      <c r="H47">
        <v>0</v>
      </c>
      <c r="I47" t="s">
        <v>530</v>
      </c>
      <c r="J47" t="s">
        <v>531</v>
      </c>
    </row>
    <row r="48" spans="1:10" x14ac:dyDescent="0.25">
      <c r="A48" s="141" t="s">
        <v>117</v>
      </c>
      <c r="B48">
        <v>4304.9215999999997</v>
      </c>
      <c r="C48">
        <v>36.829799999999999</v>
      </c>
      <c r="D48">
        <v>44.759900000000002</v>
      </c>
      <c r="E48">
        <v>42.994399999999999</v>
      </c>
      <c r="F48">
        <v>11298.873</v>
      </c>
      <c r="G48">
        <v>4.4279999999999999</v>
      </c>
      <c r="H48">
        <v>0</v>
      </c>
      <c r="I48" t="s">
        <v>532</v>
      </c>
      <c r="J48" t="s">
        <v>533</v>
      </c>
    </row>
    <row r="49" spans="1:1" x14ac:dyDescent="0.25">
      <c r="A49" s="141" t="s">
        <v>214</v>
      </c>
    </row>
    <row r="50" spans="1:1" x14ac:dyDescent="0.25">
      <c r="A50" s="141" t="s">
        <v>215</v>
      </c>
    </row>
    <row r="51" spans="1:1" x14ac:dyDescent="0.25">
      <c r="A51" s="141" t="s">
        <v>216</v>
      </c>
    </row>
    <row r="52" spans="1:1" x14ac:dyDescent="0.25">
      <c r="A52" s="141" t="s">
        <v>217</v>
      </c>
    </row>
    <row r="53" spans="1:1" x14ac:dyDescent="0.25">
      <c r="A53" s="141" t="s">
        <v>218</v>
      </c>
    </row>
    <row r="54" spans="1:1" x14ac:dyDescent="0.25">
      <c r="A54" s="141" t="s">
        <v>219</v>
      </c>
    </row>
    <row r="55" spans="1:1" x14ac:dyDescent="0.25">
      <c r="A55" s="141" t="s">
        <v>220</v>
      </c>
    </row>
    <row r="56" spans="1:1" x14ac:dyDescent="0.25">
      <c r="A56" s="141" t="s">
        <v>221</v>
      </c>
    </row>
    <row r="57" spans="1:1" x14ac:dyDescent="0.25">
      <c r="A57" s="141" t="s">
        <v>318</v>
      </c>
    </row>
    <row r="58" spans="1:1" x14ac:dyDescent="0.25">
      <c r="A58" s="141" t="s">
        <v>319</v>
      </c>
    </row>
    <row r="59" spans="1:1" x14ac:dyDescent="0.25">
      <c r="A59" s="141" t="s">
        <v>320</v>
      </c>
    </row>
    <row r="60" spans="1:1" x14ac:dyDescent="0.25">
      <c r="A60" s="141" t="s">
        <v>321</v>
      </c>
    </row>
    <row r="61" spans="1:1" x14ac:dyDescent="0.25">
      <c r="A61" s="141" t="s">
        <v>322</v>
      </c>
    </row>
    <row r="62" spans="1:1" x14ac:dyDescent="0.25">
      <c r="A62" s="141" t="s">
        <v>323</v>
      </c>
    </row>
    <row r="63" spans="1:1" x14ac:dyDescent="0.25">
      <c r="A63" s="141" t="s">
        <v>324</v>
      </c>
    </row>
    <row r="64" spans="1:1" x14ac:dyDescent="0.25">
      <c r="A64" s="141" t="s">
        <v>325</v>
      </c>
    </row>
    <row r="65" spans="1:10" x14ac:dyDescent="0.25">
      <c r="A65" s="141" t="s">
        <v>326</v>
      </c>
    </row>
    <row r="66" spans="1:10" x14ac:dyDescent="0.25">
      <c r="A66" s="141" t="s">
        <v>327</v>
      </c>
    </row>
    <row r="67" spans="1:10" x14ac:dyDescent="0.25">
      <c r="A67" s="141" t="s">
        <v>328</v>
      </c>
    </row>
    <row r="68" spans="1:10" x14ac:dyDescent="0.25">
      <c r="A68" s="141" t="s">
        <v>329</v>
      </c>
    </row>
    <row r="69" spans="1:10" x14ac:dyDescent="0.25">
      <c r="A69" s="141" t="s">
        <v>330</v>
      </c>
    </row>
    <row r="70" spans="1:10" x14ac:dyDescent="0.25">
      <c r="A70" s="141" t="s">
        <v>331</v>
      </c>
    </row>
    <row r="71" spans="1:10" x14ac:dyDescent="0.25">
      <c r="A71" s="141" t="s">
        <v>332</v>
      </c>
    </row>
    <row r="72" spans="1:10" x14ac:dyDescent="0.25">
      <c r="A72" s="141" t="s">
        <v>333</v>
      </c>
    </row>
    <row r="73" spans="1:10" x14ac:dyDescent="0.25">
      <c r="A73" s="141" t="s">
        <v>222</v>
      </c>
      <c r="B73">
        <v>14743.32</v>
      </c>
      <c r="C73">
        <v>40.090499999999999</v>
      </c>
      <c r="D73">
        <v>49.064700000000002</v>
      </c>
      <c r="E73">
        <v>47.054299999999998</v>
      </c>
      <c r="F73">
        <v>387314.21600000001</v>
      </c>
      <c r="G73">
        <v>58.447000000000003</v>
      </c>
      <c r="H73">
        <v>0</v>
      </c>
      <c r="I73" t="s">
        <v>470</v>
      </c>
      <c r="J73" t="s">
        <v>471</v>
      </c>
    </row>
    <row r="74" spans="1:10" x14ac:dyDescent="0.25">
      <c r="A74" s="141" t="s">
        <v>223</v>
      </c>
      <c r="B74">
        <v>6726.9920000000002</v>
      </c>
      <c r="C74">
        <v>39.601399999999998</v>
      </c>
      <c r="D74">
        <v>48.472999999999999</v>
      </c>
      <c r="E74">
        <v>46.148499999999999</v>
      </c>
      <c r="F74">
        <v>211058.652</v>
      </c>
      <c r="G74">
        <v>52.926000000000002</v>
      </c>
      <c r="H74">
        <v>0</v>
      </c>
      <c r="I74" t="s">
        <v>472</v>
      </c>
      <c r="J74" t="s">
        <v>473</v>
      </c>
    </row>
    <row r="75" spans="1:10" x14ac:dyDescent="0.25">
      <c r="A75" s="141" t="s">
        <v>224</v>
      </c>
      <c r="B75">
        <v>3650.4160000000002</v>
      </c>
      <c r="C75">
        <v>38.760599999999997</v>
      </c>
      <c r="D75">
        <v>47.655799999999999</v>
      </c>
      <c r="E75">
        <v>44.918900000000001</v>
      </c>
      <c r="F75">
        <v>102977.395</v>
      </c>
      <c r="G75">
        <v>46.237000000000002</v>
      </c>
      <c r="H75">
        <v>0</v>
      </c>
      <c r="I75" t="s">
        <v>474</v>
      </c>
      <c r="J75" t="s">
        <v>475</v>
      </c>
    </row>
    <row r="76" spans="1:10" x14ac:dyDescent="0.25">
      <c r="A76" s="141" t="s">
        <v>225</v>
      </c>
      <c r="B76">
        <v>1926.528</v>
      </c>
      <c r="C76">
        <v>37.268599999999999</v>
      </c>
      <c r="D76">
        <v>46.271099999999997</v>
      </c>
      <c r="E76">
        <v>43.187899999999999</v>
      </c>
      <c r="F76">
        <v>51326.830999999998</v>
      </c>
      <c r="G76">
        <v>42.518000000000001</v>
      </c>
      <c r="H76">
        <v>0</v>
      </c>
      <c r="I76" t="s">
        <v>476</v>
      </c>
      <c r="J76" t="s">
        <v>477</v>
      </c>
    </row>
    <row r="77" spans="1:10" x14ac:dyDescent="0.25">
      <c r="A77" s="141" t="s">
        <v>226</v>
      </c>
      <c r="B77">
        <v>75692.2</v>
      </c>
      <c r="C77">
        <v>41.654000000000003</v>
      </c>
      <c r="D77">
        <v>36.479999999999997</v>
      </c>
      <c r="E77">
        <v>37.613</v>
      </c>
      <c r="F77">
        <v>710856.62300000002</v>
      </c>
      <c r="G77">
        <v>70.316999999999993</v>
      </c>
      <c r="H77">
        <v>0</v>
      </c>
      <c r="I77" t="s">
        <v>694</v>
      </c>
      <c r="J77" t="s">
        <v>486</v>
      </c>
    </row>
    <row r="78" spans="1:10" x14ac:dyDescent="0.25">
      <c r="A78" s="141" t="s">
        <v>227</v>
      </c>
      <c r="B78">
        <v>39107.603999999999</v>
      </c>
      <c r="C78">
        <v>39.052199999999999</v>
      </c>
      <c r="D78">
        <v>34.556399999999996</v>
      </c>
      <c r="E78">
        <v>35.963299999999997</v>
      </c>
      <c r="F78">
        <v>474671.39799999999</v>
      </c>
      <c r="G78">
        <v>60.697000000000003</v>
      </c>
      <c r="H78">
        <v>0</v>
      </c>
      <c r="I78" t="s">
        <v>487</v>
      </c>
      <c r="J78" t="s">
        <v>488</v>
      </c>
    </row>
    <row r="79" spans="1:10" x14ac:dyDescent="0.25">
      <c r="A79" s="141" t="s">
        <v>228</v>
      </c>
      <c r="B79">
        <v>18801.439999999999</v>
      </c>
      <c r="C79">
        <v>36.145400000000002</v>
      </c>
      <c r="D79">
        <v>32.925600000000003</v>
      </c>
      <c r="E79">
        <v>34.587200000000003</v>
      </c>
      <c r="F79">
        <v>295398.82</v>
      </c>
      <c r="G79">
        <v>53.445</v>
      </c>
      <c r="H79">
        <v>0</v>
      </c>
      <c r="I79" t="s">
        <v>489</v>
      </c>
      <c r="J79" t="s">
        <v>490</v>
      </c>
    </row>
    <row r="80" spans="1:10" x14ac:dyDescent="0.25">
      <c r="A80" s="141" t="s">
        <v>229</v>
      </c>
      <c r="B80">
        <v>7758.82</v>
      </c>
      <c r="C80">
        <v>33.085500000000003</v>
      </c>
      <c r="D80">
        <v>31.259499999999999</v>
      </c>
      <c r="E80">
        <v>33.171799999999998</v>
      </c>
      <c r="F80">
        <v>166994.94099999999</v>
      </c>
      <c r="G80">
        <v>48.271000000000001</v>
      </c>
      <c r="H80">
        <v>0</v>
      </c>
      <c r="I80" t="s">
        <v>491</v>
      </c>
      <c r="J80" t="s">
        <v>492</v>
      </c>
    </row>
    <row r="81" spans="1:10" x14ac:dyDescent="0.25">
      <c r="A81" s="141" t="s">
        <v>230</v>
      </c>
      <c r="B81">
        <v>37728.436000000002</v>
      </c>
      <c r="C81">
        <v>38.307000000000002</v>
      </c>
      <c r="D81">
        <v>40.465299999999999</v>
      </c>
      <c r="E81">
        <v>41.554000000000002</v>
      </c>
      <c r="F81">
        <v>419503.24200000003</v>
      </c>
      <c r="G81">
        <v>39.43</v>
      </c>
      <c r="H81">
        <v>0</v>
      </c>
      <c r="I81" t="s">
        <v>478</v>
      </c>
      <c r="J81" t="s">
        <v>479</v>
      </c>
    </row>
    <row r="82" spans="1:10" x14ac:dyDescent="0.25">
      <c r="A82" s="141" t="s">
        <v>231</v>
      </c>
      <c r="B82">
        <v>18412.432000000001</v>
      </c>
      <c r="C82">
        <v>37.199300000000001</v>
      </c>
      <c r="D82">
        <v>37.925800000000002</v>
      </c>
      <c r="E82">
        <v>40.338500000000003</v>
      </c>
      <c r="F82">
        <v>251881.386</v>
      </c>
      <c r="G82">
        <v>32.173000000000002</v>
      </c>
      <c r="H82">
        <v>0</v>
      </c>
      <c r="I82" t="s">
        <v>480</v>
      </c>
      <c r="J82" t="s">
        <v>481</v>
      </c>
    </row>
    <row r="83" spans="1:10" x14ac:dyDescent="0.25">
      <c r="A83" s="141" t="s">
        <v>232</v>
      </c>
      <c r="B83">
        <v>9150.8719999999994</v>
      </c>
      <c r="C83">
        <v>35.839500000000001</v>
      </c>
      <c r="D83">
        <v>35.709699999999998</v>
      </c>
      <c r="E83">
        <v>39.025500000000001</v>
      </c>
      <c r="F83">
        <v>149087.30799999999</v>
      </c>
      <c r="G83">
        <v>27.741</v>
      </c>
      <c r="H83">
        <v>0</v>
      </c>
      <c r="I83" t="s">
        <v>482</v>
      </c>
      <c r="J83" t="s">
        <v>483</v>
      </c>
    </row>
    <row r="84" spans="1:10" x14ac:dyDescent="0.25">
      <c r="A84" s="141" t="s">
        <v>233</v>
      </c>
      <c r="B84">
        <v>4625.5879999999997</v>
      </c>
      <c r="C84">
        <v>34.002000000000002</v>
      </c>
      <c r="D84">
        <v>33.8127</v>
      </c>
      <c r="E84">
        <v>37.4711</v>
      </c>
      <c r="F84">
        <v>85741.164999999994</v>
      </c>
      <c r="G84">
        <v>24.651</v>
      </c>
      <c r="H84">
        <v>0</v>
      </c>
      <c r="I84" t="s">
        <v>484</v>
      </c>
      <c r="J84" t="s">
        <v>485</v>
      </c>
    </row>
    <row r="85" spans="1:10" x14ac:dyDescent="0.25">
      <c r="A85" s="141" t="s">
        <v>234</v>
      </c>
      <c r="B85">
        <v>26235.632000000001</v>
      </c>
      <c r="C85">
        <v>37.639499999999998</v>
      </c>
      <c r="D85">
        <v>45.3461</v>
      </c>
      <c r="E85">
        <v>43.037100000000002</v>
      </c>
      <c r="F85">
        <v>550620.01699999999</v>
      </c>
      <c r="G85">
        <v>63.97</v>
      </c>
      <c r="H85">
        <v>0</v>
      </c>
      <c r="I85" t="s">
        <v>493</v>
      </c>
      <c r="J85" t="s">
        <v>494</v>
      </c>
    </row>
    <row r="86" spans="1:10" x14ac:dyDescent="0.25">
      <c r="A86" s="141" t="s">
        <v>235</v>
      </c>
      <c r="B86">
        <v>9143.9959999999992</v>
      </c>
      <c r="C86">
        <v>37.099299999999999</v>
      </c>
      <c r="D86">
        <v>44.749200000000002</v>
      </c>
      <c r="E86">
        <v>42.405900000000003</v>
      </c>
      <c r="F86">
        <v>297221.08399999997</v>
      </c>
      <c r="G86">
        <v>54.338999999999999</v>
      </c>
      <c r="H86">
        <v>0</v>
      </c>
      <c r="I86" t="s">
        <v>495</v>
      </c>
      <c r="J86" t="s">
        <v>496</v>
      </c>
    </row>
    <row r="87" spans="1:10" x14ac:dyDescent="0.25">
      <c r="A87" s="141" t="s">
        <v>236</v>
      </c>
      <c r="B87">
        <v>4502.3760000000002</v>
      </c>
      <c r="C87">
        <v>36.249200000000002</v>
      </c>
      <c r="D87">
        <v>44.000100000000003</v>
      </c>
      <c r="E87">
        <v>41.631599999999999</v>
      </c>
      <c r="F87">
        <v>149549.44099999999</v>
      </c>
      <c r="G87">
        <v>44.759</v>
      </c>
      <c r="H87">
        <v>0</v>
      </c>
      <c r="I87" t="s">
        <v>497</v>
      </c>
      <c r="J87" t="s">
        <v>498</v>
      </c>
    </row>
    <row r="88" spans="1:10" x14ac:dyDescent="0.25">
      <c r="A88" s="141" t="s">
        <v>237</v>
      </c>
      <c r="B88">
        <v>2183.7399999999998</v>
      </c>
      <c r="C88">
        <v>34.795999999999999</v>
      </c>
      <c r="D88">
        <v>42.691800000000001</v>
      </c>
      <c r="E88">
        <v>40.4833</v>
      </c>
      <c r="F88">
        <v>71068.091</v>
      </c>
      <c r="G88">
        <v>38.372</v>
      </c>
      <c r="H88">
        <v>0</v>
      </c>
      <c r="I88" t="s">
        <v>499</v>
      </c>
      <c r="J88" t="s">
        <v>500</v>
      </c>
    </row>
    <row r="89" spans="1:10" x14ac:dyDescent="0.25">
      <c r="A89" s="141" t="s">
        <v>118</v>
      </c>
      <c r="B89">
        <v>9764.3119999999999</v>
      </c>
      <c r="C89">
        <v>38.015000000000001</v>
      </c>
      <c r="D89">
        <v>39.850200000000001</v>
      </c>
      <c r="E89">
        <v>43.346299999999999</v>
      </c>
      <c r="F89">
        <v>123632.234</v>
      </c>
      <c r="G89">
        <v>13.55</v>
      </c>
      <c r="H89">
        <v>0</v>
      </c>
      <c r="I89" t="s">
        <v>446</v>
      </c>
      <c r="J89" t="s">
        <v>447</v>
      </c>
    </row>
    <row r="90" spans="1:10" x14ac:dyDescent="0.25">
      <c r="A90" s="141" t="s">
        <v>119</v>
      </c>
      <c r="B90">
        <v>4528.0039999999999</v>
      </c>
      <c r="C90">
        <v>36.917999999999999</v>
      </c>
      <c r="D90">
        <v>39.341799999999999</v>
      </c>
      <c r="E90">
        <v>42.231400000000001</v>
      </c>
      <c r="F90">
        <v>75508.337</v>
      </c>
      <c r="G90">
        <v>11.462</v>
      </c>
      <c r="H90">
        <v>0</v>
      </c>
      <c r="I90" t="s">
        <v>448</v>
      </c>
      <c r="J90" t="s">
        <v>449</v>
      </c>
    </row>
    <row r="91" spans="1:10" x14ac:dyDescent="0.25">
      <c r="A91" s="141" t="s">
        <v>120</v>
      </c>
      <c r="B91">
        <v>2302.8119999999999</v>
      </c>
      <c r="C91">
        <v>35.363300000000002</v>
      </c>
      <c r="D91">
        <v>38.731400000000001</v>
      </c>
      <c r="E91">
        <v>40.962000000000003</v>
      </c>
      <c r="F91">
        <v>43331.330999999998</v>
      </c>
      <c r="G91">
        <v>9.3870000000000005</v>
      </c>
      <c r="H91">
        <v>0</v>
      </c>
      <c r="I91" t="s">
        <v>450</v>
      </c>
      <c r="J91" t="s">
        <v>451</v>
      </c>
    </row>
    <row r="92" spans="1:10" x14ac:dyDescent="0.25">
      <c r="A92" s="141" t="s">
        <v>121</v>
      </c>
      <c r="B92">
        <v>1103.6479999999999</v>
      </c>
      <c r="C92">
        <v>33.170200000000001</v>
      </c>
      <c r="D92">
        <v>37.701599999999999</v>
      </c>
      <c r="E92">
        <v>39.240400000000001</v>
      </c>
      <c r="F92">
        <v>22505.429</v>
      </c>
      <c r="G92">
        <v>9.0730000000000004</v>
      </c>
      <c r="H92">
        <v>0</v>
      </c>
      <c r="I92" t="s">
        <v>452</v>
      </c>
      <c r="J92" t="s">
        <v>453</v>
      </c>
    </row>
    <row r="93" spans="1:10" x14ac:dyDescent="0.25">
      <c r="A93" s="141" t="s">
        <v>122</v>
      </c>
      <c r="B93">
        <v>8547.8439999999991</v>
      </c>
      <c r="C93">
        <v>38.949399999999997</v>
      </c>
      <c r="D93">
        <v>44.054499999999997</v>
      </c>
      <c r="E93">
        <v>45.214500000000001</v>
      </c>
      <c r="F93">
        <v>133107.921</v>
      </c>
      <c r="G93">
        <v>14.510999999999999</v>
      </c>
      <c r="H93">
        <v>0</v>
      </c>
      <c r="I93" t="s">
        <v>438</v>
      </c>
      <c r="J93" t="s">
        <v>439</v>
      </c>
    </row>
    <row r="94" spans="1:10" x14ac:dyDescent="0.25">
      <c r="A94" s="141" t="s">
        <v>123</v>
      </c>
      <c r="B94">
        <v>4281.3879999999999</v>
      </c>
      <c r="C94">
        <v>37.921100000000003</v>
      </c>
      <c r="D94">
        <v>43.2151</v>
      </c>
      <c r="E94">
        <v>43.774500000000003</v>
      </c>
      <c r="F94">
        <v>80715.535000000003</v>
      </c>
      <c r="G94">
        <v>12.492000000000001</v>
      </c>
      <c r="H94">
        <v>0</v>
      </c>
      <c r="I94" t="s">
        <v>440</v>
      </c>
      <c r="J94" t="s">
        <v>441</v>
      </c>
    </row>
    <row r="95" spans="1:10" x14ac:dyDescent="0.25">
      <c r="A95" s="141" t="s">
        <v>124</v>
      </c>
      <c r="B95">
        <v>2189.2399999999998</v>
      </c>
      <c r="C95">
        <v>36.424300000000002</v>
      </c>
      <c r="D95">
        <v>42.219299999999997</v>
      </c>
      <c r="E95">
        <v>42.212200000000003</v>
      </c>
      <c r="F95">
        <v>44539.063999999998</v>
      </c>
      <c r="G95">
        <v>10.515000000000001</v>
      </c>
      <c r="H95">
        <v>0</v>
      </c>
      <c r="I95" t="s">
        <v>442</v>
      </c>
      <c r="J95" t="s">
        <v>443</v>
      </c>
    </row>
    <row r="96" spans="1:10" x14ac:dyDescent="0.25">
      <c r="A96" s="141" t="s">
        <v>125</v>
      </c>
      <c r="B96">
        <v>1077.7239999999999</v>
      </c>
      <c r="C96">
        <v>34.359099999999998</v>
      </c>
      <c r="D96">
        <v>40.817900000000002</v>
      </c>
      <c r="E96">
        <v>40.288600000000002</v>
      </c>
      <c r="F96">
        <v>23973.702000000001</v>
      </c>
      <c r="G96">
        <v>8.9320000000000004</v>
      </c>
      <c r="H96">
        <v>0</v>
      </c>
      <c r="I96" t="s">
        <v>444</v>
      </c>
      <c r="J96" t="s">
        <v>445</v>
      </c>
    </row>
    <row r="97" spans="1:10" x14ac:dyDescent="0.25">
      <c r="A97" s="141" t="s">
        <v>238</v>
      </c>
      <c r="B97">
        <v>6744.8559999999998</v>
      </c>
      <c r="C97">
        <v>39.7042</v>
      </c>
      <c r="D97">
        <v>43.905999999999999</v>
      </c>
      <c r="E97">
        <v>45.051400000000001</v>
      </c>
      <c r="F97">
        <v>121721.97900000001</v>
      </c>
      <c r="G97">
        <v>14.435</v>
      </c>
      <c r="H97">
        <v>0</v>
      </c>
      <c r="I97" t="s">
        <v>454</v>
      </c>
      <c r="J97" t="s">
        <v>455</v>
      </c>
    </row>
    <row r="98" spans="1:10" x14ac:dyDescent="0.25">
      <c r="A98" s="141" t="s">
        <v>239</v>
      </c>
      <c r="B98">
        <v>3206.7440000000001</v>
      </c>
      <c r="C98">
        <v>38.562600000000003</v>
      </c>
      <c r="D98">
        <v>43.147100000000002</v>
      </c>
      <c r="E98">
        <v>44.367400000000004</v>
      </c>
      <c r="F98">
        <v>71774.933000000005</v>
      </c>
      <c r="G98">
        <v>12.183999999999999</v>
      </c>
      <c r="H98">
        <v>0</v>
      </c>
      <c r="I98" t="s">
        <v>456</v>
      </c>
      <c r="J98" t="s">
        <v>457</v>
      </c>
    </row>
    <row r="99" spans="1:10" x14ac:dyDescent="0.25">
      <c r="A99" s="141" t="s">
        <v>240</v>
      </c>
      <c r="B99">
        <v>1547.0640000000001</v>
      </c>
      <c r="C99">
        <v>36.8977</v>
      </c>
      <c r="D99">
        <v>42.276400000000002</v>
      </c>
      <c r="E99">
        <v>43.483800000000002</v>
      </c>
      <c r="F99">
        <v>37529.858999999997</v>
      </c>
      <c r="G99">
        <v>10.757999999999999</v>
      </c>
      <c r="H99">
        <v>0</v>
      </c>
      <c r="I99" t="s">
        <v>458</v>
      </c>
      <c r="J99" t="s">
        <v>459</v>
      </c>
    </row>
    <row r="100" spans="1:10" x14ac:dyDescent="0.25">
      <c r="A100" s="141" t="s">
        <v>241</v>
      </c>
      <c r="B100">
        <v>695.34799999999996</v>
      </c>
      <c r="C100">
        <v>34.643700000000003</v>
      </c>
      <c r="D100">
        <v>41.024500000000003</v>
      </c>
      <c r="E100">
        <v>42.1111</v>
      </c>
      <c r="F100">
        <v>19067.578000000001</v>
      </c>
      <c r="G100">
        <v>9.8379999999999992</v>
      </c>
      <c r="H100">
        <v>0</v>
      </c>
      <c r="I100" t="s">
        <v>460</v>
      </c>
      <c r="J100" t="s">
        <v>461</v>
      </c>
    </row>
    <row r="101" spans="1:10" x14ac:dyDescent="0.25">
      <c r="A101" s="141" t="s">
        <v>242</v>
      </c>
      <c r="B101">
        <v>5566.0720000000001</v>
      </c>
      <c r="C101">
        <v>44.892099999999999</v>
      </c>
      <c r="D101">
        <v>47.718400000000003</v>
      </c>
      <c r="E101">
        <v>48.500900000000001</v>
      </c>
      <c r="F101">
        <v>90759.923999999999</v>
      </c>
      <c r="G101">
        <v>14.457000000000001</v>
      </c>
      <c r="H101">
        <v>0</v>
      </c>
      <c r="I101" t="s">
        <v>462</v>
      </c>
      <c r="J101" t="s">
        <v>463</v>
      </c>
    </row>
    <row r="102" spans="1:10" x14ac:dyDescent="0.25">
      <c r="A102" s="141" t="s">
        <v>243</v>
      </c>
      <c r="B102">
        <v>3415.596</v>
      </c>
      <c r="C102">
        <v>42.653599999999997</v>
      </c>
      <c r="D102">
        <v>46.141599999999997</v>
      </c>
      <c r="E102">
        <v>46.721499999999999</v>
      </c>
      <c r="F102">
        <v>62945.53</v>
      </c>
      <c r="G102">
        <v>13.744999999999999</v>
      </c>
      <c r="H102">
        <v>0</v>
      </c>
      <c r="I102" t="s">
        <v>464</v>
      </c>
      <c r="J102" t="s">
        <v>465</v>
      </c>
    </row>
    <row r="103" spans="1:10" x14ac:dyDescent="0.25">
      <c r="A103" s="141" t="s">
        <v>244</v>
      </c>
      <c r="B103">
        <v>1909.672</v>
      </c>
      <c r="C103">
        <v>39.828000000000003</v>
      </c>
      <c r="D103">
        <v>44.597700000000003</v>
      </c>
      <c r="E103">
        <v>44.932899999999997</v>
      </c>
      <c r="F103">
        <v>38610.874000000003</v>
      </c>
      <c r="G103">
        <v>11.211</v>
      </c>
      <c r="H103">
        <v>0</v>
      </c>
      <c r="I103" t="s">
        <v>466</v>
      </c>
      <c r="J103" t="s">
        <v>467</v>
      </c>
    </row>
    <row r="104" spans="1:10" x14ac:dyDescent="0.25">
      <c r="A104" s="141" t="s">
        <v>245</v>
      </c>
      <c r="B104">
        <v>971.29600000000005</v>
      </c>
      <c r="C104">
        <v>36.645699999999998</v>
      </c>
      <c r="D104">
        <v>42.763199999999998</v>
      </c>
      <c r="E104">
        <v>42.836799999999997</v>
      </c>
      <c r="F104">
        <v>21438.857</v>
      </c>
      <c r="G104">
        <v>11.54</v>
      </c>
      <c r="H104">
        <v>0</v>
      </c>
      <c r="I104" t="s">
        <v>468</v>
      </c>
      <c r="J104" t="s">
        <v>469</v>
      </c>
    </row>
    <row r="105" spans="1:10" x14ac:dyDescent="0.25">
      <c r="A105" s="141" t="s">
        <v>126</v>
      </c>
      <c r="B105">
        <v>4089.3679999999999</v>
      </c>
      <c r="C105">
        <v>38.606299999999997</v>
      </c>
      <c r="D105">
        <v>46.226999999999997</v>
      </c>
      <c r="E105">
        <v>46.453200000000002</v>
      </c>
      <c r="F105">
        <v>58733.796999999999</v>
      </c>
      <c r="G105">
        <v>6.2</v>
      </c>
      <c r="H105">
        <v>0</v>
      </c>
      <c r="I105" t="s">
        <v>406</v>
      </c>
      <c r="J105" t="s">
        <v>407</v>
      </c>
    </row>
    <row r="106" spans="1:10" x14ac:dyDescent="0.25">
      <c r="A106" s="141" t="s">
        <v>127</v>
      </c>
      <c r="B106">
        <v>1777.2</v>
      </c>
      <c r="C106">
        <v>37.101900000000001</v>
      </c>
      <c r="D106">
        <v>45.1783</v>
      </c>
      <c r="E106">
        <v>45.393700000000003</v>
      </c>
      <c r="F106">
        <v>30905.324000000001</v>
      </c>
      <c r="G106">
        <v>4.7290000000000001</v>
      </c>
      <c r="H106">
        <v>0</v>
      </c>
      <c r="I106" t="s">
        <v>408</v>
      </c>
      <c r="J106" t="s">
        <v>409</v>
      </c>
    </row>
    <row r="107" spans="1:10" x14ac:dyDescent="0.25">
      <c r="A107" s="141" t="s">
        <v>128</v>
      </c>
      <c r="B107">
        <v>839.98800000000006</v>
      </c>
      <c r="C107">
        <v>35.155099999999997</v>
      </c>
      <c r="D107">
        <v>43.876800000000003</v>
      </c>
      <c r="E107">
        <v>44.140799999999999</v>
      </c>
      <c r="F107">
        <v>16742.579000000002</v>
      </c>
      <c r="G107">
        <v>4.2149999999999999</v>
      </c>
      <c r="H107">
        <v>0</v>
      </c>
      <c r="I107" t="s">
        <v>410</v>
      </c>
      <c r="J107" t="s">
        <v>411</v>
      </c>
    </row>
    <row r="108" spans="1:10" x14ac:dyDescent="0.25">
      <c r="A108" s="141" t="s">
        <v>129</v>
      </c>
      <c r="B108">
        <v>400.084</v>
      </c>
      <c r="C108">
        <v>32.481000000000002</v>
      </c>
      <c r="D108">
        <v>42.230400000000003</v>
      </c>
      <c r="E108">
        <v>42.519199999999998</v>
      </c>
      <c r="F108">
        <v>8464.8809999999994</v>
      </c>
      <c r="G108">
        <v>3.5329999999999999</v>
      </c>
      <c r="H108">
        <v>0</v>
      </c>
      <c r="I108" t="s">
        <v>412</v>
      </c>
      <c r="J108" t="s">
        <v>413</v>
      </c>
    </row>
    <row r="109" spans="1:10" x14ac:dyDescent="0.25">
      <c r="A109" s="141" t="s">
        <v>130</v>
      </c>
      <c r="B109">
        <v>2425.9920000000002</v>
      </c>
      <c r="C109">
        <v>40.654299999999999</v>
      </c>
      <c r="D109">
        <v>46.145200000000003</v>
      </c>
      <c r="E109">
        <v>47.328400000000002</v>
      </c>
      <c r="F109">
        <v>46129.343000000001</v>
      </c>
      <c r="G109">
        <v>6.0369999999999999</v>
      </c>
      <c r="H109">
        <v>0</v>
      </c>
      <c r="I109" t="s">
        <v>414</v>
      </c>
      <c r="J109" t="s">
        <v>415</v>
      </c>
    </row>
    <row r="110" spans="1:10" x14ac:dyDescent="0.25">
      <c r="A110" s="141" t="s">
        <v>131</v>
      </c>
      <c r="B110">
        <v>1089.576</v>
      </c>
      <c r="C110">
        <v>39.504800000000003</v>
      </c>
      <c r="D110">
        <v>45.5672</v>
      </c>
      <c r="E110">
        <v>46.040599999999998</v>
      </c>
      <c r="F110">
        <v>25515.115000000002</v>
      </c>
      <c r="G110">
        <v>5.2370000000000001</v>
      </c>
      <c r="H110">
        <v>0</v>
      </c>
      <c r="I110" t="s">
        <v>416</v>
      </c>
      <c r="J110" t="s">
        <v>417</v>
      </c>
    </row>
    <row r="111" spans="1:10" x14ac:dyDescent="0.25">
      <c r="A111" s="141" t="s">
        <v>132</v>
      </c>
      <c r="B111">
        <v>515.31600000000003</v>
      </c>
      <c r="C111">
        <v>37.945099999999996</v>
      </c>
      <c r="D111">
        <v>44.795999999999999</v>
      </c>
      <c r="E111">
        <v>44.499400000000001</v>
      </c>
      <c r="F111">
        <v>12772.574000000001</v>
      </c>
      <c r="G111">
        <v>4.2210000000000001</v>
      </c>
      <c r="H111">
        <v>0</v>
      </c>
      <c r="I111" t="s">
        <v>418</v>
      </c>
      <c r="J111" t="s">
        <v>419</v>
      </c>
    </row>
    <row r="112" spans="1:10" x14ac:dyDescent="0.25">
      <c r="A112" s="141" t="s">
        <v>133</v>
      </c>
      <c r="B112">
        <v>233.3</v>
      </c>
      <c r="C112">
        <v>35.849200000000003</v>
      </c>
      <c r="D112">
        <v>43.615299999999998</v>
      </c>
      <c r="E112">
        <v>42.397100000000002</v>
      </c>
      <c r="F112">
        <v>6156.8609999999999</v>
      </c>
      <c r="G112">
        <v>3.6549999999999998</v>
      </c>
      <c r="H112">
        <v>0</v>
      </c>
      <c r="I112" t="s">
        <v>420</v>
      </c>
      <c r="J112" t="s">
        <v>421</v>
      </c>
    </row>
    <row r="113" spans="1:10" x14ac:dyDescent="0.25">
      <c r="A113" s="141" t="s">
        <v>134</v>
      </c>
      <c r="B113">
        <v>922.76800000000003</v>
      </c>
      <c r="C113">
        <v>43.542400000000001</v>
      </c>
      <c r="D113">
        <v>47.266100000000002</v>
      </c>
      <c r="E113">
        <v>48.2973</v>
      </c>
      <c r="F113">
        <v>20015.905999999999</v>
      </c>
      <c r="G113">
        <v>4.8730000000000002</v>
      </c>
      <c r="H113">
        <v>0</v>
      </c>
      <c r="I113" t="s">
        <v>422</v>
      </c>
      <c r="J113" t="s">
        <v>423</v>
      </c>
    </row>
    <row r="114" spans="1:10" x14ac:dyDescent="0.25">
      <c r="A114" s="141" t="s">
        <v>135</v>
      </c>
      <c r="B114">
        <v>505.84399999999999</v>
      </c>
      <c r="C114">
        <v>42.268099999999997</v>
      </c>
      <c r="D114">
        <v>46.544800000000002</v>
      </c>
      <c r="E114">
        <v>47.351399999999998</v>
      </c>
      <c r="F114">
        <v>10946.06</v>
      </c>
      <c r="G114">
        <v>4.18</v>
      </c>
      <c r="H114">
        <v>0</v>
      </c>
      <c r="I114" t="s">
        <v>424</v>
      </c>
      <c r="J114" t="s">
        <v>425</v>
      </c>
    </row>
    <row r="115" spans="1:10" x14ac:dyDescent="0.25">
      <c r="A115" s="141" t="s">
        <v>136</v>
      </c>
      <c r="B115">
        <v>290.04399999999998</v>
      </c>
      <c r="C115">
        <v>40.489600000000003</v>
      </c>
      <c r="D115">
        <v>45.544800000000002</v>
      </c>
      <c r="E115">
        <v>46.074100000000001</v>
      </c>
      <c r="F115">
        <v>6156.39</v>
      </c>
      <c r="G115">
        <v>3.661</v>
      </c>
      <c r="H115">
        <v>0</v>
      </c>
      <c r="I115" t="s">
        <v>426</v>
      </c>
      <c r="J115" t="s">
        <v>427</v>
      </c>
    </row>
    <row r="116" spans="1:10" x14ac:dyDescent="0.25">
      <c r="A116" s="141" t="s">
        <v>137</v>
      </c>
      <c r="B116">
        <v>163.44</v>
      </c>
      <c r="C116">
        <v>37.929900000000004</v>
      </c>
      <c r="D116">
        <v>43.895299999999999</v>
      </c>
      <c r="E116">
        <v>43.986699999999999</v>
      </c>
      <c r="F116">
        <v>3493.527</v>
      </c>
      <c r="G116">
        <v>3.669</v>
      </c>
      <c r="H116">
        <v>0</v>
      </c>
      <c r="I116" t="s">
        <v>428</v>
      </c>
      <c r="J116" t="s">
        <v>429</v>
      </c>
    </row>
    <row r="117" spans="1:10" x14ac:dyDescent="0.25">
      <c r="A117" s="141" t="s">
        <v>138</v>
      </c>
      <c r="B117">
        <v>1282.78</v>
      </c>
      <c r="C117">
        <v>42.9146</v>
      </c>
      <c r="D117">
        <v>49.038800000000002</v>
      </c>
      <c r="E117">
        <v>48.691200000000002</v>
      </c>
      <c r="F117">
        <v>23308.399000000001</v>
      </c>
      <c r="G117">
        <v>4.3289999999999997</v>
      </c>
      <c r="H117">
        <v>0</v>
      </c>
      <c r="I117" t="s">
        <v>430</v>
      </c>
      <c r="J117" t="s">
        <v>431</v>
      </c>
    </row>
    <row r="118" spans="1:10" x14ac:dyDescent="0.25">
      <c r="A118" s="141" t="s">
        <v>139</v>
      </c>
      <c r="B118">
        <v>691.64800000000002</v>
      </c>
      <c r="C118">
        <v>41.625599999999999</v>
      </c>
      <c r="D118">
        <v>48.256599999999999</v>
      </c>
      <c r="E118">
        <v>47.727699999999999</v>
      </c>
      <c r="F118">
        <v>13194.079</v>
      </c>
      <c r="G118">
        <v>3.8420000000000001</v>
      </c>
      <c r="H118">
        <v>0</v>
      </c>
      <c r="I118" t="s">
        <v>432</v>
      </c>
      <c r="J118" t="s">
        <v>433</v>
      </c>
    </row>
    <row r="119" spans="1:10" x14ac:dyDescent="0.25">
      <c r="A119" s="141" t="s">
        <v>140</v>
      </c>
      <c r="B119">
        <v>393.80799999999999</v>
      </c>
      <c r="C119">
        <v>39.769599999999997</v>
      </c>
      <c r="D119">
        <v>47.268000000000001</v>
      </c>
      <c r="E119">
        <v>46.258299999999998</v>
      </c>
      <c r="F119">
        <v>7539.5010000000002</v>
      </c>
      <c r="G119">
        <v>3.6619999999999999</v>
      </c>
      <c r="H119">
        <v>0</v>
      </c>
      <c r="I119" t="s">
        <v>434</v>
      </c>
      <c r="J119" t="s">
        <v>435</v>
      </c>
    </row>
    <row r="120" spans="1:10" x14ac:dyDescent="0.25">
      <c r="A120" s="141" t="s">
        <v>141</v>
      </c>
      <c r="B120">
        <v>219.56</v>
      </c>
      <c r="C120">
        <v>37.060499999999998</v>
      </c>
      <c r="D120">
        <v>45.668500000000002</v>
      </c>
      <c r="E120">
        <v>43.982700000000001</v>
      </c>
      <c r="F120">
        <v>4325.8779999999997</v>
      </c>
      <c r="G120">
        <v>3.5419999999999998</v>
      </c>
      <c r="H120">
        <v>0</v>
      </c>
      <c r="I120" t="s">
        <v>436</v>
      </c>
      <c r="J120" t="s">
        <v>437</v>
      </c>
    </row>
    <row r="121" spans="1:10" x14ac:dyDescent="0.25">
      <c r="A121" s="141" t="s">
        <v>246</v>
      </c>
    </row>
    <row r="122" spans="1:10" x14ac:dyDescent="0.25">
      <c r="A122" s="141" t="s">
        <v>247</v>
      </c>
    </row>
    <row r="123" spans="1:10" x14ac:dyDescent="0.25">
      <c r="A123" s="141" t="s">
        <v>248</v>
      </c>
    </row>
    <row r="124" spans="1:10" x14ac:dyDescent="0.25">
      <c r="A124" s="141" t="s">
        <v>249</v>
      </c>
    </row>
    <row r="125" spans="1:10" x14ac:dyDescent="0.25">
      <c r="A125" s="141" t="s">
        <v>250</v>
      </c>
    </row>
    <row r="126" spans="1:10" x14ac:dyDescent="0.25">
      <c r="A126" s="141" t="s">
        <v>251</v>
      </c>
    </row>
    <row r="127" spans="1:10" x14ac:dyDescent="0.25">
      <c r="A127" s="141" t="s">
        <v>252</v>
      </c>
    </row>
    <row r="128" spans="1:10" x14ac:dyDescent="0.25">
      <c r="A128" s="141" t="s">
        <v>253</v>
      </c>
    </row>
    <row r="129" spans="1:1" x14ac:dyDescent="0.25">
      <c r="A129" s="141" t="s">
        <v>334</v>
      </c>
    </row>
    <row r="130" spans="1:1" x14ac:dyDescent="0.25">
      <c r="A130" s="141" t="s">
        <v>335</v>
      </c>
    </row>
    <row r="131" spans="1:1" x14ac:dyDescent="0.25">
      <c r="A131" s="141" t="s">
        <v>336</v>
      </c>
    </row>
    <row r="132" spans="1:1" x14ac:dyDescent="0.25">
      <c r="A132" s="141" t="s">
        <v>337</v>
      </c>
    </row>
    <row r="133" spans="1:1" x14ac:dyDescent="0.25">
      <c r="A133" s="141" t="s">
        <v>338</v>
      </c>
    </row>
    <row r="134" spans="1:1" x14ac:dyDescent="0.25">
      <c r="A134" s="141" t="s">
        <v>339</v>
      </c>
    </row>
    <row r="135" spans="1:1" x14ac:dyDescent="0.25">
      <c r="A135" s="141" t="s">
        <v>340</v>
      </c>
    </row>
    <row r="136" spans="1:1" x14ac:dyDescent="0.25">
      <c r="A136" s="141" t="s">
        <v>341</v>
      </c>
    </row>
    <row r="137" spans="1:1" x14ac:dyDescent="0.25">
      <c r="A137" s="141" t="s">
        <v>342</v>
      </c>
    </row>
    <row r="138" spans="1:1" x14ac:dyDescent="0.25">
      <c r="A138" s="141" t="s">
        <v>343</v>
      </c>
    </row>
    <row r="139" spans="1:1" x14ac:dyDescent="0.25">
      <c r="A139" s="141" t="s">
        <v>344</v>
      </c>
    </row>
    <row r="140" spans="1:1" x14ac:dyDescent="0.25">
      <c r="A140" s="141" t="s">
        <v>345</v>
      </c>
    </row>
    <row r="141" spans="1:1" x14ac:dyDescent="0.25">
      <c r="A141" s="141" t="s">
        <v>346</v>
      </c>
    </row>
    <row r="142" spans="1:1" x14ac:dyDescent="0.25">
      <c r="A142" s="141" t="s">
        <v>347</v>
      </c>
    </row>
    <row r="143" spans="1:1" x14ac:dyDescent="0.25">
      <c r="A143" s="141" t="s">
        <v>348</v>
      </c>
    </row>
    <row r="144" spans="1:1" x14ac:dyDescent="0.25">
      <c r="A144" s="141" t="s">
        <v>349</v>
      </c>
    </row>
    <row r="145" spans="1:10" x14ac:dyDescent="0.25">
      <c r="A145" s="141" t="s">
        <v>254</v>
      </c>
      <c r="B145">
        <v>17070.168000000001</v>
      </c>
      <c r="C145">
        <v>40.171100000000003</v>
      </c>
      <c r="D145">
        <v>48.753500000000003</v>
      </c>
      <c r="E145">
        <v>46.677999999999997</v>
      </c>
      <c r="F145">
        <v>218197.875</v>
      </c>
      <c r="G145">
        <v>28.495000000000001</v>
      </c>
      <c r="H145">
        <v>0</v>
      </c>
      <c r="I145" t="s">
        <v>598</v>
      </c>
      <c r="J145" t="s">
        <v>599</v>
      </c>
    </row>
    <row r="146" spans="1:10" x14ac:dyDescent="0.25">
      <c r="A146" s="141" t="s">
        <v>255</v>
      </c>
      <c r="B146">
        <v>8441.7999999999993</v>
      </c>
      <c r="C146">
        <v>39.565300000000001</v>
      </c>
      <c r="D146">
        <v>47.950200000000002</v>
      </c>
      <c r="E146">
        <v>45.532299999999999</v>
      </c>
      <c r="F146">
        <v>122554.359</v>
      </c>
      <c r="G146">
        <v>25.372</v>
      </c>
      <c r="H146">
        <v>0</v>
      </c>
      <c r="I146" t="s">
        <v>600</v>
      </c>
      <c r="J146" t="s">
        <v>601</v>
      </c>
    </row>
    <row r="147" spans="1:10" x14ac:dyDescent="0.25">
      <c r="A147" s="141" t="s">
        <v>256</v>
      </c>
      <c r="B147">
        <v>4596.96</v>
      </c>
      <c r="C147">
        <v>38.576999999999998</v>
      </c>
      <c r="D147">
        <v>46.903100000000002</v>
      </c>
      <c r="E147">
        <v>44.168100000000003</v>
      </c>
      <c r="F147">
        <v>64312.847999999998</v>
      </c>
      <c r="G147">
        <v>21.36</v>
      </c>
      <c r="H147">
        <v>0</v>
      </c>
      <c r="I147" t="s">
        <v>602</v>
      </c>
      <c r="J147" t="s">
        <v>603</v>
      </c>
    </row>
    <row r="148" spans="1:10" x14ac:dyDescent="0.25">
      <c r="A148" s="141" t="s">
        <v>257</v>
      </c>
      <c r="B148">
        <v>2501.6799999999998</v>
      </c>
      <c r="C148">
        <v>37.0351</v>
      </c>
      <c r="D148">
        <v>45.561399999999999</v>
      </c>
      <c r="E148">
        <v>42.4816</v>
      </c>
      <c r="F148">
        <v>33149.476999999999</v>
      </c>
      <c r="G148">
        <v>18.792000000000002</v>
      </c>
      <c r="H148">
        <v>0</v>
      </c>
      <c r="I148" t="s">
        <v>604</v>
      </c>
      <c r="J148" t="s">
        <v>605</v>
      </c>
    </row>
    <row r="149" spans="1:10" x14ac:dyDescent="0.25">
      <c r="A149" s="141" t="s">
        <v>258</v>
      </c>
      <c r="B149">
        <v>91155.728000000003</v>
      </c>
      <c r="C149">
        <v>41.737099999999998</v>
      </c>
      <c r="D149">
        <v>36.691600000000001</v>
      </c>
      <c r="E149">
        <v>37.7104</v>
      </c>
      <c r="F149">
        <v>378760.53100000002</v>
      </c>
      <c r="G149">
        <v>32.911999999999999</v>
      </c>
      <c r="H149">
        <v>0</v>
      </c>
      <c r="I149" t="s">
        <v>606</v>
      </c>
      <c r="J149" t="s">
        <v>607</v>
      </c>
    </row>
    <row r="150" spans="1:10" x14ac:dyDescent="0.25">
      <c r="A150" s="141" t="s">
        <v>259</v>
      </c>
      <c r="B150">
        <v>46662.248</v>
      </c>
      <c r="C150">
        <v>38.941600000000001</v>
      </c>
      <c r="D150">
        <v>34.414900000000003</v>
      </c>
      <c r="E150">
        <v>35.797499999999999</v>
      </c>
      <c r="F150">
        <v>262084.17199999999</v>
      </c>
      <c r="G150">
        <v>28.419</v>
      </c>
      <c r="H150">
        <v>0</v>
      </c>
      <c r="I150" t="s">
        <v>608</v>
      </c>
      <c r="J150" t="s">
        <v>609</v>
      </c>
    </row>
    <row r="151" spans="1:10" x14ac:dyDescent="0.25">
      <c r="A151" s="141" t="s">
        <v>260</v>
      </c>
      <c r="B151">
        <v>21694.335999999999</v>
      </c>
      <c r="C151">
        <v>35.843499999999999</v>
      </c>
      <c r="D151">
        <v>32.5105</v>
      </c>
      <c r="E151">
        <v>34.191299999999998</v>
      </c>
      <c r="F151">
        <v>173972.234</v>
      </c>
      <c r="G151">
        <v>23.178000000000001</v>
      </c>
      <c r="H151">
        <v>0</v>
      </c>
      <c r="I151" t="s">
        <v>610</v>
      </c>
      <c r="J151" t="s">
        <v>611</v>
      </c>
    </row>
    <row r="152" spans="1:10" x14ac:dyDescent="0.25">
      <c r="A152" s="141" t="s">
        <v>261</v>
      </c>
      <c r="B152">
        <v>9164.4</v>
      </c>
      <c r="C152">
        <v>32.828099999999999</v>
      </c>
      <c r="D152">
        <v>30.808700000000002</v>
      </c>
      <c r="E152">
        <v>32.814</v>
      </c>
      <c r="F152">
        <v>98734.608999999997</v>
      </c>
      <c r="G152">
        <v>19.248999999999999</v>
      </c>
      <c r="H152">
        <v>0</v>
      </c>
      <c r="I152" t="s">
        <v>612</v>
      </c>
      <c r="J152" t="s">
        <v>613</v>
      </c>
    </row>
    <row r="153" spans="1:10" x14ac:dyDescent="0.25">
      <c r="A153" s="141" t="s">
        <v>262</v>
      </c>
      <c r="B153">
        <v>45095.807999999997</v>
      </c>
      <c r="C153">
        <v>38.879199999999997</v>
      </c>
      <c r="D153">
        <v>41.2179</v>
      </c>
      <c r="E153">
        <v>41.491399999999999</v>
      </c>
      <c r="F153">
        <v>204024.016</v>
      </c>
      <c r="G153">
        <v>18.602</v>
      </c>
      <c r="H153">
        <v>0</v>
      </c>
      <c r="I153" t="s">
        <v>614</v>
      </c>
      <c r="J153" t="s">
        <v>615</v>
      </c>
    </row>
    <row r="154" spans="1:10" x14ac:dyDescent="0.25">
      <c r="A154" s="141" t="s">
        <v>263</v>
      </c>
      <c r="B154">
        <v>22161.552</v>
      </c>
      <c r="C154">
        <v>37.521299999999997</v>
      </c>
      <c r="D154">
        <v>38.649900000000002</v>
      </c>
      <c r="E154">
        <v>40.113100000000003</v>
      </c>
      <c r="F154">
        <v>123059.344</v>
      </c>
      <c r="G154">
        <v>15.14</v>
      </c>
      <c r="H154">
        <v>0</v>
      </c>
      <c r="I154" t="s">
        <v>616</v>
      </c>
      <c r="J154" t="s">
        <v>617</v>
      </c>
    </row>
    <row r="155" spans="1:10" x14ac:dyDescent="0.25">
      <c r="A155" s="141" t="s">
        <v>264</v>
      </c>
      <c r="B155">
        <v>11565.152</v>
      </c>
      <c r="C155">
        <v>35.9681</v>
      </c>
      <c r="D155">
        <v>36.411900000000003</v>
      </c>
      <c r="E155">
        <v>38.676000000000002</v>
      </c>
      <c r="F155">
        <v>78155.75</v>
      </c>
      <c r="G155">
        <v>12.43</v>
      </c>
      <c r="H155">
        <v>0</v>
      </c>
      <c r="I155" t="s">
        <v>618</v>
      </c>
      <c r="J155" t="s">
        <v>619</v>
      </c>
    </row>
    <row r="156" spans="1:10" x14ac:dyDescent="0.25">
      <c r="A156" s="141" t="s">
        <v>265</v>
      </c>
      <c r="B156">
        <v>5673.8720000000003</v>
      </c>
      <c r="C156">
        <v>34.048499999999997</v>
      </c>
      <c r="D156">
        <v>33.981999999999999</v>
      </c>
      <c r="E156">
        <v>36.909500000000001</v>
      </c>
      <c r="F156">
        <v>45778.788999999997</v>
      </c>
      <c r="G156">
        <v>11.1</v>
      </c>
      <c r="H156">
        <v>0</v>
      </c>
      <c r="I156" t="s">
        <v>620</v>
      </c>
      <c r="J156" t="s">
        <v>621</v>
      </c>
    </row>
    <row r="157" spans="1:10" x14ac:dyDescent="0.25">
      <c r="A157" s="141" t="s">
        <v>266</v>
      </c>
      <c r="B157">
        <v>24500.968000000001</v>
      </c>
      <c r="C157">
        <v>37.540300000000002</v>
      </c>
      <c r="D157">
        <v>45.035699999999999</v>
      </c>
      <c r="E157">
        <v>42.8018</v>
      </c>
      <c r="F157">
        <v>295832.56199999998</v>
      </c>
      <c r="G157">
        <v>29.152999999999999</v>
      </c>
      <c r="H157">
        <v>0</v>
      </c>
      <c r="I157" t="s">
        <v>622</v>
      </c>
      <c r="J157" t="s">
        <v>623</v>
      </c>
    </row>
    <row r="158" spans="1:10" x14ac:dyDescent="0.25">
      <c r="A158" s="141" t="s">
        <v>267</v>
      </c>
      <c r="B158">
        <v>10320.304</v>
      </c>
      <c r="C158">
        <v>36.917499999999997</v>
      </c>
      <c r="D158">
        <v>44.389299999999999</v>
      </c>
      <c r="E158">
        <v>42.0869</v>
      </c>
      <c r="F158">
        <v>159648.67199999999</v>
      </c>
      <c r="G158">
        <v>23.504000000000001</v>
      </c>
      <c r="H158">
        <v>0</v>
      </c>
      <c r="I158" t="s">
        <v>624</v>
      </c>
      <c r="J158" t="s">
        <v>625</v>
      </c>
    </row>
    <row r="159" spans="1:10" x14ac:dyDescent="0.25">
      <c r="A159" s="141" t="s">
        <v>268</v>
      </c>
      <c r="B159">
        <v>5155.6880000000001</v>
      </c>
      <c r="C159">
        <v>35.905999999999999</v>
      </c>
      <c r="D159">
        <v>43.4709</v>
      </c>
      <c r="E159">
        <v>41.149099999999997</v>
      </c>
      <c r="F159">
        <v>86351.039000000004</v>
      </c>
      <c r="G159">
        <v>19.050999999999998</v>
      </c>
      <c r="H159">
        <v>0</v>
      </c>
      <c r="I159" t="s">
        <v>626</v>
      </c>
      <c r="J159" t="s">
        <v>627</v>
      </c>
    </row>
    <row r="160" spans="1:10" x14ac:dyDescent="0.25">
      <c r="A160" s="141" t="s">
        <v>269</v>
      </c>
      <c r="B160">
        <v>2560.0880000000002</v>
      </c>
      <c r="C160">
        <v>34.327399999999997</v>
      </c>
      <c r="D160">
        <v>42.154800000000002</v>
      </c>
      <c r="E160">
        <v>40.0107</v>
      </c>
      <c r="F160">
        <v>42869.858999999997</v>
      </c>
      <c r="G160">
        <v>15.49</v>
      </c>
      <c r="H160">
        <v>0</v>
      </c>
      <c r="I160" t="s">
        <v>628</v>
      </c>
      <c r="J160" t="s">
        <v>629</v>
      </c>
    </row>
    <row r="161" spans="1:10" x14ac:dyDescent="0.25">
      <c r="A161" s="141" t="s">
        <v>142</v>
      </c>
      <c r="B161">
        <v>7975.5551999999998</v>
      </c>
      <c r="C161">
        <v>38.023899999999998</v>
      </c>
      <c r="D161">
        <v>39.7393</v>
      </c>
      <c r="E161">
        <v>42.8294</v>
      </c>
      <c r="F161">
        <v>343987.375</v>
      </c>
      <c r="G161">
        <v>27.777000000000001</v>
      </c>
      <c r="H161">
        <v>0</v>
      </c>
      <c r="I161" t="s">
        <v>630</v>
      </c>
      <c r="J161" t="s">
        <v>631</v>
      </c>
    </row>
    <row r="162" spans="1:10" x14ac:dyDescent="0.25">
      <c r="A162" s="141" t="s">
        <v>143</v>
      </c>
      <c r="B162">
        <v>3756.7808</v>
      </c>
      <c r="C162">
        <v>36.681100000000001</v>
      </c>
      <c r="D162">
        <v>39.101199999999999</v>
      </c>
      <c r="E162">
        <v>41.656100000000002</v>
      </c>
      <c r="F162">
        <v>213408.65599999999</v>
      </c>
      <c r="G162">
        <v>22.449000000000002</v>
      </c>
      <c r="H162">
        <v>0</v>
      </c>
      <c r="I162" t="s">
        <v>632</v>
      </c>
      <c r="J162" t="s">
        <v>633</v>
      </c>
    </row>
    <row r="163" spans="1:10" x14ac:dyDescent="0.25">
      <c r="A163" s="141" t="s">
        <v>144</v>
      </c>
      <c r="B163">
        <v>1844.6415999999999</v>
      </c>
      <c r="C163">
        <v>34.813000000000002</v>
      </c>
      <c r="D163">
        <v>38.273600000000002</v>
      </c>
      <c r="E163">
        <v>40.192599999999999</v>
      </c>
      <c r="F163">
        <v>128075.961</v>
      </c>
      <c r="G163">
        <v>17.797999999999998</v>
      </c>
      <c r="H163">
        <v>0</v>
      </c>
      <c r="I163" t="s">
        <v>634</v>
      </c>
      <c r="J163" t="s">
        <v>635</v>
      </c>
    </row>
    <row r="164" spans="1:10" x14ac:dyDescent="0.25">
      <c r="A164" s="141" t="s">
        <v>145</v>
      </c>
      <c r="B164">
        <v>881.34720000000004</v>
      </c>
      <c r="C164">
        <v>32.496699999999997</v>
      </c>
      <c r="D164">
        <v>37.268099999999997</v>
      </c>
      <c r="E164">
        <v>38.512099999999997</v>
      </c>
      <c r="F164">
        <v>70770.164000000004</v>
      </c>
      <c r="G164">
        <v>13.904999999999999</v>
      </c>
      <c r="H164">
        <v>0</v>
      </c>
      <c r="I164" t="s">
        <v>636</v>
      </c>
      <c r="J164" t="s">
        <v>637</v>
      </c>
    </row>
    <row r="165" spans="1:10" x14ac:dyDescent="0.25">
      <c r="A165" s="141" t="s">
        <v>146</v>
      </c>
      <c r="B165">
        <v>9098.1872000000003</v>
      </c>
      <c r="C165">
        <v>38.740400000000001</v>
      </c>
      <c r="D165">
        <v>43.691400000000002</v>
      </c>
      <c r="E165">
        <v>44.623899999999999</v>
      </c>
      <c r="F165">
        <v>374425.09399999998</v>
      </c>
      <c r="G165">
        <v>35.561999999999998</v>
      </c>
      <c r="H165">
        <v>0</v>
      </c>
      <c r="I165" t="s">
        <v>638</v>
      </c>
      <c r="J165" t="s">
        <v>639</v>
      </c>
    </row>
    <row r="166" spans="1:10" x14ac:dyDescent="0.25">
      <c r="A166" s="141" t="s">
        <v>147</v>
      </c>
      <c r="B166">
        <v>4704.5871999999999</v>
      </c>
      <c r="C166">
        <v>37.535299999999999</v>
      </c>
      <c r="D166">
        <v>42.713700000000003</v>
      </c>
      <c r="E166">
        <v>43.125999999999998</v>
      </c>
      <c r="F166">
        <v>233166.56200000001</v>
      </c>
      <c r="G166">
        <v>28.021999999999998</v>
      </c>
      <c r="H166">
        <v>0</v>
      </c>
      <c r="I166" t="s">
        <v>640</v>
      </c>
      <c r="J166" t="s">
        <v>641</v>
      </c>
    </row>
    <row r="167" spans="1:10" x14ac:dyDescent="0.25">
      <c r="A167" s="141" t="s">
        <v>148</v>
      </c>
      <c r="B167">
        <v>2397.5680000000002</v>
      </c>
      <c r="C167">
        <v>35.856099999999998</v>
      </c>
      <c r="D167">
        <v>41.487299999999998</v>
      </c>
      <c r="E167">
        <v>41.3994</v>
      </c>
      <c r="F167">
        <v>137420.984</v>
      </c>
      <c r="G167">
        <v>23.071000000000002</v>
      </c>
      <c r="H167">
        <v>0</v>
      </c>
      <c r="I167" t="s">
        <v>642</v>
      </c>
      <c r="J167" t="s">
        <v>643</v>
      </c>
    </row>
    <row r="168" spans="1:10" x14ac:dyDescent="0.25">
      <c r="A168" s="141" t="s">
        <v>149</v>
      </c>
      <c r="B168">
        <v>1187.904</v>
      </c>
      <c r="C168">
        <v>33.766500000000001</v>
      </c>
      <c r="D168">
        <v>40.118299999999998</v>
      </c>
      <c r="E168">
        <v>39.478499999999997</v>
      </c>
      <c r="F168">
        <v>75389.172000000006</v>
      </c>
      <c r="G168">
        <v>18.408000000000001</v>
      </c>
      <c r="H168">
        <v>0</v>
      </c>
      <c r="I168" t="s">
        <v>644</v>
      </c>
      <c r="J168" t="s">
        <v>645</v>
      </c>
    </row>
    <row r="169" spans="1:10" x14ac:dyDescent="0.25">
      <c r="A169" s="141" t="s">
        <v>270</v>
      </c>
      <c r="B169">
        <v>6358.5087999999996</v>
      </c>
      <c r="C169">
        <v>39.8339</v>
      </c>
      <c r="D169">
        <v>43.804099999999998</v>
      </c>
      <c r="E169">
        <v>44.508299999999998</v>
      </c>
      <c r="F169">
        <v>339079.96899999998</v>
      </c>
      <c r="G169">
        <v>33.944000000000003</v>
      </c>
      <c r="H169">
        <v>0</v>
      </c>
      <c r="I169" t="s">
        <v>646</v>
      </c>
      <c r="J169" t="s">
        <v>647</v>
      </c>
    </row>
    <row r="170" spans="1:10" x14ac:dyDescent="0.25">
      <c r="A170" s="141" t="s">
        <v>271</v>
      </c>
      <c r="B170">
        <v>3030.1968000000002</v>
      </c>
      <c r="C170">
        <v>38.537700000000001</v>
      </c>
      <c r="D170">
        <v>42.933500000000002</v>
      </c>
      <c r="E170">
        <v>43.659799999999997</v>
      </c>
      <c r="F170">
        <v>193239</v>
      </c>
      <c r="G170">
        <v>27.1</v>
      </c>
      <c r="H170">
        <v>0</v>
      </c>
      <c r="I170" t="s">
        <v>648</v>
      </c>
      <c r="J170" t="s">
        <v>649</v>
      </c>
    </row>
    <row r="171" spans="1:10" x14ac:dyDescent="0.25">
      <c r="A171" s="141" t="s">
        <v>272</v>
      </c>
      <c r="B171">
        <v>1462.6768</v>
      </c>
      <c r="C171">
        <v>36.720999999999997</v>
      </c>
      <c r="D171">
        <v>41.8369</v>
      </c>
      <c r="E171">
        <v>42.421599999999998</v>
      </c>
      <c r="F171">
        <v>105884.469</v>
      </c>
      <c r="G171">
        <v>21.777000000000001</v>
      </c>
      <c r="H171">
        <v>0</v>
      </c>
      <c r="I171" t="s">
        <v>650</v>
      </c>
      <c r="J171" t="s">
        <v>651</v>
      </c>
    </row>
    <row r="172" spans="1:10" x14ac:dyDescent="0.25">
      <c r="A172" s="141" t="s">
        <v>273</v>
      </c>
      <c r="B172">
        <v>686.36800000000005</v>
      </c>
      <c r="C172">
        <v>34.432099999999998</v>
      </c>
      <c r="D172">
        <v>40.6858</v>
      </c>
      <c r="E172">
        <v>41.043599999999998</v>
      </c>
      <c r="F172">
        <v>56264.237999999998</v>
      </c>
      <c r="G172">
        <v>17.887</v>
      </c>
      <c r="H172">
        <v>0</v>
      </c>
      <c r="I172" t="s">
        <v>652</v>
      </c>
      <c r="J172" t="s">
        <v>653</v>
      </c>
    </row>
    <row r="173" spans="1:10" x14ac:dyDescent="0.25">
      <c r="A173" s="141" t="s">
        <v>274</v>
      </c>
      <c r="B173">
        <v>6708.232</v>
      </c>
      <c r="C173">
        <v>43.389400000000002</v>
      </c>
      <c r="D173">
        <v>46.723700000000001</v>
      </c>
      <c r="E173">
        <v>47.319499999999998</v>
      </c>
      <c r="F173">
        <v>275898.21899999998</v>
      </c>
      <c r="G173">
        <v>36.508000000000003</v>
      </c>
      <c r="H173">
        <v>0</v>
      </c>
      <c r="I173" t="s">
        <v>654</v>
      </c>
      <c r="J173" t="s">
        <v>655</v>
      </c>
    </row>
    <row r="174" spans="1:10" x14ac:dyDescent="0.25">
      <c r="A174" s="141" t="s">
        <v>275</v>
      </c>
      <c r="B174">
        <v>4085.5455999999999</v>
      </c>
      <c r="C174">
        <v>41.072200000000002</v>
      </c>
      <c r="D174">
        <v>45.262799999999999</v>
      </c>
      <c r="E174">
        <v>45.640799999999999</v>
      </c>
      <c r="F174">
        <v>196024.57800000001</v>
      </c>
      <c r="G174">
        <v>30.286999999999999</v>
      </c>
      <c r="H174">
        <v>0</v>
      </c>
      <c r="I174" t="s">
        <v>656</v>
      </c>
      <c r="J174" t="s">
        <v>657</v>
      </c>
    </row>
    <row r="175" spans="1:10" x14ac:dyDescent="0.25">
      <c r="A175" s="141" t="s">
        <v>276</v>
      </c>
      <c r="B175">
        <v>2258.0464000000002</v>
      </c>
      <c r="C175">
        <v>38.269100000000002</v>
      </c>
      <c r="D175">
        <v>43.609499999999997</v>
      </c>
      <c r="E175">
        <v>43.7849</v>
      </c>
      <c r="F175">
        <v>120547.352</v>
      </c>
      <c r="G175">
        <v>26.071000000000002</v>
      </c>
      <c r="H175">
        <v>0</v>
      </c>
      <c r="I175" t="s">
        <v>658</v>
      </c>
      <c r="J175" t="s">
        <v>659</v>
      </c>
    </row>
    <row r="176" spans="1:10" x14ac:dyDescent="0.25">
      <c r="A176" s="141" t="s">
        <v>277</v>
      </c>
      <c r="B176">
        <v>1174.8208</v>
      </c>
      <c r="C176">
        <v>35.308</v>
      </c>
      <c r="D176">
        <v>41.942399999999999</v>
      </c>
      <c r="E176">
        <v>41.872999999999998</v>
      </c>
      <c r="F176">
        <v>70165.195000000007</v>
      </c>
      <c r="G176">
        <v>20.603000000000002</v>
      </c>
      <c r="H176">
        <v>0</v>
      </c>
      <c r="I176" t="s">
        <v>660</v>
      </c>
      <c r="J176" t="s">
        <v>661</v>
      </c>
    </row>
    <row r="177" spans="1:10" x14ac:dyDescent="0.25">
      <c r="A177" s="141" t="s">
        <v>150</v>
      </c>
      <c r="B177" s="71">
        <v>4672.9567999999999</v>
      </c>
      <c r="C177" s="71">
        <v>38.456099999999999</v>
      </c>
      <c r="D177" s="71">
        <v>45.520600000000002</v>
      </c>
      <c r="E177" s="71">
        <v>45.731099999999998</v>
      </c>
      <c r="F177" s="71">
        <v>194347.266</v>
      </c>
      <c r="G177" s="71">
        <v>15.659000000000001</v>
      </c>
      <c r="H177">
        <v>0</v>
      </c>
      <c r="I177" t="s">
        <v>662</v>
      </c>
      <c r="J177" t="s">
        <v>663</v>
      </c>
    </row>
    <row r="178" spans="1:10" x14ac:dyDescent="0.25">
      <c r="A178" s="141" t="s">
        <v>151</v>
      </c>
      <c r="B178" s="71">
        <v>1631.5072</v>
      </c>
      <c r="C178" s="71">
        <v>36.460099999999997</v>
      </c>
      <c r="D178" s="71">
        <v>44.547899999999998</v>
      </c>
      <c r="E178" s="71">
        <v>44.764899999999997</v>
      </c>
      <c r="F178" s="71">
        <v>98540.43</v>
      </c>
      <c r="G178" s="71">
        <v>10.866</v>
      </c>
      <c r="H178">
        <v>0</v>
      </c>
      <c r="I178" t="s">
        <v>664</v>
      </c>
      <c r="J178" t="s">
        <v>665</v>
      </c>
    </row>
    <row r="179" spans="1:10" x14ac:dyDescent="0.25">
      <c r="A179" s="141" t="s">
        <v>152</v>
      </c>
      <c r="B179" s="71">
        <v>651.71519999999998</v>
      </c>
      <c r="C179" s="71">
        <v>34.033799999999999</v>
      </c>
      <c r="D179" s="71">
        <v>43.205399999999997</v>
      </c>
      <c r="E179" s="71">
        <v>43.345199999999998</v>
      </c>
      <c r="F179" s="71">
        <v>55357.347999999998</v>
      </c>
      <c r="G179" s="71">
        <v>8.0690000000000008</v>
      </c>
      <c r="H179">
        <v>0</v>
      </c>
      <c r="I179" t="s">
        <v>666</v>
      </c>
      <c r="J179" t="s">
        <v>667</v>
      </c>
    </row>
    <row r="180" spans="1:10" x14ac:dyDescent="0.25">
      <c r="A180" s="141" t="s">
        <v>153</v>
      </c>
      <c r="B180" s="71">
        <v>275.03680000000003</v>
      </c>
      <c r="C180" s="71">
        <v>31.0291</v>
      </c>
      <c r="D180" s="71">
        <v>41.9285</v>
      </c>
      <c r="E180" s="71">
        <v>42.004899999999999</v>
      </c>
      <c r="F180" s="71">
        <v>31117.891</v>
      </c>
      <c r="G180" s="71">
        <v>6.4480000000000004</v>
      </c>
      <c r="H180">
        <v>0</v>
      </c>
      <c r="I180" t="s">
        <v>668</v>
      </c>
      <c r="J180" t="s">
        <v>669</v>
      </c>
    </row>
    <row r="181" spans="1:10" x14ac:dyDescent="0.25">
      <c r="A181" s="141" t="s">
        <v>154</v>
      </c>
      <c r="B181" s="71">
        <v>3773.4335999999998</v>
      </c>
      <c r="C181" s="71">
        <v>40.5336</v>
      </c>
      <c r="D181" s="71">
        <v>45.262799999999999</v>
      </c>
      <c r="E181" s="71">
        <v>46.059800000000003</v>
      </c>
      <c r="F181" s="71">
        <v>166142.391</v>
      </c>
      <c r="G181" s="71">
        <v>16.2</v>
      </c>
      <c r="H181">
        <v>0</v>
      </c>
      <c r="I181" t="s">
        <v>670</v>
      </c>
      <c r="J181" t="s">
        <v>671</v>
      </c>
    </row>
    <row r="182" spans="1:10" x14ac:dyDescent="0.25">
      <c r="A182" s="141" t="s">
        <v>155</v>
      </c>
      <c r="B182" s="71">
        <v>1703.84</v>
      </c>
      <c r="C182" s="71">
        <v>38.878799999999998</v>
      </c>
      <c r="D182" s="71">
        <v>44.4407</v>
      </c>
      <c r="E182" s="71">
        <v>44.523299999999999</v>
      </c>
      <c r="F182" s="71">
        <v>96380.547000000006</v>
      </c>
      <c r="G182" s="71">
        <v>12.731999999999999</v>
      </c>
      <c r="H182">
        <v>0</v>
      </c>
      <c r="I182" t="s">
        <v>672</v>
      </c>
      <c r="J182" t="s">
        <v>673</v>
      </c>
    </row>
    <row r="183" spans="1:10" x14ac:dyDescent="0.25">
      <c r="A183" s="141" t="s">
        <v>156</v>
      </c>
      <c r="B183" s="71">
        <v>813.72</v>
      </c>
      <c r="C183" s="71">
        <v>36.9131</v>
      </c>
      <c r="D183" s="71">
        <v>43.4193</v>
      </c>
      <c r="E183" s="71">
        <v>42.713799999999999</v>
      </c>
      <c r="F183" s="71">
        <v>53767.023000000001</v>
      </c>
      <c r="G183" s="71">
        <v>10.068</v>
      </c>
      <c r="H183">
        <v>0</v>
      </c>
      <c r="I183" t="s">
        <v>674</v>
      </c>
      <c r="J183" t="s">
        <v>675</v>
      </c>
    </row>
    <row r="184" spans="1:10" x14ac:dyDescent="0.25">
      <c r="A184" s="141" t="s">
        <v>157</v>
      </c>
      <c r="B184" s="71">
        <v>380.64800000000002</v>
      </c>
      <c r="C184" s="71">
        <v>34.6661</v>
      </c>
      <c r="D184" s="71">
        <v>42.103299999999997</v>
      </c>
      <c r="E184" s="71">
        <v>40.647599999999997</v>
      </c>
      <c r="F184" s="71">
        <v>27447.361000000001</v>
      </c>
      <c r="G184" s="71">
        <v>7.7060000000000004</v>
      </c>
      <c r="H184">
        <v>0</v>
      </c>
      <c r="I184" t="s">
        <v>676</v>
      </c>
      <c r="J184" t="s">
        <v>677</v>
      </c>
    </row>
    <row r="185" spans="1:10" x14ac:dyDescent="0.25">
      <c r="A185" s="141" t="s">
        <v>158</v>
      </c>
      <c r="B185" s="71">
        <v>917.99519999999995</v>
      </c>
      <c r="C185" s="71">
        <v>42.971499999999999</v>
      </c>
      <c r="D185" s="71">
        <v>46.786200000000001</v>
      </c>
      <c r="E185" s="71">
        <v>47.612699999999997</v>
      </c>
      <c r="F185" s="71">
        <v>63337.542999999998</v>
      </c>
      <c r="G185" s="71">
        <v>8.52</v>
      </c>
      <c r="H185">
        <v>0</v>
      </c>
      <c r="I185" t="s">
        <v>678</v>
      </c>
      <c r="J185" t="s">
        <v>679</v>
      </c>
    </row>
    <row r="186" spans="1:10" x14ac:dyDescent="0.25">
      <c r="A186" s="141" t="s">
        <v>159</v>
      </c>
      <c r="B186" s="71">
        <v>468.488</v>
      </c>
      <c r="C186" s="71">
        <v>41.298499999999997</v>
      </c>
      <c r="D186" s="71">
        <v>45.937600000000003</v>
      </c>
      <c r="E186" s="71">
        <v>46.558799999999998</v>
      </c>
      <c r="F186" s="71">
        <v>37625.714999999997</v>
      </c>
      <c r="G186" s="71">
        <v>6.6120000000000001</v>
      </c>
      <c r="H186">
        <v>0</v>
      </c>
      <c r="I186" t="s">
        <v>680</v>
      </c>
      <c r="J186" t="s">
        <v>681</v>
      </c>
    </row>
    <row r="187" spans="1:10" x14ac:dyDescent="0.25">
      <c r="A187" s="141" t="s">
        <v>160</v>
      </c>
      <c r="B187" s="71">
        <v>249.78720000000001</v>
      </c>
      <c r="C187" s="71">
        <v>39.070500000000003</v>
      </c>
      <c r="D187" s="71">
        <v>44.763100000000001</v>
      </c>
      <c r="E187" s="71">
        <v>45.157600000000002</v>
      </c>
      <c r="F187" s="71">
        <v>21107.01</v>
      </c>
      <c r="G187" s="71">
        <v>5.3250000000000002</v>
      </c>
      <c r="H187">
        <v>0</v>
      </c>
      <c r="I187" t="s">
        <v>682</v>
      </c>
      <c r="J187" t="s">
        <v>683</v>
      </c>
    </row>
    <row r="188" spans="1:10" x14ac:dyDescent="0.25">
      <c r="A188" s="141" t="s">
        <v>161</v>
      </c>
      <c r="B188" s="71">
        <v>135.88319999999999</v>
      </c>
      <c r="C188" s="71">
        <v>36.289499999999997</v>
      </c>
      <c r="D188" s="71">
        <v>43.033999999999999</v>
      </c>
      <c r="E188" s="71">
        <v>43.249200000000002</v>
      </c>
      <c r="F188" s="71">
        <v>12200.159</v>
      </c>
      <c r="G188" s="71">
        <v>4.6719999999999997</v>
      </c>
      <c r="H188">
        <v>0</v>
      </c>
      <c r="I188" t="s">
        <v>684</v>
      </c>
      <c r="J188" t="s">
        <v>685</v>
      </c>
    </row>
    <row r="189" spans="1:10" x14ac:dyDescent="0.25">
      <c r="A189" s="141" t="s">
        <v>162</v>
      </c>
      <c r="B189" s="71">
        <v>1257.3599999999999</v>
      </c>
      <c r="C189" s="71">
        <v>42.676299999999998</v>
      </c>
      <c r="D189" s="71">
        <v>48.558199999999999</v>
      </c>
      <c r="E189" s="71">
        <v>47.600299999999997</v>
      </c>
      <c r="F189" s="71">
        <v>69471.883000000002</v>
      </c>
      <c r="G189" s="71">
        <v>9.1669999999999998</v>
      </c>
      <c r="H189">
        <v>0</v>
      </c>
      <c r="I189" t="s">
        <v>686</v>
      </c>
      <c r="J189" t="s">
        <v>687</v>
      </c>
    </row>
    <row r="190" spans="1:10" x14ac:dyDescent="0.25">
      <c r="A190" s="141" t="s">
        <v>163</v>
      </c>
      <c r="B190" s="71">
        <v>606.52</v>
      </c>
      <c r="C190" s="71">
        <v>40.899700000000003</v>
      </c>
      <c r="D190" s="71">
        <v>47.768500000000003</v>
      </c>
      <c r="E190" s="71">
        <v>46.985199999999999</v>
      </c>
      <c r="F190" s="71">
        <v>40245.366999999998</v>
      </c>
      <c r="G190" s="71">
        <v>6.7380000000000004</v>
      </c>
      <c r="H190">
        <v>0</v>
      </c>
      <c r="I190" t="s">
        <v>688</v>
      </c>
      <c r="J190" t="s">
        <v>689</v>
      </c>
    </row>
    <row r="191" spans="1:10" x14ac:dyDescent="0.25">
      <c r="A191" s="141" t="s">
        <v>164</v>
      </c>
      <c r="B191" s="71">
        <v>322.7072</v>
      </c>
      <c r="C191" s="71">
        <v>38.521700000000003</v>
      </c>
      <c r="D191" s="71">
        <v>46.616799999999998</v>
      </c>
      <c r="E191" s="71">
        <v>45.488500000000002</v>
      </c>
      <c r="F191" s="71">
        <v>23567.463</v>
      </c>
      <c r="G191" s="71">
        <v>5.819</v>
      </c>
      <c r="H191">
        <v>0</v>
      </c>
      <c r="I191" t="s">
        <v>690</v>
      </c>
      <c r="J191" t="s">
        <v>691</v>
      </c>
    </row>
    <row r="192" spans="1:10" x14ac:dyDescent="0.25">
      <c r="A192" s="141" t="s">
        <v>165</v>
      </c>
      <c r="B192" s="71">
        <v>176.328</v>
      </c>
      <c r="C192" s="71">
        <v>35.425899999999999</v>
      </c>
      <c r="D192" s="71">
        <v>45.2301</v>
      </c>
      <c r="E192" s="71">
        <v>43.411499999999997</v>
      </c>
      <c r="F192" s="71">
        <v>14179.312</v>
      </c>
      <c r="G192" s="71">
        <v>5.1719999999999997</v>
      </c>
      <c r="H192">
        <v>0</v>
      </c>
      <c r="I192" t="s">
        <v>692</v>
      </c>
      <c r="J192" t="s">
        <v>693</v>
      </c>
    </row>
    <row r="193" spans="1:7" x14ac:dyDescent="0.2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2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2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2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2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2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2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2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2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2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2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2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2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2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2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2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2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2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2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2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2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2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2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2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2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2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2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2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2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2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2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2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2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2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2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2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2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2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2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2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2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2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2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2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2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2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2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2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2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2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2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2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2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2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2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2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2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2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2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2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2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2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2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2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2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2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2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2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2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2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2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2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25">
      <c r="A265" s="141" t="s">
        <v>310</v>
      </c>
    </row>
    <row r="266" spans="1:7" x14ac:dyDescent="0.25">
      <c r="A266" s="141" t="s">
        <v>311</v>
      </c>
    </row>
    <row r="267" spans="1:7" x14ac:dyDescent="0.25">
      <c r="A267" s="141" t="s">
        <v>312</v>
      </c>
    </row>
    <row r="268" spans="1:7" x14ac:dyDescent="0.25">
      <c r="A268" s="141" t="s">
        <v>313</v>
      </c>
    </row>
    <row r="269" spans="1:7" x14ac:dyDescent="0.25">
      <c r="A269" s="141" t="s">
        <v>314</v>
      </c>
    </row>
    <row r="270" spans="1:7" x14ac:dyDescent="0.25">
      <c r="A270" s="141" t="s">
        <v>315</v>
      </c>
    </row>
    <row r="271" spans="1:7" x14ac:dyDescent="0.25">
      <c r="A271" s="141" t="s">
        <v>316</v>
      </c>
    </row>
    <row r="272" spans="1:7" x14ac:dyDescent="0.25">
      <c r="A272" s="141" t="s">
        <v>317</v>
      </c>
    </row>
    <row r="273" spans="1:1" x14ac:dyDescent="0.25">
      <c r="A273" s="141" t="s">
        <v>390</v>
      </c>
    </row>
    <row r="274" spans="1:1" x14ac:dyDescent="0.25">
      <c r="A274" s="141" t="s">
        <v>391</v>
      </c>
    </row>
    <row r="275" spans="1:1" x14ac:dyDescent="0.25">
      <c r="A275" s="141" t="s">
        <v>392</v>
      </c>
    </row>
    <row r="276" spans="1:1" x14ac:dyDescent="0.25">
      <c r="A276" s="141" t="s">
        <v>393</v>
      </c>
    </row>
    <row r="277" spans="1:1" x14ac:dyDescent="0.25">
      <c r="A277" s="141" t="s">
        <v>394</v>
      </c>
    </row>
    <row r="278" spans="1:1" x14ac:dyDescent="0.25">
      <c r="A278" s="141" t="s">
        <v>395</v>
      </c>
    </row>
    <row r="279" spans="1:1" x14ac:dyDescent="0.25">
      <c r="A279" s="141" t="s">
        <v>396</v>
      </c>
    </row>
    <row r="280" spans="1:1" x14ac:dyDescent="0.25">
      <c r="A280" s="141" t="s">
        <v>397</v>
      </c>
    </row>
    <row r="281" spans="1:1" x14ac:dyDescent="0.25">
      <c r="A281" s="141" t="s">
        <v>398</v>
      </c>
    </row>
    <row r="282" spans="1:1" x14ac:dyDescent="0.25">
      <c r="A282" s="141" t="s">
        <v>399</v>
      </c>
    </row>
    <row r="283" spans="1:1" x14ac:dyDescent="0.25">
      <c r="A283" s="141" t="s">
        <v>400</v>
      </c>
    </row>
    <row r="284" spans="1:1" x14ac:dyDescent="0.25">
      <c r="A284" s="141" t="s">
        <v>401</v>
      </c>
    </row>
    <row r="285" spans="1:1" x14ac:dyDescent="0.25">
      <c r="A285" s="141" t="s">
        <v>402</v>
      </c>
    </row>
    <row r="286" spans="1:1" x14ac:dyDescent="0.25">
      <c r="A286" s="141" t="s">
        <v>403</v>
      </c>
    </row>
    <row r="287" spans="1:1" x14ac:dyDescent="0.25">
      <c r="A287" s="141" t="s">
        <v>404</v>
      </c>
    </row>
    <row r="288" spans="1:1" x14ac:dyDescent="0.25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futl</cp:lastModifiedBy>
  <dcterms:created xsi:type="dcterms:W3CDTF">2011-06-30T00:09:01Z</dcterms:created>
  <dcterms:modified xsi:type="dcterms:W3CDTF">2021-12-06T02:33:44Z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