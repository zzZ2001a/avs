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hpm1\res\"/>
    </mc:Choice>
  </mc:AlternateContent>
  <xr:revisionPtr revIDLastSave="0" documentId="13_ncr:1_{A5979A14-AB1C-402B-B617-593D53679A0F}" xr6:coauthVersionLast="47" xr6:coauthVersionMax="47" xr10:uidLastSave="{00000000-0000-0000-0000-000000000000}"/>
  <bookViews>
    <workbookView xWindow="-108" yWindow="-108" windowWidth="23256" windowHeight="12576" tabRatio="884" activeTab="8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7" i="20"/>
  <c r="J48" i="29"/>
  <c r="S31" i="29"/>
  <c r="M12" i="30" s="1"/>
  <c r="J31" i="29"/>
  <c r="J10" i="25"/>
  <c r="J4" i="25"/>
  <c r="R25" i="29"/>
  <c r="V59" i="20"/>
  <c r="Y11" i="20"/>
  <c r="AA39" i="29"/>
  <c r="Y7" i="29"/>
  <c r="V59" i="25"/>
  <c r="V59" i="29"/>
  <c r="V27" i="20"/>
  <c r="AA7" i="29"/>
  <c r="Y71" i="25"/>
  <c r="W19" i="29"/>
  <c r="V31" i="20"/>
  <c r="V7" i="20"/>
  <c r="V47" i="20"/>
  <c r="Z39" i="27"/>
  <c r="Z31" i="25"/>
  <c r="X59" i="27"/>
  <c r="Y63" i="27"/>
  <c r="W63" i="20"/>
  <c r="Z23" i="29"/>
  <c r="X71" i="29"/>
  <c r="AA11" i="29"/>
  <c r="V71" i="20"/>
  <c r="V43" i="20"/>
  <c r="W7" i="20"/>
  <c r="Z67" i="25"/>
  <c r="Y67" i="27"/>
  <c r="W63" i="25"/>
  <c r="V63" i="29"/>
  <c r="AA39" i="25"/>
  <c r="X19" i="25"/>
  <c r="V35" i="29"/>
  <c r="AA7" i="27"/>
  <c r="AA63" i="25"/>
  <c r="Y19" i="25"/>
  <c r="X67" i="29"/>
  <c r="Y55" i="25"/>
  <c r="X51" i="20"/>
  <c r="V7" i="27"/>
  <c r="X23" i="20"/>
  <c r="Z51" i="20"/>
  <c r="W11" i="20"/>
  <c r="AA35" i="20"/>
  <c r="Z27" i="20"/>
  <c r="Y11" i="27"/>
  <c r="X39" i="25"/>
  <c r="V35" i="20"/>
  <c r="X59" i="25"/>
  <c r="Y23" i="29"/>
  <c r="AA23" i="20"/>
  <c r="W23" i="20"/>
  <c r="X43" i="20"/>
  <c r="W43" i="27"/>
  <c r="AA3" i="25"/>
  <c r="Z47" i="20"/>
  <c r="Z71" i="20"/>
  <c r="X7" i="20"/>
  <c r="AA51" i="25"/>
  <c r="W47" i="29"/>
  <c r="V23" i="29"/>
  <c r="AA55" i="29"/>
  <c r="X43" i="25"/>
  <c r="Z55" i="20"/>
  <c r="X51" i="29"/>
  <c r="AA63" i="29"/>
  <c r="W3" i="25"/>
  <c r="AA15" i="20"/>
  <c r="X27" i="20"/>
  <c r="X47" i="27"/>
  <c r="Y7" i="25"/>
  <c r="V63" i="20"/>
  <c r="Y47" i="20"/>
  <c r="W19" i="20"/>
  <c r="AA15" i="27"/>
  <c r="X11" i="25"/>
  <c r="W55" i="27"/>
  <c r="W59" i="27"/>
  <c r="AA15" i="25"/>
  <c r="Y31" i="27"/>
  <c r="Z3" i="20"/>
  <c r="Z43" i="29"/>
  <c r="W31" i="29"/>
  <c r="W43" i="29"/>
  <c r="X55" i="27"/>
  <c r="X63" i="29"/>
  <c r="Y19" i="29"/>
  <c r="Z15" i="25"/>
  <c r="X7" i="25"/>
  <c r="AA51" i="20"/>
  <c r="X43" i="27"/>
  <c r="Z55" i="27"/>
  <c r="Z3" i="27"/>
  <c r="X51" i="25"/>
  <c r="Z15" i="20"/>
  <c r="Y27" i="27"/>
  <c r="V39" i="29"/>
  <c r="X23" i="25"/>
  <c r="W71" i="25"/>
  <c r="V51" i="29"/>
  <c r="Z47" i="29"/>
  <c r="Z59" i="27"/>
  <c r="X15" i="20"/>
  <c r="V71" i="25"/>
  <c r="X55" i="20"/>
  <c r="AA11" i="25"/>
  <c r="Z39" i="29"/>
  <c r="X63" i="27"/>
  <c r="AA59" i="20"/>
  <c r="AA35" i="25"/>
  <c r="V39" i="27"/>
  <c r="W71" i="27"/>
  <c r="Z11" i="27"/>
  <c r="V27" i="29"/>
  <c r="X19" i="20"/>
  <c r="Y63" i="29"/>
  <c r="W27" i="27"/>
  <c r="AA31" i="27"/>
  <c r="V27" i="25"/>
  <c r="Z3" i="29"/>
  <c r="X15" i="27"/>
  <c r="Z51" i="27"/>
  <c r="Y11" i="25"/>
  <c r="W7" i="25"/>
  <c r="Z55" i="29"/>
  <c r="Z63" i="25"/>
  <c r="AA39" i="20"/>
  <c r="W55" i="29"/>
  <c r="V31" i="29"/>
  <c r="Z51" i="25"/>
  <c r="W15" i="29"/>
  <c r="Z3" i="25"/>
  <c r="AA67" i="25"/>
  <c r="Z35" i="29"/>
  <c r="AA11" i="20"/>
  <c r="Y47" i="29"/>
  <c r="Y15" i="29"/>
  <c r="Y71" i="27"/>
  <c r="V15" i="29"/>
  <c r="V11" i="20"/>
  <c r="W19" i="27"/>
  <c r="V39" i="25"/>
  <c r="Y31" i="29"/>
  <c r="Z51" i="29"/>
  <c r="Y3" i="25"/>
  <c r="X59" i="29"/>
  <c r="Z63" i="27"/>
  <c r="Z39" i="25"/>
  <c r="Y27" i="25"/>
  <c r="Y15" i="25"/>
  <c r="AA71" i="20"/>
  <c r="Z67" i="20"/>
  <c r="AA67" i="29"/>
  <c r="V11" i="29"/>
  <c r="X67" i="25"/>
  <c r="AA31" i="20"/>
  <c r="W35" i="29"/>
  <c r="Z7" i="27"/>
  <c r="W39" i="29"/>
  <c r="Y35" i="25"/>
  <c r="Z23" i="25"/>
  <c r="W63" i="27"/>
  <c r="V51" i="20"/>
  <c r="Y67" i="29"/>
  <c r="W11" i="27"/>
  <c r="Y15" i="27"/>
  <c r="AA47" i="29"/>
  <c r="W31" i="20"/>
  <c r="X59" i="20"/>
  <c r="Y3" i="20"/>
  <c r="AA71" i="25"/>
  <c r="W67" i="29"/>
  <c r="W43" i="20"/>
  <c r="Z15" i="27"/>
  <c r="V63" i="27"/>
  <c r="Z59" i="20"/>
  <c r="W11" i="29"/>
  <c r="Y43" i="20"/>
  <c r="AA47" i="20"/>
  <c r="X71" i="25"/>
  <c r="Y27" i="20"/>
  <c r="AA27" i="29"/>
  <c r="Z43" i="27"/>
  <c r="Y43" i="29"/>
  <c r="V47" i="29"/>
  <c r="Z59" i="29"/>
  <c r="Z7" i="20"/>
  <c r="X47" i="25"/>
  <c r="X31" i="27"/>
  <c r="W15" i="27"/>
  <c r="X55" i="29"/>
  <c r="W19" i="25"/>
  <c r="W39" i="27"/>
  <c r="Y19" i="20"/>
  <c r="Y47" i="27"/>
  <c r="Z11" i="20"/>
  <c r="Z71" i="25"/>
  <c r="Y39" i="29"/>
  <c r="X7" i="29"/>
  <c r="Y35" i="27"/>
  <c r="Z63" i="29"/>
  <c r="X39" i="27"/>
  <c r="V63" i="25"/>
  <c r="W15" i="20"/>
  <c r="AA11" i="27"/>
  <c r="V43" i="29"/>
  <c r="W15" i="25"/>
  <c r="Z19" i="29"/>
  <c r="AA51" i="27"/>
  <c r="X3" i="25"/>
  <c r="X71" i="20"/>
  <c r="V67" i="25"/>
  <c r="X35" i="29"/>
  <c r="Z71" i="29"/>
  <c r="V55" i="25"/>
  <c r="Z27" i="29"/>
  <c r="Y55" i="29"/>
  <c r="Y51" i="27"/>
  <c r="Y59" i="29"/>
  <c r="AA55" i="25"/>
  <c r="W7" i="27"/>
  <c r="X11" i="29"/>
  <c r="Y3" i="27"/>
  <c r="X31" i="29"/>
  <c r="Z19" i="25"/>
  <c r="V19" i="27"/>
  <c r="AA19" i="25"/>
  <c r="X67" i="20"/>
  <c r="W23" i="25"/>
  <c r="X35" i="25"/>
  <c r="V15" i="27"/>
  <c r="AA43" i="29"/>
  <c r="W39" i="25"/>
  <c r="Z11" i="25"/>
  <c r="AA35" i="29"/>
  <c r="AA51" i="29"/>
  <c r="Y23" i="25"/>
  <c r="W39" i="20"/>
  <c r="AA19" i="20"/>
  <c r="AA27" i="25"/>
  <c r="V47" i="27"/>
  <c r="V35" i="27"/>
  <c r="X15" i="25"/>
  <c r="V51" i="25"/>
  <c r="X39" i="29"/>
  <c r="X3" i="27"/>
  <c r="Y35" i="29"/>
  <c r="X71" i="27"/>
  <c r="W27" i="20"/>
  <c r="X35" i="20"/>
  <c r="W7" i="29"/>
  <c r="W47" i="25"/>
  <c r="AA71" i="29"/>
  <c r="AA3" i="20"/>
  <c r="W59" i="20"/>
  <c r="W3" i="29"/>
  <c r="Y3" i="29"/>
  <c r="Z67" i="29"/>
  <c r="AA19" i="29"/>
  <c r="Y67" i="20"/>
  <c r="Y15" i="20"/>
  <c r="AA43" i="27"/>
  <c r="X23" i="29"/>
  <c r="Y59" i="25"/>
  <c r="X39" i="20"/>
  <c r="X31" i="20"/>
  <c r="AA59" i="29"/>
  <c r="AA15" i="29"/>
  <c r="V19" i="25"/>
  <c r="W67" i="27"/>
  <c r="Y27" i="29"/>
  <c r="AA3" i="29"/>
  <c r="Z55" i="25"/>
  <c r="Y35" i="20"/>
  <c r="AA19" i="27"/>
  <c r="W43" i="25"/>
  <c r="Y19" i="27"/>
  <c r="AA27" i="27"/>
  <c r="Z31" i="29"/>
  <c r="AA47" i="25"/>
  <c r="V43" i="25"/>
  <c r="AA55" i="27"/>
  <c r="V19" i="29"/>
  <c r="Y55" i="20"/>
  <c r="Y51" i="25"/>
  <c r="V55" i="29"/>
  <c r="V71" i="27"/>
  <c r="AA59" i="25"/>
  <c r="X51" i="27"/>
  <c r="Y63" i="20"/>
  <c r="Y71" i="20"/>
  <c r="AA71" i="27"/>
  <c r="W67" i="25"/>
  <c r="W35" i="20"/>
  <c r="V31" i="27"/>
  <c r="Y39" i="27"/>
  <c r="V39" i="20"/>
  <c r="AA39" i="27"/>
  <c r="Z35" i="25"/>
  <c r="X31" i="25"/>
  <c r="Z67" i="27"/>
  <c r="AA35" i="27"/>
  <c r="W59" i="25"/>
  <c r="Y47" i="25"/>
  <c r="Z23" i="27"/>
  <c r="Z27" i="25"/>
  <c r="Y11" i="29"/>
  <c r="AA67" i="27"/>
  <c r="W71" i="29"/>
  <c r="Y7" i="20"/>
  <c r="V43" i="27"/>
  <c r="W47" i="27"/>
  <c r="X47" i="20"/>
  <c r="Y7" i="27"/>
  <c r="V11" i="25"/>
  <c r="AA55" i="20"/>
  <c r="W35" i="25"/>
  <c r="Y51" i="29"/>
  <c r="Y55" i="27"/>
  <c r="Z15" i="29"/>
  <c r="Z35" i="27"/>
  <c r="W71" i="20"/>
  <c r="X3" i="29"/>
  <c r="Y59" i="20"/>
  <c r="V15" i="20"/>
  <c r="AA7" i="25"/>
  <c r="W31" i="27"/>
  <c r="X27" i="27"/>
  <c r="Y39" i="25"/>
  <c r="W51" i="27"/>
  <c r="X3" i="20"/>
  <c r="Y31" i="25"/>
  <c r="W3" i="20"/>
  <c r="AA63" i="27"/>
  <c r="X63" i="25"/>
  <c r="Z71" i="27"/>
  <c r="Z31" i="20"/>
  <c r="Y43" i="27"/>
  <c r="X55" i="25"/>
  <c r="AA43" i="25"/>
  <c r="X11" i="20"/>
  <c r="X27" i="25"/>
  <c r="AA3" i="27"/>
  <c r="X11" i="27"/>
  <c r="V15" i="25"/>
  <c r="V51" i="27"/>
  <c r="W35" i="27"/>
  <c r="W23" i="29"/>
  <c r="Z7" i="25"/>
  <c r="X27" i="29"/>
  <c r="V59" i="27"/>
  <c r="V47" i="25"/>
  <c r="Z7" i="29"/>
  <c r="Y59" i="27"/>
  <c r="V55" i="20"/>
  <c r="AA31" i="25"/>
  <c r="V55" i="27"/>
  <c r="Z11" i="29"/>
  <c r="Y31" i="20"/>
  <c r="V3" i="20"/>
  <c r="AA23" i="27"/>
  <c r="V3" i="25"/>
  <c r="AA7" i="20"/>
  <c r="X47" i="29"/>
  <c r="AA27" i="20"/>
  <c r="Y23" i="27"/>
  <c r="Z47" i="27"/>
  <c r="Z35" i="20"/>
  <c r="W23" i="27"/>
  <c r="V31" i="25"/>
  <c r="X43" i="29"/>
  <c r="Y67" i="25"/>
  <c r="V71" i="29"/>
  <c r="Z31" i="27"/>
  <c r="Y23" i="20"/>
  <c r="V23" i="20"/>
  <c r="W47" i="20"/>
  <c r="V3" i="27"/>
  <c r="V35" i="25"/>
  <c r="W67" i="20"/>
  <c r="AA67" i="20"/>
  <c r="W55" i="25"/>
  <c r="W59" i="29"/>
  <c r="V67" i="20"/>
  <c r="W51" i="29"/>
  <c r="AA31" i="29"/>
  <c r="V7" i="25"/>
  <c r="X15" i="29"/>
  <c r="W51" i="25"/>
  <c r="Z59" i="25"/>
  <c r="Z63" i="20"/>
  <c r="Y51" i="20"/>
  <c r="X67" i="27"/>
  <c r="V7" i="29"/>
  <c r="Z23" i="20"/>
  <c r="X19" i="27"/>
  <c r="X63" i="20"/>
  <c r="V67" i="27"/>
  <c r="W11" i="25"/>
  <c r="W27" i="29"/>
  <c r="W55" i="20"/>
  <c r="AA43" i="20"/>
  <c r="X19" i="29"/>
  <c r="Y39" i="20"/>
  <c r="Z47" i="25"/>
  <c r="X23" i="27"/>
  <c r="W51" i="20"/>
  <c r="V23" i="27"/>
  <c r="Y63" i="25"/>
  <c r="V19" i="20"/>
  <c r="Y43" i="25"/>
  <c r="W63" i="29"/>
  <c r="X35" i="27"/>
  <c r="W27" i="25"/>
  <c r="Y71" i="29"/>
  <c r="V23" i="25"/>
  <c r="V3" i="29"/>
  <c r="Z43" i="25"/>
  <c r="AA63" i="20"/>
  <c r="Z19" i="20"/>
  <c r="W3" i="27"/>
  <c r="V27" i="27"/>
  <c r="AA23" i="29"/>
  <c r="Z39" i="20"/>
  <c r="X7" i="27"/>
  <c r="V11" i="27"/>
  <c r="AA47" i="27"/>
  <c r="W31" i="25"/>
  <c r="V67" i="29"/>
  <c r="AA59" i="27"/>
  <c r="AA23" i="25"/>
  <c r="Z27" i="27"/>
  <c r="Z43" i="20"/>
  <c r="Z19" i="27"/>
  <c r="S47" i="25" l="1"/>
  <c r="T59" i="29"/>
  <c r="T79" i="29" s="1"/>
  <c r="N28" i="30" s="1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O3" i="10"/>
  <c r="AF3" i="10"/>
  <c r="AG3" i="10"/>
  <c r="AP3" i="10"/>
  <c r="AN3" i="10"/>
  <c r="AD3" i="10"/>
  <c r="AJ3" i="10"/>
  <c r="AE3" i="10"/>
  <c r="AL3" i="10"/>
  <c r="AI3" i="10"/>
  <c r="AQ3" i="10"/>
  <c r="AK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O4" i="10"/>
  <c r="AF4" i="10"/>
  <c r="AI4" i="10"/>
  <c r="AN4" i="10"/>
  <c r="AE4" i="10"/>
  <c r="AL4" i="10"/>
  <c r="AP4" i="10"/>
  <c r="AJ4" i="10"/>
  <c r="AQ4" i="10"/>
  <c r="AD4" i="10"/>
  <c r="AK4" i="10"/>
  <c r="AG4" i="10"/>
  <c r="AC6" i="10" l="1"/>
  <c r="AE5" i="10"/>
  <c r="AG6" i="10"/>
  <c r="AQ5" i="10"/>
  <c r="AJ6" i="10"/>
  <c r="AJ5" i="10"/>
  <c r="AE6" i="10"/>
  <c r="AO6" i="10"/>
  <c r="AF5" i="10"/>
  <c r="AI6" i="10"/>
  <c r="AP6" i="10"/>
  <c r="AD5" i="10"/>
  <c r="AF6" i="10"/>
  <c r="AL5" i="10"/>
  <c r="AG5" i="10"/>
  <c r="AN5" i="10"/>
  <c r="AD6" i="10"/>
  <c r="AK5" i="10"/>
  <c r="AP5" i="10"/>
  <c r="AL6" i="10"/>
  <c r="AQ6" i="10"/>
  <c r="AI5" i="10"/>
  <c r="AK6" i="10"/>
  <c r="AN6" i="10"/>
  <c r="AO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<sst xmlns="http://schemas.openxmlformats.org/spreadsheetml/2006/main" count="1550" uniqueCount="696">
  <si>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</si>
  <si>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</si>
  <si>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</si>
  <si>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</si>
  <si>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</si>
  <si>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</si>
  <si>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</si>
  <si>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</si>
  <si>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</si>
  <si>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</si>
  <si>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</si>
  <si>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</si>
  <si>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</si>
  <si>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</si>
  <si>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</si>
  <si>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</si>
  <si>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</si>
  <si>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</si>
  <si>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</si>
  <si>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</si>
  <si>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</si>
  <si>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</si>
  <si>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</si>
  <si>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</si>
  <si>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</si>
  <si>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</si>
  <si>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</si>
  <si>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</si>
  <si>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</si>
  <si>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</si>
  <si>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</si>
  <si>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</si>
  <si>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</si>
  <si>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</si>
  <si>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</si>
  <si>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</si>
  <si>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</si>
  <si>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</si>
  <si>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</si>
  <si>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</si>
  <si>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</si>
  <si>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</si>
  <si>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</si>
  <si>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</si>
  <si>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</si>
  <si>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</si>
  <si>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</si>
  <si>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</si>
  <si>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</si>
  <si>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</si>
  <si>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</si>
  <si>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</si>
  <si>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</si>
  <si>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</si>
  <si>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</si>
  <si>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</si>
  <si>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</si>
  <si>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</si>
  <si>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</si>
  <si>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</si>
  <si>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</si>
  <si>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</si>
  <si>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</si>
  <si>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</si>
  <si>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</si>
  <si>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</si>
  <si>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</si>
  <si>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</si>
  <si>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</si>
  <si>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</si>
  <si>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</si>
  <si>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</si>
  <si>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</si>
  <si>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</si>
  <si>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</si>
  <si>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</si>
  <si>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</si>
  <si>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</si>
  <si>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</si>
  <si>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</si>
  <si>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</si>
  <si>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</si>
  <si>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</si>
  <si>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</si>
  <si>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</si>
  <si>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</si>
  <si>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</si>
  <si>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</si>
  <si>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</si>
  <si>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</si>
  <si>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</si>
  <si>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</si>
  <si>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</si>
  <si>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</si>
  <si>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</si>
  <si>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</si>
  <si>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</si>
  <si>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</si>
  <si>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</si>
  <si>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</si>
  <si>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</si>
  <si>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</si>
  <si>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</si>
  <si>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</si>
  <si>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</si>
  <si>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</si>
  <si>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</si>
  <si>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</si>
  <si>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</si>
  <si>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</si>
  <si>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</si>
  <si>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</si>
  <si>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</si>
  <si>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</si>
  <si>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</si>
  <si>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</si>
  <si>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</si>
  <si>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</si>
  <si>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</si>
  <si>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</si>
  <si>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</si>
  <si>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</si>
  <si>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</si>
  <si>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</si>
  <si>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</si>
  <si>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</si>
  <si>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</si>
  <si>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</si>
  <si>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</si>
  <si>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</si>
  <si>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</si>
  <si>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</si>
  <si>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</si>
  <si>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</si>
  <si>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</si>
  <si>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</si>
  <si>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</si>
  <si>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</si>
  <si>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</si>
  <si>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</si>
  <si>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</si>
  <si>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</si>
  <si>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</si>
  <si>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</si>
  <si>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</si>
  <si>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</si>
  <si>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</si>
  <si>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</si>
  <si>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</si>
  <si>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</si>
  <si>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</si>
  <si>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</si>
  <si>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</si>
  <si>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</si>
  <si>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</si>
  <si>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</si>
  <si>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</si>
  <si>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</si>
  <si>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</si>
  <si>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</si>
  <si>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</si>
  <si>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</si>
  <si>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</si>
  <si>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</si>
  <si>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</si>
  <si>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</si>
  <si>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</si>
  <si>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</si>
  <si>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</si>
  <si>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</si>
  <si>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</si>
  <si>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</si>
  <si>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</si>
  <si>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</si>
  <si>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</si>
  <si>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</si>
  <si>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</si>
  <si>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</si>
  <si>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</si>
  <si>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</si>
  <si>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</si>
  <si>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</si>
  <si>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</si>
  <si>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</si>
  <si>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</si>
  <si>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</si>
  <si>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</si>
  <si>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</si>
  <si>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</si>
  <si>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</si>
  <si>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</si>
  <si>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</si>
  <si>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</si>
  <si>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</si>
  <si>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</si>
  <si>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</si>
  <si>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</si>
  <si>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</si>
  <si>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</si>
  <si>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</si>
  <si>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</si>
  <si>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</si>
  <si>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</si>
  <si>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</si>
  <si>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</si>
  <si>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</si>
  <si>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</si>
  <si>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</si>
  <si>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</si>
  <si>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</si>
  <si>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</si>
  <si>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</si>
  <si>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</si>
  <si>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</si>
  <si>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</si>
  <si>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</si>
  <si>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</si>
  <si>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</si>
  <si>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</si>
  <si>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</si>
  <si>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</si>
  <si>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</si>
  <si>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</si>
  <si>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</si>
  <si>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</si>
  <si>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</si>
  <si>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</si>
  <si>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</si>
  <si>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</si>
  <si>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</si>
  <si>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</si>
  <si>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</si>
  <si>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</si>
  <si>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</si>
  <si>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</si>
  <si>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</si>
  <si>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</si>
  <si>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</si>
  <si>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</si>
  <si>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</si>
  <si>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</si>
  <si>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</si>
  <si>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</si>
  <si>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</si>
  <si>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</si>
  <si>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</si>
  <si>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</si>
  <si>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</si>
  <si>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</si>
  <si>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</si>
  <si>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</si>
  <si>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</si>
  <si>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</si>
  <si>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</si>
  <si>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</si>
  <si>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</si>
  <si>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</si>
  <si>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</si>
  <si>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</si>
  <si>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</si>
  <si>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</si>
  <si>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</si>
  <si>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</si>
  <si>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</si>
  <si>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</si>
  <si>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</si>
  <si>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</si>
  <si>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</si>
  <si>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</si>
  <si>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</si>
  <si>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</si>
  <si>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</si>
  <si>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</si>
  <si>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</si>
  <si>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</si>
  <si>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</si>
  <si>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</si>
  <si>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</si>
  <si>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</si>
  <si>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</si>
  <si>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</si>
  <si>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</si>
  <si>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</si>
  <si>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</si>
  <si>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</si>
  <si>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</si>
  <si>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</si>
  <si>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</si>
  <si>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</si>
  <si>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</si>
  <si>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</si>
  <si>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</si>
  <si>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</si>
  <si>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</si>
  <si>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</si>
  <si>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</si>
  <si>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</si>
  <si>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</si>
  <si>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</si>
  <si>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</si>
  <si>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</si>
  <si>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</si>
  <si>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</si>
  <si>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</si>
  <si>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</si>
  <si>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</si>
  <si>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</si>
  <si>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</si>
  <si>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</si>
  <si>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</si>
  <si>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</si>
  <si>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</si>
  <si>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</si>
  <si>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</si>
  <si>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</si>
  <si>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</si>
  <si>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</si>
  <si>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</si>
  <si>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</si>
  <si>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</si>
  <si>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</si>
  <si>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</si>
  <si>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</si>
  <si>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</si>
  <si>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</si>
  <si>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</si>
  <si>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</si>
  <si>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</si>
  <si>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</si>
  <si>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</si>
  <si>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</si>
  <si>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</si>
  <si>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</si>
  <si>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</si>
  <si>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</si>
  <si>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</si>
  <si>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</si>
  <si>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</si>
  <si>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</si>
  <si>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</si>
  <si>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</si>
  <si>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</si>
  <si>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</si>
  <si>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</si>
  <si>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</si>
  <si>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</si>
  <si>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</si>
  <si>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</si>
  <si>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</si>
  <si>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</si>
  <si>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</si>
  <si>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</si>
  <si>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</si>
  <si>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</si>
  <si>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</si>
  <si>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</si>
  <si>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</si>
  <si>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</si>
  <si>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</si>
  <si>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</si>
  <si>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</si>
  <si>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</si>
  <si>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</si>
  <si>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</si>
  <si>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</si>
  <si>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</si>
  <si>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</si>
  <si>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</si>
  <si>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</si>
  <si>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</si>
  <si>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</si>
  <si>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</si>
  <si>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</si>
  <si>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</si>
  <si>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</si>
  <si>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</si>
  <si>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</si>
  <si>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</si>
  <si>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</si>
  <si>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</si>
  <si>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</si>
  <si>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</si>
  <si>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</si>
  <si>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</si>
  <si>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</si>
  <si>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</si>
  <si>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</si>
  <si>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</si>
  <si>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</si>
  <si>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</si>
  <si>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</si>
  <si>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</si>
  <si>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</si>
  <si>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</si>
  <si>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</si>
  <si>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</si>
  <si>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</si>
  <si>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</si>
  <si>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</si>
  <si>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</si>
  <si>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</si>
  <si>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</si>
  <si>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</si>
  <si>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</si>
  <si>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</si>
  <si>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</si>
  <si>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</si>
  <si>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</si>
  <si>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</si>
  <si>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</si>
  <si>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</si>
  <si>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</si>
  <si>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</si>
  <si>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</si>
  <si>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</si>
  <si>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</si>
  <si>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</si>
  <si>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</si>
  <si>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</si>
  <si>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</si>
  <si>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</si>
  <si>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</si>
  <si>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</si>
  <si>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</si>
  <si>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</si>
  <si>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</si>
  <si>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</si>
  <si>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</si>
  <si>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</si>
  <si>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</si>
  <si>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</si>
  <si>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</si>
  <si>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</si>
  <si>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</si>
  <si>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</si>
  <si>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</si>
  <si>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</si>
  <si>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</si>
  <si>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</si>
  <si>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</si>
  <si>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</si>
  <si>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</si>
  <si>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</si>
  <si>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</si>
  <si>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</si>
  <si>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</si>
  <si>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</si>
  <si>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</si>
  <si>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</si>
  <si>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</si>
  <si>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</si>
  <si>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</si>
  <si>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</si>
  <si>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</si>
  <si>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</si>
  <si>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</si>
  <si>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</si>
  <si>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</si>
  <si>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</si>
  <si>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</si>
  <si>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</si>
  <si>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</si>
  <si>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</si>
  <si>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</si>
  <si>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</si>
  <si>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</si>
  <si>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</si>
  <si>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</si>
  <si>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</si>
  <si>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</si>
  <si>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</si>
  <si>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</si>
  <si>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</si>
  <si>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</si>
  <si>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</si>
  <si>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</si>
  <si>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</si>
  <si>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</si>
  <si>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</si>
  <si>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</si>
  <si>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</si>
  <si>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</si>
  <si>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</si>
  <si>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</si>
  <si>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</si>
  <si>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</si>
  <si>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RA_all_log/dec_log_ParkRunning3_RA_27_rap2.txt</t>
  </si>
  <si>
    <t>RA_all_log/enc_log_ParkRunning3_RA_32_rap2.txt</t>
  </si>
  <si>
    <t>RA_all_log/dec_log_ParkRunning3_RA_32_rap2.txt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</si>
  <si>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</si>
  <si>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</si>
  <si>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</si>
  <si>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</si>
  <si>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RA_all_log/enc_log_DaylightRoad2_RA_27_rap1.txt</t>
  </si>
  <si>
    <t>RA_all_log/dec_log_DaylightRoad2_RA_27_rap1.txt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</si>
  <si>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</si>
  <si>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</si>
  <si>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</si>
  <si>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</si>
  <si>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</si>
  <si>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</si>
  <si>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</si>
  <si>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</si>
  <si>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</si>
  <si>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</si>
  <si>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</si>
  <si>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</si>
  <si>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</si>
  <si>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</si>
  <si>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</si>
  <si>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</si>
  <si>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</si>
  <si>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</si>
  <si>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</si>
  <si>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</si>
  <si>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</si>
  <si>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</si>
  <si>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</si>
  <si>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</si>
  <si>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</si>
  <si>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</si>
  <si>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</si>
  <si>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</si>
  <si>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</si>
  <si>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</si>
  <si>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</si>
  <si>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</si>
  <si>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</si>
  <si>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</si>
  <si>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</si>
  <si>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</si>
  <si>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</si>
  <si>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</si>
  <si>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</si>
  <si>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</si>
  <si>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</si>
  <si>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</si>
  <si>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</si>
  <si>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</si>
  <si>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</si>
  <si>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</si>
  <si>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</si>
  <si>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</si>
  <si>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</si>
  <si>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</si>
  <si>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</si>
  <si>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</si>
  <si>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</si>
  <si>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</si>
  <si>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</si>
  <si>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</si>
  <si>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</si>
  <si>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</si>
  <si>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</si>
  <si>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</si>
  <si>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</si>
  <si>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</si>
  <si>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</si>
  <si>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</si>
  <si>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</si>
  <si>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</si>
  <si>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</si>
  <si>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</si>
  <si>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</si>
  <si>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</si>
  <si>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</si>
  <si>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</si>
  <si>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</si>
  <si>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</si>
  <si>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</si>
  <si>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</si>
  <si>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</si>
  <si>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</si>
  <si>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</si>
  <si>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</si>
  <si>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</si>
  <si>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</si>
  <si>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</si>
  <si>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</si>
  <si>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</si>
  <si>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</si>
  <si>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</si>
  <si>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</si>
  <si>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</si>
  <si>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</si>
  <si>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</si>
  <si>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</si>
  <si>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</si>
  <si>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</si>
  <si>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</si>
  <si>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</si>
  <si>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</si>
  <si>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</si>
  <si>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</si>
  <si>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</si>
  <si>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</si>
  <si>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</si>
  <si>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</si>
  <si>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</si>
  <si>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</si>
  <si>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</si>
  <si>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</si>
  <si>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</si>
  <si>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</si>
  <si>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</si>
  <si>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</si>
  <si>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</si>
  <si>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</si>
  <si>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</si>
  <si>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</si>
  <si>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</si>
  <si>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</si>
  <si>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</si>
  <si>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</si>
  <si>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</si>
  <si>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</si>
  <si>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</si>
  <si>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</si>
  <si>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</si>
  <si>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</si>
  <si>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</si>
  <si>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</si>
  <si>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</si>
  <si>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</si>
  <si>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</si>
  <si>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</si>
  <si>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</si>
  <si>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</si>
  <si>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</si>
  <si>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</si>
  <si>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</si>
  <si>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</si>
  <si>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</si>
  <si>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</si>
  <si>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</si>
  <si>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</si>
  <si>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</si>
  <si>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</si>
  <si>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</si>
  <si>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</si>
  <si>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</si>
  <si>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</si>
  <si>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</si>
  <si>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</si>
  <si>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</si>
  <si>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</si>
  <si>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</si>
  <si>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</si>
  <si>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</si>
  <si>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</si>
  <si>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</si>
  <si>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</si>
  <si>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</si>
  <si>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</si>
  <si>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</si>
  <si>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</si>
  <si>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</si>
  <si>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</si>
  <si>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</si>
  <si>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</si>
  <si>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</si>
  <si>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</si>
  <si>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</si>
  <si>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</si>
  <si>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</si>
  <si>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</si>
  <si>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</si>
  <si>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</si>
  <si>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</si>
  <si>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</si>
  <si>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</si>
  <si>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</si>
  <si>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</si>
  <si>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</si>
  <si>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</si>
  <si>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</si>
  <si>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</si>
  <si>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</si>
  <si>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</si>
  <si>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</si>
  <si>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</si>
  <si>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</si>
  <si>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</si>
  <si>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</si>
  <si>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</si>
  <si>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</si>
  <si>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</si>
  <si>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</si>
  <si>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</si>
  <si>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</si>
  <si>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</si>
  <si>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</si>
  <si>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</si>
  <si>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</si>
  <si>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HPM13.0</t>
    <phoneticPr fontId="1" type="noConversion"/>
  </si>
  <si>
    <t>HPM13.1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</si>
</sst>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topLeftCell="A22"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5">
      <c r="C3" s="150" t="str">
        <f>CONCATENATE("Over ", Summary!$J$3)</f>
        <v>Over HPM13.0</v>
      </c>
      <c r="D3" s="151"/>
      <c r="E3" s="151"/>
      <c r="F3" s="151"/>
      <c r="G3" s="152"/>
      <c r="I3" s="102"/>
      <c r="J3" s="150" t="str">
        <f>CONCATENATE("Over ", Summary!$J$3)</f>
        <v>Over HPM13.0</v>
      </c>
      <c r="K3" s="151"/>
      <c r="L3" s="151"/>
      <c r="M3" s="151"/>
      <c r="N3" s="152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-3.2059633721759351E-4</v>
      </c>
      <c r="D5" s="112">
        <f>'AI-10'!$W$3</f>
        <v>-4.8409502099352464E-3</v>
      </c>
      <c r="E5" s="113">
        <f>'AI-10'!$X$3</f>
        <v>-1.7813460818260074E-3</v>
      </c>
      <c r="F5" s="114">
        <f>GEOMEAN('AI-10'!$S$3:'AI-10'!$S$6)</f>
        <v>1.0173701911757507</v>
      </c>
      <c r="G5" s="115">
        <f>GEOMEAN('AI-10'!$T$3:'AI-10'!$T$6)</f>
        <v>1.0054341626222265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-2.3353068655418419E-5</v>
      </c>
      <c r="D6" s="118">
        <f>'AI-10'!$W$7</f>
        <v>6.2278611603683309E-4</v>
      </c>
      <c r="E6" s="119">
        <f>'AI-10'!$X$7</f>
        <v>1.0331308429512021E-4</v>
      </c>
      <c r="F6" s="120">
        <f>GEOMEAN('AI-10'!$S$7:'AI-10'!$S$10)</f>
        <v>0.99743131439601418</v>
      </c>
      <c r="G6" s="121">
        <f>GEOMEAN('AI-10'!$T$7:'AI-10'!$T$10)</f>
        <v>0.99582873864843668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1.011393392236215E-4</v>
      </c>
      <c r="D7" s="118">
        <f>'AI-10'!$W$11</f>
        <v>-5.8277765845671237E-4</v>
      </c>
      <c r="E7" s="119">
        <f>'AI-10'!$X$11</f>
        <v>-2.5548989514756482E-4</v>
      </c>
      <c r="F7" s="130">
        <f>GEOMEAN('AI-10'!$S$11:'AI-10'!$S$14)</f>
        <v>1.0146351523035981</v>
      </c>
      <c r="G7" s="121">
        <f>GEOMEAN('AI-10'!$T$11:'AI-10'!$T$14)</f>
        <v>0.99323817527307501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4.0490339440202305E-5</v>
      </c>
      <c r="D8" s="124">
        <f>'AI-10'!$W$15</f>
        <v>-6.834743598063131E-4</v>
      </c>
      <c r="E8" s="125">
        <f>'AI-10'!$X$15</f>
        <v>-1.9950309843943526E-3</v>
      </c>
      <c r="F8" s="126">
        <f>GEOMEAN('AI-10'!$S$15:'AI-10'!$S$18)</f>
        <v>1.0178680797290127</v>
      </c>
      <c r="G8" s="127">
        <f>GEOMEAN('AI-10'!$T$15:'AI-10'!$T$18)</f>
        <v>1.0143877608618432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9.5443081882473635E-5</v>
      </c>
      <c r="D9" s="112">
        <f>'AI-10'!$W$19</f>
        <v>2.8332651708073975E-4</v>
      </c>
      <c r="E9" s="113">
        <f>'AI-10'!$X$19</f>
        <v>-1.2181714216974449E-3</v>
      </c>
      <c r="F9" s="114">
        <f>GEOMEAN('AI-10'!$S$19:'AI-10'!$S$22)</f>
        <v>0.9960718741140826</v>
      </c>
      <c r="G9" s="115">
        <f>GEOMEAN('AI-10'!$T$19:'AI-10'!$T$22)</f>
        <v>1.0005654295183912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-7.0980902406203583E-5</v>
      </c>
      <c r="D10" s="118">
        <f>'AI-10'!$W$23</f>
        <v>-1.8967884499112575E-3</v>
      </c>
      <c r="E10" s="119">
        <f>'AI-10'!$X$23</f>
        <v>5.9113548956934991E-4</v>
      </c>
      <c r="F10" s="120">
        <f>GEOMEAN('AI-10'!$S$23:'AI-10'!$S$26)</f>
        <v>1.0186102087850006</v>
      </c>
      <c r="G10" s="121">
        <f>GEOMEAN('AI-10'!$T$23:'AI-10'!$T$26)</f>
        <v>1.021004252832884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7.9219995905432938E-6</v>
      </c>
      <c r="D11" s="118">
        <f>'AI-10'!$W$27</f>
        <v>-2.6481316832593915E-4</v>
      </c>
      <c r="E11" s="119">
        <f>'AI-10'!$X$27</f>
        <v>-8.1109871308482351E-4</v>
      </c>
      <c r="F11" s="120">
        <f>GEOMEAN('AI-10'!$S$27:'AI-10'!$S$30)</f>
        <v>1.0145333123470208</v>
      </c>
      <c r="G11" s="121">
        <f>GEOMEAN('AI-10'!$T$27:'AI-10'!$T$30)</f>
        <v>1.0102777369551705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1.4888806873392113E-5</v>
      </c>
      <c r="D12" s="124">
        <f>'AI-10'!$W$31</f>
        <v>-2.135461941292105E-3</v>
      </c>
      <c r="E12" s="125">
        <f>'AI-10'!$X$31</f>
        <v>-5.1448381769603202E-4</v>
      </c>
      <c r="F12" s="126">
        <f>GEOMEAN('AI-10'!$S$31:'AI-10'!$S$34)</f>
        <v>1.0010118407567672</v>
      </c>
      <c r="G12" s="127">
        <f>GEOMEAN('AI-10'!$T$31:'AI-10'!$T$34)</f>
        <v>1.0153140827890326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-4.4396014337033662E-6</v>
      </c>
      <c r="D13" s="112">
        <f>'AI-10'!$W$35</f>
        <v>-5.0552474683629445E-4</v>
      </c>
      <c r="E13" s="113">
        <f>'AI-10'!$X$35</f>
        <v>-2.0381900951582654E-4</v>
      </c>
      <c r="F13" s="114">
        <f>GEOMEAN('AI-10'!$S$35:'AI-10'!$S$38)</f>
        <v>0.99974048892694156</v>
      </c>
      <c r="G13" s="115">
        <f>GEOMEAN('AI-10'!$T$35:'AI-10'!$T$38)</f>
        <v>1.022164650769448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-1.184332549608591E-5</v>
      </c>
      <c r="D14" s="118">
        <f>'AI-10'!$W$39</f>
        <v>4.8707095453481841E-4</v>
      </c>
      <c r="E14" s="119">
        <f>'AI-10'!$X$39</f>
        <v>-3.2478450260881031E-3</v>
      </c>
      <c r="F14" s="120">
        <f>GEOMEAN('AI-10'!$S$39:'AI-10'!$S$42)</f>
        <v>1.0271335895389029</v>
      </c>
      <c r="G14" s="121">
        <f>GEOMEAN('AI-10'!$T$39:'AI-10'!$T$42)</f>
        <v>1.0175405305243383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1.0849699412629477E-4</v>
      </c>
      <c r="D15" s="118">
        <f>'AI-10'!$W$43</f>
        <v>-2.5288911472409747E-3</v>
      </c>
      <c r="E15" s="119">
        <f>'AI-10'!$X$43</f>
        <v>-7.6357260716186648E-4</v>
      </c>
      <c r="F15" s="120">
        <f>GEOMEAN('AI-10'!$S$43:'AI-10'!$S$46)</f>
        <v>1.011361811836214</v>
      </c>
      <c r="G15" s="121">
        <f>GEOMEAN('AI-10'!$T$43:'AI-10'!$T$46)</f>
        <v>1.0324375825010992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1.8538677954027527E-4</v>
      </c>
      <c r="D16" s="124">
        <f>'AI-10'!$W$47</f>
        <v>1.7191207878204384E-3</v>
      </c>
      <c r="E16" s="125">
        <f>'AI-10'!$X$47</f>
        <v>-3.5584200651672671E-3</v>
      </c>
      <c r="F16" s="126">
        <f>GEOMEAN('AI-10'!$S$47:'AI-10'!$S$50)</f>
        <v>1.0139445913426617</v>
      </c>
      <c r="G16" s="127">
        <f>GEOMEAN('AI-10'!$T$47:'AI-10'!$T$50)</f>
        <v>1.0133146126205306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-5.0579931802297029E-5</v>
      </c>
      <c r="D23" s="112">
        <f>'AI-10'!$W75</f>
        <v>-1.3711040280403597E-3</v>
      </c>
      <c r="E23" s="113">
        <f>'AI-10'!$X75</f>
        <v>-9.8213846926820114E-4</v>
      </c>
      <c r="F23" s="128">
        <f>'AI-10'!$S75</f>
        <v>1.0117910927009173</v>
      </c>
      <c r="G23" s="115">
        <f>'AI-10'!$T75</f>
        <v>1.0021873676283284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1.1818246485051365E-5</v>
      </c>
      <c r="D24" s="118">
        <f>'AI-10'!$W76</f>
        <v>-1.0034342606121405E-3</v>
      </c>
      <c r="E24" s="119">
        <f>'AI-10'!$X76</f>
        <v>-4.8815461572723762E-4</v>
      </c>
      <c r="F24" s="130">
        <f>'AI-10'!$S76</f>
        <v>1.0075139243390534</v>
      </c>
      <c r="G24" s="121">
        <f>'AI-10'!$T76</f>
        <v>1.0117624549963351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6.940021168419519E-5</v>
      </c>
      <c r="D25" s="118">
        <f>'AI-10'!$W77</f>
        <v>-2.0705603793050309E-4</v>
      </c>
      <c r="E25" s="119">
        <f>'AI-10'!$X77</f>
        <v>-1.9434141769832658E-3</v>
      </c>
      <c r="F25" s="130">
        <f>'AI-10'!$S77</f>
        <v>1.0129983704316941</v>
      </c>
      <c r="G25" s="121">
        <f>'AI-10'!$T77</f>
        <v>1.0213396009705658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1.0212842122316509E-5</v>
      </c>
      <c r="D26" s="137">
        <f>'AI-10'!$W80</f>
        <v>-8.6053144219433442E-4</v>
      </c>
      <c r="E26" s="136">
        <f>'AI-10'!$X80</f>
        <v>-1.1379024206595683E-3</v>
      </c>
      <c r="F26" s="135">
        <f>'AI-10'!$S80</f>
        <v>1.0107650545051405</v>
      </c>
      <c r="G26" s="134">
        <f>'AI-10'!$T80</f>
        <v>1.0117329283671841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HPM13.0</v>
      </c>
      <c r="D31" s="151"/>
      <c r="E31" s="151"/>
      <c r="F31" s="151"/>
      <c r="G31" s="152"/>
      <c r="I31" s="102"/>
      <c r="J31" s="150" t="str">
        <f>CONCATENATE("Over ", Summary!$J$3)</f>
        <v>Over HPM13.0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1.099279299941136E-3</v>
      </c>
      <c r="D33" s="112">
        <f>'RA-10'!$W$3</f>
        <v>2.4479829226577987E-3</v>
      </c>
      <c r="E33" s="113">
        <f>'RA-10'!$X$3</f>
        <v>-3.3617457757145752E-3</v>
      </c>
      <c r="F33" s="114">
        <f>GEOMEAN('RA-10'!$S$3:'RA-10'!$S$6)</f>
        <v>1.0092356282198962</v>
      </c>
      <c r="G33" s="115">
        <f>GEOMEAN('RA-10'!$T$3:'RA-10'!$T$6)</f>
        <v>0.9900506906125226</v>
      </c>
      <c r="I33" s="110" t="str">
        <f>'AI-10'!$B$3</f>
        <v>Tango2</v>
      </c>
      <c r="J33" s="111">
        <f>'LDB-10'!$V$3</f>
        <v>-9.4950539799654177E-4</v>
      </c>
      <c r="K33" s="112">
        <f>'LDB-10'!$W$3</f>
        <v>-2.6624225004386881E-3</v>
      </c>
      <c r="L33" s="113">
        <f>'LDB-10'!$X$3</f>
        <v>-1.6031683840003197E-3</v>
      </c>
      <c r="M33" s="114">
        <f>GEOMEAN('LDB-10'!$S$3:'LDB-10'!$S$6)</f>
        <v>1.0052089745191946</v>
      </c>
      <c r="N33" s="115">
        <f>GEOMEAN('LDB-10'!$T$3:'LDB-10'!$T$6)</f>
        <v>1.0008412630268007</v>
      </c>
    </row>
    <row r="34" spans="2:14" ht="12.75" customHeight="1" x14ac:dyDescent="0.2">
      <c r="B34" s="116" t="str">
        <f>'AI-10'!$B$7</f>
        <v>ParkRunning3</v>
      </c>
      <c r="C34" s="117">
        <f>'RA-10'!$V$7</f>
        <v>-8.5540074531764709E-5</v>
      </c>
      <c r="D34" s="118">
        <f>'RA-10'!$W$7</f>
        <v>-5.9830000030614006E-4</v>
      </c>
      <c r="E34" s="119">
        <f>'RA-10'!$X$7</f>
        <v>7.837746807008994E-4</v>
      </c>
      <c r="F34" s="120">
        <f>GEOMEAN('RA-10'!$S$7:'RA-10'!$S$10)</f>
        <v>0.99488828451023958</v>
      </c>
      <c r="G34" s="121">
        <f>GEOMEAN('RA-10'!$T$7:'RA-10'!$T$10)</f>
        <v>0.99225579308552037</v>
      </c>
      <c r="I34" s="116" t="str">
        <f>'AI-10'!$B$7</f>
        <v>ParkRunning3</v>
      </c>
      <c r="J34" s="117">
        <f>'LDB-10'!$V$7</f>
        <v>2.9129175396236384E-4</v>
      </c>
      <c r="K34" s="118">
        <f>'LDB-10'!$W$7</f>
        <v>8.8676520115571478E-5</v>
      </c>
      <c r="L34" s="119">
        <f>'LDB-10'!$X$7</f>
        <v>1.3128731672462646E-3</v>
      </c>
      <c r="M34" s="120">
        <f>GEOMEAN('LDB-10'!$S$7:'LDB-10'!$S$10)</f>
        <v>1.0030200333725634</v>
      </c>
      <c r="N34" s="121">
        <f>GEOMEAN('LDB-10'!$T$7:'LDB-10'!$T$10)</f>
        <v>0.98963866449197868</v>
      </c>
    </row>
    <row r="35" spans="2:14" ht="12.75" customHeight="1" x14ac:dyDescent="0.2">
      <c r="B35" s="116" t="str">
        <f>'AI-10'!$B$11</f>
        <v>Campfire</v>
      </c>
      <c r="C35" s="117">
        <f>'RA-10'!$V$11</f>
        <v>7.932140955928535E-4</v>
      </c>
      <c r="D35" s="118">
        <f>'RA-10'!$W$11</f>
        <v>-8.2237672130003325E-5</v>
      </c>
      <c r="E35" s="119">
        <f>'RA-10'!$X$11</f>
        <v>6.1193408146009709E-4</v>
      </c>
      <c r="F35" s="130">
        <f>GEOMEAN('RA-10'!$S$11:'RA-10'!$S$14)</f>
        <v>1.0061552234764299</v>
      </c>
      <c r="G35" s="121">
        <f>GEOMEAN('RA-10'!$T$11:'RA-10'!$T$14)</f>
        <v>1.0011529340548091</v>
      </c>
      <c r="I35" s="116" t="str">
        <f>'AI-10'!$B$11</f>
        <v>Campfire</v>
      </c>
      <c r="J35" s="117">
        <f>'LDB-10'!$V$11</f>
        <v>-8.3417779996308727E-4</v>
      </c>
      <c r="K35" s="118">
        <f>'LDB-10'!$W$11</f>
        <v>-9.0505832301357447E-4</v>
      </c>
      <c r="L35" s="119">
        <f>'LDB-10'!$X$11</f>
        <v>1.4175388778858711E-4</v>
      </c>
      <c r="M35" s="130">
        <f>GEOMEAN('LDB-10'!$S$11:'LDB-10'!$S$14)</f>
        <v>0.99355262438373904</v>
      </c>
      <c r="N35" s="121">
        <f>GEOMEAN('LDB-10'!$T$11:'LDB-10'!$T$14)</f>
        <v>0.98843328091626992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8.034911456107352E-4</v>
      </c>
      <c r="D36" s="124">
        <f>'RA-10'!$W$15</f>
        <v>2.8950709275377129E-4</v>
      </c>
      <c r="E36" s="125">
        <f>'RA-10'!$X$15</f>
        <v>6.790022612135127E-3</v>
      </c>
      <c r="F36" s="126">
        <f>GEOMEAN('RA-10'!$S$15:'RA-10'!$S$18)</f>
        <v>1.0087377842008638</v>
      </c>
      <c r="G36" s="127">
        <f>GEOMEAN('RA-10'!$T$15:'RA-10'!$T$18)</f>
        <v>0.98632039667677718</v>
      </c>
      <c r="I36" s="122" t="str">
        <f>'AI-10'!$B$15</f>
        <v>DaylightRoad2</v>
      </c>
      <c r="J36" s="123">
        <f>'LDB-10'!$V$15</f>
        <v>-4.3391912499735064E-4</v>
      </c>
      <c r="K36" s="124">
        <f>'LDB-10'!$W$15</f>
        <v>1.2893627648247197E-3</v>
      </c>
      <c r="L36" s="125">
        <f>'LDB-10'!$X$15</f>
        <v>4.4041961848935163E-3</v>
      </c>
      <c r="M36" s="126">
        <f>GEOMEAN('LDB-10'!$S$15:'LDB-10'!$S$18)</f>
        <v>1.0068919152763744</v>
      </c>
      <c r="N36" s="127">
        <f>GEOMEAN('LDB-10'!$T$15:'LDB-10'!$T$18)</f>
        <v>0.9928333621012464</v>
      </c>
    </row>
    <row r="37" spans="2:14" ht="12.75" customHeight="1" x14ac:dyDescent="0.2">
      <c r="B37" s="110" t="str">
        <f>'AI-10'!$B$19</f>
        <v>Cactus</v>
      </c>
      <c r="C37" s="111">
        <f>'RA-10'!$V$19</f>
        <v>1.0531876703325782E-3</v>
      </c>
      <c r="D37" s="112">
        <f>'RA-10'!$W$19</f>
        <v>-4.3417901241404877E-3</v>
      </c>
      <c r="E37" s="113">
        <f>'RA-10'!$X$19</f>
        <v>5.7037225141076675E-4</v>
      </c>
      <c r="F37" s="114">
        <f>GEOMEAN('RA-10'!$S$19:'RA-10'!$S$22)</f>
        <v>1.0107583094010955</v>
      </c>
      <c r="G37" s="115">
        <f>GEOMEAN('RA-10'!$T$19:'RA-10'!$T$22)</f>
        <v>1.0404688859461695</v>
      </c>
      <c r="I37" s="110" t="str">
        <f>'AI-10'!$B$19</f>
        <v>Cactus</v>
      </c>
      <c r="J37" s="111">
        <f>'LDB-10'!$V$19</f>
        <v>-7.5523356566942201E-4</v>
      </c>
      <c r="K37" s="112">
        <f>'LDB-10'!$W$19</f>
        <v>-6.4727054858548794E-4</v>
      </c>
      <c r="L37" s="113">
        <f>'LDB-10'!$X$19</f>
        <v>1.6974024894935713E-3</v>
      </c>
      <c r="M37" s="114">
        <f>GEOMEAN('LDB-10'!$S$19:'LDB-10'!$S$22)</f>
        <v>1.0041848151487136</v>
      </c>
      <c r="N37" s="115">
        <f>GEOMEAN('LDB-10'!$T$19:'LDB-10'!$T$22)</f>
        <v>0.97400583959332987</v>
      </c>
    </row>
    <row r="38" spans="2:14" ht="12.75" customHeight="1" x14ac:dyDescent="0.2">
      <c r="B38" s="116" t="str">
        <f>'AI-10'!$B$23</f>
        <v>BasketballDrive</v>
      </c>
      <c r="C38" s="117">
        <f>'RA-10'!$V$23</f>
        <v>6.0974566269411667E-4</v>
      </c>
      <c r="D38" s="118">
        <f>'RA-10'!$W$23</f>
        <v>-1.7221151321108463E-3</v>
      </c>
      <c r="E38" s="119">
        <f>'RA-10'!$X$23</f>
        <v>-3.2430081727325977E-3</v>
      </c>
      <c r="F38" s="120">
        <f>GEOMEAN('RA-10'!$S$23:'RA-10'!$S$26)</f>
        <v>1.0258872429018244</v>
      </c>
      <c r="G38" s="121">
        <f>GEOMEAN('RA-10'!$T$23:'RA-10'!$T$26)</f>
        <v>1.0317462382935052</v>
      </c>
      <c r="I38" s="116" t="str">
        <f>'AI-10'!$B$23</f>
        <v>BasketballDrive</v>
      </c>
      <c r="J38" s="117">
        <f>'LDB-10'!$V$23</f>
        <v>1.4363229618918893E-4</v>
      </c>
      <c r="K38" s="118">
        <f>'LDB-10'!$W$23</f>
        <v>3.2037112422527159E-3</v>
      </c>
      <c r="L38" s="119">
        <f>'LDB-10'!$X$23</f>
        <v>2.0580399078284906E-4</v>
      </c>
      <c r="M38" s="120">
        <f>GEOMEAN('LDB-10'!$S$23:'LDB-10'!$S$26)</f>
        <v>1.0055136552888635</v>
      </c>
      <c r="N38" s="121">
        <f>GEOMEAN('LDB-10'!$T$23:'LDB-10'!$T$26)</f>
        <v>0.99622565692141296</v>
      </c>
    </row>
    <row r="39" spans="2:14" ht="12.75" customHeight="1" x14ac:dyDescent="0.2">
      <c r="B39" s="116" t="str">
        <f>'AI-10'!$B$27</f>
        <v>MarketPlace</v>
      </c>
      <c r="C39" s="117">
        <f>'RA-10'!$V$27</f>
        <v>1.2871486879180161E-3</v>
      </c>
      <c r="D39" s="118">
        <f>'RA-10'!$W$27</f>
        <v>-7.1905830774012802E-3</v>
      </c>
      <c r="E39" s="119">
        <f>'RA-10'!$X$27</f>
        <v>-1.4093135919324151E-4</v>
      </c>
      <c r="F39" s="120">
        <f>GEOMEAN('RA-10'!$S$27:'RA-10'!$S$30)</f>
        <v>1.0198123827500949</v>
      </c>
      <c r="G39" s="121">
        <f>GEOMEAN('RA-10'!$T$27:'RA-10'!$T$30)</f>
        <v>1.0123225912754794</v>
      </c>
      <c r="I39" s="116" t="str">
        <f>'AI-10'!$B$27</f>
        <v>MarketPlace</v>
      </c>
      <c r="J39" s="117">
        <f>'LDB-10'!$V$27</f>
        <v>-8.7884754670619625E-4</v>
      </c>
      <c r="K39" s="118">
        <f>'LDB-10'!$W$27</f>
        <v>-2.2096729345733035E-3</v>
      </c>
      <c r="L39" s="119">
        <f>'LDB-10'!$X$27</f>
        <v>-7.0043049755983411E-3</v>
      </c>
      <c r="M39" s="120">
        <f>GEOMEAN('LDB-10'!$S$27:'LDB-10'!$S$30)</f>
        <v>0.99215555026218261</v>
      </c>
      <c r="N39" s="121">
        <f>GEOMEAN('LDB-10'!$T$27:'LDB-10'!$T$30)</f>
        <v>0.98663762330919969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7.8722850834789249E-4</v>
      </c>
      <c r="D40" s="124">
        <f>'RA-10'!$W$31</f>
        <v>-6.1137756400642118E-4</v>
      </c>
      <c r="E40" s="125">
        <f>'RA-10'!$X$31</f>
        <v>-3.3310924478074933E-3</v>
      </c>
      <c r="F40" s="126">
        <f>GEOMEAN('RA-10'!$S$31:'RA-10'!$S$34)</f>
        <v>1.0160200654213598</v>
      </c>
      <c r="G40" s="127">
        <f>GEOMEAN('RA-10'!$T$31:'RA-10'!$T$34)</f>
        <v>1.0496648023319923</v>
      </c>
      <c r="I40" s="122" t="str">
        <f>'AI-10'!$B$31</f>
        <v>RitualDance</v>
      </c>
      <c r="J40" s="123">
        <f>'LDB-10'!$V$31</f>
        <v>-1.1198996189800692E-3</v>
      </c>
      <c r="K40" s="124">
        <f>'LDB-10'!$W$31</f>
        <v>-2.6733435390198235E-3</v>
      </c>
      <c r="L40" s="125">
        <f>'LDB-10'!$X$31</f>
        <v>-9.4453981815512122E-5</v>
      </c>
      <c r="M40" s="126">
        <f>GEOMEAN('LDB-10'!$S$31:'LDB-10'!$S$34)</f>
        <v>0.99903297293613358</v>
      </c>
      <c r="N40" s="127">
        <f>GEOMEAN('LDB-10'!$T$31:'LDB-10'!$T$34)</f>
        <v>0.9754251359500381</v>
      </c>
    </row>
    <row r="41" spans="2:14" ht="12.75" customHeight="1" x14ac:dyDescent="0.2">
      <c r="B41" s="110" t="str">
        <f>'AI-10'!$B$35</f>
        <v>City</v>
      </c>
      <c r="C41" s="111">
        <f>'RA-10'!$V$35</f>
        <v>-2.2041728159560847E-5</v>
      </c>
      <c r="D41" s="112">
        <f>'RA-10'!$W$35</f>
        <v>-4.1683956810834033E-3</v>
      </c>
      <c r="E41" s="113">
        <f>'RA-10'!$X$35</f>
        <v>-2.0780644648028535E-3</v>
      </c>
      <c r="F41" s="114">
        <f>GEOMEAN('RA-10'!$S$35:'RA-10'!$S$38)</f>
        <v>1.023136655718399</v>
      </c>
      <c r="G41" s="115">
        <f>GEOMEAN('RA-10'!$T$35:'RA-10'!$T$38)</f>
        <v>1.0744863457095133</v>
      </c>
      <c r="I41" s="110" t="str">
        <f>'AI-10'!$B$35</f>
        <v>City</v>
      </c>
      <c r="J41" s="111">
        <f>'LDB-10'!$V$35</f>
        <v>2.0165798221636333E-3</v>
      </c>
      <c r="K41" s="112">
        <f>'LDB-10'!$W$35</f>
        <v>-8.9201894592760844E-4</v>
      </c>
      <c r="L41" s="113">
        <f>'LDB-10'!$X$35</f>
        <v>8.4109083203562918E-3</v>
      </c>
      <c r="M41" s="114">
        <f>GEOMEAN('LDB-10'!$S$35:'LDB-10'!$S$38)</f>
        <v>1.0101607832749686</v>
      </c>
      <c r="N41" s="115">
        <f>GEOMEAN('LDB-10'!$T$35:'LDB-10'!$T$38)</f>
        <v>1.0456945620698663</v>
      </c>
    </row>
    <row r="42" spans="2:14" ht="12.75" customHeight="1" x14ac:dyDescent="0.2">
      <c r="B42" s="116" t="str">
        <f>'AI-10'!$B$39</f>
        <v>Crew</v>
      </c>
      <c r="C42" s="117">
        <f>'RA-10'!$V$39</f>
        <v>-3.9803554070350078E-4</v>
      </c>
      <c r="D42" s="118">
        <f>'RA-10'!$W$39</f>
        <v>4.041520303088797E-3</v>
      </c>
      <c r="E42" s="119">
        <f>'RA-10'!$X$39</f>
        <v>4.8218689473211729E-3</v>
      </c>
      <c r="F42" s="120">
        <f>GEOMEAN('RA-10'!$S$39:'RA-10'!$S$42)</f>
        <v>1.013664093675624</v>
      </c>
      <c r="G42" s="121">
        <f>GEOMEAN('RA-10'!$T$39:'RA-10'!$T$42)</f>
        <v>1.0565074590502583</v>
      </c>
      <c r="I42" s="116" t="str">
        <f>'AI-10'!$B$39</f>
        <v>Crew</v>
      </c>
      <c r="J42" s="117">
        <f>'LDB-10'!$V$39</f>
        <v>1.9849482670446505E-3</v>
      </c>
      <c r="K42" s="118">
        <f>'LDB-10'!$W$39</f>
        <v>5.7200876190153238E-3</v>
      </c>
      <c r="L42" s="119">
        <f>'LDB-10'!$X$39</f>
        <v>4.5012958970152006E-3</v>
      </c>
      <c r="M42" s="120">
        <f>GEOMEAN('LDB-10'!$S$39:'LDB-10'!$S$42)</f>
        <v>1.0151803251039022</v>
      </c>
      <c r="N42" s="121">
        <f>GEOMEAN('LDB-10'!$T$39:'LDB-10'!$T$42)</f>
        <v>1.0227706557063001</v>
      </c>
    </row>
    <row r="43" spans="2:14" ht="12.75" customHeight="1" x14ac:dyDescent="0.2">
      <c r="B43" s="116" t="str">
        <f>'AI-10'!$B$43</f>
        <v>vidyo1</v>
      </c>
      <c r="C43" s="117">
        <f>'RA-10'!$V$43</f>
        <v>-6.9611169850658516E-4</v>
      </c>
      <c r="D43" s="118">
        <f>'RA-10'!$W$43</f>
        <v>1.4181550934057707E-2</v>
      </c>
      <c r="E43" s="119">
        <f>'RA-10'!$X$43</f>
        <v>-1.2391102142440547E-3</v>
      </c>
      <c r="F43" s="120">
        <f>GEOMEAN('RA-10'!$S$43:'RA-10'!$S$46)</f>
        <v>0.99659134973882213</v>
      </c>
      <c r="G43" s="121">
        <f>GEOMEAN('RA-10'!$T$43:'RA-10'!$T$46)</f>
        <v>1.0566457855742704</v>
      </c>
      <c r="I43" s="116" t="str">
        <f>'AI-10'!$B$43</f>
        <v>vidyo1</v>
      </c>
      <c r="J43" s="117">
        <f>'LDB-10'!$V$43</f>
        <v>-4.0628174298654729E-3</v>
      </c>
      <c r="K43" s="118">
        <f>'LDB-10'!$W$43</f>
        <v>-1.3197789405063776E-2</v>
      </c>
      <c r="L43" s="119">
        <f>'LDB-10'!$X$43</f>
        <v>3.8755658731164377E-3</v>
      </c>
      <c r="M43" s="120">
        <f>GEOMEAN('LDB-10'!$S$43:'LDB-10'!$S$46)</f>
        <v>1.0259589737661814</v>
      </c>
      <c r="N43" s="121">
        <f>GEOMEAN('LDB-10'!$T$43:'LDB-10'!$T$46)</f>
        <v>1.085613148992163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-2.2410569662811852E-4</v>
      </c>
      <c r="D44" s="124">
        <f>'RA-10'!$W$47</f>
        <v>7.7313713845004184E-3</v>
      </c>
      <c r="E44" s="125">
        <f>'RA-10'!$X$47</f>
        <v>-4.3276610202820365E-3</v>
      </c>
      <c r="F44" s="126">
        <f>GEOMEAN('RA-10'!$S$47:'RA-10'!$S$50)</f>
        <v>1.0233502688768714</v>
      </c>
      <c r="G44" s="127">
        <f>GEOMEAN('RA-10'!$T$47:'RA-10'!$T$50)</f>
        <v>1.0093564268833379</v>
      </c>
      <c r="I44" s="122" t="str">
        <f>'AI-10'!$B$47</f>
        <v>vidyo3</v>
      </c>
      <c r="J44" s="123">
        <f>'LDB-10'!$V$47</f>
        <v>-1.2631257158552955E-3</v>
      </c>
      <c r="K44" s="124">
        <f>'LDB-10'!$W$47</f>
        <v>-1.7921710800760215E-2</v>
      </c>
      <c r="L44" s="125">
        <f>'LDB-10'!$X$47</f>
        <v>7.6269346758204293E-3</v>
      </c>
      <c r="M44" s="126">
        <f>GEOMEAN('LDB-10'!$S$47:'LDB-10'!$S$50)</f>
        <v>1.0099235661159078</v>
      </c>
      <c r="N44" s="127">
        <f>GEOMEAN('LDB-10'!$T$47:'LDB-10'!$T$50)</f>
        <v>1.0729870797883663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6.5261111665324001E-4</v>
      </c>
      <c r="D51" s="112">
        <f>'RA-10'!$W75</f>
        <v>5.1423808574385665E-4</v>
      </c>
      <c r="E51" s="113">
        <f>'RA-10'!$X75</f>
        <v>1.2059963996453871E-3</v>
      </c>
      <c r="F51" s="128">
        <f>'RA-10'!$S75</f>
        <v>1.0047373368025714</v>
      </c>
      <c r="G51" s="115">
        <f>'RA-10'!$T75</f>
        <v>0.99242998676741567</v>
      </c>
      <c r="I51" s="132" t="s">
        <v>78</v>
      </c>
      <c r="J51" s="111">
        <f>'LDB-10'!$V75</f>
        <v>-4.8157764224865396E-4</v>
      </c>
      <c r="K51" s="112">
        <f>'LDB-10'!$W75</f>
        <v>-5.4736038462799286E-4</v>
      </c>
      <c r="L51" s="113">
        <f>'LDB-10'!$X75</f>
        <v>1.0639137139820121E-3</v>
      </c>
      <c r="M51" s="128">
        <f>'LDB-10'!$S75</f>
        <v>1.0021550592709019</v>
      </c>
      <c r="N51" s="115">
        <f>'LDB-10'!$T75</f>
        <v>0.99292488381570876</v>
      </c>
    </row>
    <row r="52" spans="2:14" ht="12.75" customHeight="1" x14ac:dyDescent="0.2">
      <c r="B52" s="133" t="s">
        <v>79</v>
      </c>
      <c r="C52" s="117">
        <f>'RA-10'!$V76</f>
        <v>9.3432763232315086E-4</v>
      </c>
      <c r="D52" s="118">
        <f>'RA-10'!$W76</f>
        <v>-3.4664664744147589E-3</v>
      </c>
      <c r="E52" s="119">
        <f>'RA-10'!$X76</f>
        <v>-1.5361649320806414E-3</v>
      </c>
      <c r="F52" s="130">
        <f>'RA-10'!$S76</f>
        <v>1.0181045512475926</v>
      </c>
      <c r="G52" s="121">
        <f>'RA-10'!$T76</f>
        <v>1.0334581363570141</v>
      </c>
      <c r="I52" s="133" t="s">
        <v>79</v>
      </c>
      <c r="J52" s="117">
        <f>'LDB-10'!$V76</f>
        <v>-6.5258710879162463E-4</v>
      </c>
      <c r="K52" s="118">
        <f>'LDB-10'!$W76</f>
        <v>-5.8164394498147476E-4</v>
      </c>
      <c r="L52" s="119">
        <f>'LDB-10'!$X76</f>
        <v>-1.2988881192843582E-3</v>
      </c>
      <c r="M52" s="130">
        <f>'LDB-10'!$S76</f>
        <v>1.0002079515364692</v>
      </c>
      <c r="N52" s="121">
        <f>'LDB-10'!$T76</f>
        <v>0.98303215662431809</v>
      </c>
    </row>
    <row r="53" spans="2:14" ht="12.75" customHeight="1" thickBot="1" x14ac:dyDescent="0.25">
      <c r="B53" s="133" t="s">
        <v>51</v>
      </c>
      <c r="C53" s="117">
        <f>'RA-10'!$V77</f>
        <v>-3.3507366599944133E-4</v>
      </c>
      <c r="D53" s="118">
        <f>'RA-10'!$W77</f>
        <v>5.4465117351408798E-3</v>
      </c>
      <c r="E53" s="119">
        <f>'RA-10'!$X77</f>
        <v>-7.0574168800194292E-4</v>
      </c>
      <c r="F53" s="130">
        <f>'RA-10'!$S77</f>
        <v>1.0141268521441453</v>
      </c>
      <c r="G53" s="121">
        <f>'RA-10'!$T77</f>
        <v>1.0489670866664638</v>
      </c>
      <c r="I53" s="133" t="s">
        <v>80</v>
      </c>
      <c r="J53" s="117">
        <f>'LDB-10'!$V77</f>
        <v>-3.3110376412812115E-4</v>
      </c>
      <c r="K53" s="118">
        <f>'LDB-10'!$W77</f>
        <v>-6.5728578831840689E-3</v>
      </c>
      <c r="L53" s="119">
        <f>'LDB-10'!$X77</f>
        <v>6.1036761915770898E-3</v>
      </c>
      <c r="M53" s="130">
        <f>'LDB-10'!$S77</f>
        <v>1.0152851857141618</v>
      </c>
      <c r="N53" s="121">
        <f>'LDB-10'!$T77</f>
        <v>1.0564846076802321</v>
      </c>
    </row>
    <row r="54" spans="2:14" ht="12.75" customHeight="1" thickBot="1" x14ac:dyDescent="0.25">
      <c r="B54" s="139" t="s">
        <v>37</v>
      </c>
      <c r="C54" s="138">
        <f>'RA-10'!$V80</f>
        <v>4.1728836099231653E-4</v>
      </c>
      <c r="D54" s="137">
        <f>'RA-10'!$W80</f>
        <v>8.3142778215665924E-4</v>
      </c>
      <c r="E54" s="136">
        <f>'RA-10'!$X80</f>
        <v>-3.4530340681239907E-4</v>
      </c>
      <c r="F54" s="135">
        <f>'RA-10'!$S80</f>
        <v>1.0123073748356393</v>
      </c>
      <c r="G54" s="134">
        <f>'RA-10'!$T80</f>
        <v>1.0246720171839847</v>
      </c>
      <c r="I54" s="139" t="s">
        <v>37</v>
      </c>
      <c r="J54" s="138">
        <f>'LDB-10'!$V80</f>
        <v>-4.8842283838946654E-4</v>
      </c>
      <c r="K54" s="137">
        <f>'LDB-10'!$W80</f>
        <v>-2.5672874042645122E-3</v>
      </c>
      <c r="L54" s="136">
        <f>'LDB-10'!$X80</f>
        <v>1.9562339287582478E-3</v>
      </c>
      <c r="M54" s="135">
        <f>'LDB-10'!$S80</f>
        <v>1.0058605108445711</v>
      </c>
      <c r="N54" s="134">
        <f>'LDB-10'!$T80</f>
        <v>1.0102970800080544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B22" sqref="B22:G28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HPM13.0</v>
      </c>
      <c r="D3" s="146"/>
      <c r="E3" s="146"/>
      <c r="F3" s="146"/>
      <c r="G3" s="147"/>
      <c r="I3" s="28" t="s">
        <v>20</v>
      </c>
      <c r="J3" s="28" t="s">
        <v>694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-5.0579931802297029E-5</v>
      </c>
      <c r="D5" s="61">
        <f>'AI-10'!W75</f>
        <v>-1.3711040280403597E-3</v>
      </c>
      <c r="E5" s="62">
        <f>'AI-10'!X75</f>
        <v>-9.8213846926820114E-4</v>
      </c>
      <c r="F5" s="63">
        <f>'AI-10'!S75</f>
        <v>1.0117910927009173</v>
      </c>
      <c r="G5" s="64">
        <f>'AI-10'!T75</f>
        <v>1.0021873676283284</v>
      </c>
      <c r="H5" s="25"/>
      <c r="J5" s="28"/>
    </row>
    <row r="6" spans="2:10" ht="12.75" customHeight="1" x14ac:dyDescent="0.25">
      <c r="B6" s="94" t="s">
        <v>91</v>
      </c>
      <c r="C6" s="65">
        <f>'AI-10'!V76</f>
        <v>1.1818246485051365E-5</v>
      </c>
      <c r="D6" s="66">
        <f>'AI-10'!W76</f>
        <v>-1.0034342606121405E-3</v>
      </c>
      <c r="E6" s="67">
        <f>'AI-10'!X76</f>
        <v>-4.8815461572723762E-4</v>
      </c>
      <c r="F6" s="68">
        <f>'AI-10'!S76</f>
        <v>1.0075139243390534</v>
      </c>
      <c r="G6" s="69">
        <f>'AI-10'!T76</f>
        <v>1.0117624549963351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6.940021168419519E-5</v>
      </c>
      <c r="D7" s="66">
        <f>'AI-10'!W77</f>
        <v>-2.0705603793050309E-4</v>
      </c>
      <c r="E7" s="67">
        <f>'AI-10'!X77</f>
        <v>-1.9434141769832658E-3</v>
      </c>
      <c r="F7" s="68">
        <f>'AI-10'!S77</f>
        <v>1.0129983704316941</v>
      </c>
      <c r="G7" s="69">
        <f>'AI-10'!T77</f>
        <v>1.0213396009705658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1.0212842122316509E-5</v>
      </c>
      <c r="D8" s="61">
        <f>'AI-10'!W80</f>
        <v>-8.6053144219433442E-4</v>
      </c>
      <c r="E8" s="61">
        <f>'AI-10'!X80</f>
        <v>-1.1379024206595683E-3</v>
      </c>
      <c r="F8" s="100">
        <f>'AI-10'!S80</f>
        <v>1.0107650545051405</v>
      </c>
      <c r="G8" s="101">
        <f>'AI-10'!T80</f>
        <v>1.0117329283671841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HPM13.0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6.5261111665324001E-4</v>
      </c>
      <c r="D15" s="61">
        <f>'RA-10'!W75</f>
        <v>5.1423808574385665E-4</v>
      </c>
      <c r="E15" s="62">
        <f>'RA-10'!X75</f>
        <v>1.2059963996453871E-3</v>
      </c>
      <c r="F15" s="63">
        <f>'RA-10'!S75</f>
        <v>1.0047373368025714</v>
      </c>
      <c r="G15" s="64">
        <f>'RA-10'!T75</f>
        <v>0.99242998676741567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9.3432763232315086E-4</v>
      </c>
      <c r="D16" s="66">
        <f>'RA-10'!W76</f>
        <v>-3.4664664744147589E-3</v>
      </c>
      <c r="E16" s="67">
        <f>'RA-10'!X76</f>
        <v>-1.5361649320806414E-3</v>
      </c>
      <c r="F16" s="68">
        <f>'RA-10'!S76</f>
        <v>1.0181045512475926</v>
      </c>
      <c r="G16" s="69">
        <f>'RA-10'!T76</f>
        <v>1.0334581363570141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-3.3507366599944133E-4</v>
      </c>
      <c r="D17" s="66">
        <f>'RA-10'!W77</f>
        <v>5.4465117351408798E-3</v>
      </c>
      <c r="E17" s="67">
        <f>'RA-10'!X77</f>
        <v>-7.0574168800194292E-4</v>
      </c>
      <c r="F17" s="68">
        <f>'RA-10'!S77</f>
        <v>1.0141268521441453</v>
      </c>
      <c r="G17" s="69">
        <f>'RA-10'!T77</f>
        <v>1.0489670866664638</v>
      </c>
      <c r="H17" s="25"/>
    </row>
    <row r="18" spans="2:9" ht="12.75" customHeight="1" thickBot="1" x14ac:dyDescent="0.3">
      <c r="B18" s="81" t="s">
        <v>37</v>
      </c>
      <c r="C18" s="60">
        <f>'RA-10'!V80</f>
        <v>4.1728836099231653E-4</v>
      </c>
      <c r="D18" s="61">
        <f>'RA-10'!W80</f>
        <v>8.3142778215665924E-4</v>
      </c>
      <c r="E18" s="61">
        <f>'RA-10'!X80</f>
        <v>-3.4530340681239907E-4</v>
      </c>
      <c r="F18" s="100">
        <f>'RA-10'!S80</f>
        <v>1.0123073748356393</v>
      </c>
      <c r="G18" s="101">
        <f>'RA-10'!T80</f>
        <v>1.0246720171839847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HPM13.0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-4.8157764224865396E-4</v>
      </c>
      <c r="D25" s="61">
        <f>'LDB-10'!W75</f>
        <v>-5.4736038462799286E-4</v>
      </c>
      <c r="E25" s="62">
        <f>'LDB-10'!X75</f>
        <v>1.0639137139820121E-3</v>
      </c>
      <c r="F25" s="63">
        <f>'LDB-10'!S75</f>
        <v>1.0021550592709019</v>
      </c>
      <c r="G25" s="64">
        <f>'LDB-10'!T75</f>
        <v>0.99292488381570876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-6.5258710879162463E-4</v>
      </c>
      <c r="D26" s="66">
        <f>'LDB-10'!W76</f>
        <v>-5.8164394498147476E-4</v>
      </c>
      <c r="E26" s="67">
        <f>'LDB-10'!X76</f>
        <v>-1.2988881192843582E-3</v>
      </c>
      <c r="F26" s="68">
        <f>'LDB-10'!S76</f>
        <v>1.0002079515364692</v>
      </c>
      <c r="G26" s="69">
        <f>'LDB-10'!T76</f>
        <v>0.98303215662431809</v>
      </c>
      <c r="H26" s="25"/>
    </row>
    <row r="27" spans="2:9" ht="12.75" customHeight="1" thickBot="1" x14ac:dyDescent="0.3">
      <c r="B27" s="95" t="s">
        <v>93</v>
      </c>
      <c r="C27" s="65">
        <f>'LDB-10'!V77</f>
        <v>-3.3110376412812115E-4</v>
      </c>
      <c r="D27" s="66">
        <f>'LDB-10'!W77</f>
        <v>-6.5728578831840689E-3</v>
      </c>
      <c r="E27" s="67">
        <f>'LDB-10'!X77</f>
        <v>6.1036761915770898E-3</v>
      </c>
      <c r="F27" s="68">
        <f>'LDB-10'!S77</f>
        <v>1.0152851857141618</v>
      </c>
      <c r="G27" s="69">
        <f>'LDB-10'!T77</f>
        <v>1.0564846076802321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-4.8842283838946654E-4</v>
      </c>
      <c r="D28" s="61">
        <f>'LDB-10'!W80</f>
        <v>-2.5672874042645122E-3</v>
      </c>
      <c r="E28" s="61">
        <f>'LDB-10'!X80</f>
        <v>1.9562339287582478E-3</v>
      </c>
      <c r="F28" s="100">
        <f>'LDB-10'!S80</f>
        <v>1.0058605108445711</v>
      </c>
      <c r="G28" s="101">
        <f>'LDB-10'!T80</f>
        <v>1.0102970800080544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HPM13.0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76202.309200000003</v>
      </c>
      <c r="E3" s="13">
        <f>Reference!C1</f>
        <v>40.811</v>
      </c>
      <c r="F3" s="13">
        <f>Reference!D1</f>
        <v>49.245199999999997</v>
      </c>
      <c r="G3" s="13">
        <f>Reference!E1</f>
        <v>47.749400000000001</v>
      </c>
      <c r="H3" s="13">
        <f>Reference!F1</f>
        <v>125119.492</v>
      </c>
      <c r="I3" s="13">
        <f>Reference!G1</f>
        <v>24.126000000000001</v>
      </c>
      <c r="J3" s="14">
        <f>H3/3600</f>
        <v>34.755414444444447</v>
      </c>
      <c r="L3" s="12">
        <f>Test!B1</f>
        <v>76126.261599999998</v>
      </c>
      <c r="M3" s="13">
        <f>Test!C1</f>
        <v>40.810099999999998</v>
      </c>
      <c r="N3" s="13">
        <f>Test!D1</f>
        <v>49.241599999999998</v>
      </c>
      <c r="O3" s="13">
        <f>Test!E1</f>
        <v>47.746499999999997</v>
      </c>
      <c r="P3" s="13">
        <f>Test!F1</f>
        <v>125952.44500000001</v>
      </c>
      <c r="Q3" s="13">
        <f>Test!G1</f>
        <v>24.103000000000002</v>
      </c>
      <c r="R3" s="13">
        <f>P3/3600</f>
        <v>34.986790277777779</v>
      </c>
      <c r="S3" s="12">
        <f>P3/H3</f>
        <v>1.0066572600854231</v>
      </c>
      <c r="T3" s="13">
        <f>Q3/I3</f>
        <v>0.99904667164055372</v>
      </c>
      <c r="U3" s="90"/>
      <c r="V3" s="42">
        <f>bdrate($D3:$D6,E3:E6,$L3:$L6,M3:M6)</f>
        <v>-3.2059633721759351E-4</v>
      </c>
      <c r="W3" s="42">
        <f>bdrate($D3:$D6,F3:F6,$L3:$L6,N3:N6)</f>
        <v>-4.8409502099352464E-3</v>
      </c>
      <c r="X3" s="43">
        <f>bdrate($D3:$D6,G3:G6,$L3:$L6,O3:O6)</f>
        <v>-1.7813460818260074E-3</v>
      </c>
      <c r="Y3" s="37">
        <f>bdrateOld($D3:$D6,E3:E6,$L3:$L6,M3:M6)</f>
        <v>-3.7919806344066664E-4</v>
      </c>
      <c r="Z3" s="42">
        <f>bdrateOld($D3:$D6,F3:F6,$L3:$L6,N3:N6)</f>
        <v>-4.6280376744614049E-3</v>
      </c>
      <c r="AA3" s="43">
        <f>bdrateOld($D3:$D6,G3:G6,$L3:$L6,O3:O6)</f>
        <v>-1.205870291945299E-3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41139.580499999996</v>
      </c>
      <c r="E4" s="18">
        <f>Reference!C2</f>
        <v>40.157699999999998</v>
      </c>
      <c r="F4" s="18">
        <f>Reference!D2</f>
        <v>48.549599999999998</v>
      </c>
      <c r="G4" s="18">
        <f>Reference!E2</f>
        <v>46.663200000000003</v>
      </c>
      <c r="H4" s="18">
        <f>Reference!F2</f>
        <v>70122.116999999998</v>
      </c>
      <c r="I4" s="18">
        <f>Reference!G2</f>
        <v>22.196000000000002</v>
      </c>
      <c r="J4" s="19">
        <f t="shared" ref="J4:J14" si="0">H4/3600</f>
        <v>19.478365833333331</v>
      </c>
      <c r="L4" s="17">
        <f>Test!B2</f>
        <v>41152.164299999997</v>
      </c>
      <c r="M4" s="18">
        <f>Test!C2</f>
        <v>40.157800000000002</v>
      </c>
      <c r="N4" s="18">
        <f>Test!D2</f>
        <v>48.555900000000001</v>
      </c>
      <c r="O4" s="18">
        <f>Test!E2</f>
        <v>46.6755</v>
      </c>
      <c r="P4" s="18">
        <f>Test!F2</f>
        <v>69207.304999999993</v>
      </c>
      <c r="Q4" s="18">
        <f>Test!G2</f>
        <v>21.859000000000002</v>
      </c>
      <c r="R4" s="18">
        <f t="shared" ref="R4:R14" si="1">P4/3600</f>
        <v>19.224251388888888</v>
      </c>
      <c r="S4" s="17">
        <f t="shared" ref="S4:T14" si="2">P4/H4</f>
        <v>0.98695401623427881</v>
      </c>
      <c r="T4" s="18">
        <f t="shared" si="2"/>
        <v>0.98481708415930802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24713.215100000001</v>
      </c>
      <c r="E5" s="18">
        <f>Reference!C3</f>
        <v>39.433700000000002</v>
      </c>
      <c r="F5" s="18">
        <f>Reference!D3</f>
        <v>47.615099999999998</v>
      </c>
      <c r="G5" s="18">
        <f>Reference!E3</f>
        <v>45.389400000000002</v>
      </c>
      <c r="H5" s="18">
        <f>Reference!F3</f>
        <v>41490.964999999997</v>
      </c>
      <c r="I5" s="18">
        <f>Reference!G3</f>
        <v>20.088999999999999</v>
      </c>
      <c r="J5" s="19">
        <f t="shared" si="0"/>
        <v>11.525268055555555</v>
      </c>
      <c r="L5" s="17">
        <f>Test!B3</f>
        <v>24699.736199999999</v>
      </c>
      <c r="M5" s="18">
        <f>Test!C3</f>
        <v>39.433500000000002</v>
      </c>
      <c r="N5" s="18">
        <f>Test!D3</f>
        <v>47.6233</v>
      </c>
      <c r="O5" s="18">
        <f>Test!E3</f>
        <v>45.387300000000003</v>
      </c>
      <c r="P5" s="18">
        <f>Test!F3</f>
        <v>43378.811999999998</v>
      </c>
      <c r="Q5" s="18">
        <f>Test!G3</f>
        <v>20.294</v>
      </c>
      <c r="R5" s="18">
        <f t="shared" si="1"/>
        <v>12.049669999999999</v>
      </c>
      <c r="S5" s="17">
        <f t="shared" si="2"/>
        <v>1.0455001950424629</v>
      </c>
      <c r="T5" s="18">
        <f t="shared" si="2"/>
        <v>1.0102045895763851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14116.813</v>
      </c>
      <c r="E6" s="23">
        <f>Reference!C4</f>
        <v>38.220500000000001</v>
      </c>
      <c r="F6" s="23">
        <f>Reference!D4</f>
        <v>46.123199999999997</v>
      </c>
      <c r="G6" s="23">
        <f>Reference!E4</f>
        <v>43.593800000000002</v>
      </c>
      <c r="H6" s="23">
        <f>Reference!F4</f>
        <v>23077.359</v>
      </c>
      <c r="I6" s="23">
        <f>Reference!G4</f>
        <v>18.318999999999999</v>
      </c>
      <c r="J6" s="24">
        <f t="shared" si="0"/>
        <v>6.4103775000000001</v>
      </c>
      <c r="L6" s="22">
        <f>Test!B4</f>
        <v>14099.571900000001</v>
      </c>
      <c r="M6" s="23">
        <f>Test!C4</f>
        <v>38.2196</v>
      </c>
      <c r="N6" s="23">
        <f>Test!D4</f>
        <v>46.153700000000001</v>
      </c>
      <c r="O6" s="23">
        <f>Test!E4</f>
        <v>43.597299999999997</v>
      </c>
      <c r="P6" s="23">
        <f>Test!F4</f>
        <v>23801.234</v>
      </c>
      <c r="Q6" s="23">
        <f>Test!G4</f>
        <v>18.835000000000001</v>
      </c>
      <c r="R6" s="23">
        <f t="shared" si="1"/>
        <v>6.6114538888888887</v>
      </c>
      <c r="S6" s="17">
        <f t="shared" si="2"/>
        <v>1.0313673241379138</v>
      </c>
      <c r="T6" s="18">
        <f t="shared" si="2"/>
        <v>1.0281674763906328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322485.86320000002</v>
      </c>
      <c r="E7" s="13">
        <f>Reference!C5</f>
        <v>44.758600000000001</v>
      </c>
      <c r="F7" s="13">
        <f>Reference!D5</f>
        <v>39.131500000000003</v>
      </c>
      <c r="G7" s="13">
        <f>Reference!E5</f>
        <v>39.621699999999997</v>
      </c>
      <c r="H7" s="13">
        <f>Reference!F5</f>
        <v>197428.46900000001</v>
      </c>
      <c r="I7" s="13">
        <f>Reference!G5</f>
        <v>36.365000000000002</v>
      </c>
      <c r="J7" s="14">
        <f t="shared" si="0"/>
        <v>54.841241388888889</v>
      </c>
      <c r="L7" s="12">
        <f>Test!B5</f>
        <v>322499.50530000002</v>
      </c>
      <c r="M7" s="13">
        <f>Test!C5</f>
        <v>44.758899999999997</v>
      </c>
      <c r="N7" s="13">
        <f>Test!D5</f>
        <v>39.129300000000001</v>
      </c>
      <c r="O7" s="13">
        <f>Test!E5</f>
        <v>39.625500000000002</v>
      </c>
      <c r="P7" s="13">
        <f>Test!F5</f>
        <v>196828.67199999999</v>
      </c>
      <c r="Q7" s="13">
        <f>Test!G5</f>
        <v>36.447000000000003</v>
      </c>
      <c r="R7" s="13">
        <f t="shared" si="1"/>
        <v>54.674631111111111</v>
      </c>
      <c r="S7" s="17">
        <f t="shared" si="2"/>
        <v>0.99696195283771349</v>
      </c>
      <c r="T7" s="18">
        <f t="shared" si="2"/>
        <v>1.002254915440671</v>
      </c>
      <c r="U7" s="91"/>
      <c r="V7" s="42">
        <f>bdrate($D7:$D10,E7:E10,$L7:$L10,M7:M10)</f>
        <v>-2.3353068655418419E-5</v>
      </c>
      <c r="W7" s="42">
        <f>bdrate($D7:$D10,F7:F10,$L7:$L10,N7:N10)</f>
        <v>6.2278611603683309E-4</v>
      </c>
      <c r="X7" s="42">
        <f>bdrate($D7:$D10,G7:G10,$L7:$L10,O7:O10)</f>
        <v>1.0331308429512021E-4</v>
      </c>
      <c r="Y7" s="40">
        <f>bdrateOld($D7:$D10,E7:E10,$L7:$L10,M7:M10)</f>
        <v>-1.3876873032558912E-5</v>
      </c>
      <c r="Z7" s="44">
        <f>bdrateOld($D7:$D10,F7:F10,$L7:$L10,N7:N10)</f>
        <v>6.2072398358647973E-4</v>
      </c>
      <c r="AA7" s="45">
        <f>bdrateOld($D7:$D10,G7:G10,$L7:$L10,O7:O10)</f>
        <v>1.090528123208756E-4</v>
      </c>
    </row>
    <row r="8" spans="1:27" x14ac:dyDescent="0.2">
      <c r="A8" s="16"/>
      <c r="B8" s="85"/>
      <c r="C8" s="16">
        <v>48</v>
      </c>
      <c r="D8" s="17">
        <f>Reference!B6</f>
        <v>205619.13680000001</v>
      </c>
      <c r="E8" s="18">
        <f>Reference!C6</f>
        <v>41.967700000000001</v>
      </c>
      <c r="F8" s="18">
        <f>Reference!D6</f>
        <v>36.638399999999997</v>
      </c>
      <c r="G8" s="18">
        <f>Reference!E6</f>
        <v>37.444800000000001</v>
      </c>
      <c r="H8" s="18">
        <f>Reference!F6</f>
        <v>161393.891</v>
      </c>
      <c r="I8" s="18">
        <f>Reference!G6</f>
        <v>32.966000000000001</v>
      </c>
      <c r="J8" s="19">
        <f t="shared" si="0"/>
        <v>44.831636388888889</v>
      </c>
      <c r="L8" s="17">
        <f>Test!B6</f>
        <v>205607.4632</v>
      </c>
      <c r="M8" s="18">
        <f>Test!C6</f>
        <v>41.969099999999997</v>
      </c>
      <c r="N8" s="18">
        <f>Test!D6</f>
        <v>36.635899999999999</v>
      </c>
      <c r="O8" s="18">
        <f>Test!E6</f>
        <v>37.4422</v>
      </c>
      <c r="P8" s="18">
        <f>Test!F6</f>
        <v>158530.59400000001</v>
      </c>
      <c r="Q8" s="18">
        <f>Test!G6</f>
        <v>32.106999999999999</v>
      </c>
      <c r="R8" s="18">
        <f t="shared" si="1"/>
        <v>44.036276111111114</v>
      </c>
      <c r="S8" s="17">
        <f t="shared" si="2"/>
        <v>0.98225895055718071</v>
      </c>
      <c r="T8" s="18">
        <f t="shared" si="2"/>
        <v>0.97394285020930649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117444.0105</v>
      </c>
      <c r="E9" s="18">
        <f>Reference!C7</f>
        <v>38.709000000000003</v>
      </c>
      <c r="F9" s="18">
        <f>Reference!D7</f>
        <v>34.3626</v>
      </c>
      <c r="G9" s="18">
        <f>Reference!E7</f>
        <v>35.525500000000001</v>
      </c>
      <c r="H9" s="18">
        <f>Reference!F7</f>
        <v>120692.68799999999</v>
      </c>
      <c r="I9" s="18">
        <f>Reference!G7</f>
        <v>28.390999999999998</v>
      </c>
      <c r="J9" s="19">
        <f t="shared" si="0"/>
        <v>33.525746666666663</v>
      </c>
      <c r="L9" s="17">
        <f>Test!B7</f>
        <v>117447.5474</v>
      </c>
      <c r="M9" s="18">
        <f>Test!C7</f>
        <v>38.708799999999997</v>
      </c>
      <c r="N9" s="18">
        <f>Test!D7</f>
        <v>34.3598</v>
      </c>
      <c r="O9" s="18">
        <f>Test!E7</f>
        <v>35.525599999999997</v>
      </c>
      <c r="P9" s="18">
        <f>Test!F7</f>
        <v>120672.617</v>
      </c>
      <c r="Q9" s="18">
        <f>Test!G7</f>
        <v>28.352</v>
      </c>
      <c r="R9" s="18">
        <f t="shared" si="1"/>
        <v>33.52017138888889</v>
      </c>
      <c r="S9" s="17">
        <f t="shared" si="2"/>
        <v>0.99983370160750751</v>
      </c>
      <c r="T9" s="18">
        <f t="shared" si="2"/>
        <v>0.99862632524391537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55569.347399999999</v>
      </c>
      <c r="E10" s="23">
        <f>Reference!C8</f>
        <v>35.227899999999998</v>
      </c>
      <c r="F10" s="23">
        <f>Reference!D8</f>
        <v>32.007800000000003</v>
      </c>
      <c r="G10" s="23">
        <f>Reference!E8</f>
        <v>33.7012</v>
      </c>
      <c r="H10" s="23">
        <f>Reference!F8</f>
        <v>77577.922000000006</v>
      </c>
      <c r="I10" s="23">
        <f>Reference!G8</f>
        <v>23.18</v>
      </c>
      <c r="J10" s="24">
        <f t="shared" si="0"/>
        <v>21.549422777777778</v>
      </c>
      <c r="L10" s="22">
        <f>Test!B8</f>
        <v>55572.905299999999</v>
      </c>
      <c r="M10" s="23">
        <f>Test!C8</f>
        <v>35.226700000000001</v>
      </c>
      <c r="N10" s="23">
        <f>Test!D8</f>
        <v>32.005800000000001</v>
      </c>
      <c r="O10" s="23">
        <f>Test!E8</f>
        <v>33.702199999999998</v>
      </c>
      <c r="P10" s="23">
        <f>Test!F8</f>
        <v>78421.976999999999</v>
      </c>
      <c r="Q10" s="23">
        <f>Test!G8</f>
        <v>23.385000000000002</v>
      </c>
      <c r="R10" s="23">
        <f t="shared" si="1"/>
        <v>21.783882500000001</v>
      </c>
      <c r="S10" s="17">
        <f t="shared" si="2"/>
        <v>1.0108800929212822</v>
      </c>
      <c r="T10" s="18">
        <f t="shared" si="2"/>
        <v>1.0088438308886973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124771.6042</v>
      </c>
      <c r="E11" s="13">
        <f>Reference!C9</f>
        <v>41.574300000000001</v>
      </c>
      <c r="F11" s="13">
        <f>Reference!D9</f>
        <v>44.012099999999997</v>
      </c>
      <c r="G11" s="13">
        <f>Reference!E9</f>
        <v>42.909799999999997</v>
      </c>
      <c r="H11" s="13">
        <f>Reference!F9</f>
        <v>162675.484</v>
      </c>
      <c r="I11" s="13">
        <f>Reference!G9</f>
        <v>30.748000000000001</v>
      </c>
      <c r="J11" s="14">
        <f t="shared" si="0"/>
        <v>45.187634444444441</v>
      </c>
      <c r="L11" s="12">
        <f>Test!B9</f>
        <v>124797.3474</v>
      </c>
      <c r="M11" s="13">
        <f>Test!C9</f>
        <v>41.574300000000001</v>
      </c>
      <c r="N11" s="13">
        <f>Test!D9</f>
        <v>44.0124</v>
      </c>
      <c r="O11" s="13">
        <f>Test!E9</f>
        <v>42.908000000000001</v>
      </c>
      <c r="P11" s="13">
        <f>Test!F9</f>
        <v>166010.46900000001</v>
      </c>
      <c r="Q11" s="13">
        <f>Test!G9</f>
        <v>30.616</v>
      </c>
      <c r="R11" s="13">
        <f t="shared" si="1"/>
        <v>46.114019166666672</v>
      </c>
      <c r="S11" s="17">
        <f t="shared" si="2"/>
        <v>1.0205008457205513</v>
      </c>
      <c r="T11" s="18">
        <f t="shared" si="2"/>
        <v>0.99570703785612069</v>
      </c>
      <c r="U11" s="91"/>
      <c r="V11" s="42">
        <f>bdrate($D11:$D14,E11:E14,$L11:$L14,M11:M14)</f>
        <v>1.011393392236215E-4</v>
      </c>
      <c r="W11" s="42">
        <f>bdrate($D11:$D14,F11:F14,$L11:$L14,N11:N14)</f>
        <v>-5.8277765845671237E-4</v>
      </c>
      <c r="X11" s="42">
        <f>bdrate($D11:$D14,G11:G14,$L11:$L14,O11:O14)</f>
        <v>-2.5548989514756482E-4</v>
      </c>
      <c r="Y11" s="40">
        <f>bdrateOld($D11:$D14,E11:E14,$L11:$L14,M11:M14)</f>
        <v>-1.1212800287818681E-5</v>
      </c>
      <c r="Z11" s="44">
        <f>bdrateOld($D11:$D14,F11:F14,$L11:$L14,N11:N14)</f>
        <v>-6.4486696245058539E-4</v>
      </c>
      <c r="AA11" s="45">
        <f>bdrateOld($D11:$D14,G11:G14,$L11:$L14,O11:O14)</f>
        <v>-2.7373421539234055E-4</v>
      </c>
    </row>
    <row r="12" spans="1:27" x14ac:dyDescent="0.2">
      <c r="A12" s="34"/>
      <c r="B12" s="83"/>
      <c r="C12" s="16">
        <v>48</v>
      </c>
      <c r="D12" s="17">
        <f>Reference!B10</f>
        <v>55894.098899999997</v>
      </c>
      <c r="E12" s="18">
        <f>Reference!C10</f>
        <v>38.880299999999998</v>
      </c>
      <c r="F12" s="18">
        <f>Reference!D10</f>
        <v>41.386600000000001</v>
      </c>
      <c r="G12" s="18">
        <f>Reference!E10</f>
        <v>41.7851</v>
      </c>
      <c r="H12" s="18">
        <f>Reference!F10</f>
        <v>116574.273</v>
      </c>
      <c r="I12" s="18">
        <f>Reference!G10</f>
        <v>24.195</v>
      </c>
      <c r="J12" s="19">
        <f t="shared" si="0"/>
        <v>32.381742500000001</v>
      </c>
      <c r="L12" s="17">
        <f>Test!B10</f>
        <v>55876.4905</v>
      </c>
      <c r="M12" s="18">
        <f>Test!C10</f>
        <v>38.8795</v>
      </c>
      <c r="N12" s="18">
        <f>Test!D10</f>
        <v>41.391300000000001</v>
      </c>
      <c r="O12" s="18">
        <f>Test!E10</f>
        <v>41.784599999999998</v>
      </c>
      <c r="P12" s="18">
        <f>Test!F10</f>
        <v>114316.109</v>
      </c>
      <c r="Q12" s="18">
        <f>Test!G10</f>
        <v>23.684999999999999</v>
      </c>
      <c r="R12" s="18">
        <f t="shared" si="1"/>
        <v>31.75447472222222</v>
      </c>
      <c r="S12" s="17">
        <f t="shared" si="2"/>
        <v>0.98062896776546915</v>
      </c>
      <c r="T12" s="18">
        <f t="shared" si="2"/>
        <v>0.97892126472411645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25285.1937</v>
      </c>
      <c r="E13" s="18">
        <f>Reference!C11</f>
        <v>37.308300000000003</v>
      </c>
      <c r="F13" s="18">
        <f>Reference!D11</f>
        <v>39.062800000000003</v>
      </c>
      <c r="G13" s="18">
        <f>Reference!E11</f>
        <v>40.705399999999997</v>
      </c>
      <c r="H13" s="18">
        <f>Reference!F11</f>
        <v>65442.612999999998</v>
      </c>
      <c r="I13" s="18">
        <f>Reference!G11</f>
        <v>19.766999999999999</v>
      </c>
      <c r="J13" s="19">
        <f t="shared" si="0"/>
        <v>18.178503611111111</v>
      </c>
      <c r="L13" s="17">
        <f>Test!B11</f>
        <v>25287.5684</v>
      </c>
      <c r="M13" s="18">
        <f>Test!C11</f>
        <v>37.307499999999997</v>
      </c>
      <c r="N13" s="18">
        <f>Test!D11</f>
        <v>39.0642</v>
      </c>
      <c r="O13" s="18">
        <f>Test!E11</f>
        <v>40.706800000000001</v>
      </c>
      <c r="P13" s="18">
        <f>Test!F11</f>
        <v>67025.468999999997</v>
      </c>
      <c r="Q13" s="18">
        <f>Test!G11</f>
        <v>19.565000000000001</v>
      </c>
      <c r="R13" s="18">
        <f t="shared" si="1"/>
        <v>18.618185833333332</v>
      </c>
      <c r="S13" s="17">
        <f t="shared" si="2"/>
        <v>1.0241869315334338</v>
      </c>
      <c r="T13" s="18">
        <f t="shared" si="2"/>
        <v>0.98978094804472105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12252.606299999999</v>
      </c>
      <c r="E14" s="23">
        <f>Reference!C12</f>
        <v>35.924399999999999</v>
      </c>
      <c r="F14" s="23">
        <f>Reference!D12</f>
        <v>36.3444</v>
      </c>
      <c r="G14" s="23">
        <f>Reference!E12</f>
        <v>39.223100000000002</v>
      </c>
      <c r="H14" s="23">
        <f>Reference!F12</f>
        <v>38206.129000000001</v>
      </c>
      <c r="I14" s="23">
        <f>Reference!G12</f>
        <v>17.204000000000001</v>
      </c>
      <c r="J14" s="24">
        <f t="shared" si="0"/>
        <v>10.612813611111111</v>
      </c>
      <c r="L14" s="22">
        <f>Test!B12</f>
        <v>12251.8737</v>
      </c>
      <c r="M14" s="23">
        <f>Test!C12</f>
        <v>35.925800000000002</v>
      </c>
      <c r="N14" s="23">
        <f>Test!D12</f>
        <v>36.337800000000001</v>
      </c>
      <c r="O14" s="23">
        <f>Test!E12</f>
        <v>39.225000000000001</v>
      </c>
      <c r="P14" s="23">
        <f>Test!F12</f>
        <v>39507.116999999998</v>
      </c>
      <c r="Q14" s="23">
        <f>Test!G12</f>
        <v>17.355</v>
      </c>
      <c r="R14" s="23">
        <f t="shared" si="1"/>
        <v>10.974199166666667</v>
      </c>
      <c r="S14" s="17">
        <f t="shared" si="2"/>
        <v>1.0340518140427155</v>
      </c>
      <c r="T14" s="18">
        <f t="shared" si="2"/>
        <v>1.0087770285980004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177370.96419999999</v>
      </c>
      <c r="E15" s="13">
        <f>Reference!C13</f>
        <v>38.624200000000002</v>
      </c>
      <c r="F15" s="13">
        <f>Reference!D13</f>
        <v>45.659500000000001</v>
      </c>
      <c r="G15" s="13">
        <f>Reference!E13</f>
        <v>43.478000000000002</v>
      </c>
      <c r="H15" s="13">
        <f>Reference!F13</f>
        <v>198120.92199999999</v>
      </c>
      <c r="I15" s="13">
        <f>Reference!G13</f>
        <v>30.957000000000001</v>
      </c>
      <c r="J15" s="14">
        <f>H15/3600</f>
        <v>55.033589444444445</v>
      </c>
      <c r="L15" s="12">
        <f>Test!B13</f>
        <v>177353.19159999999</v>
      </c>
      <c r="M15" s="13">
        <f>Test!C13</f>
        <v>38.623800000000003</v>
      </c>
      <c r="N15" s="13">
        <f>Test!D13</f>
        <v>45.6629</v>
      </c>
      <c r="O15" s="13">
        <f>Test!E13</f>
        <v>43.4786</v>
      </c>
      <c r="P15" s="13">
        <f>Test!F13</f>
        <v>203305.34400000001</v>
      </c>
      <c r="Q15" s="13">
        <f>Test!G13</f>
        <v>31.914999999999999</v>
      </c>
      <c r="R15" s="13">
        <f>P15/3600</f>
        <v>56.473706666666672</v>
      </c>
      <c r="S15" s="17">
        <f>P15/H15</f>
        <v>1.0261679682673797</v>
      </c>
      <c r="T15" s="18">
        <f>Q15/I15</f>
        <v>1.0309461511128339</v>
      </c>
      <c r="U15" s="91"/>
      <c r="V15" s="42">
        <f>bdrate($D15:$D18,E15:E18,$L15:$L18,M15:M18)</f>
        <v>4.0490339440202305E-5</v>
      </c>
      <c r="W15" s="42">
        <f>bdrate($D15:$D18,F15:F18,$L15:$L18,N15:N18)</f>
        <v>-6.834743598063131E-4</v>
      </c>
      <c r="X15" s="43">
        <f>bdrate($D15:$D18,G15:G18,$L15:$L18,O15:O18)</f>
        <v>-1.9950309843943526E-3</v>
      </c>
      <c r="Y15" s="37">
        <f>bdrateOld($D15:$D18,E15:E18,$L15:$L18,M15:M18)</f>
        <v>2.6853788058112116E-5</v>
      </c>
      <c r="Z15" s="42">
        <f>bdrateOld($D15:$D18,F15:F18,$L15:$L18,N15:N18)</f>
        <v>-7.1271038866005387E-4</v>
      </c>
      <c r="AA15" s="43">
        <f>bdrateOld($D15:$D18,G15:G18,$L15:$L18,O15:O18)</f>
        <v>-2.1045044764628207E-3</v>
      </c>
    </row>
    <row r="16" spans="1:27" x14ac:dyDescent="0.2">
      <c r="A16" s="16"/>
      <c r="B16" s="85"/>
      <c r="C16" s="16">
        <v>48</v>
      </c>
      <c r="D16" s="17">
        <f>Reference!B14</f>
        <v>86182.433699999994</v>
      </c>
      <c r="E16" s="18">
        <f>Reference!C14</f>
        <v>37.677599999999998</v>
      </c>
      <c r="F16" s="18">
        <f>Reference!D14</f>
        <v>44.793999999999997</v>
      </c>
      <c r="G16" s="18">
        <f>Reference!E14</f>
        <v>42.493400000000001</v>
      </c>
      <c r="H16" s="18">
        <f>Reference!F14</f>
        <v>121742.891</v>
      </c>
      <c r="I16" s="18">
        <f>Reference!G14</f>
        <v>24.948</v>
      </c>
      <c r="J16" s="19">
        <f t="shared" ref="J16:J26" si="3">H16/3600</f>
        <v>33.817469722222221</v>
      </c>
      <c r="L16" s="17">
        <f>Test!B14</f>
        <v>86186.463199999998</v>
      </c>
      <c r="M16" s="18">
        <f>Test!C14</f>
        <v>37.677500000000002</v>
      </c>
      <c r="N16" s="18">
        <f>Test!D14</f>
        <v>44.796100000000003</v>
      </c>
      <c r="O16" s="18">
        <f>Test!E14</f>
        <v>42.493400000000001</v>
      </c>
      <c r="P16" s="18">
        <f>Test!F14</f>
        <v>121447.617</v>
      </c>
      <c r="Q16" s="18">
        <f>Test!G14</f>
        <v>24.754000000000001</v>
      </c>
      <c r="R16" s="18">
        <f t="shared" ref="R16:R26" si="4">P16/3600</f>
        <v>33.735449166666669</v>
      </c>
      <c r="S16" s="17">
        <f t="shared" ref="S16:S26" si="5">P16/H16</f>
        <v>0.99757460992116576</v>
      </c>
      <c r="T16" s="18">
        <f t="shared" ref="T16:T26" si="6">Q16/I16</f>
        <v>0.99222382555715893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49710.378900000003</v>
      </c>
      <c r="E17" s="18">
        <f>Reference!C15</f>
        <v>36.759099999999997</v>
      </c>
      <c r="F17" s="18">
        <f>Reference!D15</f>
        <v>43.830100000000002</v>
      </c>
      <c r="G17" s="18">
        <f>Reference!E15</f>
        <v>41.468299999999999</v>
      </c>
      <c r="H17" s="18">
        <f>Reference!F15</f>
        <v>77865.547000000006</v>
      </c>
      <c r="I17" s="18">
        <f>Reference!G15</f>
        <v>22.094000000000001</v>
      </c>
      <c r="J17" s="19">
        <f t="shared" si="3"/>
        <v>21.629318611111113</v>
      </c>
      <c r="L17" s="17">
        <f>Test!B15</f>
        <v>49701.233699999997</v>
      </c>
      <c r="M17" s="18">
        <f>Test!C15</f>
        <v>36.758899999999997</v>
      </c>
      <c r="N17" s="18">
        <f>Test!D15</f>
        <v>43.833300000000001</v>
      </c>
      <c r="O17" s="18">
        <f>Test!E15</f>
        <v>41.472999999999999</v>
      </c>
      <c r="P17" s="18">
        <f>Test!F15</f>
        <v>78423.172000000006</v>
      </c>
      <c r="Q17" s="18">
        <f>Test!G15</f>
        <v>22.058</v>
      </c>
      <c r="R17" s="18">
        <f t="shared" si="4"/>
        <v>21.784214444444444</v>
      </c>
      <c r="S17" s="17">
        <f t="shared" si="5"/>
        <v>1.0071613829412898</v>
      </c>
      <c r="T17" s="18">
        <f t="shared" si="6"/>
        <v>0.99837059835249387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26284.4211</v>
      </c>
      <c r="E18" s="23">
        <f>Reference!C16</f>
        <v>35.2605</v>
      </c>
      <c r="F18" s="23">
        <f>Reference!D16</f>
        <v>42.428100000000001</v>
      </c>
      <c r="G18" s="23">
        <f>Reference!E16</f>
        <v>40.2164</v>
      </c>
      <c r="H18" s="23">
        <f>Reference!F16</f>
        <v>47365.991999999998</v>
      </c>
      <c r="I18" s="23">
        <f>Reference!G16</f>
        <v>19.042000000000002</v>
      </c>
      <c r="J18" s="24">
        <f t="shared" si="3"/>
        <v>13.157219999999999</v>
      </c>
      <c r="L18" s="22">
        <f>Test!B16</f>
        <v>26287.2379</v>
      </c>
      <c r="M18" s="23">
        <f>Test!C16</f>
        <v>35.2605</v>
      </c>
      <c r="N18" s="23">
        <f>Test!D16</f>
        <v>42.415199999999999</v>
      </c>
      <c r="O18" s="23">
        <f>Test!E16</f>
        <v>40.2286</v>
      </c>
      <c r="P18" s="23">
        <f>Test!F16</f>
        <v>49313.940999999999</v>
      </c>
      <c r="Q18" s="23">
        <f>Test!G16</f>
        <v>19.742000000000001</v>
      </c>
      <c r="R18" s="23">
        <f t="shared" si="4"/>
        <v>13.698316944444445</v>
      </c>
      <c r="S18" s="17">
        <f t="shared" si="5"/>
        <v>1.0411254766922227</v>
      </c>
      <c r="T18" s="18">
        <f t="shared" si="6"/>
        <v>1.0367608444491125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67494.945999999996</v>
      </c>
      <c r="E19" s="13">
        <f>Reference!C17</f>
        <v>39.563000000000002</v>
      </c>
      <c r="F19" s="13">
        <f>Reference!D17</f>
        <v>40.538800000000002</v>
      </c>
      <c r="G19" s="13">
        <f>Reference!E17</f>
        <v>43.534300000000002</v>
      </c>
      <c r="H19" s="13">
        <f>Reference!F17</f>
        <v>84820.648000000001</v>
      </c>
      <c r="I19" s="13">
        <f>Reference!G17</f>
        <v>15.286</v>
      </c>
      <c r="J19" s="14">
        <f t="shared" si="3"/>
        <v>23.56129111111111</v>
      </c>
      <c r="L19" s="12">
        <f>Test!B17</f>
        <v>67508.488899999997</v>
      </c>
      <c r="M19" s="13">
        <f>Test!C17</f>
        <v>39.563600000000001</v>
      </c>
      <c r="N19" s="13">
        <f>Test!D17</f>
        <v>40.536299999999997</v>
      </c>
      <c r="O19" s="13">
        <f>Test!E17</f>
        <v>43.531599999999997</v>
      </c>
      <c r="P19" s="13">
        <f>Test!F17</f>
        <v>87351.312000000005</v>
      </c>
      <c r="Q19" s="13">
        <f>Test!G17</f>
        <v>15.656000000000001</v>
      </c>
      <c r="R19" s="13">
        <f t="shared" si="4"/>
        <v>24.264253333333336</v>
      </c>
      <c r="S19" s="12">
        <f t="shared" si="5"/>
        <v>1.0298354711932878</v>
      </c>
      <c r="T19" s="13">
        <f t="shared" si="6"/>
        <v>1.0242051550438309</v>
      </c>
      <c r="U19" s="90"/>
      <c r="V19" s="42">
        <f>bdrate($D19:$D22,E19:E22,$L19:$L22,M19:M22)</f>
        <v>9.5443081882473635E-5</v>
      </c>
      <c r="W19" s="42">
        <f>bdrate($D19:$D22,F19:F22,$L19:$L22,N19:N22)</f>
        <v>2.8332651708073975E-4</v>
      </c>
      <c r="X19" s="42">
        <f>bdrate($D19:$D22,G19:G22,$L19:$L22,O19:O22)</f>
        <v>-1.2181714216974449E-3</v>
      </c>
      <c r="Y19" s="40">
        <f>bdrateOld($D19:$D22,E19:E22,$L19:$L22,M19:M22)</f>
        <v>8.1337135746872846E-5</v>
      </c>
      <c r="Z19" s="44">
        <f>bdrateOld($D19:$D22,F19:F22,$L19:$L22,N19:N22)</f>
        <v>2.4061127481433964E-4</v>
      </c>
      <c r="AA19" s="45">
        <f>bdrateOld($D19:$D22,G19:G22,$L19:$L22,O19:O22)</f>
        <v>-1.087920336196313E-3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40264.393700000001</v>
      </c>
      <c r="E20" s="18">
        <f>Reference!C18</f>
        <v>37.929099999999998</v>
      </c>
      <c r="F20" s="18">
        <f>Reference!D18</f>
        <v>39.567500000000003</v>
      </c>
      <c r="G20" s="18">
        <f>Reference!E18</f>
        <v>42.1432</v>
      </c>
      <c r="H20" s="18">
        <f>Reference!F18</f>
        <v>65636.398000000001</v>
      </c>
      <c r="I20" s="18">
        <f>Reference!G18</f>
        <v>13.09</v>
      </c>
      <c r="J20" s="19">
        <f t="shared" si="3"/>
        <v>18.232332777777778</v>
      </c>
      <c r="L20" s="17">
        <f>Test!B18</f>
        <v>40277.942900000002</v>
      </c>
      <c r="M20" s="18">
        <f>Test!C18</f>
        <v>37.929699999999997</v>
      </c>
      <c r="N20" s="18">
        <f>Test!D18</f>
        <v>39.565399999999997</v>
      </c>
      <c r="O20" s="18">
        <f>Test!E18</f>
        <v>42.151400000000002</v>
      </c>
      <c r="P20" s="18">
        <f>Test!F18</f>
        <v>64489.207000000002</v>
      </c>
      <c r="Q20" s="18">
        <f>Test!G18</f>
        <v>12.795999999999999</v>
      </c>
      <c r="R20" s="18">
        <f t="shared" si="4"/>
        <v>17.913668611111113</v>
      </c>
      <c r="S20" s="17">
        <f t="shared" si="5"/>
        <v>0.98252202992613946</v>
      </c>
      <c r="T20" s="18">
        <f t="shared" si="6"/>
        <v>0.97754010695187166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23215.707900000001</v>
      </c>
      <c r="E21" s="18">
        <f>Reference!C19</f>
        <v>36.014099999999999</v>
      </c>
      <c r="F21" s="18">
        <f>Reference!D19</f>
        <v>38.716099999999997</v>
      </c>
      <c r="G21" s="18">
        <f>Reference!E19</f>
        <v>40.761899999999997</v>
      </c>
      <c r="H21" s="18">
        <f>Reference!F19</f>
        <v>48434.762000000002</v>
      </c>
      <c r="I21" s="18">
        <f>Reference!G19</f>
        <v>10.891</v>
      </c>
      <c r="J21" s="19">
        <f t="shared" si="3"/>
        <v>13.454100555555556</v>
      </c>
      <c r="L21" s="17">
        <f>Test!B19</f>
        <v>23214.196800000002</v>
      </c>
      <c r="M21" s="18">
        <f>Test!C19</f>
        <v>36.013800000000003</v>
      </c>
      <c r="N21" s="18">
        <f>Test!D19</f>
        <v>38.716999999999999</v>
      </c>
      <c r="O21" s="18">
        <f>Test!E19</f>
        <v>40.763599999999997</v>
      </c>
      <c r="P21" s="18">
        <f>Test!F19</f>
        <v>47698.891000000003</v>
      </c>
      <c r="Q21" s="18">
        <f>Test!G19</f>
        <v>10.863</v>
      </c>
      <c r="R21" s="18">
        <f t="shared" si="4"/>
        <v>13.249691944444445</v>
      </c>
      <c r="S21" s="17">
        <f t="shared" si="5"/>
        <v>0.98480696570781123</v>
      </c>
      <c r="T21" s="18">
        <f t="shared" si="6"/>
        <v>0.99742906987420799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11832.412700000001</v>
      </c>
      <c r="E22" s="23">
        <f>Reference!C20</f>
        <v>33.539200000000001</v>
      </c>
      <c r="F22" s="23">
        <f>Reference!D20</f>
        <v>37.526800000000001</v>
      </c>
      <c r="G22" s="23">
        <f>Reference!E20</f>
        <v>38.918700000000001</v>
      </c>
      <c r="H22" s="23">
        <f>Reference!F20</f>
        <v>32450.396000000001</v>
      </c>
      <c r="I22" s="23">
        <f>Reference!G20</f>
        <v>9.3379999999999992</v>
      </c>
      <c r="J22" s="24">
        <f t="shared" si="3"/>
        <v>9.0139988888888887</v>
      </c>
      <c r="L22" s="22">
        <f>Test!B20</f>
        <v>11837.5746</v>
      </c>
      <c r="M22" s="23">
        <f>Test!C20</f>
        <v>33.539900000000003</v>
      </c>
      <c r="N22" s="23">
        <f>Test!D20</f>
        <v>37.529499999999999</v>
      </c>
      <c r="O22" s="23">
        <f>Test!E20</f>
        <v>38.922800000000002</v>
      </c>
      <c r="P22" s="23">
        <f>Test!F20</f>
        <v>32056.895</v>
      </c>
      <c r="Q22" s="23">
        <f>Test!G20</f>
        <v>9.3719999999999999</v>
      </c>
      <c r="R22" s="23">
        <f t="shared" si="4"/>
        <v>8.9046930555555548</v>
      </c>
      <c r="S22" s="17">
        <f t="shared" si="5"/>
        <v>0.98787376893644074</v>
      </c>
      <c r="T22" s="18">
        <f t="shared" si="6"/>
        <v>1.003641036624545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42267.911099999998</v>
      </c>
      <c r="E23" s="13">
        <f>Reference!C21</f>
        <v>40.197000000000003</v>
      </c>
      <c r="F23" s="13">
        <f>Reference!D21</f>
        <v>44.213000000000001</v>
      </c>
      <c r="G23" s="13">
        <f>Reference!E21</f>
        <v>45.685099999999998</v>
      </c>
      <c r="H23" s="13">
        <f>Reference!F21</f>
        <v>73226.335999999996</v>
      </c>
      <c r="I23" s="13">
        <f>Reference!G21</f>
        <v>13.289</v>
      </c>
      <c r="J23" s="14">
        <f t="shared" si="3"/>
        <v>20.340648888888889</v>
      </c>
      <c r="L23" s="12">
        <f>Test!B21</f>
        <v>42271.7333</v>
      </c>
      <c r="M23" s="13">
        <f>Test!C21</f>
        <v>40.197099999999999</v>
      </c>
      <c r="N23" s="13">
        <f>Test!D21</f>
        <v>44.214599999999997</v>
      </c>
      <c r="O23" s="13">
        <f>Test!E21</f>
        <v>45.685400000000001</v>
      </c>
      <c r="P23" s="13">
        <f>Test!F21</f>
        <v>75490.577999999994</v>
      </c>
      <c r="Q23" s="13">
        <f>Test!G21</f>
        <v>13.363</v>
      </c>
      <c r="R23" s="13">
        <f t="shared" si="4"/>
        <v>20.969604999999998</v>
      </c>
      <c r="S23" s="17">
        <f t="shared" si="5"/>
        <v>1.0309211429068361</v>
      </c>
      <c r="T23" s="18">
        <f t="shared" si="6"/>
        <v>1.0055685153134171</v>
      </c>
      <c r="U23" s="91"/>
      <c r="V23" s="42">
        <f>bdrate($D23:$D26,E23:E26,$L23:$L26,M23:M26)</f>
        <v>-7.0980902406203583E-5</v>
      </c>
      <c r="W23" s="42">
        <f>bdrate($D23:$D26,F23:F26,$L23:$L26,N23:N26)</f>
        <v>-1.8967884499112575E-3</v>
      </c>
      <c r="X23" s="42">
        <f>bdrate($D23:$D26,G23:G26,$L23:$L26,O23:O26)</f>
        <v>5.9113548956934991E-4</v>
      </c>
      <c r="Y23" s="40">
        <f>bdrateOld($D23:$D26,E23:E26,$L23:$L26,M23:M26)</f>
        <v>-9.0002375135567192E-5</v>
      </c>
      <c r="Z23" s="44">
        <f>bdrateOld($D23:$D26,F23:F26,$L23:$L26,N23:N26)</f>
        <v>-2.2367739399700159E-3</v>
      </c>
      <c r="AA23" s="45">
        <f>bdrateOld($D23:$D26,G23:G26,$L23:$L26,O23:O26)</f>
        <v>7.279680081955231E-4</v>
      </c>
    </row>
    <row r="24" spans="1:27" x14ac:dyDescent="0.2">
      <c r="A24" s="34"/>
      <c r="B24" s="85"/>
      <c r="C24" s="16">
        <v>32</v>
      </c>
      <c r="D24" s="17">
        <f>Reference!B22</f>
        <v>22922.736499999999</v>
      </c>
      <c r="E24" s="18">
        <f>Reference!C22</f>
        <v>38.721800000000002</v>
      </c>
      <c r="F24" s="18">
        <f>Reference!D22</f>
        <v>43.267299999999999</v>
      </c>
      <c r="G24" s="18">
        <f>Reference!E22</f>
        <v>44.241100000000003</v>
      </c>
      <c r="H24" s="18">
        <f>Reference!F22</f>
        <v>52491.809000000001</v>
      </c>
      <c r="I24" s="18">
        <f>Reference!G22</f>
        <v>11.172000000000001</v>
      </c>
      <c r="J24" s="19">
        <f t="shared" si="3"/>
        <v>14.581058055555555</v>
      </c>
      <c r="L24" s="17">
        <f>Test!B22</f>
        <v>22926.019</v>
      </c>
      <c r="M24" s="18">
        <f>Test!C22</f>
        <v>38.722099999999998</v>
      </c>
      <c r="N24" s="18">
        <f>Test!D22</f>
        <v>43.268900000000002</v>
      </c>
      <c r="O24" s="18">
        <f>Test!E22</f>
        <v>44.243600000000001</v>
      </c>
      <c r="P24" s="18">
        <f>Test!F22</f>
        <v>51328.413999999997</v>
      </c>
      <c r="Q24" s="18">
        <f>Test!G22</f>
        <v>11.111000000000001</v>
      </c>
      <c r="R24" s="18">
        <f t="shared" si="4"/>
        <v>14.257892777777776</v>
      </c>
      <c r="S24" s="17">
        <f t="shared" si="5"/>
        <v>0.97783663733135961</v>
      </c>
      <c r="T24" s="18">
        <f t="shared" si="6"/>
        <v>0.99453992123165058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12964.0762</v>
      </c>
      <c r="E25" s="18">
        <f>Reference!C23</f>
        <v>37.282600000000002</v>
      </c>
      <c r="F25" s="18">
        <f>Reference!D23</f>
        <v>42.193399999999997</v>
      </c>
      <c r="G25" s="18">
        <f>Reference!E23</f>
        <v>42.682499999999997</v>
      </c>
      <c r="H25" s="18">
        <f>Reference!F23</f>
        <v>34421.5</v>
      </c>
      <c r="I25" s="18">
        <f>Reference!G23</f>
        <v>9.6820000000000004</v>
      </c>
      <c r="J25" s="19">
        <f t="shared" si="3"/>
        <v>9.5615277777777781</v>
      </c>
      <c r="L25" s="17">
        <f>Test!B23</f>
        <v>12952.292100000001</v>
      </c>
      <c r="M25" s="18">
        <f>Test!C23</f>
        <v>37.280799999999999</v>
      </c>
      <c r="N25" s="18">
        <f>Test!D23</f>
        <v>42.200800000000001</v>
      </c>
      <c r="O25" s="18">
        <f>Test!E23</f>
        <v>42.674199999999999</v>
      </c>
      <c r="P25" s="18">
        <f>Test!F23</f>
        <v>36287.836000000003</v>
      </c>
      <c r="Q25" s="18">
        <f>Test!G23</f>
        <v>9.798</v>
      </c>
      <c r="R25" s="18">
        <f t="shared" si="4"/>
        <v>10.079954444444445</v>
      </c>
      <c r="S25" s="17">
        <f t="shared" si="5"/>
        <v>1.0542200659471552</v>
      </c>
      <c r="T25" s="18">
        <f t="shared" si="6"/>
        <v>1.0119809956620534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6928.9396999999999</v>
      </c>
      <c r="E26" s="23">
        <f>Reference!C24</f>
        <v>35.361499999999999</v>
      </c>
      <c r="F26" s="23">
        <f>Reference!D24</f>
        <v>40.691000000000003</v>
      </c>
      <c r="G26" s="23">
        <f>Reference!E24</f>
        <v>40.660200000000003</v>
      </c>
      <c r="H26" s="23">
        <f>Reference!F24</f>
        <v>21791.706999999999</v>
      </c>
      <c r="I26" s="23">
        <f>Reference!G24</f>
        <v>8.3930000000000007</v>
      </c>
      <c r="J26" s="24">
        <f t="shared" si="3"/>
        <v>6.0532519444444439</v>
      </c>
      <c r="L26" s="22">
        <f>Test!B24</f>
        <v>6922.0190000000002</v>
      </c>
      <c r="M26" s="23">
        <f>Test!C24</f>
        <v>35.357599999999998</v>
      </c>
      <c r="N26" s="23">
        <f>Test!D24</f>
        <v>40.681100000000001</v>
      </c>
      <c r="O26" s="23">
        <f>Test!E24</f>
        <v>40.655500000000004</v>
      </c>
      <c r="P26" s="23">
        <f>Test!F24</f>
        <v>22074.98</v>
      </c>
      <c r="Q26" s="23">
        <f>Test!G24</f>
        <v>9.0120000000000005</v>
      </c>
      <c r="R26" s="23">
        <f t="shared" si="4"/>
        <v>6.1319388888888886</v>
      </c>
      <c r="S26" s="17">
        <f t="shared" si="5"/>
        <v>1.0129991193438863</v>
      </c>
      <c r="T26" s="18">
        <f t="shared" si="6"/>
        <v>1.0737519361372572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64671.494400000003</v>
      </c>
      <c r="E27" s="13">
        <f>Reference!C25</f>
        <v>41.737299999999998</v>
      </c>
      <c r="F27" s="13">
        <f>Reference!D25</f>
        <v>44.441200000000002</v>
      </c>
      <c r="G27" s="13">
        <f>Reference!E25</f>
        <v>45.163499999999999</v>
      </c>
      <c r="H27" s="13">
        <f>Reference!F25</f>
        <v>92360.531000000003</v>
      </c>
      <c r="I27" s="13">
        <f>Reference!G25</f>
        <v>16.545000000000002</v>
      </c>
      <c r="J27" s="14">
        <f>H27/3600</f>
        <v>25.655703055555556</v>
      </c>
      <c r="L27" s="12">
        <f>Test!B25</f>
        <v>64678.713600000003</v>
      </c>
      <c r="M27" s="13">
        <f>Test!C25</f>
        <v>41.737200000000001</v>
      </c>
      <c r="N27" s="13">
        <f>Test!D25</f>
        <v>44.442900000000002</v>
      </c>
      <c r="O27" s="13">
        <f>Test!E25</f>
        <v>45.164700000000003</v>
      </c>
      <c r="P27" s="13">
        <f>Test!F25</f>
        <v>91393.023000000001</v>
      </c>
      <c r="Q27" s="13">
        <f>Test!G25</f>
        <v>16.475999999999999</v>
      </c>
      <c r="R27" s="13">
        <f>P27/3600</f>
        <v>25.386950833333334</v>
      </c>
      <c r="S27" s="17">
        <f>P27/H27</f>
        <v>0.98952465961894476</v>
      </c>
      <c r="T27" s="18">
        <f>Q27/I27</f>
        <v>0.99582955575702614</v>
      </c>
      <c r="U27" s="91"/>
      <c r="V27" s="42">
        <f>bdrate($D27:$D30,E27:E30,$L27:$L30,M27:M30)</f>
        <v>7.9219995905432938E-6</v>
      </c>
      <c r="W27" s="42">
        <f>bdrate($D27:$D30,F27:F30,$L27:$L30,N27:N30)</f>
        <v>-2.6481316832593915E-4</v>
      </c>
      <c r="X27" s="43">
        <f>bdrate($D27:$D30,G27:G30,$L27:$L30,O27:O30)</f>
        <v>-8.1109871308482351E-4</v>
      </c>
      <c r="Y27" s="37">
        <f>bdrateOld($D27:$D30,E27:E30,$L27:$L30,M27:M30)</f>
        <v>1.252993167000227E-5</v>
      </c>
      <c r="Z27" s="42">
        <f>bdrateOld($D27:$D30,F27:F30,$L27:$L30,N27:N30)</f>
        <v>-2.9604858465626105E-4</v>
      </c>
      <c r="AA27" s="43">
        <f>bdrateOld($D27:$D30,G27:G30,$L27:$L30,O27:O30)</f>
        <v>-9.0951784821247106E-4</v>
      </c>
    </row>
    <row r="28" spans="1:27" x14ac:dyDescent="0.2">
      <c r="A28" s="16"/>
      <c r="B28" s="85"/>
      <c r="C28" s="16">
        <v>48</v>
      </c>
      <c r="D28" s="17">
        <f>Reference!B26</f>
        <v>41712.6656</v>
      </c>
      <c r="E28" s="18">
        <f>Reference!C26</f>
        <v>39.930900000000001</v>
      </c>
      <c r="F28" s="18">
        <f>Reference!D26</f>
        <v>43.0349</v>
      </c>
      <c r="G28" s="18">
        <f>Reference!E26</f>
        <v>43.9268</v>
      </c>
      <c r="H28" s="18">
        <f>Reference!F26</f>
        <v>68868.077999999994</v>
      </c>
      <c r="I28" s="18">
        <f>Reference!G26</f>
        <v>14.343</v>
      </c>
      <c r="J28" s="19">
        <f t="shared" ref="J28:J46" si="7">H28/3600</f>
        <v>19.130021666666664</v>
      </c>
      <c r="L28" s="17">
        <f>Test!B26</f>
        <v>41712.351999999999</v>
      </c>
      <c r="M28" s="18">
        <f>Test!C26</f>
        <v>39.930799999999998</v>
      </c>
      <c r="N28" s="18">
        <f>Test!D26</f>
        <v>43.034700000000001</v>
      </c>
      <c r="O28" s="18">
        <f>Test!E26</f>
        <v>43.927500000000002</v>
      </c>
      <c r="P28" s="18">
        <f>Test!F26</f>
        <v>69268.437999999995</v>
      </c>
      <c r="Q28" s="18">
        <f>Test!G26</f>
        <v>14.407999999999999</v>
      </c>
      <c r="R28" s="18">
        <f t="shared" ref="R28:R46" si="8">P28/3600</f>
        <v>19.241232777777775</v>
      </c>
      <c r="S28" s="17">
        <f t="shared" ref="S28:S46" si="9">P28/H28</f>
        <v>1.0058134336201454</v>
      </c>
      <c r="T28" s="18">
        <f t="shared" ref="T28:T46" si="10">Q28/I28</f>
        <v>1.0045318273722372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24533.356800000001</v>
      </c>
      <c r="E29" s="18">
        <f>Reference!C27</f>
        <v>37.703699999999998</v>
      </c>
      <c r="F29" s="18">
        <f>Reference!D27</f>
        <v>41.734000000000002</v>
      </c>
      <c r="G29" s="18">
        <f>Reference!E27</f>
        <v>42.630400000000002</v>
      </c>
      <c r="H29" s="18">
        <f>Reference!F27</f>
        <v>49238.32</v>
      </c>
      <c r="I29" s="18">
        <f>Reference!G27</f>
        <v>12.201000000000001</v>
      </c>
      <c r="J29" s="19">
        <f t="shared" si="7"/>
        <v>13.677311111111111</v>
      </c>
      <c r="L29" s="17">
        <f>Test!B27</f>
        <v>24536.6656</v>
      </c>
      <c r="M29" s="18">
        <f>Test!C27</f>
        <v>37.7042</v>
      </c>
      <c r="N29" s="18">
        <f>Test!D27</f>
        <v>41.736600000000003</v>
      </c>
      <c r="O29" s="18">
        <f>Test!E27</f>
        <v>42.6355</v>
      </c>
      <c r="P29" s="18">
        <f>Test!F27</f>
        <v>49804.305</v>
      </c>
      <c r="Q29" s="18">
        <f>Test!G27</f>
        <v>12.339</v>
      </c>
      <c r="R29" s="18">
        <f t="shared" si="8"/>
        <v>13.834529166666666</v>
      </c>
      <c r="S29" s="17">
        <f t="shared" si="9"/>
        <v>1.0114948072964309</v>
      </c>
      <c r="T29" s="18">
        <f t="shared" si="10"/>
        <v>1.0113105483157119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12379.712</v>
      </c>
      <c r="E30" s="23">
        <f>Reference!C28</f>
        <v>35.008899999999997</v>
      </c>
      <c r="F30" s="23">
        <f>Reference!D28</f>
        <v>40.169499999999999</v>
      </c>
      <c r="G30" s="23">
        <f>Reference!E28</f>
        <v>41.012300000000003</v>
      </c>
      <c r="H30" s="23">
        <f>Reference!F28</f>
        <v>30852.942999999999</v>
      </c>
      <c r="I30" s="23">
        <f>Reference!G28</f>
        <v>10.489000000000001</v>
      </c>
      <c r="J30" s="24">
        <f t="shared" si="7"/>
        <v>8.5702619444444448</v>
      </c>
      <c r="L30" s="22">
        <f>Test!B28</f>
        <v>12379.084800000001</v>
      </c>
      <c r="M30" s="23">
        <f>Test!C28</f>
        <v>35.009099999999997</v>
      </c>
      <c r="N30" s="23">
        <f>Test!D28</f>
        <v>40.167299999999997</v>
      </c>
      <c r="O30" s="23">
        <f>Test!E28</f>
        <v>41.01</v>
      </c>
      <c r="P30" s="23">
        <f>Test!F28</f>
        <v>32467.895</v>
      </c>
      <c r="Q30" s="23">
        <f>Test!G28</f>
        <v>10.801</v>
      </c>
      <c r="R30" s="23">
        <f t="shared" si="8"/>
        <v>9.0188597222222224</v>
      </c>
      <c r="S30" s="17">
        <f t="shared" si="9"/>
        <v>1.0523435317013357</v>
      </c>
      <c r="T30" s="18">
        <f t="shared" si="10"/>
        <v>1.0297454476117838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39540.6976</v>
      </c>
      <c r="E31" s="13">
        <f>Reference!C29</f>
        <v>44.935200000000002</v>
      </c>
      <c r="F31" s="13">
        <f>Reference!D29</f>
        <v>47.607900000000001</v>
      </c>
      <c r="G31" s="13">
        <f>Reference!E29</f>
        <v>48.338799999999999</v>
      </c>
      <c r="H31" s="13">
        <f>Reference!F29</f>
        <v>61518.188000000002</v>
      </c>
      <c r="I31" s="13">
        <f>Reference!G29</f>
        <v>14.576000000000001</v>
      </c>
      <c r="J31" s="14">
        <f t="shared" si="7"/>
        <v>17.088385555555558</v>
      </c>
      <c r="L31" s="12">
        <f>Test!B29</f>
        <v>39533.638400000003</v>
      </c>
      <c r="M31" s="13">
        <f>Test!C29</f>
        <v>44.935200000000002</v>
      </c>
      <c r="N31" s="13">
        <f>Test!D29</f>
        <v>47.604300000000002</v>
      </c>
      <c r="O31" s="13">
        <f>Test!E29</f>
        <v>48.335599999999999</v>
      </c>
      <c r="P31" s="13">
        <f>Test!F29</f>
        <v>60375.809000000001</v>
      </c>
      <c r="Q31" s="13">
        <f>Test!G29</f>
        <v>14.414999999999999</v>
      </c>
      <c r="R31" s="13">
        <f t="shared" si="8"/>
        <v>16.771058055555557</v>
      </c>
      <c r="S31" s="17">
        <f t="shared" si="9"/>
        <v>0.98143022352999087</v>
      </c>
      <c r="T31" s="18">
        <f t="shared" si="10"/>
        <v>0.98895444566410529</v>
      </c>
      <c r="U31" s="91"/>
      <c r="V31" s="42">
        <f>bdrate($D31:$D34,E31:E34,$L31:$L34,M31:M34)</f>
        <v>1.4888806873392113E-5</v>
      </c>
      <c r="W31" s="42">
        <f>bdrate($D31:$D34,F31:F34,$L31:$L34,N31:N34)</f>
        <v>-2.135461941292105E-3</v>
      </c>
      <c r="X31" s="42">
        <f>bdrate($D31:$D34,G31:G34,$L31:$L34,O31:O34)</f>
        <v>-5.1448381769603202E-4</v>
      </c>
      <c r="Y31" s="40">
        <f>bdrateOld($D31:$D34,E31:E34,$L31:$L34,M31:M34)</f>
        <v>-3.1311718983184633E-6</v>
      </c>
      <c r="Z31" s="44">
        <f>bdrateOld($D31:$D34,F31:F34,$L31:$L34,N31:N34)</f>
        <v>-2.5033023530781628E-3</v>
      </c>
      <c r="AA31" s="45">
        <f>bdrateOld($D31:$D34,G31:G34,$L31:$L34,O31:O34)</f>
        <v>-3.5128148555685357E-4</v>
      </c>
    </row>
    <row r="32" spans="1:27" x14ac:dyDescent="0.2">
      <c r="A32" s="16"/>
      <c r="B32" s="85"/>
      <c r="C32" s="16">
        <v>48</v>
      </c>
      <c r="D32" s="17">
        <f>Reference!B30</f>
        <v>26056.460800000001</v>
      </c>
      <c r="E32" s="18">
        <f>Reference!C30</f>
        <v>42.767699999999998</v>
      </c>
      <c r="F32" s="18">
        <f>Reference!D30</f>
        <v>46.0075</v>
      </c>
      <c r="G32" s="18">
        <f>Reference!E30</f>
        <v>46.536099999999998</v>
      </c>
      <c r="H32" s="18">
        <f>Reference!F30</f>
        <v>48173.66</v>
      </c>
      <c r="I32" s="18">
        <f>Reference!G30</f>
        <v>12.688000000000001</v>
      </c>
      <c r="J32" s="19">
        <f t="shared" si="7"/>
        <v>13.381572222222223</v>
      </c>
      <c r="L32" s="17">
        <f>Test!B30</f>
        <v>26053.7088</v>
      </c>
      <c r="M32" s="18">
        <f>Test!C30</f>
        <v>42.766599999999997</v>
      </c>
      <c r="N32" s="18">
        <f>Test!D30</f>
        <v>46.002699999999997</v>
      </c>
      <c r="O32" s="18">
        <f>Test!E30</f>
        <v>46.531599999999997</v>
      </c>
      <c r="P32" s="18">
        <f>Test!F30</f>
        <v>48432.464999999997</v>
      </c>
      <c r="Q32" s="18">
        <f>Test!G30</f>
        <v>12.772</v>
      </c>
      <c r="R32" s="18">
        <f t="shared" si="8"/>
        <v>13.453462499999999</v>
      </c>
      <c r="S32" s="17">
        <f t="shared" si="9"/>
        <v>1.005372334175979</v>
      </c>
      <c r="T32" s="18">
        <f t="shared" si="10"/>
        <v>1.0066204287515763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15441.3696</v>
      </c>
      <c r="E33" s="18">
        <f>Reference!C31</f>
        <v>40.0809</v>
      </c>
      <c r="F33" s="18">
        <f>Reference!D31</f>
        <v>44.455599999999997</v>
      </c>
      <c r="G33" s="18">
        <f>Reference!E31</f>
        <v>44.716099999999997</v>
      </c>
      <c r="H33" s="18">
        <f>Reference!F31</f>
        <v>36652.167999999998</v>
      </c>
      <c r="I33" s="18">
        <f>Reference!G31</f>
        <v>11.239000000000001</v>
      </c>
      <c r="J33" s="19">
        <f t="shared" si="7"/>
        <v>10.181157777777777</v>
      </c>
      <c r="L33" s="17">
        <f>Test!B31</f>
        <v>15440.6976</v>
      </c>
      <c r="M33" s="18">
        <f>Test!C31</f>
        <v>40.081299999999999</v>
      </c>
      <c r="N33" s="18">
        <f>Test!D31</f>
        <v>44.474400000000003</v>
      </c>
      <c r="O33" s="18">
        <f>Test!E31</f>
        <v>44.7134</v>
      </c>
      <c r="P33" s="18">
        <f>Test!F31</f>
        <v>37049.18</v>
      </c>
      <c r="Q33" s="18">
        <f>Test!G31</f>
        <v>11.484999999999999</v>
      </c>
      <c r="R33" s="18">
        <f t="shared" si="8"/>
        <v>10.291438888888889</v>
      </c>
      <c r="S33" s="17">
        <f t="shared" si="9"/>
        <v>1.0108318831235303</v>
      </c>
      <c r="T33" s="18">
        <f t="shared" si="10"/>
        <v>1.0218880683334814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8055.1296000000002</v>
      </c>
      <c r="E34" s="23">
        <f>Reference!C32</f>
        <v>37.008699999999997</v>
      </c>
      <c r="F34" s="23">
        <f>Reference!D32</f>
        <v>42.448500000000003</v>
      </c>
      <c r="G34" s="23">
        <f>Reference!E32</f>
        <v>42.4863</v>
      </c>
      <c r="H34" s="23">
        <f>Reference!F32</f>
        <v>23852.530999999999</v>
      </c>
      <c r="I34" s="23">
        <f>Reference!G32</f>
        <v>9.6379999999999999</v>
      </c>
      <c r="J34" s="24">
        <f t="shared" si="7"/>
        <v>6.6257030555555554</v>
      </c>
      <c r="L34" s="22">
        <f>Test!B32</f>
        <v>8060.4160000000002</v>
      </c>
      <c r="M34" s="23">
        <f>Test!C32</f>
        <v>37.010100000000001</v>
      </c>
      <c r="N34" s="23">
        <f>Test!D32</f>
        <v>42.451599999999999</v>
      </c>
      <c r="O34" s="23">
        <f>Test!E32</f>
        <v>42.517400000000002</v>
      </c>
      <c r="P34" s="23">
        <f>Test!F32</f>
        <v>24011.873</v>
      </c>
      <c r="Q34" s="23">
        <f>Test!G32</f>
        <v>10.068</v>
      </c>
      <c r="R34" s="23">
        <f t="shared" si="8"/>
        <v>6.6699647222222218</v>
      </c>
      <c r="S34" s="17">
        <f t="shared" si="9"/>
        <v>1.006680297365508</v>
      </c>
      <c r="T34" s="18">
        <f t="shared" si="10"/>
        <v>1.0446150653662585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51331.078000000001</v>
      </c>
      <c r="I35" s="13">
        <f>Reference!G33</f>
        <v>9.2089999999999996</v>
      </c>
      <c r="J35" s="14">
        <f t="shared" si="7"/>
        <v>14.258632777777779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50159.296999999999</v>
      </c>
      <c r="Q35" s="13">
        <f>Test!G33</f>
        <v>9.2569999999999997</v>
      </c>
      <c r="R35" s="13">
        <f t="shared" si="8"/>
        <v>13.933138055555554</v>
      </c>
      <c r="S35" s="12">
        <f t="shared" si="9"/>
        <v>0.97717209445708497</v>
      </c>
      <c r="T35" s="13">
        <f t="shared" si="10"/>
        <v>1.0052122923227278</v>
      </c>
      <c r="U35" s="90"/>
      <c r="V35" s="42">
        <f>bdrate($D35:$D38,E35:E38,$L35:$L38,M35:M38)</f>
        <v>-4.4396014337033662E-6</v>
      </c>
      <c r="W35" s="42">
        <f>bdrate($D35:$D38,F35:F38,$L35:$L38,N35:N38)</f>
        <v>-5.0552474683629445E-4</v>
      </c>
      <c r="X35" s="42">
        <f>bdrate($D35:$D38,G35:G38,$L35:$L38,O35:O38)</f>
        <v>-2.0381900951582654E-4</v>
      </c>
      <c r="Y35" s="40">
        <f>bdrateOld($D35:$D38,E35:E38,$L35:$L38,M35:M38)</f>
        <v>-4.3321321028244597E-6</v>
      </c>
      <c r="Z35" s="44">
        <f>bdrateOld($D35:$D38,F35:F38,$L35:$L38,N35:N38)</f>
        <v>-5.3349299568627995E-4</v>
      </c>
      <c r="AA35" s="45">
        <f>bdrateOld($D35:$D38,G35:G38,$L35:$L38,O35:O38)</f>
        <v>-1.9554082217454472E-4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36759.296000000002</v>
      </c>
      <c r="E36" s="18">
        <f>Reference!C34</f>
        <v>38.811300000000003</v>
      </c>
      <c r="F36" s="18">
        <f>Reference!D34</f>
        <v>44.322299999999998</v>
      </c>
      <c r="G36" s="18">
        <f>Reference!E34</f>
        <v>44.660899999999998</v>
      </c>
      <c r="H36" s="18">
        <f>Reference!F34</f>
        <v>44427.362999999998</v>
      </c>
      <c r="I36" s="18">
        <f>Reference!G34</f>
        <v>8.1479999999999997</v>
      </c>
      <c r="J36" s="19">
        <f t="shared" si="7"/>
        <v>12.340934166666665</v>
      </c>
      <c r="L36" s="17">
        <f>Test!B34</f>
        <v>36758.131200000003</v>
      </c>
      <c r="M36" s="18">
        <f>Test!C34</f>
        <v>38.811199999999999</v>
      </c>
      <c r="N36" s="18">
        <f>Test!D34</f>
        <v>44.325200000000002</v>
      </c>
      <c r="O36" s="18">
        <f>Test!E34</f>
        <v>44.660699999999999</v>
      </c>
      <c r="P36" s="18">
        <f>Test!F34</f>
        <v>44645.688000000002</v>
      </c>
      <c r="Q36" s="18">
        <f>Test!G34</f>
        <v>8.1620000000000008</v>
      </c>
      <c r="R36" s="18">
        <f t="shared" si="8"/>
        <v>12.401580000000001</v>
      </c>
      <c r="S36" s="17">
        <f t="shared" si="9"/>
        <v>1.0049142011872279</v>
      </c>
      <c r="T36" s="18">
        <f t="shared" si="10"/>
        <v>1.0017182130584195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21831.2448</v>
      </c>
      <c r="E37" s="18">
        <f>Reference!C35</f>
        <v>35.423699999999997</v>
      </c>
      <c r="F37" s="18">
        <f>Reference!D35</f>
        <v>42.871499999999997</v>
      </c>
      <c r="G37" s="18">
        <f>Reference!E35</f>
        <v>43.200699999999998</v>
      </c>
      <c r="H37" s="18">
        <f>Reference!F35</f>
        <v>36259.906000000003</v>
      </c>
      <c r="I37" s="18">
        <f>Reference!G35</f>
        <v>6.8620000000000001</v>
      </c>
      <c r="J37" s="19">
        <f t="shared" si="7"/>
        <v>10.072196111111111</v>
      </c>
      <c r="L37" s="17">
        <f>Test!B35</f>
        <v>21830.687999999998</v>
      </c>
      <c r="M37" s="18">
        <f>Test!C35</f>
        <v>35.4236</v>
      </c>
      <c r="N37" s="18">
        <f>Test!D35</f>
        <v>42.872100000000003</v>
      </c>
      <c r="O37" s="18">
        <f>Test!E35</f>
        <v>43.201700000000002</v>
      </c>
      <c r="P37" s="18">
        <f>Test!F35</f>
        <v>36387.879000000001</v>
      </c>
      <c r="Q37" s="18">
        <f>Test!G35</f>
        <v>7.1020000000000003</v>
      </c>
      <c r="R37" s="18">
        <f t="shared" si="8"/>
        <v>10.107744166666667</v>
      </c>
      <c r="S37" s="17">
        <f t="shared" si="9"/>
        <v>1.0035293252001261</v>
      </c>
      <c r="T37" s="18">
        <f t="shared" si="10"/>
        <v>1.0349752258816671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10756.2176</v>
      </c>
      <c r="E38" s="23">
        <f>Reference!C36</f>
        <v>31.796500000000002</v>
      </c>
      <c r="F38" s="23">
        <f>Reference!D36</f>
        <v>41.5002</v>
      </c>
      <c r="G38" s="23">
        <f>Reference!E36</f>
        <v>41.678800000000003</v>
      </c>
      <c r="H38" s="23">
        <f>Reference!F36</f>
        <v>26038.782999999999</v>
      </c>
      <c r="I38" s="23">
        <f>Reference!G36</f>
        <v>5.5590000000000002</v>
      </c>
      <c r="J38" s="24">
        <f t="shared" si="7"/>
        <v>7.2329952777777775</v>
      </c>
      <c r="L38" s="22">
        <f>Test!B36</f>
        <v>10755.910400000001</v>
      </c>
      <c r="M38" s="23">
        <f>Test!C36</f>
        <v>31.796199999999999</v>
      </c>
      <c r="N38" s="23">
        <f>Test!D36</f>
        <v>41.500999999999998</v>
      </c>
      <c r="O38" s="23">
        <f>Test!E36</f>
        <v>41.679699999999997</v>
      </c>
      <c r="P38" s="23">
        <f>Test!F36</f>
        <v>26396.096000000001</v>
      </c>
      <c r="Q38" s="23">
        <f>Test!G36</f>
        <v>5.8230000000000004</v>
      </c>
      <c r="R38" s="23">
        <f t="shared" si="8"/>
        <v>7.3322488888888895</v>
      </c>
      <c r="S38" s="17">
        <f t="shared" si="9"/>
        <v>1.0137223387129883</v>
      </c>
      <c r="T38" s="18">
        <f t="shared" si="10"/>
        <v>1.0474905558553698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20107.385600000001</v>
      </c>
      <c r="E39" s="13">
        <f>Reference!C37</f>
        <v>42.69</v>
      </c>
      <c r="F39" s="13">
        <f>Reference!D37</f>
        <v>45.481200000000001</v>
      </c>
      <c r="G39" s="13">
        <f>Reference!E37</f>
        <v>47.031799999999997</v>
      </c>
      <c r="H39" s="13">
        <f>Reference!F37</f>
        <v>33320.745999999999</v>
      </c>
      <c r="I39" s="13">
        <f>Reference!G37</f>
        <v>6.234</v>
      </c>
      <c r="J39" s="14">
        <f t="shared" si="7"/>
        <v>9.2557627777777771</v>
      </c>
      <c r="L39" s="12">
        <f>Test!B37</f>
        <v>20102.272000000001</v>
      </c>
      <c r="M39" s="13">
        <f>Test!C37</f>
        <v>42.688400000000001</v>
      </c>
      <c r="N39" s="13">
        <f>Test!D37</f>
        <v>45.477699999999999</v>
      </c>
      <c r="O39" s="13">
        <f>Test!E37</f>
        <v>47.034100000000002</v>
      </c>
      <c r="P39" s="13">
        <f>Test!F37</f>
        <v>34298.887000000002</v>
      </c>
      <c r="Q39" s="13">
        <f>Test!G37</f>
        <v>6.45</v>
      </c>
      <c r="R39" s="13">
        <f t="shared" si="8"/>
        <v>9.5274686111111127</v>
      </c>
      <c r="S39" s="17">
        <f t="shared" si="9"/>
        <v>1.0293553151541086</v>
      </c>
      <c r="T39" s="18">
        <f t="shared" si="10"/>
        <v>1.0346487006737248</v>
      </c>
      <c r="U39" s="91"/>
      <c r="V39" s="42">
        <f>bdrate($D39:$D42,E39:E42,$L39:$L42,M39:M42)</f>
        <v>-1.184332549608591E-5</v>
      </c>
      <c r="W39" s="42">
        <f>bdrate($D39:$D42,F39:F42,$L39:$L42,N39:N42)</f>
        <v>4.8707095453481841E-4</v>
      </c>
      <c r="X39" s="42">
        <f>bdrate($D39:$D42,G39:G42,$L39:$L42,O39:O42)</f>
        <v>-3.2478450260881031E-3</v>
      </c>
      <c r="Y39" s="40">
        <f>bdrateOld($D39:$D42,E39:E42,$L39:$L42,M39:M42)</f>
        <v>-1.5477149199694118E-5</v>
      </c>
      <c r="Z39" s="44">
        <f>bdrateOld($D39:$D42,F39:F42,$L39:$L42,N39:N42)</f>
        <v>3.9424335906645958E-4</v>
      </c>
      <c r="AA39" s="45">
        <f>bdrateOld($D39:$D42,G39:G42,$L39:$L42,O39:O42)</f>
        <v>-3.6110939506051043E-3</v>
      </c>
    </row>
    <row r="40" spans="1:27" x14ac:dyDescent="0.2">
      <c r="A40" s="16"/>
      <c r="B40" s="85"/>
      <c r="C40" s="16">
        <v>32</v>
      </c>
      <c r="D40" s="17">
        <f>Reference!B38</f>
        <v>11409.843199999999</v>
      </c>
      <c r="E40" s="18">
        <f>Reference!C38</f>
        <v>40.6663</v>
      </c>
      <c r="F40" s="18">
        <f>Reference!D38</f>
        <v>44.567500000000003</v>
      </c>
      <c r="G40" s="18">
        <f>Reference!E38</f>
        <v>45.400300000000001</v>
      </c>
      <c r="H40" s="18">
        <f>Reference!F38</f>
        <v>24880.322</v>
      </c>
      <c r="I40" s="18">
        <f>Reference!G38</f>
        <v>5.4480000000000004</v>
      </c>
      <c r="J40" s="19">
        <f t="shared" si="7"/>
        <v>6.9112005555555553</v>
      </c>
      <c r="L40" s="17">
        <f>Test!B38</f>
        <v>11416.6656</v>
      </c>
      <c r="M40" s="18">
        <f>Test!C38</f>
        <v>40.667999999999999</v>
      </c>
      <c r="N40" s="18">
        <f>Test!D38</f>
        <v>44.567700000000002</v>
      </c>
      <c r="O40" s="18">
        <f>Test!E38</f>
        <v>45.400799999999997</v>
      </c>
      <c r="P40" s="18">
        <f>Test!F38</f>
        <v>25105.116999999998</v>
      </c>
      <c r="Q40" s="18">
        <f>Test!G38</f>
        <v>5.4130000000000003</v>
      </c>
      <c r="R40" s="18">
        <f t="shared" si="8"/>
        <v>6.9736436111111111</v>
      </c>
      <c r="S40" s="17">
        <f t="shared" si="9"/>
        <v>1.0090350518775439</v>
      </c>
      <c r="T40" s="18">
        <f t="shared" si="10"/>
        <v>0.99357562408223199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6331.4687999999996</v>
      </c>
      <c r="E41" s="18">
        <f>Reference!C39</f>
        <v>38.6648</v>
      </c>
      <c r="F41" s="18">
        <f>Reference!D39</f>
        <v>43.620399999999997</v>
      </c>
      <c r="G41" s="18">
        <f>Reference!E39</f>
        <v>43.6327</v>
      </c>
      <c r="H41" s="18">
        <f>Reference!F39</f>
        <v>16916.537</v>
      </c>
      <c r="I41" s="18">
        <f>Reference!G39</f>
        <v>4.7679999999999998</v>
      </c>
      <c r="J41" s="19">
        <f t="shared" si="7"/>
        <v>4.6990380555555555</v>
      </c>
      <c r="L41" s="17">
        <f>Test!B39</f>
        <v>6329.3760000000002</v>
      </c>
      <c r="M41" s="18">
        <f>Test!C39</f>
        <v>38.663600000000002</v>
      </c>
      <c r="N41" s="18">
        <f>Test!D39</f>
        <v>43.6203</v>
      </c>
      <c r="O41" s="18">
        <f>Test!E39</f>
        <v>43.655099999999997</v>
      </c>
      <c r="P41" s="18">
        <f>Test!F39</f>
        <v>17267.41</v>
      </c>
      <c r="Q41" s="18">
        <f>Test!G39</f>
        <v>4.7699999999999996</v>
      </c>
      <c r="R41" s="18">
        <f t="shared" si="8"/>
        <v>4.7965027777777776</v>
      </c>
      <c r="S41" s="17">
        <f t="shared" si="9"/>
        <v>1.0207414200672396</v>
      </c>
      <c r="T41" s="18">
        <f t="shared" si="10"/>
        <v>1.0004194630872483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3230.4895999999999</v>
      </c>
      <c r="E42" s="23">
        <f>Reference!C40</f>
        <v>36.290999999999997</v>
      </c>
      <c r="F42" s="23">
        <f>Reference!D40</f>
        <v>42.315899999999999</v>
      </c>
      <c r="G42" s="23">
        <f>Reference!E40</f>
        <v>41.464500000000001</v>
      </c>
      <c r="H42" s="23">
        <f>Reference!F40</f>
        <v>10381.370999999999</v>
      </c>
      <c r="I42" s="23">
        <f>Reference!G40</f>
        <v>4.0810000000000004</v>
      </c>
      <c r="J42" s="24">
        <f t="shared" si="7"/>
        <v>2.8837141666666666</v>
      </c>
      <c r="L42" s="22">
        <f>Test!B40</f>
        <v>3225.2287999999999</v>
      </c>
      <c r="M42" s="23">
        <f>Test!C40</f>
        <v>36.287100000000002</v>
      </c>
      <c r="N42" s="23">
        <f>Test!D40</f>
        <v>42.308900000000001</v>
      </c>
      <c r="O42" s="23">
        <f>Test!E40</f>
        <v>41.461300000000001</v>
      </c>
      <c r="P42" s="23">
        <f>Test!F40</f>
        <v>10898.710999999999</v>
      </c>
      <c r="Q42" s="23">
        <f>Test!G40</f>
        <v>4.2539999999999996</v>
      </c>
      <c r="R42" s="23">
        <f t="shared" si="8"/>
        <v>3.0274197222222221</v>
      </c>
      <c r="S42" s="17">
        <f t="shared" si="9"/>
        <v>1.0498334950171804</v>
      </c>
      <c r="T42" s="18">
        <f t="shared" si="10"/>
        <v>1.0423915706934572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15114.5152</v>
      </c>
      <c r="E43" s="13">
        <f>Reference!C41</f>
        <v>44.225700000000003</v>
      </c>
      <c r="F43" s="13">
        <f>Reference!D41</f>
        <v>47.0792</v>
      </c>
      <c r="G43" s="13">
        <f>Reference!E41</f>
        <v>47.969700000000003</v>
      </c>
      <c r="H43" s="13">
        <f>Reference!F41</f>
        <v>27208.164000000001</v>
      </c>
      <c r="I43" s="13">
        <f>Reference!G41</f>
        <v>6.0540000000000003</v>
      </c>
      <c r="J43" s="14">
        <f t="shared" si="7"/>
        <v>7.5578233333333333</v>
      </c>
      <c r="L43" s="12">
        <f>Test!B41</f>
        <v>15113.6</v>
      </c>
      <c r="M43" s="13">
        <f>Test!C41</f>
        <v>44.225900000000003</v>
      </c>
      <c r="N43" s="13">
        <f>Test!D41</f>
        <v>47.078600000000002</v>
      </c>
      <c r="O43" s="13">
        <f>Test!E41</f>
        <v>47.972000000000001</v>
      </c>
      <c r="P43" s="13">
        <f>Test!F41</f>
        <v>26541.796999999999</v>
      </c>
      <c r="Q43" s="13">
        <f>Test!G41</f>
        <v>6.0609999999999999</v>
      </c>
      <c r="R43" s="13">
        <f t="shared" si="8"/>
        <v>7.3727213888888885</v>
      </c>
      <c r="S43" s="17">
        <f t="shared" si="9"/>
        <v>0.9755085642676955</v>
      </c>
      <c r="T43" s="18">
        <f t="shared" si="10"/>
        <v>1.0011562603237529</v>
      </c>
      <c r="U43" s="91"/>
      <c r="V43" s="42">
        <f>bdrate($D43:$D46,E43:E46,$L43:$L46,M43:M46)</f>
        <v>1.0849699412629477E-4</v>
      </c>
      <c r="W43" s="42">
        <f>bdrate($D43:$D46,F43:F46,$L43:$L46,N43:N46)</f>
        <v>-2.5288911472409747E-3</v>
      </c>
      <c r="X43" s="42">
        <f>bdrate($D43:$D46,G43:G46,$L43:$L46,O43:O46)</f>
        <v>-7.6357260716186648E-4</v>
      </c>
      <c r="Y43" s="40">
        <f>bdrateOld($D43:$D46,E43:E46,$L43:$L46,M43:M46)</f>
        <v>1.6324945220724807E-4</v>
      </c>
      <c r="Z43" s="44">
        <f>bdrateOld($D43:$D46,F43:F46,$L43:$L46,N43:N46)</f>
        <v>-2.6720557899037045E-3</v>
      </c>
      <c r="AA43" s="45">
        <f>bdrateOld($D43:$D46,G43:G46,$L43:$L46,O43:O46)</f>
        <v>-5.7399585885253845E-4</v>
      </c>
    </row>
    <row r="44" spans="1:27" x14ac:dyDescent="0.2">
      <c r="A44" s="16"/>
      <c r="B44" s="85"/>
      <c r="C44" s="16">
        <v>32</v>
      </c>
      <c r="D44" s="17">
        <f>Reference!B42</f>
        <v>10258.822399999999</v>
      </c>
      <c r="E44" s="18">
        <f>Reference!C42</f>
        <v>42.495899999999999</v>
      </c>
      <c r="F44" s="18">
        <f>Reference!D42</f>
        <v>45.927500000000002</v>
      </c>
      <c r="G44" s="18">
        <f>Reference!E42</f>
        <v>46.6449</v>
      </c>
      <c r="H44" s="18">
        <f>Reference!F42</f>
        <v>20989.18</v>
      </c>
      <c r="I44" s="18">
        <f>Reference!G42</f>
        <v>5.4240000000000004</v>
      </c>
      <c r="J44" s="19">
        <f t="shared" si="7"/>
        <v>5.8303277777777778</v>
      </c>
      <c r="L44" s="17">
        <f>Test!B42</f>
        <v>10258.2528</v>
      </c>
      <c r="M44" s="18">
        <f>Test!C42</f>
        <v>42.497399999999999</v>
      </c>
      <c r="N44" s="18">
        <f>Test!D42</f>
        <v>45.936999999999998</v>
      </c>
      <c r="O44" s="18">
        <f>Test!E42</f>
        <v>46.642099999999999</v>
      </c>
      <c r="P44" s="18">
        <f>Test!F42</f>
        <v>21360.561000000002</v>
      </c>
      <c r="Q44" s="18">
        <f>Test!G42</f>
        <v>5.5149999999999997</v>
      </c>
      <c r="R44" s="18">
        <f t="shared" si="8"/>
        <v>5.9334891666666669</v>
      </c>
      <c r="S44" s="17">
        <f t="shared" si="9"/>
        <v>1.0176939261085951</v>
      </c>
      <c r="T44" s="18">
        <f t="shared" si="10"/>
        <v>1.0167772861356932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6478.7071999999998</v>
      </c>
      <c r="E45" s="18">
        <f>Reference!C43</f>
        <v>40.162300000000002</v>
      </c>
      <c r="F45" s="18">
        <f>Reference!D43</f>
        <v>44.5916</v>
      </c>
      <c r="G45" s="18">
        <f>Reference!E43</f>
        <v>45.1053</v>
      </c>
      <c r="H45" s="18">
        <f>Reference!F43</f>
        <v>15206.869000000001</v>
      </c>
      <c r="I45" s="18">
        <f>Reference!G43</f>
        <v>4.8570000000000002</v>
      </c>
      <c r="J45" s="19">
        <f t="shared" si="7"/>
        <v>4.2241302777777783</v>
      </c>
      <c r="L45" s="17">
        <f>Test!B43</f>
        <v>6482.9632000000001</v>
      </c>
      <c r="M45" s="18">
        <f>Test!C43</f>
        <v>40.163899999999998</v>
      </c>
      <c r="N45" s="18">
        <f>Test!D43</f>
        <v>44.606999999999999</v>
      </c>
      <c r="O45" s="18">
        <f>Test!E43</f>
        <v>45.104399999999998</v>
      </c>
      <c r="P45" s="18">
        <f>Test!F43</f>
        <v>15772.986999999999</v>
      </c>
      <c r="Q45" s="18">
        <f>Test!G43</f>
        <v>5.2229999999999999</v>
      </c>
      <c r="R45" s="18">
        <f t="shared" si="8"/>
        <v>4.3813852777777775</v>
      </c>
      <c r="S45" s="17">
        <f t="shared" si="9"/>
        <v>1.0372277817346884</v>
      </c>
      <c r="T45" s="18">
        <f t="shared" si="10"/>
        <v>1.0753551575046325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3752.7359999999999</v>
      </c>
      <c r="E46" s="23">
        <f>Reference!C44</f>
        <v>37.174399999999999</v>
      </c>
      <c r="F46" s="23">
        <f>Reference!D44</f>
        <v>42.877600000000001</v>
      </c>
      <c r="G46" s="23">
        <f>Reference!E44</f>
        <v>43.065100000000001</v>
      </c>
      <c r="H46" s="23">
        <f>Reference!F44</f>
        <v>10784.594999999999</v>
      </c>
      <c r="I46" s="23">
        <f>Reference!G44</f>
        <v>4.2690000000000001</v>
      </c>
      <c r="J46" s="24">
        <f t="shared" si="7"/>
        <v>2.9957208333333329</v>
      </c>
      <c r="L46" s="22">
        <f>Test!B44</f>
        <v>3749.9072000000001</v>
      </c>
      <c r="M46" s="23">
        <f>Test!C44</f>
        <v>37.167900000000003</v>
      </c>
      <c r="N46" s="23">
        <f>Test!D44</f>
        <v>42.866199999999999</v>
      </c>
      <c r="O46" s="23">
        <f>Test!E44</f>
        <v>43.095100000000002</v>
      </c>
      <c r="P46" s="23">
        <f>Test!F44</f>
        <v>10957.403</v>
      </c>
      <c r="Q46" s="23">
        <f>Test!G44</f>
        <v>4.431</v>
      </c>
      <c r="R46" s="23">
        <f t="shared" si="8"/>
        <v>3.0437230555555557</v>
      </c>
      <c r="S46" s="17">
        <f t="shared" si="9"/>
        <v>1.016023596620921</v>
      </c>
      <c r="T46" s="18">
        <f t="shared" si="10"/>
        <v>1.0379479971890373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16384.947199999999</v>
      </c>
      <c r="E47" s="13">
        <f>Reference!C45</f>
        <v>44.169199999999996</v>
      </c>
      <c r="F47" s="13">
        <f>Reference!D45</f>
        <v>48.808399999999999</v>
      </c>
      <c r="G47" s="13">
        <f>Reference!E45</f>
        <v>48.461799999999997</v>
      </c>
      <c r="H47" s="13">
        <f>Reference!F45</f>
        <v>27255.351999999999</v>
      </c>
      <c r="I47" s="13">
        <f>Reference!G45</f>
        <v>5.7839999999999998</v>
      </c>
      <c r="J47" s="14">
        <f>H47/3600</f>
        <v>7.5709311111111104</v>
      </c>
      <c r="L47" s="12">
        <f>Test!B45</f>
        <v>16385.792000000001</v>
      </c>
      <c r="M47" s="13">
        <f>Test!C45</f>
        <v>44.1693</v>
      </c>
      <c r="N47" s="13">
        <f>Test!D45</f>
        <v>48.808799999999998</v>
      </c>
      <c r="O47" s="13">
        <f>Test!E45</f>
        <v>48.463299999999997</v>
      </c>
      <c r="P47" s="13">
        <f>Test!F45</f>
        <v>26761.956999999999</v>
      </c>
      <c r="Q47" s="13">
        <f>Test!G45</f>
        <v>5.7709999999999999</v>
      </c>
      <c r="R47" s="13">
        <f>P47/3600</f>
        <v>7.4338769444444441</v>
      </c>
      <c r="S47" s="17">
        <f>P47/H47</f>
        <v>0.98189731690128235</v>
      </c>
      <c r="T47" s="18">
        <f>Q47/I47</f>
        <v>0.9977524204702628</v>
      </c>
      <c r="U47" s="91"/>
      <c r="V47" s="42">
        <f>bdrate($D47:$D50,E47:E50,$L47:$L50,M47:M50)</f>
        <v>1.8538677954027527E-4</v>
      </c>
      <c r="W47" s="42">
        <f>bdrate($D47:$D50,F47:F50,$L47:$L50,N47:N50)</f>
        <v>1.7191207878204384E-3</v>
      </c>
      <c r="X47" s="43">
        <f>bdrate($D47:$D50,G47:G50,$L47:$L50,O47:O50)</f>
        <v>-3.5584200651672671E-3</v>
      </c>
      <c r="Y47" s="37">
        <f>bdrateOld($D47:$D50,E47:E50,$L47:$L50,M47:M50)</f>
        <v>1.8297511185583204E-4</v>
      </c>
      <c r="Z47" s="42">
        <f>bdrateOld($D47:$D50,F47:F50,$L47:$L50,N47:N50)</f>
        <v>1.0799921990116701E-3</v>
      </c>
      <c r="AA47" s="43">
        <f>bdrateOld($D47:$D50,G47:G50,$L47:$L50,O47:O50)</f>
        <v>-3.4861015746631141E-3</v>
      </c>
    </row>
    <row r="48" spans="1:27" x14ac:dyDescent="0.2">
      <c r="A48" s="16"/>
      <c r="B48" s="85"/>
      <c r="C48" s="16">
        <v>32</v>
      </c>
      <c r="D48" s="17">
        <f>Reference!B46</f>
        <v>11391.315199999999</v>
      </c>
      <c r="E48" s="18">
        <f>Reference!C46</f>
        <v>42.431699999999999</v>
      </c>
      <c r="F48" s="18">
        <f>Reference!D46</f>
        <v>47.805</v>
      </c>
      <c r="G48" s="18">
        <f>Reference!E46</f>
        <v>46.991999999999997</v>
      </c>
      <c r="H48" s="18">
        <f>Reference!F46</f>
        <v>21609.921999999999</v>
      </c>
      <c r="I48" s="18">
        <f>Reference!G46</f>
        <v>5.1539999999999999</v>
      </c>
      <c r="J48" s="19">
        <f t="shared" ref="J48:J70" si="11">H48/3600</f>
        <v>6.0027561111111112</v>
      </c>
      <c r="L48" s="17">
        <f>Test!B46</f>
        <v>11392.7232</v>
      </c>
      <c r="M48" s="18">
        <f>Test!C46</f>
        <v>42.4315</v>
      </c>
      <c r="N48" s="18">
        <f>Test!D46</f>
        <v>47.797199999999997</v>
      </c>
      <c r="O48" s="18">
        <f>Test!E46</f>
        <v>47.000300000000003</v>
      </c>
      <c r="P48" s="18">
        <f>Test!F46</f>
        <v>21970.055</v>
      </c>
      <c r="Q48" s="18">
        <f>Test!G46</f>
        <v>5.2519999999999998</v>
      </c>
      <c r="R48" s="18">
        <f t="shared" ref="R48:R70" si="12">P48/3600</f>
        <v>6.1027930555555558</v>
      </c>
      <c r="S48" s="17">
        <f t="shared" ref="S48:S70" si="13">P48/H48</f>
        <v>1.0166651688978794</v>
      </c>
      <c r="T48" s="18">
        <f t="shared" ref="T48:T70" si="14">Q48/I48</f>
        <v>1.0190143577803648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7412.5951999999997</v>
      </c>
      <c r="E49" s="18">
        <f>Reference!C47</f>
        <v>40.051200000000001</v>
      </c>
      <c r="F49" s="18">
        <f>Reference!D47</f>
        <v>46.616399999999999</v>
      </c>
      <c r="G49" s="18">
        <f>Reference!E47</f>
        <v>45.3123</v>
      </c>
      <c r="H49" s="18">
        <f>Reference!F47</f>
        <v>16268.981</v>
      </c>
      <c r="I49" s="18">
        <f>Reference!G47</f>
        <v>4.6749999999999998</v>
      </c>
      <c r="J49" s="19">
        <f t="shared" si="11"/>
        <v>4.5191613888888886</v>
      </c>
      <c r="L49" s="17">
        <f>Test!B47</f>
        <v>7410.8032000000003</v>
      </c>
      <c r="M49" s="18">
        <f>Test!C47</f>
        <v>40.048299999999998</v>
      </c>
      <c r="N49" s="18">
        <f>Test!D47</f>
        <v>46.615499999999997</v>
      </c>
      <c r="O49" s="18">
        <f>Test!E47</f>
        <v>45.326300000000003</v>
      </c>
      <c r="P49" s="18">
        <f>Test!F47</f>
        <v>16557.879000000001</v>
      </c>
      <c r="Q49" s="18">
        <f>Test!G47</f>
        <v>4.7450000000000001</v>
      </c>
      <c r="R49" s="18">
        <f t="shared" si="12"/>
        <v>4.5994108333333337</v>
      </c>
      <c r="S49" s="17">
        <f t="shared" si="13"/>
        <v>1.0177575964960559</v>
      </c>
      <c r="T49" s="18">
        <f t="shared" si="14"/>
        <v>1.0149732620320857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4304.9215999999997</v>
      </c>
      <c r="E50" s="23">
        <f>Reference!C48</f>
        <v>36.829799999999999</v>
      </c>
      <c r="F50" s="23">
        <f>Reference!D48</f>
        <v>44.759900000000002</v>
      </c>
      <c r="G50" s="23">
        <f>Reference!E48</f>
        <v>42.994399999999999</v>
      </c>
      <c r="H50" s="23">
        <f>Reference!F48</f>
        <v>11190.472</v>
      </c>
      <c r="I50" s="23">
        <f>Reference!G48</f>
        <v>4.0570000000000004</v>
      </c>
      <c r="J50" s="24">
        <f t="shared" si="11"/>
        <v>3.1084644444444445</v>
      </c>
      <c r="L50" s="22">
        <f>Test!B48</f>
        <v>4305.2031999999999</v>
      </c>
      <c r="M50" s="23">
        <f>Test!C48</f>
        <v>36.829700000000003</v>
      </c>
      <c r="N50" s="23">
        <f>Test!D48</f>
        <v>44.739600000000003</v>
      </c>
      <c r="O50" s="23">
        <f>Test!E48</f>
        <v>43.030299999999997</v>
      </c>
      <c r="P50" s="23">
        <f>Test!F48</f>
        <v>11641.714</v>
      </c>
      <c r="Q50" s="23">
        <f>Test!G48</f>
        <v>4.1449999999999996</v>
      </c>
      <c r="R50" s="23">
        <f t="shared" si="12"/>
        <v>3.2338094444444443</v>
      </c>
      <c r="S50" s="22">
        <f t="shared" si="13"/>
        <v>1.0403237682914537</v>
      </c>
      <c r="T50" s="23">
        <f t="shared" si="14"/>
        <v>1.021690904609317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24.080189125265832</v>
      </c>
      <c r="J75" s="15">
        <f>GEOMEAN(J3:J18)</f>
        <v>24.1382761132461</v>
      </c>
      <c r="Q75" s="15">
        <f>GEOMEAN(Q3:Q18)</f>
        <v>24.132861351442461</v>
      </c>
      <c r="R75" s="15">
        <f>GEOMEAN(R3:R18)</f>
        <v>24.422892764537725</v>
      </c>
      <c r="S75" s="15">
        <f>GEOMEAN(S3:S18)</f>
        <v>1.0117910927009173</v>
      </c>
      <c r="T75" s="15">
        <f>GEOMEAN(T3:T18)</f>
        <v>1.0021873676283284</v>
      </c>
      <c r="V75" s="37">
        <f>AVERAGE(V3:V18)</f>
        <v>-5.0579931802297029E-5</v>
      </c>
      <c r="W75" s="42">
        <f t="shared" ref="W75:AA75" si="19">AVERAGE(W3:W18)</f>
        <v>-1.3711040280403597E-3</v>
      </c>
      <c r="X75" s="42">
        <f t="shared" si="19"/>
        <v>-9.8213846926820114E-4</v>
      </c>
      <c r="Y75" s="37">
        <f>AVERAGE(Y3:Y18)</f>
        <v>-9.435848717573303E-5</v>
      </c>
      <c r="Z75" s="42">
        <f t="shared" si="19"/>
        <v>-1.3412227604963911E-3</v>
      </c>
      <c r="AA75" s="43">
        <f t="shared" si="19"/>
        <v>-8.6876404286989617E-4</v>
      </c>
    </row>
    <row r="76" spans="1:27" x14ac:dyDescent="0.2">
      <c r="B76" s="89" t="s">
        <v>47</v>
      </c>
      <c r="I76" s="15">
        <f>GEOMEAN(I19:I34)</f>
        <v>11.841049360996399</v>
      </c>
      <c r="J76" s="15">
        <f>GEOMEAN(J19:J34)</f>
        <v>13.143950983974404</v>
      </c>
      <c r="Q76" s="15">
        <f>GEOMEAN(Q19:Q34)</f>
        <v>11.9803291712145</v>
      </c>
      <c r="R76" s="15">
        <f>GEOMEAN(R19:R34)</f>
        <v>13.242713637184215</v>
      </c>
      <c r="S76" s="15">
        <f>GEOMEAN(S19:S34)</f>
        <v>1.0075139243390534</v>
      </c>
      <c r="T76" s="15">
        <f>GEOMEAN(T19:T34)</f>
        <v>1.0117624549963351</v>
      </c>
      <c r="V76" s="40">
        <f>AVERAGE(V19:V34)</f>
        <v>1.1818246485051365E-5</v>
      </c>
      <c r="W76" s="44">
        <f t="shared" ref="W76:AA76" si="20">AVERAGE(W19:W34)</f>
        <v>-1.0034342606121405E-3</v>
      </c>
      <c r="X76" s="44">
        <f t="shared" si="20"/>
        <v>-4.8815461572723762E-4</v>
      </c>
      <c r="Y76" s="40">
        <f t="shared" si="20"/>
        <v>1.8338009574736525E-7</v>
      </c>
      <c r="Z76" s="44">
        <f t="shared" si="20"/>
        <v>-1.1988784007225251E-3</v>
      </c>
      <c r="AA76" s="45">
        <f t="shared" si="20"/>
        <v>-4.0518791544252863E-4</v>
      </c>
    </row>
    <row r="77" spans="1:27" x14ac:dyDescent="0.2">
      <c r="B77" s="89" t="s">
        <v>51</v>
      </c>
      <c r="I77" s="15">
        <f>GEOMEAN(I35:I50)</f>
        <v>5.5130201654188031</v>
      </c>
      <c r="J77" s="15">
        <f>GEOMEAN(J35:J50)</f>
        <v>6.1281121350586814</v>
      </c>
      <c r="Q77" s="15">
        <f>GEOMEAN(Q35:Q50)</f>
        <v>5.6306658158915228</v>
      </c>
      <c r="R77" s="15">
        <f>GEOMEAN(R35:R50)</f>
        <v>6.2077676066371339</v>
      </c>
      <c r="S77" s="15">
        <f>GEOMEAN(S35:S50)</f>
        <v>1.0129983704316941</v>
      </c>
      <c r="T77" s="15">
        <f>GEOMEAN(T35:T50)</f>
        <v>1.0213396009705658</v>
      </c>
      <c r="V77" s="40">
        <f>AVERAGE(V35:V50)</f>
        <v>6.940021168419519E-5</v>
      </c>
      <c r="W77" s="44">
        <f t="shared" ref="W77:AA77" si="21">AVERAGE(W35:W50)</f>
        <v>-2.0705603793050309E-4</v>
      </c>
      <c r="X77" s="44">
        <f t="shared" si="21"/>
        <v>-1.9434141769832658E-3</v>
      </c>
      <c r="Y77" s="40">
        <f t="shared" si="21"/>
        <v>8.1603820690140383E-5</v>
      </c>
      <c r="Z77" s="44">
        <f t="shared" si="21"/>
        <v>-4.328283068779637E-4</v>
      </c>
      <c r="AA77" s="45">
        <f t="shared" si="21"/>
        <v>-1.9666830515738254E-3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11.627327059613624</v>
      </c>
      <c r="J80" s="54">
        <f xml:space="preserve"> GEOMEAN(J3:J50)</f>
        <v>12.481102843493197</v>
      </c>
      <c r="K80" s="4"/>
      <c r="L80" s="4"/>
      <c r="M80" s="4"/>
      <c r="N80" s="4"/>
      <c r="O80" s="4"/>
      <c r="P80" s="4"/>
      <c r="Q80" s="54">
        <f xml:space="preserve"> GEOMEAN(Q3:Q50)</f>
        <v>11.763749655105892</v>
      </c>
      <c r="R80" s="54">
        <f xml:space="preserve"> GEOMEAN(R3:R50)</f>
        <v>12.615462595887667</v>
      </c>
      <c r="S80" s="54">
        <f xml:space="preserve"> GEOMEAN(S3:S50)</f>
        <v>1.0107650545051405</v>
      </c>
      <c r="T80" s="54">
        <f>GEOMEAN(T3:T50)</f>
        <v>1.0117329283671841</v>
      </c>
      <c r="U80" s="4"/>
      <c r="V80" s="41">
        <f>AVERAGE(V3:V50)</f>
        <v>1.0212842122316509E-5</v>
      </c>
      <c r="W80" s="46">
        <f t="shared" ref="W80:AA80" si="25">AVERAGE(W3:W50)</f>
        <v>-8.6053144219433442E-4</v>
      </c>
      <c r="X80" s="47">
        <f t="shared" si="25"/>
        <v>-1.1379024206595683E-3</v>
      </c>
      <c r="Y80" s="46">
        <f t="shared" si="25"/>
        <v>-4.1904287966150937E-6</v>
      </c>
      <c r="Z80" s="46">
        <f t="shared" si="25"/>
        <v>-9.9097648936562655E-4</v>
      </c>
      <c r="AA80" s="47">
        <f t="shared" si="25"/>
        <v>-1.0802116699620834E-3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B22" zoomScale="85" zoomScaleNormal="85" workbookViewId="0">
      <selection activeCell="N34" sqref="N3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14751.696</v>
      </c>
      <c r="E3" s="13">
        <f>Reference!C73</f>
        <v>40.090499999999999</v>
      </c>
      <c r="F3" s="13">
        <f>Reference!D73</f>
        <v>49.062399999999997</v>
      </c>
      <c r="G3" s="13">
        <f>Reference!E73</f>
        <v>47.052799999999998</v>
      </c>
      <c r="H3" s="13">
        <f>Reference!F73</f>
        <v>360595.598</v>
      </c>
      <c r="I3" s="13">
        <f>Reference!G73</f>
        <v>56.280999999999999</v>
      </c>
      <c r="J3" s="14">
        <f>H3/3600</f>
        <v>100.16544388888889</v>
      </c>
      <c r="L3" s="12">
        <f>Test!B73</f>
        <v>14746.856</v>
      </c>
      <c r="M3" s="13">
        <f>Test!C73</f>
        <v>40.090400000000002</v>
      </c>
      <c r="N3" s="13">
        <f>Test!D73</f>
        <v>49.063400000000001</v>
      </c>
      <c r="O3" s="13">
        <f>Test!E73</f>
        <v>47.0503</v>
      </c>
      <c r="P3" s="13">
        <f>Test!F73</f>
        <v>361961.413</v>
      </c>
      <c r="Q3" s="13">
        <f>Test!G73</f>
        <v>55.472000000000001</v>
      </c>
      <c r="R3" s="14">
        <f>P3/3600</f>
        <v>100.54483694444444</v>
      </c>
      <c r="S3" s="12">
        <f>P3/H3</f>
        <v>1.0037876640967758</v>
      </c>
      <c r="T3" s="13">
        <f>Q3/I3</f>
        <v>0.9856256996144348</v>
      </c>
      <c r="U3" s="90"/>
      <c r="V3" s="37">
        <f>bdrate($D3:$D6,E3:E6,$L3:$L6,M3:M6)</f>
        <v>1.099279299941136E-3</v>
      </c>
      <c r="W3" s="42">
        <f>bdrate($D3:$D6,F3:F6,$L3:$L6,N3:N6)</f>
        <v>2.4479829226577987E-3</v>
      </c>
      <c r="X3" s="43">
        <f>bdrate($D3:$D6,G3:G6,$L3:$L6,O3:O6)</f>
        <v>-3.3617457757145752E-3</v>
      </c>
      <c r="Y3" s="37">
        <f>bdrateOld($D3:$D6,E3:E6,$L3:$L6,M3:M6)</f>
        <v>2.9766490091942543E-4</v>
      </c>
      <c r="Z3" s="42">
        <f>bdrateOld($D3:$D6,F3:F6,$L3:$L6,N3:N6)</f>
        <v>1.9501150469909412E-3</v>
      </c>
      <c r="AA3" s="43">
        <f>bdrateOld($D3:$D6,G3:G6,$L3:$L6,O3:O6)</f>
        <v>-3.9788520013039896E-3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6720.2920000000004</v>
      </c>
      <c r="E4" s="18">
        <f>Reference!C74</f>
        <v>39.600499999999997</v>
      </c>
      <c r="F4" s="18">
        <f>Reference!D74</f>
        <v>48.466099999999997</v>
      </c>
      <c r="G4" s="18">
        <f>Reference!E74</f>
        <v>46.149500000000003</v>
      </c>
      <c r="H4" s="18">
        <f>Reference!F74</f>
        <v>199264.272</v>
      </c>
      <c r="I4" s="18">
        <f>Reference!G74</f>
        <v>52.063000000000002</v>
      </c>
      <c r="J4" s="19">
        <f t="shared" ref="J4:J14" si="0">H4/3600</f>
        <v>55.351186666666663</v>
      </c>
      <c r="L4" s="17">
        <f>Test!B74</f>
        <v>6727.1120000000001</v>
      </c>
      <c r="M4" s="18">
        <f>Test!C74</f>
        <v>39.600700000000003</v>
      </c>
      <c r="N4" s="18">
        <f>Test!D74</f>
        <v>48.467700000000001</v>
      </c>
      <c r="O4" s="18">
        <f>Test!E74</f>
        <v>46.150100000000002</v>
      </c>
      <c r="P4" s="18">
        <f>Test!F74</f>
        <v>200562.59099999999</v>
      </c>
      <c r="Q4" s="18">
        <f>Test!G74</f>
        <v>50.631</v>
      </c>
      <c r="R4" s="19">
        <f t="shared" ref="R4:R14" si="1">P4/3600</f>
        <v>55.71183083333333</v>
      </c>
      <c r="S4" s="17">
        <f t="shared" ref="S4:T46" si="2">P4/H4</f>
        <v>1.0065155634121905</v>
      </c>
      <c r="T4" s="18">
        <f t="shared" si="2"/>
        <v>0.97249486199412249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3647.78</v>
      </c>
      <c r="E5" s="18">
        <f>Reference!C75</f>
        <v>38.762599999999999</v>
      </c>
      <c r="F5" s="18">
        <f>Reference!D75</f>
        <v>47.648000000000003</v>
      </c>
      <c r="G5" s="18">
        <f>Reference!E75</f>
        <v>44.913400000000003</v>
      </c>
      <c r="H5" s="18">
        <f>Reference!F75</f>
        <v>99064.301000000007</v>
      </c>
      <c r="I5" s="18">
        <f>Reference!G75</f>
        <v>46.357999999999997</v>
      </c>
      <c r="J5" s="19">
        <f t="shared" si="0"/>
        <v>27.517861388888889</v>
      </c>
      <c r="L5" s="17">
        <f>Test!B75</f>
        <v>3645.7</v>
      </c>
      <c r="M5" s="18">
        <f>Test!C75</f>
        <v>38.76</v>
      </c>
      <c r="N5" s="18">
        <f>Test!D75</f>
        <v>47.635300000000001</v>
      </c>
      <c r="O5" s="18">
        <f>Test!E75</f>
        <v>44.925600000000003</v>
      </c>
      <c r="P5" s="18">
        <f>Test!F75</f>
        <v>100408.542</v>
      </c>
      <c r="Q5" s="18">
        <f>Test!G75</f>
        <v>47.031999999999996</v>
      </c>
      <c r="R5" s="19">
        <f t="shared" si="1"/>
        <v>27.891261666666669</v>
      </c>
      <c r="S5" s="17">
        <f t="shared" si="2"/>
        <v>1.0135693785392983</v>
      </c>
      <c r="T5" s="18">
        <f t="shared" si="2"/>
        <v>1.0145390223909574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1926.124</v>
      </c>
      <c r="E6" s="23">
        <f>Reference!C76</f>
        <v>37.2667</v>
      </c>
      <c r="F6" s="23">
        <f>Reference!D76</f>
        <v>46.287199999999999</v>
      </c>
      <c r="G6" s="23">
        <f>Reference!E76</f>
        <v>43.1663</v>
      </c>
      <c r="H6" s="23">
        <f>Reference!F76</f>
        <v>49653.288</v>
      </c>
      <c r="I6" s="23">
        <f>Reference!G76</f>
        <v>42.371000000000002</v>
      </c>
      <c r="J6" s="24">
        <f t="shared" si="0"/>
        <v>13.792580000000001</v>
      </c>
      <c r="L6" s="22">
        <f>Test!B76</f>
        <v>1931.604</v>
      </c>
      <c r="M6" s="23">
        <f>Test!C76</f>
        <v>37.269300000000001</v>
      </c>
      <c r="N6" s="23">
        <f>Test!D76</f>
        <v>46.308599999999998</v>
      </c>
      <c r="O6" s="23">
        <f>Test!E76</f>
        <v>43.193899999999999</v>
      </c>
      <c r="P6" s="23">
        <f>Test!F76</f>
        <v>50303.995000000003</v>
      </c>
      <c r="Q6" s="23">
        <f>Test!G76</f>
        <v>41.863</v>
      </c>
      <c r="R6" s="24">
        <f t="shared" si="1"/>
        <v>13.973331944444444</v>
      </c>
      <c r="S6" s="17">
        <f t="shared" si="2"/>
        <v>1.0131050133074773</v>
      </c>
      <c r="T6" s="18">
        <f t="shared" si="2"/>
        <v>0.98801066767364465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75677.759999999995</v>
      </c>
      <c r="E7" s="13">
        <f>Reference!C77</f>
        <v>41.653199999999998</v>
      </c>
      <c r="F7" s="13">
        <f>Reference!D77</f>
        <v>36.480699999999999</v>
      </c>
      <c r="G7" s="13">
        <f>Reference!E77</f>
        <v>37.614800000000002</v>
      </c>
      <c r="H7" s="13">
        <f>Reference!F77</f>
        <v>661815.33299999998</v>
      </c>
      <c r="I7" s="13">
        <f>Reference!G77</f>
        <v>65.652000000000001</v>
      </c>
      <c r="J7" s="14">
        <f t="shared" si="0"/>
        <v>183.8375925</v>
      </c>
      <c r="L7" s="12">
        <f>Test!B77</f>
        <v>75653.347999999998</v>
      </c>
      <c r="M7" s="13">
        <f>Test!C77</f>
        <v>41.652999999999999</v>
      </c>
      <c r="N7" s="13">
        <f>Test!D77</f>
        <v>36.478999999999999</v>
      </c>
      <c r="O7" s="13">
        <f>Test!E77</f>
        <v>37.614800000000002</v>
      </c>
      <c r="P7" s="13">
        <f>Test!F77</f>
        <v>652611.97100000002</v>
      </c>
      <c r="Q7" s="13">
        <f>Test!G77</f>
        <v>64.319999999999993</v>
      </c>
      <c r="R7" s="14">
        <f t="shared" si="1"/>
        <v>181.28110305555555</v>
      </c>
      <c r="S7" s="17">
        <f t="shared" si="2"/>
        <v>0.9860937612939833</v>
      </c>
      <c r="T7" s="18">
        <f t="shared" si="2"/>
        <v>0.97971120453299199</v>
      </c>
      <c r="U7" s="91"/>
      <c r="V7" s="37">
        <f>bdrate($D7:$D10,E7:E10,$L7:$L10,M7:M10)</f>
        <v>-8.5540074531764709E-5</v>
      </c>
      <c r="W7" s="42">
        <f>bdrate($D7:$D10,F7:F10,$L7:$L10,N7:N10)</f>
        <v>-5.9830000030614006E-4</v>
      </c>
      <c r="X7" s="42">
        <f>bdrate($D7:$D10,G7:G10,$L7:$L10,O7:O10)</f>
        <v>7.837746807008994E-4</v>
      </c>
      <c r="Y7" s="40">
        <f>bdrateOld($D7:$D10,E7:E10,$L7:$L10,M7:M10)</f>
        <v>-7.7659366906179805E-5</v>
      </c>
      <c r="Z7" s="44">
        <f>bdrateOld($D7:$D10,F7:F10,$L7:$L10,N7:N10)</f>
        <v>-5.6619855071471381E-4</v>
      </c>
      <c r="AA7" s="45">
        <f>bdrateOld($D7:$D10,G7:G10,$L7:$L10,O7:O10)</f>
        <v>7.8262649984361943E-4</v>
      </c>
    </row>
    <row r="8" spans="1:27" x14ac:dyDescent="0.2">
      <c r="A8" s="16"/>
      <c r="B8" s="85"/>
      <c r="C8" s="16">
        <v>48</v>
      </c>
      <c r="D8" s="17">
        <f>Reference!B78</f>
        <v>39103.72</v>
      </c>
      <c r="E8" s="18">
        <f>Reference!C78</f>
        <v>39.050699999999999</v>
      </c>
      <c r="F8" s="18">
        <f>Reference!D78</f>
        <v>34.5533</v>
      </c>
      <c r="G8" s="18">
        <f>Reference!E78</f>
        <v>35.959800000000001</v>
      </c>
      <c r="H8" s="18">
        <f>Reference!F78</f>
        <v>445130.00300000003</v>
      </c>
      <c r="I8" s="18">
        <f>Reference!G78</f>
        <v>57.26</v>
      </c>
      <c r="J8" s="19">
        <f t="shared" si="0"/>
        <v>123.64722305555556</v>
      </c>
      <c r="L8" s="17">
        <f>Test!B78</f>
        <v>39090.076000000001</v>
      </c>
      <c r="M8" s="18">
        <f>Test!C78</f>
        <v>39.049399999999999</v>
      </c>
      <c r="N8" s="18">
        <f>Test!D78</f>
        <v>34.552700000000002</v>
      </c>
      <c r="O8" s="18">
        <f>Test!E78</f>
        <v>35.957099999999997</v>
      </c>
      <c r="P8" s="18">
        <f>Test!F78</f>
        <v>440357.17099999997</v>
      </c>
      <c r="Q8" s="18">
        <f>Test!G78</f>
        <v>57.296999999999997</v>
      </c>
      <c r="R8" s="19">
        <f t="shared" si="1"/>
        <v>122.32143638888888</v>
      </c>
      <c r="S8" s="17">
        <f t="shared" si="2"/>
        <v>0.98927766727061073</v>
      </c>
      <c r="T8" s="18">
        <f t="shared" si="2"/>
        <v>1.0006461753405518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18783.403999999999</v>
      </c>
      <c r="E9" s="18">
        <f>Reference!C79</f>
        <v>36.145200000000003</v>
      </c>
      <c r="F9" s="18">
        <f>Reference!D79</f>
        <v>32.920099999999998</v>
      </c>
      <c r="G9" s="18">
        <f>Reference!E79</f>
        <v>34.5884</v>
      </c>
      <c r="H9" s="18">
        <f>Reference!F79</f>
        <v>277808.05499999999</v>
      </c>
      <c r="I9" s="18">
        <f>Reference!G79</f>
        <v>52.088000000000001</v>
      </c>
      <c r="J9" s="19">
        <f t="shared" si="0"/>
        <v>77.168904166666664</v>
      </c>
      <c r="L9" s="17">
        <f>Test!B79</f>
        <v>18789.919999999998</v>
      </c>
      <c r="M9" s="18">
        <f>Test!C79</f>
        <v>36.145200000000003</v>
      </c>
      <c r="N9" s="18">
        <f>Test!D79</f>
        <v>32.924199999999999</v>
      </c>
      <c r="O9" s="18">
        <f>Test!E79</f>
        <v>34.586500000000001</v>
      </c>
      <c r="P9" s="18">
        <f>Test!F79</f>
        <v>275003.09700000001</v>
      </c>
      <c r="Q9" s="18">
        <f>Test!G79</f>
        <v>51.070999999999998</v>
      </c>
      <c r="R9" s="19">
        <f t="shared" si="1"/>
        <v>76.389749166666675</v>
      </c>
      <c r="S9" s="17">
        <f t="shared" si="2"/>
        <v>0.98990325172536853</v>
      </c>
      <c r="T9" s="18">
        <f t="shared" si="2"/>
        <v>0.98047534940869296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7762.24</v>
      </c>
      <c r="E10" s="23">
        <f>Reference!C80</f>
        <v>33.086199999999998</v>
      </c>
      <c r="F10" s="23">
        <f>Reference!D80</f>
        <v>31.261299999999999</v>
      </c>
      <c r="G10" s="23">
        <f>Reference!E80</f>
        <v>33.166600000000003</v>
      </c>
      <c r="H10" s="23">
        <f>Reference!F80</f>
        <v>155696.755</v>
      </c>
      <c r="I10" s="23">
        <f>Reference!G80</f>
        <v>47.133000000000003</v>
      </c>
      <c r="J10" s="24">
        <f t="shared" si="0"/>
        <v>43.249098611111116</v>
      </c>
      <c r="L10" s="22">
        <f>Test!B80</f>
        <v>7756.2719999999999</v>
      </c>
      <c r="M10" s="23">
        <f>Test!C80</f>
        <v>33.088200000000001</v>
      </c>
      <c r="N10" s="23">
        <f>Test!D80</f>
        <v>31.26</v>
      </c>
      <c r="O10" s="23">
        <f>Test!E80</f>
        <v>33.165799999999997</v>
      </c>
      <c r="P10" s="23">
        <f>Test!F80</f>
        <v>157960.19500000001</v>
      </c>
      <c r="Q10" s="23">
        <f>Test!G80</f>
        <v>47.533999999999999</v>
      </c>
      <c r="R10" s="24">
        <f t="shared" si="1"/>
        <v>43.877831944444445</v>
      </c>
      <c r="S10" s="17">
        <f t="shared" si="2"/>
        <v>1.0145374898789639</v>
      </c>
      <c r="T10" s="18">
        <f t="shared" si="2"/>
        <v>1.0085078395179596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37750.351999999999</v>
      </c>
      <c r="E11" s="13">
        <f>Reference!C81</f>
        <v>38.307699999999997</v>
      </c>
      <c r="F11" s="13">
        <f>Reference!D81</f>
        <v>40.466000000000001</v>
      </c>
      <c r="G11" s="13">
        <f>Reference!E81</f>
        <v>41.554299999999998</v>
      </c>
      <c r="H11" s="13">
        <f>Reference!F81</f>
        <v>386235.54499999998</v>
      </c>
      <c r="I11" s="13">
        <f>Reference!G81</f>
        <v>35.412999999999997</v>
      </c>
      <c r="J11" s="14">
        <f t="shared" si="0"/>
        <v>107.28765138888889</v>
      </c>
      <c r="L11" s="12">
        <f>Test!B81</f>
        <v>37745.603999999999</v>
      </c>
      <c r="M11" s="13">
        <f>Test!C81</f>
        <v>38.306899999999999</v>
      </c>
      <c r="N11" s="13">
        <f>Test!D81</f>
        <v>40.4666</v>
      </c>
      <c r="O11" s="13">
        <f>Test!E81</f>
        <v>41.552900000000001</v>
      </c>
      <c r="P11" s="13">
        <f>Test!F81</f>
        <v>386644.43099999998</v>
      </c>
      <c r="Q11" s="13">
        <f>Test!G81</f>
        <v>35.546999999999997</v>
      </c>
      <c r="R11" s="14">
        <f t="shared" si="1"/>
        <v>107.40123083333333</v>
      </c>
      <c r="S11" s="17">
        <f t="shared" si="2"/>
        <v>1.0010586441493881</v>
      </c>
      <c r="T11" s="18">
        <f t="shared" si="2"/>
        <v>1.0037839211588964</v>
      </c>
      <c r="U11" s="91"/>
      <c r="V11" s="37">
        <f>bdrate($D11:$D14,E11:E14,$L11:$L14,M11:M14)</f>
        <v>7.932140955928535E-4</v>
      </c>
      <c r="W11" s="42">
        <f>bdrate($D11:$D14,F11:F14,$L11:$L14,N11:N14)</f>
        <v>-8.2237672130003325E-5</v>
      </c>
      <c r="X11" s="42">
        <f>bdrate($D11:$D14,G11:G14,$L11:$L14,O11:O14)</f>
        <v>6.1193408146009709E-4</v>
      </c>
      <c r="Y11" s="40">
        <f>bdrateOld($D11:$D14,E11:E14,$L11:$L14,M11:M14)</f>
        <v>8.195252183964552E-4</v>
      </c>
      <c r="Z11" s="44">
        <f>bdrateOld($D11:$D14,F11:F14,$L11:$L14,N11:N14)</f>
        <v>-7.3861634520500097E-5</v>
      </c>
      <c r="AA11" s="45">
        <f>bdrateOld($D11:$D14,G11:G14,$L11:$L14,O11:O14)</f>
        <v>8.0676292686754358E-4</v>
      </c>
    </row>
    <row r="12" spans="1:27" x14ac:dyDescent="0.2">
      <c r="A12" s="34"/>
      <c r="B12" s="83"/>
      <c r="C12" s="16">
        <v>48</v>
      </c>
      <c r="D12" s="17">
        <f>Reference!B82</f>
        <v>18416.635999999999</v>
      </c>
      <c r="E12" s="18">
        <f>Reference!C82</f>
        <v>37.200800000000001</v>
      </c>
      <c r="F12" s="18">
        <f>Reference!D82</f>
        <v>37.922400000000003</v>
      </c>
      <c r="G12" s="18">
        <f>Reference!E82</f>
        <v>40.339300000000001</v>
      </c>
      <c r="H12" s="18">
        <f>Reference!F82</f>
        <v>234469.56400000001</v>
      </c>
      <c r="I12" s="18">
        <f>Reference!G82</f>
        <v>30.221</v>
      </c>
      <c r="J12" s="19">
        <f t="shared" si="0"/>
        <v>65.130434444444447</v>
      </c>
      <c r="L12" s="17">
        <f>Test!B82</f>
        <v>18408.804</v>
      </c>
      <c r="M12" s="18">
        <f>Test!C82</f>
        <v>37.197899999999997</v>
      </c>
      <c r="N12" s="18">
        <f>Test!D82</f>
        <v>37.920299999999997</v>
      </c>
      <c r="O12" s="18">
        <f>Test!E82</f>
        <v>40.3414</v>
      </c>
      <c r="P12" s="18">
        <f>Test!F82</f>
        <v>232605.15100000001</v>
      </c>
      <c r="Q12" s="18">
        <f>Test!G82</f>
        <v>29.963000000000001</v>
      </c>
      <c r="R12" s="19">
        <f t="shared" si="1"/>
        <v>64.612541944444445</v>
      </c>
      <c r="S12" s="17">
        <f t="shared" si="2"/>
        <v>0.99204837946472235</v>
      </c>
      <c r="T12" s="18">
        <f t="shared" si="2"/>
        <v>0.99146289004334742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9150.9120000000003</v>
      </c>
      <c r="E13" s="18">
        <f>Reference!C83</f>
        <v>35.839599999999997</v>
      </c>
      <c r="F13" s="18">
        <f>Reference!D83</f>
        <v>35.711500000000001</v>
      </c>
      <c r="G13" s="18">
        <f>Reference!E83</f>
        <v>39.026899999999998</v>
      </c>
      <c r="H13" s="18">
        <f>Reference!F83</f>
        <v>138161.644</v>
      </c>
      <c r="I13" s="18">
        <f>Reference!G83</f>
        <v>26.228999999999999</v>
      </c>
      <c r="J13" s="19">
        <f t="shared" si="0"/>
        <v>38.378234444444445</v>
      </c>
      <c r="L13" s="17">
        <f>Test!B83</f>
        <v>9149.9480000000003</v>
      </c>
      <c r="M13" s="18">
        <f>Test!C83</f>
        <v>35.836399999999998</v>
      </c>
      <c r="N13" s="18">
        <f>Test!D83</f>
        <v>35.711799999999997</v>
      </c>
      <c r="O13" s="18">
        <f>Test!E83</f>
        <v>39.020499999999998</v>
      </c>
      <c r="P13" s="18">
        <f>Test!F83</f>
        <v>140276.36199999999</v>
      </c>
      <c r="Q13" s="18">
        <f>Test!G83</f>
        <v>26.251000000000001</v>
      </c>
      <c r="R13" s="19">
        <f t="shared" si="1"/>
        <v>38.965656111111109</v>
      </c>
      <c r="S13" s="17">
        <f t="shared" si="2"/>
        <v>1.0153061149156564</v>
      </c>
      <c r="T13" s="18">
        <f t="shared" si="2"/>
        <v>1.0008387662510962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4626.34</v>
      </c>
      <c r="E14" s="23">
        <f>Reference!C84</f>
        <v>33.997799999999998</v>
      </c>
      <c r="F14" s="23">
        <f>Reference!D84</f>
        <v>33.810200000000002</v>
      </c>
      <c r="G14" s="23">
        <f>Reference!E84</f>
        <v>37.474200000000003</v>
      </c>
      <c r="H14" s="23">
        <f>Reference!F84</f>
        <v>79587.582999999999</v>
      </c>
      <c r="I14" s="23">
        <f>Reference!G84</f>
        <v>23.36</v>
      </c>
      <c r="J14" s="24">
        <f t="shared" si="0"/>
        <v>22.107661944444445</v>
      </c>
      <c r="L14" s="22">
        <f>Test!B84</f>
        <v>4624.6480000000001</v>
      </c>
      <c r="M14" s="23">
        <f>Test!C84</f>
        <v>34.000799999999998</v>
      </c>
      <c r="N14" s="23">
        <f>Test!D84</f>
        <v>33.810699999999997</v>
      </c>
      <c r="O14" s="23">
        <f>Test!E84</f>
        <v>37.476300000000002</v>
      </c>
      <c r="P14" s="23">
        <f>Test!F84</f>
        <v>80893.921000000002</v>
      </c>
      <c r="Q14" s="23">
        <f>Test!G84</f>
        <v>23.561</v>
      </c>
      <c r="R14" s="24">
        <f t="shared" si="1"/>
        <v>22.470533611111112</v>
      </c>
      <c r="S14" s="17">
        <f t="shared" si="2"/>
        <v>1.0164138418426403</v>
      </c>
      <c r="T14" s="18">
        <f t="shared" si="2"/>
        <v>1.0086044520547945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26263.511999999999</v>
      </c>
      <c r="E15" s="13">
        <f>Reference!C85</f>
        <v>37.639400000000002</v>
      </c>
      <c r="F15" s="13">
        <f>Reference!D85</f>
        <v>45.346200000000003</v>
      </c>
      <c r="G15" s="13">
        <f>Reference!E85</f>
        <v>43.033499999999997</v>
      </c>
      <c r="H15" s="13">
        <f>Reference!F85</f>
        <v>512669.93900000001</v>
      </c>
      <c r="I15" s="13">
        <f>Reference!G85</f>
        <v>62.164000000000001</v>
      </c>
      <c r="J15" s="14">
        <f>H15/3600</f>
        <v>142.40831638888889</v>
      </c>
      <c r="L15" s="12">
        <f>Test!B85</f>
        <v>26227.743999999999</v>
      </c>
      <c r="M15" s="13">
        <f>Test!C85</f>
        <v>37.639099999999999</v>
      </c>
      <c r="N15" s="13">
        <f>Test!D85</f>
        <v>45.343699999999998</v>
      </c>
      <c r="O15" s="13">
        <f>Test!E85</f>
        <v>43.035699999999999</v>
      </c>
      <c r="P15" s="13">
        <f>Test!F85</f>
        <v>508940.011</v>
      </c>
      <c r="Q15" s="13">
        <f>Test!G85</f>
        <v>60.792000000000002</v>
      </c>
      <c r="R15" s="14">
        <f>P15/3600</f>
        <v>141.37222527777777</v>
      </c>
      <c r="S15" s="17">
        <f>P15/H15</f>
        <v>0.99272450417655556</v>
      </c>
      <c r="T15" s="18">
        <f>Q15/I15</f>
        <v>0.97792934817579302</v>
      </c>
      <c r="U15" s="91"/>
      <c r="V15" s="37">
        <f>bdrate($D15:$D18,E15:E18,$L15:$L18,M15:M18)</f>
        <v>8.034911456107352E-4</v>
      </c>
      <c r="W15" s="42">
        <f>bdrate($D15:$D18,F15:F18,$L15:$L18,N15:N18)</f>
        <v>2.8950709275377129E-4</v>
      </c>
      <c r="X15" s="43">
        <f>bdrate($D15:$D18,G15:G18,$L15:$L18,O15:O18)</f>
        <v>6.790022612135127E-3</v>
      </c>
      <c r="Y15" s="37">
        <f>bdrateOld($D15:$D18,E15:E18,$L15:$L18,M15:M18)</f>
        <v>5.7910558149498748E-4</v>
      </c>
      <c r="Z15" s="42">
        <f>bdrateOld($D15:$D18,F15:F18,$L15:$L18,N15:N18)</f>
        <v>-2.846317236582685E-3</v>
      </c>
      <c r="AA15" s="43">
        <f>bdrateOld($D15:$D18,G15:G18,$L15:$L18,O15:O18)</f>
        <v>6.959150580423179E-3</v>
      </c>
    </row>
    <row r="16" spans="1:27" x14ac:dyDescent="0.2">
      <c r="A16" s="16"/>
      <c r="B16" s="85"/>
      <c r="C16" s="16">
        <v>48</v>
      </c>
      <c r="D16" s="17">
        <f>Reference!B86</f>
        <v>9147.4439999999995</v>
      </c>
      <c r="E16" s="18">
        <f>Reference!C86</f>
        <v>37.099600000000002</v>
      </c>
      <c r="F16" s="18">
        <f>Reference!D86</f>
        <v>44.754899999999999</v>
      </c>
      <c r="G16" s="18">
        <f>Reference!E86</f>
        <v>42.404899999999998</v>
      </c>
      <c r="H16" s="18">
        <f>Reference!F86</f>
        <v>274917.46000000002</v>
      </c>
      <c r="I16" s="18">
        <f>Reference!G86</f>
        <v>53.283000000000001</v>
      </c>
      <c r="J16" s="19">
        <f t="shared" ref="J16:J26" si="3">H16/3600</f>
        <v>76.365961111111119</v>
      </c>
      <c r="L16" s="17">
        <f>Test!B86</f>
        <v>9139.3719999999994</v>
      </c>
      <c r="M16" s="18">
        <f>Test!C86</f>
        <v>37.098599999999998</v>
      </c>
      <c r="N16" s="18">
        <f>Test!D86</f>
        <v>44.745699999999999</v>
      </c>
      <c r="O16" s="18">
        <f>Test!E86</f>
        <v>42.404699999999998</v>
      </c>
      <c r="P16" s="18">
        <f>Test!F86</f>
        <v>275515.68900000001</v>
      </c>
      <c r="Q16" s="18">
        <f>Test!G86</f>
        <v>51.438000000000002</v>
      </c>
      <c r="R16" s="19">
        <f t="shared" ref="R16:R26" si="4">P16/3600</f>
        <v>76.532135833333342</v>
      </c>
      <c r="S16" s="17">
        <f t="shared" ref="S16:S26" si="5">P16/H16</f>
        <v>1.0021760313077241</v>
      </c>
      <c r="T16" s="18">
        <f t="shared" ref="T16:T26" si="6">Q16/I16</f>
        <v>0.9653735713079219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4508.6959999999999</v>
      </c>
      <c r="E17" s="18">
        <f>Reference!C87</f>
        <v>36.250599999999999</v>
      </c>
      <c r="F17" s="18">
        <f>Reference!D87</f>
        <v>43.989100000000001</v>
      </c>
      <c r="G17" s="18">
        <f>Reference!E87</f>
        <v>41.635199999999998</v>
      </c>
      <c r="H17" s="18">
        <f>Reference!F87</f>
        <v>139809.717</v>
      </c>
      <c r="I17" s="18">
        <f>Reference!G87</f>
        <v>44.850999999999999</v>
      </c>
      <c r="J17" s="19">
        <f t="shared" si="3"/>
        <v>38.836032500000002</v>
      </c>
      <c r="L17" s="17">
        <f>Test!B87</f>
        <v>4509.9319999999998</v>
      </c>
      <c r="M17" s="18">
        <f>Test!C87</f>
        <v>36.249400000000001</v>
      </c>
      <c r="N17" s="18">
        <f>Test!D87</f>
        <v>43.992600000000003</v>
      </c>
      <c r="O17" s="18">
        <f>Test!E87</f>
        <v>41.616300000000003</v>
      </c>
      <c r="P17" s="18">
        <f>Test!F87</f>
        <v>142756.304</v>
      </c>
      <c r="Q17" s="18">
        <f>Test!G87</f>
        <v>44.16</v>
      </c>
      <c r="R17" s="19">
        <f t="shared" si="4"/>
        <v>39.65452888888889</v>
      </c>
      <c r="S17" s="17">
        <f t="shared" si="5"/>
        <v>1.0210756953323923</v>
      </c>
      <c r="T17" s="18">
        <f t="shared" si="6"/>
        <v>0.98459343158458001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2179.3519999999999</v>
      </c>
      <c r="E18" s="23">
        <f>Reference!C88</f>
        <v>34.793500000000002</v>
      </c>
      <c r="F18" s="23">
        <f>Reference!D88</f>
        <v>42.678100000000001</v>
      </c>
      <c r="G18" s="23">
        <f>Reference!E88</f>
        <v>40.474400000000003</v>
      </c>
      <c r="H18" s="23">
        <f>Reference!F88</f>
        <v>67420.285000000003</v>
      </c>
      <c r="I18" s="23">
        <f>Reference!G88</f>
        <v>37.298000000000002</v>
      </c>
      <c r="J18" s="24">
        <f t="shared" si="3"/>
        <v>18.727856944444447</v>
      </c>
      <c r="L18" s="22">
        <f>Test!B88</f>
        <v>2181.0320000000002</v>
      </c>
      <c r="M18" s="23">
        <f>Test!C88</f>
        <v>34.793300000000002</v>
      </c>
      <c r="N18" s="23">
        <f>Test!D88</f>
        <v>42.700699999999998</v>
      </c>
      <c r="O18" s="23">
        <f>Test!E88</f>
        <v>40.4696</v>
      </c>
      <c r="P18" s="23">
        <f>Test!F88</f>
        <v>68718.400999999998</v>
      </c>
      <c r="Q18" s="23">
        <f>Test!G88</f>
        <v>37.975000000000001</v>
      </c>
      <c r="R18" s="24">
        <f t="shared" si="4"/>
        <v>19.088444722222221</v>
      </c>
      <c r="S18" s="17">
        <f t="shared" si="5"/>
        <v>1.0192540865112034</v>
      </c>
      <c r="T18" s="18">
        <f t="shared" si="6"/>
        <v>1.0181511072979785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9767.5480000000007</v>
      </c>
      <c r="E19" s="13">
        <f>Reference!C89</f>
        <v>38.0152</v>
      </c>
      <c r="F19" s="13">
        <f>Reference!D89</f>
        <v>39.849499999999999</v>
      </c>
      <c r="G19" s="13">
        <f>Reference!E89</f>
        <v>43.340400000000002</v>
      </c>
      <c r="H19" s="13">
        <f>Reference!F89</f>
        <v>115839.55899999999</v>
      </c>
      <c r="I19" s="13">
        <f>Reference!G89</f>
        <v>12.624000000000001</v>
      </c>
      <c r="J19" s="14">
        <f t="shared" si="3"/>
        <v>32.177655277777774</v>
      </c>
      <c r="L19" s="12">
        <f>Test!B89</f>
        <v>9769.5400000000009</v>
      </c>
      <c r="M19" s="13">
        <f>Test!C89</f>
        <v>38.013500000000001</v>
      </c>
      <c r="N19" s="13">
        <f>Test!D89</f>
        <v>39.850499999999997</v>
      </c>
      <c r="O19" s="13">
        <f>Test!E89</f>
        <v>43.338500000000003</v>
      </c>
      <c r="P19" s="13">
        <f>Test!F89</f>
        <v>116478.53200000001</v>
      </c>
      <c r="Q19" s="13">
        <f>Test!G89</f>
        <v>13.01</v>
      </c>
      <c r="R19" s="14">
        <f t="shared" si="4"/>
        <v>32.355147777777781</v>
      </c>
      <c r="S19" s="12">
        <f t="shared" si="5"/>
        <v>1.0055160172009978</v>
      </c>
      <c r="T19" s="13">
        <f t="shared" si="6"/>
        <v>1.0305766793409379</v>
      </c>
      <c r="U19" s="90"/>
      <c r="V19" s="37">
        <f>bdrate($D19:$D22,E19:E22,$L19:$L22,M19:M22)</f>
        <v>1.0531876703325782E-3</v>
      </c>
      <c r="W19" s="42">
        <f>bdrate($D19:$D22,F19:F22,$L19:$L22,N19:N22)</f>
        <v>-4.3417901241404877E-3</v>
      </c>
      <c r="X19" s="42">
        <f>bdrate($D19:$D22,G19:G22,$L19:$L22,O19:O22)</f>
        <v>5.7037225141076675E-4</v>
      </c>
      <c r="Y19" s="40">
        <f>bdrateOld($D19:$D22,E19:E22,$L19:$L22,M19:M22)</f>
        <v>1.1167839855654726E-3</v>
      </c>
      <c r="Z19" s="44">
        <f>bdrateOld($D19:$D22,F19:F22,$L19:$L22,N19:N22)</f>
        <v>-3.5411759469698989E-3</v>
      </c>
      <c r="AA19" s="45">
        <f>bdrateOld($D19:$D22,G19:G22,$L19:$L22,O19:O22)</f>
        <v>1.107481295205659E-3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4524</v>
      </c>
      <c r="E20" s="18">
        <f>Reference!C90</f>
        <v>36.916499999999999</v>
      </c>
      <c r="F20" s="18">
        <f>Reference!D90</f>
        <v>39.338299999999997</v>
      </c>
      <c r="G20" s="18">
        <f>Reference!E90</f>
        <v>42.212400000000002</v>
      </c>
      <c r="H20" s="18">
        <f>Reference!F90</f>
        <v>69393.294999999998</v>
      </c>
      <c r="I20" s="18">
        <f>Reference!G90</f>
        <v>10.718</v>
      </c>
      <c r="J20" s="19">
        <f t="shared" si="3"/>
        <v>19.275915277777777</v>
      </c>
      <c r="L20" s="17">
        <f>Test!B90</f>
        <v>4522.7879999999996</v>
      </c>
      <c r="M20" s="18">
        <f>Test!C90</f>
        <v>36.915199999999999</v>
      </c>
      <c r="N20" s="18">
        <f>Test!D90</f>
        <v>39.3446</v>
      </c>
      <c r="O20" s="18">
        <f>Test!E90</f>
        <v>42.221299999999999</v>
      </c>
      <c r="P20" s="18">
        <f>Test!F90</f>
        <v>70070.361999999994</v>
      </c>
      <c r="Q20" s="18">
        <f>Test!G90</f>
        <v>11.105</v>
      </c>
      <c r="R20" s="19">
        <f t="shared" si="4"/>
        <v>19.463989444444444</v>
      </c>
      <c r="S20" s="17">
        <f t="shared" si="5"/>
        <v>1.0097569513019953</v>
      </c>
      <c r="T20" s="18">
        <f t="shared" si="6"/>
        <v>1.0361074827393171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2301.4119999999998</v>
      </c>
      <c r="E21" s="18">
        <f>Reference!C91</f>
        <v>35.360599999999998</v>
      </c>
      <c r="F21" s="18">
        <f>Reference!D91</f>
        <v>38.724899999999998</v>
      </c>
      <c r="G21" s="18">
        <f>Reference!E91</f>
        <v>40.9512</v>
      </c>
      <c r="H21" s="18">
        <f>Reference!F91</f>
        <v>40395.648999999998</v>
      </c>
      <c r="I21" s="18">
        <f>Reference!G91</f>
        <v>8.9149999999999991</v>
      </c>
      <c r="J21" s="19">
        <f t="shared" si="3"/>
        <v>11.221013611111111</v>
      </c>
      <c r="L21" s="17">
        <f>Test!B91</f>
        <v>2300.7399999999998</v>
      </c>
      <c r="M21" s="18">
        <f>Test!C91</f>
        <v>35.357300000000002</v>
      </c>
      <c r="N21" s="18">
        <f>Test!D91</f>
        <v>38.728900000000003</v>
      </c>
      <c r="O21" s="18">
        <f>Test!E91</f>
        <v>40.947000000000003</v>
      </c>
      <c r="P21" s="18">
        <f>Test!F91</f>
        <v>41124.656000000003</v>
      </c>
      <c r="Q21" s="18">
        <f>Test!G91</f>
        <v>9.2829999999999995</v>
      </c>
      <c r="R21" s="19">
        <f t="shared" si="4"/>
        <v>11.423515555555555</v>
      </c>
      <c r="S21" s="17">
        <f t="shared" si="5"/>
        <v>1.018046671313537</v>
      </c>
      <c r="T21" s="18">
        <f t="shared" si="6"/>
        <v>1.0412787436904094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1103.5039999999999</v>
      </c>
      <c r="E22" s="23">
        <f>Reference!C92</f>
        <v>33.174300000000002</v>
      </c>
      <c r="F22" s="23">
        <f>Reference!D92</f>
        <v>37.714199999999998</v>
      </c>
      <c r="G22" s="23">
        <f>Reference!E92</f>
        <v>39.215699999999998</v>
      </c>
      <c r="H22" s="23">
        <f>Reference!F92</f>
        <v>21884.102999999999</v>
      </c>
      <c r="I22" s="23">
        <f>Reference!G92</f>
        <v>8.0470000000000006</v>
      </c>
      <c r="J22" s="24">
        <f t="shared" si="3"/>
        <v>6.0789175000000002</v>
      </c>
      <c r="L22" s="22">
        <f>Test!B92</f>
        <v>1104.404</v>
      </c>
      <c r="M22" s="23">
        <f>Test!C92</f>
        <v>33.1706</v>
      </c>
      <c r="N22" s="23">
        <f>Test!D92</f>
        <v>37.717599999999997</v>
      </c>
      <c r="O22" s="23">
        <f>Test!E92</f>
        <v>39.195799999999998</v>
      </c>
      <c r="P22" s="23">
        <f>Test!F92</f>
        <v>22097.569</v>
      </c>
      <c r="Q22" s="23">
        <f>Test!G92</f>
        <v>8.4819999999999993</v>
      </c>
      <c r="R22" s="24">
        <f t="shared" si="4"/>
        <v>6.1382136111111114</v>
      </c>
      <c r="S22" s="17">
        <f t="shared" si="5"/>
        <v>1.0097543865517358</v>
      </c>
      <c r="T22" s="18">
        <f t="shared" si="6"/>
        <v>1.054057412700385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8554.3359999999993</v>
      </c>
      <c r="E23" s="13">
        <f>Reference!C93</f>
        <v>38.9512</v>
      </c>
      <c r="F23" s="13">
        <f>Reference!D93</f>
        <v>44.053899999999999</v>
      </c>
      <c r="G23" s="13">
        <f>Reference!E93</f>
        <v>45.223999999999997</v>
      </c>
      <c r="H23" s="13">
        <f>Reference!F93</f>
        <v>122087.71799999999</v>
      </c>
      <c r="I23" s="13">
        <f>Reference!G93</f>
        <v>13.554</v>
      </c>
      <c r="J23" s="14">
        <f t="shared" si="3"/>
        <v>33.913254999999999</v>
      </c>
      <c r="L23" s="12">
        <f>Test!B93</f>
        <v>8549.0560000000005</v>
      </c>
      <c r="M23" s="13">
        <f>Test!C93</f>
        <v>38.949100000000001</v>
      </c>
      <c r="N23" s="13">
        <f>Test!D93</f>
        <v>44.056399999999996</v>
      </c>
      <c r="O23" s="13">
        <f>Test!E93</f>
        <v>45.210999999999999</v>
      </c>
      <c r="P23" s="13">
        <f>Test!F93</f>
        <v>123688.274</v>
      </c>
      <c r="Q23" s="13">
        <f>Test!G93</f>
        <v>13.526</v>
      </c>
      <c r="R23" s="14">
        <f t="shared" si="4"/>
        <v>34.35785388888889</v>
      </c>
      <c r="S23" s="17">
        <f t="shared" si="5"/>
        <v>1.0131098854677587</v>
      </c>
      <c r="T23" s="18">
        <f t="shared" si="6"/>
        <v>0.99793418916924892</v>
      </c>
      <c r="U23" s="91"/>
      <c r="V23" s="37">
        <f>bdrate($D23:$D26,E23:E26,$L23:$L26,M23:M26)</f>
        <v>6.0974566269411667E-4</v>
      </c>
      <c r="W23" s="42">
        <f>bdrate($D23:$D26,F23:F26,$L23:$L26,N23:N26)</f>
        <v>-1.7221151321108463E-3</v>
      </c>
      <c r="X23" s="42">
        <f>bdrate($D23:$D26,G23:G26,$L23:$L26,O23:O26)</f>
        <v>-3.2430081727325977E-3</v>
      </c>
      <c r="Y23" s="40">
        <f>bdrateOld($D23:$D26,E23:E26,$L23:$L26,M23:M26)</f>
        <v>7.7741590325852705E-4</v>
      </c>
      <c r="Z23" s="44">
        <f>bdrateOld($D23:$D26,F23:F26,$L23:$L26,N23:N26)</f>
        <v>-2.4331203159966286E-3</v>
      </c>
      <c r="AA23" s="45">
        <f>bdrateOld($D23:$D26,G23:G26,$L23:$L26,O23:O26)</f>
        <v>-3.119580684445511E-3</v>
      </c>
    </row>
    <row r="24" spans="1:27" x14ac:dyDescent="0.2">
      <c r="A24" s="34"/>
      <c r="B24" s="85"/>
      <c r="C24" s="16">
        <v>32</v>
      </c>
      <c r="D24" s="17">
        <f>Reference!B94</f>
        <v>4275.7120000000004</v>
      </c>
      <c r="E24" s="18">
        <f>Reference!C94</f>
        <v>37.918799999999997</v>
      </c>
      <c r="F24" s="18">
        <f>Reference!D94</f>
        <v>43.217100000000002</v>
      </c>
      <c r="G24" s="18">
        <f>Reference!E94</f>
        <v>43.771299999999997</v>
      </c>
      <c r="H24" s="18">
        <f>Reference!F94</f>
        <v>74864.398000000001</v>
      </c>
      <c r="I24" s="18">
        <f>Reference!G94</f>
        <v>11.488</v>
      </c>
      <c r="J24" s="19">
        <f t="shared" si="3"/>
        <v>20.79566611111111</v>
      </c>
      <c r="L24" s="17">
        <f>Test!B94</f>
        <v>4278.2240000000002</v>
      </c>
      <c r="M24" s="18">
        <f>Test!C94</f>
        <v>37.919800000000002</v>
      </c>
      <c r="N24" s="18">
        <f>Test!D94</f>
        <v>43.216700000000003</v>
      </c>
      <c r="O24" s="18">
        <f>Test!E94</f>
        <v>43.778300000000002</v>
      </c>
      <c r="P24" s="18">
        <f>Test!F94</f>
        <v>76118.082999999999</v>
      </c>
      <c r="Q24" s="18">
        <f>Test!G94</f>
        <v>11.832000000000001</v>
      </c>
      <c r="R24" s="19">
        <f t="shared" si="4"/>
        <v>21.143911944444444</v>
      </c>
      <c r="S24" s="17">
        <f t="shared" si="5"/>
        <v>1.0167460773544188</v>
      </c>
      <c r="T24" s="18">
        <f t="shared" si="6"/>
        <v>1.0299442896935935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2188.6080000000002</v>
      </c>
      <c r="E25" s="18">
        <f>Reference!C95</f>
        <v>36.426600000000001</v>
      </c>
      <c r="F25" s="18">
        <f>Reference!D95</f>
        <v>42.199800000000003</v>
      </c>
      <c r="G25" s="18">
        <f>Reference!E95</f>
        <v>42.198099999999997</v>
      </c>
      <c r="H25" s="18">
        <f>Reference!F95</f>
        <v>41287.175000000003</v>
      </c>
      <c r="I25" s="18">
        <f>Reference!G95</f>
        <v>9.9550000000000001</v>
      </c>
      <c r="J25" s="19">
        <f t="shared" si="3"/>
        <v>11.468659722222222</v>
      </c>
      <c r="L25" s="17">
        <f>Test!B95</f>
        <v>2188.3760000000002</v>
      </c>
      <c r="M25" s="18">
        <f>Test!C95</f>
        <v>36.422800000000002</v>
      </c>
      <c r="N25" s="18">
        <f>Test!D95</f>
        <v>42.210299999999997</v>
      </c>
      <c r="O25" s="18">
        <f>Test!E95</f>
        <v>42.208799999999997</v>
      </c>
      <c r="P25" s="18">
        <f>Test!F95</f>
        <v>42611.906000000003</v>
      </c>
      <c r="Q25" s="18">
        <f>Test!G95</f>
        <v>10.256</v>
      </c>
      <c r="R25" s="19">
        <f t="shared" si="4"/>
        <v>11.836640555555556</v>
      </c>
      <c r="S25" s="17">
        <f t="shared" si="5"/>
        <v>1.0320857748199048</v>
      </c>
      <c r="T25" s="18">
        <f t="shared" si="6"/>
        <v>1.0302360622802611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1078.3040000000001</v>
      </c>
      <c r="E26" s="23">
        <f>Reference!C96</f>
        <v>34.363399999999999</v>
      </c>
      <c r="F26" s="23">
        <f>Reference!D96</f>
        <v>40.830199999999998</v>
      </c>
      <c r="G26" s="23">
        <f>Reference!E96</f>
        <v>40.283099999999997</v>
      </c>
      <c r="H26" s="23">
        <f>Reference!F96</f>
        <v>22051.133000000002</v>
      </c>
      <c r="I26" s="23">
        <f>Reference!G96</f>
        <v>8.5690000000000008</v>
      </c>
      <c r="J26" s="24">
        <f t="shared" si="3"/>
        <v>6.1253147222222228</v>
      </c>
      <c r="L26" s="22">
        <f>Test!B96</f>
        <v>1076.52</v>
      </c>
      <c r="M26" s="23">
        <f>Test!C96</f>
        <v>34.360599999999998</v>
      </c>
      <c r="N26" s="23">
        <f>Test!D96</f>
        <v>40.810499999999998</v>
      </c>
      <c r="O26" s="23">
        <f>Test!E96</f>
        <v>40.302100000000003</v>
      </c>
      <c r="P26" s="23">
        <f>Test!F96</f>
        <v>22974.420999999998</v>
      </c>
      <c r="Q26" s="23">
        <f>Test!G96</f>
        <v>9.17</v>
      </c>
      <c r="R26" s="24">
        <f t="shared" si="4"/>
        <v>6.3817836111111106</v>
      </c>
      <c r="S26" s="17">
        <f t="shared" si="5"/>
        <v>1.0418703202234549</v>
      </c>
      <c r="T26" s="18">
        <f t="shared" si="6"/>
        <v>1.0701365386859609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6747.7039999999997</v>
      </c>
      <c r="E27" s="13">
        <f>Reference!C97</f>
        <v>39.7057</v>
      </c>
      <c r="F27" s="13">
        <f>Reference!D97</f>
        <v>43.9131</v>
      </c>
      <c r="G27" s="13">
        <f>Reference!E97</f>
        <v>45.049300000000002</v>
      </c>
      <c r="H27" s="13">
        <f>Reference!F97</f>
        <v>110503.44</v>
      </c>
      <c r="I27" s="13">
        <f>Reference!G97</f>
        <v>13.840999999999999</v>
      </c>
      <c r="J27" s="14">
        <f>H27/3600</f>
        <v>30.695399999999999</v>
      </c>
      <c r="L27" s="12">
        <f>Test!B97</f>
        <v>6750.0640000000003</v>
      </c>
      <c r="M27" s="13">
        <f>Test!C97</f>
        <v>39.704099999999997</v>
      </c>
      <c r="N27" s="13">
        <f>Test!D97</f>
        <v>43.908299999999997</v>
      </c>
      <c r="O27" s="13">
        <f>Test!E97</f>
        <v>45.055500000000002</v>
      </c>
      <c r="P27" s="13">
        <f>Test!F97</f>
        <v>112165.333</v>
      </c>
      <c r="Q27" s="13">
        <f>Test!G97</f>
        <v>13.972</v>
      </c>
      <c r="R27" s="14">
        <f>P27/3600</f>
        <v>31.157036944444442</v>
      </c>
      <c r="S27" s="17">
        <f t="shared" si="2"/>
        <v>1.0150392874647161</v>
      </c>
      <c r="T27" s="18">
        <f t="shared" si="2"/>
        <v>1.0094646340582327</v>
      </c>
      <c r="U27" s="91"/>
      <c r="V27" s="37">
        <f>bdrate($D27:$D30,E27:E30,$L27:$L30,M27:M30)</f>
        <v>1.2871486879180161E-3</v>
      </c>
      <c r="W27" s="42">
        <f>bdrate($D27:$D30,F27:F30,$L27:$L30,N27:N30)</f>
        <v>-7.1905830774012802E-3</v>
      </c>
      <c r="X27" s="43">
        <f>bdrate($D27:$D30,G27:G30,$L27:$L30,O27:O30)</f>
        <v>-1.4093135919324151E-4</v>
      </c>
      <c r="Y27" s="37">
        <f>bdrateOld($D27:$D30,E27:E30,$L27:$L30,M27:M30)</f>
        <v>1.4828572710023913E-3</v>
      </c>
      <c r="Z27" s="42">
        <f>bdrateOld($D27:$D30,F27:F30,$L27:$L30,N27:N30)</f>
        <v>-7.5214605707351057E-3</v>
      </c>
      <c r="AA27" s="43">
        <f>bdrateOld($D27:$D30,G27:G30,$L27:$L30,O27:O30)</f>
        <v>6.9143592077791638E-4</v>
      </c>
    </row>
    <row r="28" spans="1:27" x14ac:dyDescent="0.2">
      <c r="A28" s="16"/>
      <c r="B28" s="85"/>
      <c r="C28" s="16">
        <v>48</v>
      </c>
      <c r="D28" s="17">
        <f>Reference!B98</f>
        <v>3208.18</v>
      </c>
      <c r="E28" s="18">
        <f>Reference!C98</f>
        <v>38.565199999999997</v>
      </c>
      <c r="F28" s="18">
        <f>Reference!D98</f>
        <v>43.145400000000002</v>
      </c>
      <c r="G28" s="18">
        <f>Reference!E98</f>
        <v>44.368299999999998</v>
      </c>
      <c r="H28" s="18">
        <f>Reference!F98</f>
        <v>66656.013000000006</v>
      </c>
      <c r="I28" s="18">
        <f>Reference!G98</f>
        <v>11.62</v>
      </c>
      <c r="J28" s="19">
        <f t="shared" ref="J28:J46" si="7">H28/3600</f>
        <v>18.515559166666669</v>
      </c>
      <c r="L28" s="17">
        <f>Test!B98</f>
        <v>3209.3679999999999</v>
      </c>
      <c r="M28" s="18">
        <f>Test!C98</f>
        <v>38.566000000000003</v>
      </c>
      <c r="N28" s="18">
        <f>Test!D98</f>
        <v>43.1616</v>
      </c>
      <c r="O28" s="18">
        <f>Test!E98</f>
        <v>44.373199999999997</v>
      </c>
      <c r="P28" s="18">
        <f>Test!F98</f>
        <v>67784.797000000006</v>
      </c>
      <c r="Q28" s="18">
        <f>Test!G98</f>
        <v>11.885999999999999</v>
      </c>
      <c r="R28" s="19">
        <f t="shared" ref="R28:R46" si="8">P28/3600</f>
        <v>18.829110277777779</v>
      </c>
      <c r="S28" s="17">
        <f t="shared" si="2"/>
        <v>1.0169344662123732</v>
      </c>
      <c r="T28" s="18">
        <f t="shared" si="2"/>
        <v>1.0228915662650602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1547.1559999999999</v>
      </c>
      <c r="E29" s="18">
        <f>Reference!C99</f>
        <v>36.896900000000002</v>
      </c>
      <c r="F29" s="18">
        <f>Reference!D99</f>
        <v>42.270200000000003</v>
      </c>
      <c r="G29" s="18">
        <f>Reference!E99</f>
        <v>43.490299999999998</v>
      </c>
      <c r="H29" s="18">
        <f>Reference!F99</f>
        <v>35558.972999999998</v>
      </c>
      <c r="I29" s="18">
        <f>Reference!G99</f>
        <v>10.311999999999999</v>
      </c>
      <c r="J29" s="19">
        <f t="shared" si="7"/>
        <v>9.8774924999999989</v>
      </c>
      <c r="L29" s="17">
        <f>Test!B99</f>
        <v>1547.0640000000001</v>
      </c>
      <c r="M29" s="18">
        <f>Test!C99</f>
        <v>36.889800000000001</v>
      </c>
      <c r="N29" s="18">
        <f>Test!D99</f>
        <v>42.291200000000003</v>
      </c>
      <c r="O29" s="18">
        <f>Test!E99</f>
        <v>43.482399999999998</v>
      </c>
      <c r="P29" s="18">
        <f>Test!F99</f>
        <v>36388.29</v>
      </c>
      <c r="Q29" s="18">
        <f>Test!G99</f>
        <v>10.313000000000001</v>
      </c>
      <c r="R29" s="19">
        <f t="shared" si="8"/>
        <v>10.107858333333333</v>
      </c>
      <c r="S29" s="17">
        <f t="shared" si="2"/>
        <v>1.0233222989876565</v>
      </c>
      <c r="T29" s="18">
        <f t="shared" si="2"/>
        <v>1.0000969743987589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695.84</v>
      </c>
      <c r="E30" s="23">
        <f>Reference!C100</f>
        <v>34.6494</v>
      </c>
      <c r="F30" s="23">
        <f>Reference!D100</f>
        <v>41.061500000000002</v>
      </c>
      <c r="G30" s="23">
        <f>Reference!E100</f>
        <v>42.136499999999998</v>
      </c>
      <c r="H30" s="23">
        <f>Reference!F100</f>
        <v>17912.350999999999</v>
      </c>
      <c r="I30" s="23">
        <f>Reference!G100</f>
        <v>9.01</v>
      </c>
      <c r="J30" s="24">
        <f t="shared" si="7"/>
        <v>4.9756530555555551</v>
      </c>
      <c r="L30" s="22">
        <f>Test!B100</f>
        <v>695.26</v>
      </c>
      <c r="M30" s="23">
        <f>Test!C100</f>
        <v>34.649099999999997</v>
      </c>
      <c r="N30" s="23">
        <f>Test!D100</f>
        <v>41.020600000000002</v>
      </c>
      <c r="O30" s="23">
        <f>Test!E100</f>
        <v>42.147599999999997</v>
      </c>
      <c r="P30" s="23">
        <f>Test!F100</f>
        <v>18341.948</v>
      </c>
      <c r="Q30" s="23">
        <f>Test!G100</f>
        <v>9.1630000000000003</v>
      </c>
      <c r="R30" s="24">
        <f t="shared" si="8"/>
        <v>5.0949855555555557</v>
      </c>
      <c r="S30" s="17">
        <f t="shared" si="2"/>
        <v>1.0239832839363188</v>
      </c>
      <c r="T30" s="18">
        <f t="shared" si="2"/>
        <v>1.0169811320754718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5567.884</v>
      </c>
      <c r="E31" s="13">
        <f>Reference!C101</f>
        <v>44.892699999999998</v>
      </c>
      <c r="F31" s="13">
        <f>Reference!D101</f>
        <v>47.719000000000001</v>
      </c>
      <c r="G31" s="13">
        <f>Reference!E101</f>
        <v>48.505600000000001</v>
      </c>
      <c r="H31" s="13">
        <f>Reference!F101</f>
        <v>84513.195000000007</v>
      </c>
      <c r="I31" s="13">
        <f>Reference!G101</f>
        <v>13.33</v>
      </c>
      <c r="J31" s="14">
        <f t="shared" si="7"/>
        <v>23.475887500000002</v>
      </c>
      <c r="L31" s="12">
        <f>Test!B101</f>
        <v>5564.2280000000001</v>
      </c>
      <c r="M31" s="13">
        <f>Test!C101</f>
        <v>44.8902</v>
      </c>
      <c r="N31" s="13">
        <f>Test!D101</f>
        <v>47.724400000000003</v>
      </c>
      <c r="O31" s="13">
        <f>Test!E101</f>
        <v>48.512099999999997</v>
      </c>
      <c r="P31" s="13">
        <f>Test!F101</f>
        <v>85659.046000000002</v>
      </c>
      <c r="Q31" s="13">
        <f>Test!G101</f>
        <v>14.028</v>
      </c>
      <c r="R31" s="14">
        <f t="shared" si="8"/>
        <v>23.794179444444445</v>
      </c>
      <c r="S31" s="17">
        <f t="shared" si="2"/>
        <v>1.0135582496910689</v>
      </c>
      <c r="T31" s="18">
        <f t="shared" si="2"/>
        <v>1.0523630907726933</v>
      </c>
      <c r="U31" s="91"/>
      <c r="V31" s="37">
        <f>bdrate($D31:$D34,E31:E34,$L31:$L34,M31:M34)</f>
        <v>7.8722850834789249E-4</v>
      </c>
      <c r="W31" s="42">
        <f>bdrate($D31:$D34,F31:F34,$L31:$L34,N31:N34)</f>
        <v>-6.1137756400642118E-4</v>
      </c>
      <c r="X31" s="42">
        <f>bdrate($D31:$D34,G31:G34,$L31:$L34,O31:O34)</f>
        <v>-3.3310924478074933E-3</v>
      </c>
      <c r="Y31" s="40">
        <f>bdrateOld($D31:$D34,E31:E34,$L31:$L34,M31:M34)</f>
        <v>7.2521793138102808E-4</v>
      </c>
      <c r="Z31" s="44">
        <f>bdrateOld($D31:$D34,F31:F34,$L31:$L34,N31:N34)</f>
        <v>-7.0046640895637946E-4</v>
      </c>
      <c r="AA31" s="45">
        <f>bdrateOld($D31:$D34,G31:G34,$L31:$L34,O31:O34)</f>
        <v>-3.2880217951751778E-3</v>
      </c>
    </row>
    <row r="32" spans="1:27" x14ac:dyDescent="0.2">
      <c r="A32" s="16"/>
      <c r="B32" s="85"/>
      <c r="C32" s="16">
        <v>48</v>
      </c>
      <c r="D32" s="17">
        <f>Reference!B102</f>
        <v>3420.4079999999999</v>
      </c>
      <c r="E32" s="18">
        <f>Reference!C102</f>
        <v>42.653700000000001</v>
      </c>
      <c r="F32" s="18">
        <f>Reference!D102</f>
        <v>46.1511</v>
      </c>
      <c r="G32" s="18">
        <f>Reference!E102</f>
        <v>46.721699999999998</v>
      </c>
      <c r="H32" s="18">
        <f>Reference!F102</f>
        <v>58212.324999999997</v>
      </c>
      <c r="I32" s="18">
        <f>Reference!G102</f>
        <v>12.378</v>
      </c>
      <c r="J32" s="19">
        <f t="shared" si="7"/>
        <v>16.170090277777778</v>
      </c>
      <c r="L32" s="17">
        <f>Test!B102</f>
        <v>3414.5120000000002</v>
      </c>
      <c r="M32" s="18">
        <f>Test!C102</f>
        <v>42.637300000000003</v>
      </c>
      <c r="N32" s="18">
        <f>Test!D102</f>
        <v>46.161700000000003</v>
      </c>
      <c r="O32" s="18">
        <f>Test!E102</f>
        <v>46.748100000000001</v>
      </c>
      <c r="P32" s="18">
        <f>Test!F102</f>
        <v>58587.925999999999</v>
      </c>
      <c r="Q32" s="18">
        <f>Test!G102</f>
        <v>12.442</v>
      </c>
      <c r="R32" s="19">
        <f t="shared" si="8"/>
        <v>16.27442388888889</v>
      </c>
      <c r="S32" s="17">
        <f t="shared" si="2"/>
        <v>1.0064522590362093</v>
      </c>
      <c r="T32" s="18">
        <f t="shared" si="2"/>
        <v>1.0051704637259655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1907.104</v>
      </c>
      <c r="E33" s="18">
        <f>Reference!C103</f>
        <v>39.822000000000003</v>
      </c>
      <c r="F33" s="18">
        <f>Reference!D103</f>
        <v>44.598700000000001</v>
      </c>
      <c r="G33" s="18">
        <f>Reference!E103</f>
        <v>44.914099999999998</v>
      </c>
      <c r="H33" s="18">
        <f>Reference!F103</f>
        <v>35550.482000000004</v>
      </c>
      <c r="I33" s="18">
        <f>Reference!G103</f>
        <v>10.756</v>
      </c>
      <c r="J33" s="19">
        <f t="shared" si="7"/>
        <v>9.8751338888888895</v>
      </c>
      <c r="L33" s="17">
        <f>Test!B103</f>
        <v>1909.5319999999999</v>
      </c>
      <c r="M33" s="18">
        <f>Test!C103</f>
        <v>39.825000000000003</v>
      </c>
      <c r="N33" s="18">
        <f>Test!D103</f>
        <v>44.602499999999999</v>
      </c>
      <c r="O33" s="18">
        <f>Test!E103</f>
        <v>44.922699999999999</v>
      </c>
      <c r="P33" s="18">
        <f>Test!F103</f>
        <v>36465.597999999998</v>
      </c>
      <c r="Q33" s="18">
        <f>Test!G103</f>
        <v>11.195</v>
      </c>
      <c r="R33" s="19">
        <f t="shared" si="8"/>
        <v>10.129332777777778</v>
      </c>
      <c r="S33" s="17">
        <f t="shared" si="2"/>
        <v>1.0257413106241426</v>
      </c>
      <c r="T33" s="18">
        <f t="shared" si="2"/>
        <v>1.0408144291558201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971.16800000000001</v>
      </c>
      <c r="E34" s="23">
        <f>Reference!C104</f>
        <v>36.6387</v>
      </c>
      <c r="F34" s="23">
        <f>Reference!D104</f>
        <v>42.780900000000003</v>
      </c>
      <c r="G34" s="23">
        <f>Reference!E104</f>
        <v>42.862299999999998</v>
      </c>
      <c r="H34" s="23">
        <f>Reference!F104</f>
        <v>20372.825000000001</v>
      </c>
      <c r="I34" s="23">
        <f>Reference!G104</f>
        <v>9.0630000000000006</v>
      </c>
      <c r="J34" s="24">
        <f t="shared" si="7"/>
        <v>5.659118055555556</v>
      </c>
      <c r="L34" s="22">
        <f>Test!B104</f>
        <v>973.05600000000004</v>
      </c>
      <c r="M34" s="23">
        <f>Test!C104</f>
        <v>36.649299999999997</v>
      </c>
      <c r="N34" s="23">
        <f>Test!D104</f>
        <v>42.755600000000001</v>
      </c>
      <c r="O34" s="23">
        <f>Test!E104</f>
        <v>42.848799999999997</v>
      </c>
      <c r="P34" s="23">
        <f>Test!F104</f>
        <v>20748.210999999999</v>
      </c>
      <c r="Q34" s="23">
        <f>Test!G104</f>
        <v>9.9930000000000003</v>
      </c>
      <c r="R34" s="24">
        <f t="shared" si="8"/>
        <v>5.7633919444444439</v>
      </c>
      <c r="S34" s="17">
        <f t="shared" si="2"/>
        <v>1.0184258196887275</v>
      </c>
      <c r="T34" s="18">
        <f t="shared" si="2"/>
        <v>1.1026150281363787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4096.8119999999999</v>
      </c>
      <c r="E35" s="13">
        <f>Reference!C105</f>
        <v>38.610500000000002</v>
      </c>
      <c r="F35" s="13">
        <f>Reference!D105</f>
        <v>46.229599999999998</v>
      </c>
      <c r="G35" s="13">
        <f>Reference!E105</f>
        <v>46.447899999999997</v>
      </c>
      <c r="H35" s="13">
        <f>Reference!F105</f>
        <v>53715.430999999997</v>
      </c>
      <c r="I35" s="13">
        <f>Reference!G105</f>
        <v>5.5579999999999998</v>
      </c>
      <c r="J35" s="14">
        <f t="shared" si="7"/>
        <v>14.920953055555554</v>
      </c>
      <c r="L35" s="12">
        <f>Test!B105</f>
        <v>4096.3159999999998</v>
      </c>
      <c r="M35" s="13">
        <f>Test!C105</f>
        <v>38.607999999999997</v>
      </c>
      <c r="N35" s="13">
        <f>Test!D105</f>
        <v>46.225999999999999</v>
      </c>
      <c r="O35" s="13">
        <f>Test!E105</f>
        <v>46.444699999999997</v>
      </c>
      <c r="P35" s="13">
        <f>Test!F105</f>
        <v>54849.851000000002</v>
      </c>
      <c r="Q35" s="13">
        <f>Test!G105</f>
        <v>5.8849999999999998</v>
      </c>
      <c r="R35" s="14">
        <f t="shared" si="8"/>
        <v>15.236069722222222</v>
      </c>
      <c r="S35" s="12">
        <f t="shared" si="2"/>
        <v>1.0211190709798086</v>
      </c>
      <c r="T35" s="13">
        <f t="shared" si="2"/>
        <v>1.0588341129902843</v>
      </c>
      <c r="U35" s="90"/>
      <c r="V35" s="37">
        <f>bdrate($D35:$D38,E35:E38,$L35:$L38,M35:M38)</f>
        <v>-2.2041728159560847E-5</v>
      </c>
      <c r="W35" s="42">
        <f>bdrate($D35:$D38,F35:F38,$L35:$L38,N35:N38)</f>
        <v>-4.1683956810834033E-3</v>
      </c>
      <c r="X35" s="42">
        <f>bdrate($D35:$D38,G35:G38,$L35:$L38,O35:O38)</f>
        <v>-2.0780644648028535E-3</v>
      </c>
      <c r="Y35" s="40">
        <f>bdrateOld($D35:$D38,E35:E38,$L35:$L38,M35:M38)</f>
        <v>1.1034524428277237E-4</v>
      </c>
      <c r="Z35" s="44">
        <f>bdrateOld($D35:$D38,F35:F38,$L35:$L38,N35:N38)</f>
        <v>-3.8592157013298545E-3</v>
      </c>
      <c r="AA35" s="45">
        <f>bdrateOld($D35:$D38,G35:G38,$L35:$L38,O35:O38)</f>
        <v>-1.3666902426275884E-3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1780.4280000000001</v>
      </c>
      <c r="E36" s="18">
        <f>Reference!C106</f>
        <v>37.102699999999999</v>
      </c>
      <c r="F36" s="18">
        <f>Reference!D106</f>
        <v>45.177700000000002</v>
      </c>
      <c r="G36" s="18">
        <f>Reference!E106</f>
        <v>45.387</v>
      </c>
      <c r="H36" s="18">
        <f>Reference!F106</f>
        <v>28912.092000000001</v>
      </c>
      <c r="I36" s="18">
        <f>Reference!G106</f>
        <v>4.4420000000000002</v>
      </c>
      <c r="J36" s="19">
        <f t="shared" si="7"/>
        <v>8.0311366666666668</v>
      </c>
      <c r="L36" s="17">
        <f>Test!B106</f>
        <v>1778.58</v>
      </c>
      <c r="M36" s="18">
        <f>Test!C106</f>
        <v>37.100900000000003</v>
      </c>
      <c r="N36" s="18">
        <f>Test!D106</f>
        <v>45.186</v>
      </c>
      <c r="O36" s="18">
        <f>Test!E106</f>
        <v>45.399000000000001</v>
      </c>
      <c r="P36" s="18">
        <f>Test!F106</f>
        <v>29831.63</v>
      </c>
      <c r="Q36" s="18">
        <f>Test!G106</f>
        <v>4.7990000000000004</v>
      </c>
      <c r="R36" s="19">
        <f t="shared" si="8"/>
        <v>8.2865638888888888</v>
      </c>
      <c r="S36" s="17">
        <f t="shared" si="2"/>
        <v>1.0318046165597425</v>
      </c>
      <c r="T36" s="18">
        <f t="shared" si="2"/>
        <v>1.080369203061684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839.08799999999997</v>
      </c>
      <c r="E37" s="18">
        <f>Reference!C107</f>
        <v>35.145899999999997</v>
      </c>
      <c r="F37" s="18">
        <f>Reference!D107</f>
        <v>43.8827</v>
      </c>
      <c r="G37" s="18">
        <f>Reference!E107</f>
        <v>44.1601</v>
      </c>
      <c r="H37" s="18">
        <f>Reference!F107</f>
        <v>15776.338</v>
      </c>
      <c r="I37" s="18">
        <f>Reference!G107</f>
        <v>3.8159999999999998</v>
      </c>
      <c r="J37" s="19">
        <f t="shared" si="7"/>
        <v>4.3823161111111109</v>
      </c>
      <c r="L37" s="17">
        <f>Test!B107</f>
        <v>841.00800000000004</v>
      </c>
      <c r="M37" s="18">
        <f>Test!C107</f>
        <v>35.153100000000002</v>
      </c>
      <c r="N37" s="18">
        <f>Test!D107</f>
        <v>43.9011</v>
      </c>
      <c r="O37" s="18">
        <f>Test!E107</f>
        <v>44.165999999999997</v>
      </c>
      <c r="P37" s="18">
        <f>Test!F107</f>
        <v>16009.045</v>
      </c>
      <c r="Q37" s="18">
        <f>Test!G107</f>
        <v>4.1859999999999999</v>
      </c>
      <c r="R37" s="19">
        <f t="shared" si="8"/>
        <v>4.4469569444444446</v>
      </c>
      <c r="S37" s="17">
        <f t="shared" si="2"/>
        <v>1.0147503812354934</v>
      </c>
      <c r="T37" s="18">
        <f t="shared" si="2"/>
        <v>1.0969601677148848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399.43200000000002</v>
      </c>
      <c r="E38" s="23">
        <f>Reference!C108</f>
        <v>32.4724</v>
      </c>
      <c r="F38" s="23">
        <f>Reference!D108</f>
        <v>42.238100000000003</v>
      </c>
      <c r="G38" s="23">
        <f>Reference!E108</f>
        <v>42.521299999999997</v>
      </c>
      <c r="H38" s="23">
        <f>Reference!F108</f>
        <v>7983.9369999999999</v>
      </c>
      <c r="I38" s="23">
        <f>Reference!G108</f>
        <v>3.2949999999999999</v>
      </c>
      <c r="J38" s="24">
        <f t="shared" si="7"/>
        <v>2.2177602777777778</v>
      </c>
      <c r="L38" s="22">
        <f>Test!B108</f>
        <v>399.32400000000001</v>
      </c>
      <c r="M38" s="23">
        <f>Test!C108</f>
        <v>32.472499999999997</v>
      </c>
      <c r="N38" s="23">
        <f>Test!D108</f>
        <v>42.225200000000001</v>
      </c>
      <c r="O38" s="23">
        <f>Test!E108</f>
        <v>42.506599999999999</v>
      </c>
      <c r="P38" s="23">
        <f>Test!F108</f>
        <v>8183.1139999999996</v>
      </c>
      <c r="Q38" s="23">
        <f>Test!G108</f>
        <v>3.5</v>
      </c>
      <c r="R38" s="24">
        <f t="shared" si="8"/>
        <v>2.2730872222222223</v>
      </c>
      <c r="S38" s="17">
        <f t="shared" si="2"/>
        <v>1.0249472158911073</v>
      </c>
      <c r="T38" s="18">
        <f t="shared" si="2"/>
        <v>1.062215477996965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2422.4360000000001</v>
      </c>
      <c r="E39" s="13">
        <f>Reference!C109</f>
        <v>40.6524</v>
      </c>
      <c r="F39" s="13">
        <f>Reference!D109</f>
        <v>46.151299999999999</v>
      </c>
      <c r="G39" s="13">
        <f>Reference!E109</f>
        <v>47.308700000000002</v>
      </c>
      <c r="H39" s="13">
        <f>Reference!F109</f>
        <v>42396.934999999998</v>
      </c>
      <c r="I39" s="13">
        <f>Reference!G109</f>
        <v>5.7050000000000001</v>
      </c>
      <c r="J39" s="14">
        <f t="shared" si="7"/>
        <v>11.776926388888889</v>
      </c>
      <c r="L39" s="12">
        <f>Test!B109</f>
        <v>2425.5479999999998</v>
      </c>
      <c r="M39" s="13">
        <f>Test!C109</f>
        <v>40.652099999999997</v>
      </c>
      <c r="N39" s="13">
        <f>Test!D109</f>
        <v>46.1449</v>
      </c>
      <c r="O39" s="13">
        <f>Test!E109</f>
        <v>47.320099999999996</v>
      </c>
      <c r="P39" s="13">
        <f>Test!F109</f>
        <v>42915.665000000001</v>
      </c>
      <c r="Q39" s="13">
        <f>Test!G109</f>
        <v>5.6669999999999998</v>
      </c>
      <c r="R39" s="14">
        <f t="shared" si="8"/>
        <v>11.921018055555555</v>
      </c>
      <c r="S39" s="17">
        <f t="shared" si="2"/>
        <v>1.0122350825596238</v>
      </c>
      <c r="T39" s="18">
        <f t="shared" si="2"/>
        <v>0.99333917616126199</v>
      </c>
      <c r="U39" s="91"/>
      <c r="V39" s="37">
        <f>bdrate($D39:$D42,E39:E42,$L39:$L42,M39:M42)</f>
        <v>-3.9803554070350078E-4</v>
      </c>
      <c r="W39" s="42">
        <f>bdrate($D39:$D42,F39:F42,$L39:$L42,N39:N42)</f>
        <v>4.041520303088797E-3</v>
      </c>
      <c r="X39" s="42">
        <f>bdrate($D39:$D42,G39:G42,$L39:$L42,O39:O42)</f>
        <v>4.8218689473211729E-3</v>
      </c>
      <c r="Y39" s="40">
        <f>bdrateOld($D39:$D42,E39:E42,$L39:$L42,M39:M42)</f>
        <v>-1.8031885046576601E-4</v>
      </c>
      <c r="Z39" s="44">
        <f>bdrateOld($D39:$D42,F39:F42,$L39:$L42,N39:N42)</f>
        <v>6.7745945242700945E-3</v>
      </c>
      <c r="AA39" s="45">
        <f>bdrateOld($D39:$D42,G39:G42,$L39:$L42,O39:O42)</f>
        <v>5.4694926055784965E-3</v>
      </c>
    </row>
    <row r="40" spans="1:27" x14ac:dyDescent="0.2">
      <c r="A40" s="16"/>
      <c r="B40" s="85"/>
      <c r="C40" s="16">
        <v>32</v>
      </c>
      <c r="D40" s="17">
        <f>Reference!B110</f>
        <v>1089.54</v>
      </c>
      <c r="E40" s="18">
        <f>Reference!C110</f>
        <v>39.505600000000001</v>
      </c>
      <c r="F40" s="18">
        <f>Reference!D110</f>
        <v>45.575899999999997</v>
      </c>
      <c r="G40" s="18">
        <f>Reference!E110</f>
        <v>46.055599999999998</v>
      </c>
      <c r="H40" s="18">
        <f>Reference!F110</f>
        <v>23766.383999999998</v>
      </c>
      <c r="I40" s="18">
        <f>Reference!G110</f>
        <v>4.6749999999999998</v>
      </c>
      <c r="J40" s="19">
        <f t="shared" si="7"/>
        <v>6.601773333333333</v>
      </c>
      <c r="L40" s="17">
        <f>Test!B110</f>
        <v>1089.2280000000001</v>
      </c>
      <c r="M40" s="18">
        <f>Test!C110</f>
        <v>39.5075</v>
      </c>
      <c r="N40" s="18">
        <f>Test!D110</f>
        <v>45.581000000000003</v>
      </c>
      <c r="O40" s="18">
        <f>Test!E110</f>
        <v>46.055799999999998</v>
      </c>
      <c r="P40" s="18">
        <f>Test!F110</f>
        <v>24192.591</v>
      </c>
      <c r="Q40" s="18">
        <f>Test!G110</f>
        <v>5.0369999999999999</v>
      </c>
      <c r="R40" s="19">
        <f t="shared" si="8"/>
        <v>6.7201641666666667</v>
      </c>
      <c r="S40" s="17">
        <f t="shared" si="2"/>
        <v>1.0179331866387415</v>
      </c>
      <c r="T40" s="18">
        <f t="shared" si="2"/>
        <v>1.0774331550802139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514.524</v>
      </c>
      <c r="E41" s="18">
        <f>Reference!C111</f>
        <v>37.943899999999999</v>
      </c>
      <c r="F41" s="18">
        <f>Reference!D111</f>
        <v>44.809899999999999</v>
      </c>
      <c r="G41" s="18">
        <f>Reference!E111</f>
        <v>44.507800000000003</v>
      </c>
      <c r="H41" s="18">
        <f>Reference!F111</f>
        <v>11980.77</v>
      </c>
      <c r="I41" s="18">
        <f>Reference!G111</f>
        <v>4.0490000000000004</v>
      </c>
      <c r="J41" s="19">
        <f t="shared" si="7"/>
        <v>3.3279916666666667</v>
      </c>
      <c r="L41" s="17">
        <f>Test!B111</f>
        <v>514.44000000000005</v>
      </c>
      <c r="M41" s="18">
        <f>Test!C111</f>
        <v>37.943899999999999</v>
      </c>
      <c r="N41" s="18">
        <f>Test!D111</f>
        <v>44.790599999999998</v>
      </c>
      <c r="O41" s="18">
        <f>Test!E111</f>
        <v>44.473199999999999</v>
      </c>
      <c r="P41" s="18">
        <f>Test!F111</f>
        <v>12197.918</v>
      </c>
      <c r="Q41" s="18">
        <f>Test!G111</f>
        <v>4.5</v>
      </c>
      <c r="R41" s="19">
        <f t="shared" si="8"/>
        <v>3.3883105555555555</v>
      </c>
      <c r="S41" s="17">
        <f t="shared" si="2"/>
        <v>1.0181247115168723</v>
      </c>
      <c r="T41" s="18">
        <f t="shared" si="2"/>
        <v>1.111385527290689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233.464</v>
      </c>
      <c r="E42" s="23">
        <f>Reference!C112</f>
        <v>35.852699999999999</v>
      </c>
      <c r="F42" s="23">
        <f>Reference!D112</f>
        <v>43.619900000000001</v>
      </c>
      <c r="G42" s="23">
        <f>Reference!E112</f>
        <v>42.390900000000002</v>
      </c>
      <c r="H42" s="23">
        <f>Reference!F112</f>
        <v>5915.0550000000003</v>
      </c>
      <c r="I42" s="23">
        <f>Reference!G112</f>
        <v>3.6030000000000002</v>
      </c>
      <c r="J42" s="24">
        <f t="shared" si="7"/>
        <v>1.6430708333333335</v>
      </c>
      <c r="L42" s="22">
        <f>Test!B112</f>
        <v>233.22</v>
      </c>
      <c r="M42" s="23">
        <f>Test!C112</f>
        <v>35.8506</v>
      </c>
      <c r="N42" s="23">
        <f>Test!D112</f>
        <v>43.648800000000001</v>
      </c>
      <c r="O42" s="23">
        <f>Test!E112</f>
        <v>42.408299999999997</v>
      </c>
      <c r="P42" s="23">
        <f>Test!F112</f>
        <v>5952.9660000000003</v>
      </c>
      <c r="Q42" s="23">
        <f>Test!G112</f>
        <v>3.774</v>
      </c>
      <c r="R42" s="24">
        <f t="shared" si="8"/>
        <v>1.6536016666666669</v>
      </c>
      <c r="S42" s="17">
        <f t="shared" si="2"/>
        <v>1.0064092387982868</v>
      </c>
      <c r="T42" s="18">
        <f t="shared" si="2"/>
        <v>1.0474604496253122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923.36400000000003</v>
      </c>
      <c r="E43" s="13">
        <f>Reference!C113</f>
        <v>43.543799999999997</v>
      </c>
      <c r="F43" s="13">
        <f>Reference!D113</f>
        <v>47.269300000000001</v>
      </c>
      <c r="G43" s="13">
        <f>Reference!E113</f>
        <v>48.290799999999997</v>
      </c>
      <c r="H43" s="13">
        <f>Reference!F113</f>
        <v>18682.812999999998</v>
      </c>
      <c r="I43" s="13">
        <f>Reference!G113</f>
        <v>4.1230000000000002</v>
      </c>
      <c r="J43" s="14">
        <f t="shared" si="7"/>
        <v>5.1896702777777772</v>
      </c>
      <c r="L43" s="12">
        <f>Test!B113</f>
        <v>923.35599999999999</v>
      </c>
      <c r="M43" s="13">
        <f>Test!C113</f>
        <v>43.543300000000002</v>
      </c>
      <c r="N43" s="13">
        <f>Test!D113</f>
        <v>47.262599999999999</v>
      </c>
      <c r="O43" s="13">
        <f>Test!E113</f>
        <v>48.293300000000002</v>
      </c>
      <c r="P43" s="13">
        <f>Test!F113</f>
        <v>18747.13</v>
      </c>
      <c r="Q43" s="13">
        <f>Test!G113</f>
        <v>4.3550000000000004</v>
      </c>
      <c r="R43" s="14">
        <f t="shared" si="8"/>
        <v>5.2075361111111116</v>
      </c>
      <c r="S43" s="17">
        <f t="shared" si="2"/>
        <v>1.0034425758048322</v>
      </c>
      <c r="T43" s="18">
        <f t="shared" si="2"/>
        <v>1.0562697065243756</v>
      </c>
      <c r="U43" s="91"/>
      <c r="V43" s="37">
        <f>bdrate($D43:$D46,E43:E46,$L43:$L46,M43:M46)</f>
        <v>-6.9611169850658516E-4</v>
      </c>
      <c r="W43" s="42">
        <f>bdrate($D43:$D46,F43:F46,$L43:$L46,N43:N46)</f>
        <v>1.4181550934057707E-2</v>
      </c>
      <c r="X43" s="42">
        <f>bdrate($D43:$D46,G43:G46,$L43:$L46,O43:O46)</f>
        <v>-1.2391102142440547E-3</v>
      </c>
      <c r="Y43" s="40">
        <f>bdrateOld($D43:$D46,E43:E46,$L43:$L46,M43:M46)</f>
        <v>-8.8220258594207124E-4</v>
      </c>
      <c r="Z43" s="44">
        <f>bdrateOld($D43:$D46,F43:F46,$L43:$L46,N43:N46)</f>
        <v>1.9411312246815582E-2</v>
      </c>
      <c r="AA43" s="45">
        <f>bdrateOld($D43:$D46,G43:G46,$L43:$L46,O43:O46)</f>
        <v>-1.9828349074662022E-3</v>
      </c>
    </row>
    <row r="44" spans="1:27" x14ac:dyDescent="0.2">
      <c r="A44" s="16"/>
      <c r="B44" s="85"/>
      <c r="C44" s="16">
        <v>32</v>
      </c>
      <c r="D44" s="17">
        <f>Reference!B114</f>
        <v>505.06400000000002</v>
      </c>
      <c r="E44" s="18">
        <f>Reference!C114</f>
        <v>42.264200000000002</v>
      </c>
      <c r="F44" s="18">
        <f>Reference!D114</f>
        <v>46.540700000000001</v>
      </c>
      <c r="G44" s="18">
        <f>Reference!E114</f>
        <v>47.332500000000003</v>
      </c>
      <c r="H44" s="18">
        <f>Reference!F114</f>
        <v>10613.823</v>
      </c>
      <c r="I44" s="18">
        <f>Reference!G114</f>
        <v>3.7080000000000002</v>
      </c>
      <c r="J44" s="19">
        <f t="shared" si="7"/>
        <v>2.9482841666666668</v>
      </c>
      <c r="L44" s="17">
        <f>Test!B114</f>
        <v>507.38</v>
      </c>
      <c r="M44" s="18">
        <f>Test!C114</f>
        <v>42.272199999999998</v>
      </c>
      <c r="N44" s="18">
        <f>Test!D114</f>
        <v>46.557299999999998</v>
      </c>
      <c r="O44" s="18">
        <f>Test!E114</f>
        <v>47.318600000000004</v>
      </c>
      <c r="P44" s="18">
        <f>Test!F114</f>
        <v>10614.416999999999</v>
      </c>
      <c r="Q44" s="18">
        <f>Test!G114</f>
        <v>4.109</v>
      </c>
      <c r="R44" s="19">
        <f t="shared" si="8"/>
        <v>2.9484491666666663</v>
      </c>
      <c r="S44" s="17">
        <f t="shared" si="2"/>
        <v>1.0000559647546412</v>
      </c>
      <c r="T44" s="18">
        <f t="shared" si="2"/>
        <v>1.1081445523193096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290.60399999999998</v>
      </c>
      <c r="E45" s="18">
        <f>Reference!C115</f>
        <v>40.485399999999998</v>
      </c>
      <c r="F45" s="18">
        <f>Reference!D115</f>
        <v>45.563000000000002</v>
      </c>
      <c r="G45" s="18">
        <f>Reference!E115</f>
        <v>46.102800000000002</v>
      </c>
      <c r="H45" s="18">
        <f>Reference!F115</f>
        <v>5936.7529999999997</v>
      </c>
      <c r="I45" s="18">
        <f>Reference!G115</f>
        <v>3.7480000000000002</v>
      </c>
      <c r="J45" s="19">
        <f t="shared" si="7"/>
        <v>1.6490980555555554</v>
      </c>
      <c r="L45" s="17">
        <f>Test!B115</f>
        <v>290.42</v>
      </c>
      <c r="M45" s="18">
        <f>Test!C115</f>
        <v>40.488</v>
      </c>
      <c r="N45" s="18">
        <f>Test!D115</f>
        <v>45.506399999999999</v>
      </c>
      <c r="O45" s="18">
        <f>Test!E115</f>
        <v>46.085599999999999</v>
      </c>
      <c r="P45" s="18">
        <f>Test!F115</f>
        <v>5932.72</v>
      </c>
      <c r="Q45" s="18">
        <f>Test!G115</f>
        <v>3.8610000000000002</v>
      </c>
      <c r="R45" s="19">
        <f t="shared" si="8"/>
        <v>1.6479777777777778</v>
      </c>
      <c r="S45" s="17">
        <f t="shared" si="2"/>
        <v>0.99932067242817757</v>
      </c>
      <c r="T45" s="18">
        <f t="shared" si="2"/>
        <v>1.0301494130202775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162.78800000000001</v>
      </c>
      <c r="E46" s="23">
        <f>Reference!C116</f>
        <v>37.928199999999997</v>
      </c>
      <c r="F46" s="23">
        <f>Reference!D116</f>
        <v>43.888399999999997</v>
      </c>
      <c r="G46" s="23">
        <f>Reference!E116</f>
        <v>44.019100000000002</v>
      </c>
      <c r="H46" s="23">
        <f>Reference!F116</f>
        <v>3473.1149999999998</v>
      </c>
      <c r="I46" s="23">
        <f>Reference!G116</f>
        <v>3.6070000000000002</v>
      </c>
      <c r="J46" s="24">
        <f t="shared" si="7"/>
        <v>0.96475416666666658</v>
      </c>
      <c r="L46" s="22">
        <f>Test!B116</f>
        <v>162.33199999999999</v>
      </c>
      <c r="M46" s="23">
        <f>Test!C116</f>
        <v>37.926400000000001</v>
      </c>
      <c r="N46" s="23">
        <f>Test!D116</f>
        <v>43.824800000000003</v>
      </c>
      <c r="O46" s="23">
        <f>Test!E116</f>
        <v>44.191499999999998</v>
      </c>
      <c r="P46" s="23">
        <f>Test!F116</f>
        <v>3416.3780000000002</v>
      </c>
      <c r="Q46" s="23">
        <f>Test!G116</f>
        <v>3.7290000000000001</v>
      </c>
      <c r="R46" s="24">
        <f t="shared" si="8"/>
        <v>0.94899388888888891</v>
      </c>
      <c r="S46" s="17">
        <f t="shared" si="2"/>
        <v>0.98366394432663484</v>
      </c>
      <c r="T46" s="18">
        <f t="shared" si="2"/>
        <v>1.0338231217077904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1281.82</v>
      </c>
      <c r="E47" s="13">
        <f>Reference!C117</f>
        <v>42.911099999999998</v>
      </c>
      <c r="F47" s="13">
        <f>Reference!D117</f>
        <v>49.0291</v>
      </c>
      <c r="G47" s="13">
        <f>Reference!E117</f>
        <v>48.696300000000001</v>
      </c>
      <c r="H47" s="13">
        <f>Reference!F117</f>
        <v>21151.928</v>
      </c>
      <c r="I47" s="13">
        <f>Reference!G117</f>
        <v>4.1280000000000001</v>
      </c>
      <c r="J47" s="14">
        <f>H47/3600</f>
        <v>5.8755355555555555</v>
      </c>
      <c r="L47" s="12">
        <f>Test!B117</f>
        <v>1284.6679999999999</v>
      </c>
      <c r="M47" s="13">
        <f>Test!C117</f>
        <v>42.911900000000003</v>
      </c>
      <c r="N47" s="13">
        <f>Test!D117</f>
        <v>49.027999999999999</v>
      </c>
      <c r="O47" s="13">
        <f>Test!E117</f>
        <v>48.708399999999997</v>
      </c>
      <c r="P47" s="13">
        <f>Test!F117</f>
        <v>21831.419000000002</v>
      </c>
      <c r="Q47" s="13">
        <f>Test!G117</f>
        <v>4.2510000000000003</v>
      </c>
      <c r="R47" s="14">
        <f>P47/3600</f>
        <v>6.0642830555555562</v>
      </c>
      <c r="S47" s="17">
        <f t="shared" ref="S47:T62" si="9">P47/H47</f>
        <v>1.0321243056424929</v>
      </c>
      <c r="T47" s="18">
        <f t="shared" si="9"/>
        <v>1.0297965116279071</v>
      </c>
      <c r="U47" s="91"/>
      <c r="V47" s="72">
        <f>bdrate($D47:$D50,E47:E50,$L47:$L50,M47:M50)</f>
        <v>-2.2410569662811852E-4</v>
      </c>
      <c r="W47" s="73">
        <f>bdrate($D47:$D50,F47:F50,$L47:$L50,N47:N50)</f>
        <v>7.7313713845004184E-3</v>
      </c>
      <c r="X47" s="74">
        <f>bdrate($D47:$D50,G47:G50,$L47:$L50,O47:O50)</f>
        <v>-4.3276610202820365E-3</v>
      </c>
      <c r="Y47" s="37">
        <f>bdrateOld($D47:$D50,E47:E50,$L47:$L50,M47:M50)</f>
        <v>-3.7984284842140781E-4</v>
      </c>
      <c r="Z47" s="42">
        <f>bdrateOld($D47:$D50,F47:F50,$L47:$L50,N47:N50)</f>
        <v>7.7985422158535211E-3</v>
      </c>
      <c r="AA47" s="43">
        <f>bdrateOld($D47:$D50,G47:G50,$L47:$L50,O47:O50)</f>
        <v>-8.0407994225079049E-3</v>
      </c>
    </row>
    <row r="48" spans="1:27" x14ac:dyDescent="0.2">
      <c r="A48" s="16"/>
      <c r="B48" s="85"/>
      <c r="C48" s="16">
        <v>32</v>
      </c>
      <c r="D48" s="17">
        <f>Reference!B118</f>
        <v>691.15599999999995</v>
      </c>
      <c r="E48" s="18">
        <f>Reference!C118</f>
        <v>41.633899999999997</v>
      </c>
      <c r="F48" s="18">
        <f>Reference!D118</f>
        <v>48.232799999999997</v>
      </c>
      <c r="G48" s="18">
        <f>Reference!E118</f>
        <v>47.726900000000001</v>
      </c>
      <c r="H48" s="18">
        <f>Reference!F118</f>
        <v>12184.593000000001</v>
      </c>
      <c r="I48" s="18">
        <f>Reference!G118</f>
        <v>3.7890000000000001</v>
      </c>
      <c r="J48" s="19">
        <f t="shared" ref="J48:J70" si="10">H48/3600</f>
        <v>3.3846091666666669</v>
      </c>
      <c r="L48" s="17">
        <f>Test!B118</f>
        <v>690.58399999999995</v>
      </c>
      <c r="M48" s="18">
        <f>Test!C118</f>
        <v>41.630899999999997</v>
      </c>
      <c r="N48" s="18">
        <f>Test!D118</f>
        <v>48.214799999999997</v>
      </c>
      <c r="O48" s="18">
        <f>Test!E118</f>
        <v>47.700600000000001</v>
      </c>
      <c r="P48" s="18">
        <f>Test!F118</f>
        <v>12410.425999999999</v>
      </c>
      <c r="Q48" s="18">
        <f>Test!G118</f>
        <v>3.8849999999999998</v>
      </c>
      <c r="R48" s="19">
        <f t="shared" ref="R48:R70" si="11">P48/3600</f>
        <v>3.4473405555555554</v>
      </c>
      <c r="S48" s="17">
        <f t="shared" si="9"/>
        <v>1.0185343080396694</v>
      </c>
      <c r="T48" s="18">
        <f t="shared" si="9"/>
        <v>1.0253365003958828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394.69600000000003</v>
      </c>
      <c r="E49" s="18">
        <f>Reference!C119</f>
        <v>39.771500000000003</v>
      </c>
      <c r="F49" s="18">
        <f>Reference!D119</f>
        <v>47.268000000000001</v>
      </c>
      <c r="G49" s="18">
        <f>Reference!E119</f>
        <v>46.2361</v>
      </c>
      <c r="H49" s="18">
        <f>Reference!F119</f>
        <v>7184.4620000000004</v>
      </c>
      <c r="I49" s="18">
        <f>Reference!G119</f>
        <v>3.6019999999999999</v>
      </c>
      <c r="J49" s="19">
        <f t="shared" si="10"/>
        <v>1.995683888888889</v>
      </c>
      <c r="L49" s="17">
        <f>Test!B119</f>
        <v>393.12400000000002</v>
      </c>
      <c r="M49" s="18">
        <f>Test!C119</f>
        <v>39.759</v>
      </c>
      <c r="N49" s="18">
        <f>Test!D119</f>
        <v>47.235300000000002</v>
      </c>
      <c r="O49" s="18">
        <f>Test!E119</f>
        <v>46.269799999999996</v>
      </c>
      <c r="P49" s="18">
        <f>Test!F119</f>
        <v>7249.3249999999998</v>
      </c>
      <c r="Q49" s="18">
        <f>Test!G119</f>
        <v>3.59</v>
      </c>
      <c r="R49" s="19">
        <f t="shared" si="11"/>
        <v>2.0137013888888888</v>
      </c>
      <c r="S49" s="17">
        <f t="shared" si="9"/>
        <v>1.0090282334293088</v>
      </c>
      <c r="T49" s="18">
        <f t="shared" si="9"/>
        <v>0.99666851749028318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219.15600000000001</v>
      </c>
      <c r="E50" s="23">
        <f>Reference!C120</f>
        <v>37.053699999999999</v>
      </c>
      <c r="F50" s="23">
        <f>Reference!D120</f>
        <v>45.684600000000003</v>
      </c>
      <c r="G50" s="23">
        <f>Reference!E120</f>
        <v>43.974200000000003</v>
      </c>
      <c r="H50" s="23">
        <f>Reference!F120</f>
        <v>4094.538</v>
      </c>
      <c r="I50" s="23">
        <f>Reference!G120</f>
        <v>3.577</v>
      </c>
      <c r="J50" s="24">
        <f t="shared" si="10"/>
        <v>1.1373716666666667</v>
      </c>
      <c r="L50" s="22">
        <f>Test!B120</f>
        <v>218.89599999999999</v>
      </c>
      <c r="M50" s="23">
        <f>Test!C120</f>
        <v>37.049300000000002</v>
      </c>
      <c r="N50" s="23">
        <f>Test!D120</f>
        <v>45.702399999999997</v>
      </c>
      <c r="O50" s="23">
        <f>Test!E120</f>
        <v>43.949199999999998</v>
      </c>
      <c r="P50" s="23">
        <f>Test!F120</f>
        <v>4233.4179999999997</v>
      </c>
      <c r="Q50" s="23">
        <f>Test!G120</f>
        <v>3.528</v>
      </c>
      <c r="R50" s="24">
        <f t="shared" si="11"/>
        <v>1.1759494444444443</v>
      </c>
      <c r="S50" s="22">
        <f t="shared" si="9"/>
        <v>1.0339183566009156</v>
      </c>
      <c r="T50" s="23">
        <f t="shared" si="9"/>
        <v>0.98630136986301375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43.938716648490207</v>
      </c>
      <c r="J75" s="15">
        <f>GEOMEAN(J3:J18)</f>
        <v>55.225724592060182</v>
      </c>
      <c r="Q75" s="15">
        <f>GEOMEAN(Q3:Q18)</f>
        <v>43.606099982038366</v>
      </c>
      <c r="R75" s="15">
        <f>GEOMEAN(R3:R18)</f>
        <v>55.487347449618817</v>
      </c>
      <c r="S75" s="15">
        <f>GEOMEAN(S3:S18)</f>
        <v>1.0047373368025714</v>
      </c>
      <c r="T75" s="15">
        <f>GEOMEAN(T3:T18)</f>
        <v>0.99242998676741567</v>
      </c>
      <c r="V75" s="37">
        <f>AVERAGE(V3:V18)</f>
        <v>6.5261111665324001E-4</v>
      </c>
      <c r="W75" s="42">
        <f t="shared" ref="W75:AA75" si="16">AVERAGE(W3:W18)</f>
        <v>5.1423808574385665E-4</v>
      </c>
      <c r="X75" s="42">
        <f t="shared" si="16"/>
        <v>1.2059963996453871E-3</v>
      </c>
      <c r="Y75" s="37">
        <f>AVERAGE(Y3:Y18)</f>
        <v>4.0465908347617208E-4</v>
      </c>
      <c r="Z75" s="42">
        <f t="shared" si="16"/>
        <v>-3.8406559370673943E-4</v>
      </c>
      <c r="AA75" s="43">
        <f t="shared" si="16"/>
        <v>1.1424220014575881E-3</v>
      </c>
    </row>
    <row r="76" spans="1:27" x14ac:dyDescent="0.2">
      <c r="B76" s="89" t="s">
        <v>47</v>
      </c>
      <c r="I76" s="15">
        <f>GEOMEAN(I19:I34)</f>
        <v>10.732468710512066</v>
      </c>
      <c r="J76" s="15">
        <f>GEOMEAN(J19:J34)</f>
        <v>13.517115250335365</v>
      </c>
      <c r="Q76" s="15">
        <f>GEOMEAN(Q19:Q34)</f>
        <v>11.091557112075767</v>
      </c>
      <c r="R76" s="15">
        <f>GEOMEAN(R19:R34)</f>
        <v>13.761836556104676</v>
      </c>
      <c r="S76" s="15">
        <f>GEOMEAN(S19:S34)</f>
        <v>1.0181045512475926</v>
      </c>
      <c r="T76" s="15">
        <f>GEOMEAN(T19:T34)</f>
        <v>1.0334581363570141</v>
      </c>
      <c r="V76" s="40">
        <f>AVERAGE(V19:V34)</f>
        <v>9.3432763232315086E-4</v>
      </c>
      <c r="W76" s="44">
        <f t="shared" ref="W76:AA76" si="17">AVERAGE(W19:W34)</f>
        <v>-3.4664664744147589E-3</v>
      </c>
      <c r="X76" s="44">
        <f t="shared" si="17"/>
        <v>-1.5361649320806414E-3</v>
      </c>
      <c r="Y76" s="40">
        <f t="shared" si="17"/>
        <v>1.0255687728018548E-3</v>
      </c>
      <c r="Z76" s="44">
        <f t="shared" si="17"/>
        <v>-3.5490558106645032E-3</v>
      </c>
      <c r="AA76" s="45">
        <f t="shared" si="17"/>
        <v>-1.1521713159092783E-3</v>
      </c>
    </row>
    <row r="77" spans="1:27" x14ac:dyDescent="0.2">
      <c r="B77" s="89" t="s">
        <v>51</v>
      </c>
      <c r="I77" s="15">
        <f>GEOMEAN(I35:I50)</f>
        <v>4.0397291161251454</v>
      </c>
      <c r="J77" s="15">
        <f>GEOMEAN(J35:J50)</f>
        <v>3.5154249841481211</v>
      </c>
      <c r="Q77" s="15">
        <f>GEOMEAN(Q35:Q50)</f>
        <v>4.237542881863483</v>
      </c>
      <c r="R77" s="15">
        <f>GEOMEAN(R35:R50)</f>
        <v>3.5650868731230165</v>
      </c>
      <c r="S77" s="15">
        <f>GEOMEAN(S35:S50)</f>
        <v>1.0141268521441453</v>
      </c>
      <c r="T77" s="15">
        <f>GEOMEAN(T35:T50)</f>
        <v>1.0489670866664638</v>
      </c>
      <c r="V77" s="40">
        <f>AVERAGE(V35:V50)</f>
        <v>-3.3507366599944133E-4</v>
      </c>
      <c r="W77" s="44">
        <f t="shared" ref="W77:AA77" si="18">AVERAGE(W35:W50)</f>
        <v>5.4465117351408798E-3</v>
      </c>
      <c r="X77" s="44">
        <f t="shared" si="18"/>
        <v>-7.0574168800194292E-4</v>
      </c>
      <c r="Y77" s="40">
        <f t="shared" si="18"/>
        <v>-3.3300476013661817E-4</v>
      </c>
      <c r="Z77" s="44">
        <f t="shared" si="18"/>
        <v>7.5313083214023357E-3</v>
      </c>
      <c r="AA77" s="45">
        <f t="shared" si="18"/>
        <v>-1.4802079917557998E-3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12.396518927351606</v>
      </c>
      <c r="J80" s="54">
        <f xml:space="preserve"> GEOMEAN(J3:J50)</f>
        <v>13.793286535466788</v>
      </c>
      <c r="K80" s="4"/>
      <c r="L80" s="4"/>
      <c r="M80" s="4"/>
      <c r="N80" s="4"/>
      <c r="O80" s="4"/>
      <c r="P80" s="4"/>
      <c r="Q80" s="54">
        <f xml:space="preserve"> GEOMEAN(Q3:Q50)</f>
        <v>12.702366055348815</v>
      </c>
      <c r="R80" s="54">
        <f xml:space="preserve"> GEOMEAN(R3:R50)</f>
        <v>13.963045683074151</v>
      </c>
      <c r="S80" s="54">
        <f>GEOMEAN(S3:S50)</f>
        <v>1.0123073748356393</v>
      </c>
      <c r="T80" s="54">
        <f>GEOMEAN(T3:T50)</f>
        <v>1.0246720171839847</v>
      </c>
      <c r="U80" s="4"/>
      <c r="V80" s="41">
        <f>AVERAGE(V3:V50)</f>
        <v>4.1728836099231653E-4</v>
      </c>
      <c r="W80" s="46">
        <f t="shared" ref="W80:AA80" si="22">AVERAGE(W3:W50)</f>
        <v>8.3142778215665924E-4</v>
      </c>
      <c r="X80" s="47">
        <f t="shared" si="22"/>
        <v>-3.4530340681239907E-4</v>
      </c>
      <c r="Y80" s="46">
        <f t="shared" si="22"/>
        <v>3.6574103204713621E-4</v>
      </c>
      <c r="Z80" s="46">
        <f t="shared" si="22"/>
        <v>1.1993956390103644E-3</v>
      </c>
      <c r="AA80" s="47">
        <f t="shared" si="22"/>
        <v>-4.966524354024967E-4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17053.944</v>
      </c>
      <c r="E3" s="13">
        <f>Reference!C145</f>
        <v>40.170499999999997</v>
      </c>
      <c r="F3" s="13">
        <f>Reference!D145</f>
        <v>48.760599999999997</v>
      </c>
      <c r="G3" s="13">
        <f>Reference!E145</f>
        <v>46.682299999999998</v>
      </c>
      <c r="H3" s="13">
        <f>Reference!F145</f>
        <v>206176.53099999999</v>
      </c>
      <c r="I3" s="13">
        <f>Reference!G145</f>
        <v>27.968</v>
      </c>
      <c r="J3" s="14">
        <f>H3/3600</f>
        <v>57.271258611111108</v>
      </c>
      <c r="L3" s="12">
        <f>Test!B145</f>
        <v>17065.16</v>
      </c>
      <c r="M3" s="13">
        <f>Test!C145</f>
        <v>40.170299999999997</v>
      </c>
      <c r="N3" s="13">
        <f>Test!D145</f>
        <v>48.758699999999997</v>
      </c>
      <c r="O3" s="13">
        <f>Test!E145</f>
        <v>46.671999999999997</v>
      </c>
      <c r="P3" s="13">
        <f>Test!F145</f>
        <v>206094.57800000001</v>
      </c>
      <c r="Q3" s="13">
        <f>Test!G145</f>
        <v>27.73</v>
      </c>
      <c r="R3" s="14">
        <f>P3/3600</f>
        <v>57.248493888888895</v>
      </c>
      <c r="S3" s="12">
        <f t="shared" ref="S3:T3" si="0">P3/H3</f>
        <v>0.99960251053016325</v>
      </c>
      <c r="T3" s="13">
        <f t="shared" si="0"/>
        <v>0.99149027459954231</v>
      </c>
      <c r="U3" s="90"/>
      <c r="V3" s="37">
        <f>bdrate($D3:$D6,E3:E6,$L3:$L6,M3:M6)</f>
        <v>-9.4950539799654177E-4</v>
      </c>
      <c r="W3" s="42">
        <f>bdrate($D3:$D6,F3:F6,$L3:$L6,N3:N6)</f>
        <v>-2.6624225004386881E-3</v>
      </c>
      <c r="X3" s="43">
        <f>bdrate($D3:$D6,G3:G6,$L3:$L6,O3:O6)</f>
        <v>-1.6031683840003197E-3</v>
      </c>
      <c r="Y3" s="37">
        <f>bdrateOld($D3:$D6,E3:E6,$L3:$L6,M3:M6)</f>
        <v>-1.3017367863624729E-3</v>
      </c>
      <c r="Z3" s="42">
        <f>bdrateOld($D3:$D6,F3:F6,$L3:$L6,N3:N6)</f>
        <v>-2.8385745544012853E-4</v>
      </c>
      <c r="AA3" s="43">
        <f>bdrateOld($D3:$D6,G3:G6,$L3:$L6,O3:O6)</f>
        <v>-1.5343566713307277E-3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8428.0400000000009</v>
      </c>
      <c r="E4" s="18">
        <f>Reference!C146</f>
        <v>39.564999999999998</v>
      </c>
      <c r="F4" s="18">
        <f>Reference!D146</f>
        <v>47.906999999999996</v>
      </c>
      <c r="G4" s="18">
        <f>Reference!E146</f>
        <v>45.5383</v>
      </c>
      <c r="H4" s="18">
        <f>Reference!F146</f>
        <v>115838.531</v>
      </c>
      <c r="I4" s="18">
        <f>Reference!G146</f>
        <v>24.998000000000001</v>
      </c>
      <c r="J4" s="19">
        <f t="shared" ref="J4:J14" si="1">H4/3600</f>
        <v>32.177369722222224</v>
      </c>
      <c r="L4" s="17">
        <f>Test!B146</f>
        <v>8439.232</v>
      </c>
      <c r="M4" s="18">
        <f>Test!C146</f>
        <v>39.565899999999999</v>
      </c>
      <c r="N4" s="18">
        <f>Test!D146</f>
        <v>47.935099999999998</v>
      </c>
      <c r="O4" s="18">
        <f>Test!E146</f>
        <v>45.541899999999998</v>
      </c>
      <c r="P4" s="18">
        <f>Test!F146</f>
        <v>114879.289</v>
      </c>
      <c r="Q4" s="18">
        <f>Test!G146</f>
        <v>24.234999999999999</v>
      </c>
      <c r="R4" s="19">
        <f t="shared" ref="R4:R14" si="2">P4/3600</f>
        <v>31.910913611111113</v>
      </c>
      <c r="S4" s="17">
        <f t="shared" ref="S4:S26" si="3">P4/H4</f>
        <v>0.99171914567873798</v>
      </c>
      <c r="T4" s="18">
        <f t="shared" ref="T4:T26" si="4">Q4/I4</f>
        <v>0.96947755820465631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4598.0879999999997</v>
      </c>
      <c r="E5" s="18">
        <f>Reference!C147</f>
        <v>38.576099999999997</v>
      </c>
      <c r="F5" s="18">
        <f>Reference!D147</f>
        <v>46.932899999999997</v>
      </c>
      <c r="G5" s="18">
        <f>Reference!E147</f>
        <v>44.155700000000003</v>
      </c>
      <c r="H5" s="18">
        <f>Reference!F147</f>
        <v>61523.461000000003</v>
      </c>
      <c r="I5" s="18">
        <f>Reference!G147</f>
        <v>21.326000000000001</v>
      </c>
      <c r="J5" s="19">
        <f t="shared" si="1"/>
        <v>17.089850277777778</v>
      </c>
      <c r="L5" s="17">
        <f>Test!B147</f>
        <v>4589.8879999999999</v>
      </c>
      <c r="M5" s="18">
        <f>Test!C147</f>
        <v>38.575800000000001</v>
      </c>
      <c r="N5" s="18">
        <f>Test!D147</f>
        <v>46.908999999999999</v>
      </c>
      <c r="O5" s="18">
        <f>Test!E147</f>
        <v>44.166899999999998</v>
      </c>
      <c r="P5" s="18">
        <f>Test!F147</f>
        <v>62212.300999999999</v>
      </c>
      <c r="Q5" s="18">
        <f>Test!G147</f>
        <v>21.468</v>
      </c>
      <c r="R5" s="19">
        <f t="shared" si="2"/>
        <v>17.281194722222221</v>
      </c>
      <c r="S5" s="17">
        <f t="shared" si="3"/>
        <v>1.011196379215402</v>
      </c>
      <c r="T5" s="18">
        <f t="shared" si="4"/>
        <v>1.0066585388727374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2500.1439999999998</v>
      </c>
      <c r="E6" s="23">
        <f>Reference!C148</f>
        <v>37.032400000000003</v>
      </c>
      <c r="F6" s="23">
        <f>Reference!D148</f>
        <v>45.538400000000003</v>
      </c>
      <c r="G6" s="23">
        <f>Reference!E148</f>
        <v>42.494900000000001</v>
      </c>
      <c r="H6" s="23">
        <f>Reference!F148</f>
        <v>31406.768</v>
      </c>
      <c r="I6" s="23">
        <f>Reference!G148</f>
        <v>17.786999999999999</v>
      </c>
      <c r="J6" s="24">
        <f t="shared" si="1"/>
        <v>8.7241022222222231</v>
      </c>
      <c r="L6" s="22">
        <f>Test!B148</f>
        <v>2498.64</v>
      </c>
      <c r="M6" s="23">
        <f>Test!C148</f>
        <v>37.035400000000003</v>
      </c>
      <c r="N6" s="23">
        <f>Test!D148</f>
        <v>45.574599999999997</v>
      </c>
      <c r="O6" s="23">
        <f>Test!E148</f>
        <v>42.482700000000001</v>
      </c>
      <c r="P6" s="23">
        <f>Test!F148</f>
        <v>31988.74</v>
      </c>
      <c r="Q6" s="23">
        <f>Test!G148</f>
        <v>18.443999999999999</v>
      </c>
      <c r="R6" s="24">
        <f t="shared" si="2"/>
        <v>8.8857611111111119</v>
      </c>
      <c r="S6" s="17">
        <f t="shared" si="3"/>
        <v>1.0185301461137295</v>
      </c>
      <c r="T6" s="18">
        <f t="shared" si="4"/>
        <v>1.0369370888851408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91150.127999999997</v>
      </c>
      <c r="E7" s="13">
        <f>Reference!C149</f>
        <v>41.737400000000001</v>
      </c>
      <c r="F7" s="13">
        <f>Reference!D149</f>
        <v>36.696399999999997</v>
      </c>
      <c r="G7" s="13">
        <f>Reference!E149</f>
        <v>37.704599999999999</v>
      </c>
      <c r="H7" s="13">
        <f>Reference!F149</f>
        <v>349642.53100000002</v>
      </c>
      <c r="I7" s="13">
        <f>Reference!G149</f>
        <v>30.603999999999999</v>
      </c>
      <c r="J7" s="14">
        <f t="shared" si="1"/>
        <v>97.122925277777782</v>
      </c>
      <c r="L7" s="12">
        <f>Test!B149</f>
        <v>91093.967999999993</v>
      </c>
      <c r="M7" s="13">
        <f>Test!C149</f>
        <v>41.734499999999997</v>
      </c>
      <c r="N7" s="13">
        <f>Test!D149</f>
        <v>36.693899999999999</v>
      </c>
      <c r="O7" s="13">
        <f>Test!E149</f>
        <v>37.711199999999998</v>
      </c>
      <c r="P7" s="13">
        <f>Test!F149</f>
        <v>354431.25</v>
      </c>
      <c r="Q7" s="13">
        <f>Test!G149</f>
        <v>31.045999999999999</v>
      </c>
      <c r="R7" s="14">
        <f t="shared" si="2"/>
        <v>98.453125</v>
      </c>
      <c r="S7" s="17">
        <f t="shared" si="3"/>
        <v>1.0136960426018653</v>
      </c>
      <c r="T7" s="18">
        <f t="shared" si="4"/>
        <v>1.0144425565285584</v>
      </c>
      <c r="U7" s="91"/>
      <c r="V7" s="37">
        <f>bdrate($D7:$D10,E7:E10,$L7:$L10,M7:M10)</f>
        <v>2.9129175396236384E-4</v>
      </c>
      <c r="W7" s="42">
        <f>bdrate($D7:$D10,F7:F10,$L7:$L10,N7:N10)</f>
        <v>8.8676520115571478E-5</v>
      </c>
      <c r="X7" s="43">
        <f>bdrate($D7:$D10,G7:G10,$L7:$L10,O7:O10)</f>
        <v>1.3128731672462646E-3</v>
      </c>
      <c r="Y7" s="37">
        <f>bdrateOld($D7:$D10,E7:E10,$L7:$L10,M7:M10)</f>
        <v>2.8722671839465086E-4</v>
      </c>
      <c r="Z7" s="42">
        <f>bdrateOld($D7:$D10,F7:F10,$L7:$L10,N7:N10)</f>
        <v>4.2308541280822176E-4</v>
      </c>
      <c r="AA7" s="43">
        <f>bdrateOld($D7:$D10,G7:G10,$L7:$L10,O7:O10)</f>
        <v>1.4067765555598744E-3</v>
      </c>
    </row>
    <row r="8" spans="1:27" x14ac:dyDescent="0.2">
      <c r="A8" s="16"/>
      <c r="B8" s="85"/>
      <c r="C8" s="16">
        <v>48</v>
      </c>
      <c r="D8" s="17">
        <f>Reference!B150</f>
        <v>46653.264000000003</v>
      </c>
      <c r="E8" s="18">
        <f>Reference!C150</f>
        <v>38.9437</v>
      </c>
      <c r="F8" s="18">
        <f>Reference!D150</f>
        <v>34.424300000000002</v>
      </c>
      <c r="G8" s="18">
        <f>Reference!E150</f>
        <v>35.8065</v>
      </c>
      <c r="H8" s="18">
        <f>Reference!F150</f>
        <v>247373.5</v>
      </c>
      <c r="I8" s="18">
        <f>Reference!G150</f>
        <v>27.773</v>
      </c>
      <c r="J8" s="19">
        <f t="shared" si="1"/>
        <v>68.714861111111105</v>
      </c>
      <c r="L8" s="17">
        <f>Test!B150</f>
        <v>46658.696000000004</v>
      </c>
      <c r="M8" s="18">
        <f>Test!C150</f>
        <v>38.942</v>
      </c>
      <c r="N8" s="18">
        <f>Test!D150</f>
        <v>34.415599999999998</v>
      </c>
      <c r="O8" s="18">
        <f>Test!E150</f>
        <v>35.8035</v>
      </c>
      <c r="P8" s="18">
        <f>Test!F150</f>
        <v>243925.5</v>
      </c>
      <c r="Q8" s="18">
        <f>Test!G150</f>
        <v>26.986999999999998</v>
      </c>
      <c r="R8" s="19">
        <f t="shared" si="2"/>
        <v>67.757083333333327</v>
      </c>
      <c r="S8" s="17">
        <f t="shared" si="3"/>
        <v>0.9860615627785515</v>
      </c>
      <c r="T8" s="18">
        <f t="shared" si="4"/>
        <v>0.97169913225074711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21687.687999999998</v>
      </c>
      <c r="E9" s="18">
        <f>Reference!C151</f>
        <v>35.844999999999999</v>
      </c>
      <c r="F9" s="18">
        <f>Reference!D151</f>
        <v>32.505600000000001</v>
      </c>
      <c r="G9" s="18">
        <f>Reference!E151</f>
        <v>34.201000000000001</v>
      </c>
      <c r="H9" s="18">
        <f>Reference!F151</f>
        <v>160859.43799999999</v>
      </c>
      <c r="I9" s="18">
        <f>Reference!G151</f>
        <v>22.315000000000001</v>
      </c>
      <c r="J9" s="19">
        <f t="shared" si="1"/>
        <v>44.68317722222222</v>
      </c>
      <c r="L9" s="17">
        <f>Test!B151</f>
        <v>21681.024000000001</v>
      </c>
      <c r="M9" s="18">
        <f>Test!C151</f>
        <v>35.844099999999997</v>
      </c>
      <c r="N9" s="18">
        <f>Test!D151</f>
        <v>32.514299999999999</v>
      </c>
      <c r="O9" s="18">
        <f>Test!E151</f>
        <v>34.197400000000002</v>
      </c>
      <c r="P9" s="18">
        <f>Test!F151</f>
        <v>160818.68799999999</v>
      </c>
      <c r="Q9" s="18">
        <f>Test!G151</f>
        <v>21.821000000000002</v>
      </c>
      <c r="R9" s="19">
        <f t="shared" si="2"/>
        <v>44.671857777777774</v>
      </c>
      <c r="S9" s="17">
        <f t="shared" si="3"/>
        <v>0.99974667324151656</v>
      </c>
      <c r="T9" s="18">
        <f t="shared" si="4"/>
        <v>0.97786242437822091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9165.1839999999993</v>
      </c>
      <c r="E10" s="23">
        <f>Reference!C152</f>
        <v>32.826700000000002</v>
      </c>
      <c r="F10" s="23">
        <f>Reference!D152</f>
        <v>30.809799999999999</v>
      </c>
      <c r="G10" s="23">
        <f>Reference!E152</f>
        <v>32.816499999999998</v>
      </c>
      <c r="H10" s="23">
        <f>Reference!F152</f>
        <v>91146.585999999996</v>
      </c>
      <c r="I10" s="23">
        <f>Reference!G152</f>
        <v>19.004999999999999</v>
      </c>
      <c r="J10" s="24">
        <f t="shared" si="1"/>
        <v>25.318496111111109</v>
      </c>
      <c r="L10" s="22">
        <f>Test!B152</f>
        <v>9164.6880000000001</v>
      </c>
      <c r="M10" s="23">
        <f>Test!C152</f>
        <v>32.823500000000003</v>
      </c>
      <c r="N10" s="23">
        <f>Test!D152</f>
        <v>30.806899999999999</v>
      </c>
      <c r="O10" s="23">
        <f>Test!E152</f>
        <v>32.808399999999999</v>
      </c>
      <c r="P10" s="23">
        <f>Test!F152</f>
        <v>92316.023000000001</v>
      </c>
      <c r="Q10" s="23">
        <f>Test!G152</f>
        <v>18.911999999999999</v>
      </c>
      <c r="R10" s="24">
        <f t="shared" si="2"/>
        <v>25.643339722222223</v>
      </c>
      <c r="S10" s="17">
        <f t="shared" si="3"/>
        <v>1.0128302885639624</v>
      </c>
      <c r="T10" s="18">
        <f t="shared" si="4"/>
        <v>0.99510655090765587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45100.807999999997</v>
      </c>
      <c r="E11" s="13">
        <f>Reference!C153</f>
        <v>38.879600000000003</v>
      </c>
      <c r="F11" s="13">
        <f>Reference!D153</f>
        <v>41.215600000000002</v>
      </c>
      <c r="G11" s="13">
        <f>Reference!E153</f>
        <v>41.487200000000001</v>
      </c>
      <c r="H11" s="13">
        <f>Reference!F153</f>
        <v>192069.82800000001</v>
      </c>
      <c r="I11" s="13">
        <f>Reference!G153</f>
        <v>17.271000000000001</v>
      </c>
      <c r="J11" s="14">
        <f t="shared" si="1"/>
        <v>53.352730000000001</v>
      </c>
      <c r="L11" s="12">
        <f>Test!B153</f>
        <v>45169.944000000003</v>
      </c>
      <c r="M11" s="13">
        <f>Test!C153</f>
        <v>38.883200000000002</v>
      </c>
      <c r="N11" s="13">
        <f>Test!D153</f>
        <v>41.218600000000002</v>
      </c>
      <c r="O11" s="13">
        <f>Test!E153</f>
        <v>41.493000000000002</v>
      </c>
      <c r="P11" s="13">
        <f>Test!F153</f>
        <v>187888.375</v>
      </c>
      <c r="Q11" s="13">
        <f>Test!G153</f>
        <v>16.841000000000001</v>
      </c>
      <c r="R11" s="14">
        <f t="shared" si="2"/>
        <v>52.191215277777779</v>
      </c>
      <c r="S11" s="17">
        <f t="shared" si="3"/>
        <v>0.97822951661101087</v>
      </c>
      <c r="T11" s="18">
        <f t="shared" si="4"/>
        <v>0.97510277343523832</v>
      </c>
      <c r="U11" s="91"/>
      <c r="V11" s="37">
        <f>bdrate($D11:$D14,E11:E14,$L11:$L14,M11:M14)</f>
        <v>-8.3417779996308727E-4</v>
      </c>
      <c r="W11" s="42">
        <f>bdrate($D11:$D14,F11:F14,$L11:$L14,N11:N14)</f>
        <v>-9.0505832301357447E-4</v>
      </c>
      <c r="X11" s="43">
        <f>bdrate($D11:$D14,G11:G14,$L11:$L14,O11:O14)</f>
        <v>1.4175388778858711E-4</v>
      </c>
      <c r="Y11" s="37">
        <f>bdrateOld($D11:$D14,E11:E14,$L11:$L14,M11:M14)</f>
        <v>-7.9863938080193542E-4</v>
      </c>
      <c r="Z11" s="42">
        <f>bdrateOld($D11:$D14,F11:F14,$L11:$L14,N11:N14)</f>
        <v>-9.0571992080668018E-4</v>
      </c>
      <c r="AA11" s="43">
        <f>bdrateOld($D11:$D14,G11:G14,$L11:$L14,O11:O14)</f>
        <v>-1.3418444425816745E-5</v>
      </c>
    </row>
    <row r="12" spans="1:27" x14ac:dyDescent="0.2">
      <c r="A12" s="34"/>
      <c r="B12" s="83"/>
      <c r="C12" s="16">
        <v>48</v>
      </c>
      <c r="D12" s="17">
        <f>Reference!B154</f>
        <v>22155.64</v>
      </c>
      <c r="E12" s="18">
        <f>Reference!C154</f>
        <v>37.520099999999999</v>
      </c>
      <c r="F12" s="18">
        <f>Reference!D154</f>
        <v>38.651499999999999</v>
      </c>
      <c r="G12" s="18">
        <f>Reference!E154</f>
        <v>40.113</v>
      </c>
      <c r="H12" s="18">
        <f>Reference!F154</f>
        <v>116308.44500000001</v>
      </c>
      <c r="I12" s="18">
        <f>Reference!G154</f>
        <v>14.275</v>
      </c>
      <c r="J12" s="19">
        <f t="shared" si="1"/>
        <v>32.307901388888894</v>
      </c>
      <c r="L12" s="17">
        <f>Test!B154</f>
        <v>22142.824000000001</v>
      </c>
      <c r="M12" s="18">
        <f>Test!C154</f>
        <v>37.521500000000003</v>
      </c>
      <c r="N12" s="18">
        <f>Test!D154</f>
        <v>38.651800000000001</v>
      </c>
      <c r="O12" s="18">
        <f>Test!E154</f>
        <v>40.108499999999999</v>
      </c>
      <c r="P12" s="18">
        <f>Test!F154</f>
        <v>116327.234</v>
      </c>
      <c r="Q12" s="18">
        <f>Test!G154</f>
        <v>13.765000000000001</v>
      </c>
      <c r="R12" s="19">
        <f t="shared" si="2"/>
        <v>32.313120555555557</v>
      </c>
      <c r="S12" s="17">
        <f t="shared" si="3"/>
        <v>1.0001615445894749</v>
      </c>
      <c r="T12" s="18">
        <f t="shared" si="4"/>
        <v>0.96427320490367774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11575.432000000001</v>
      </c>
      <c r="E13" s="18">
        <f>Reference!C155</f>
        <v>35.967399999999998</v>
      </c>
      <c r="F13" s="18">
        <f>Reference!D155</f>
        <v>36.409999999999997</v>
      </c>
      <c r="G13" s="18">
        <f>Reference!E155</f>
        <v>38.673099999999998</v>
      </c>
      <c r="H13" s="18">
        <f>Reference!F155</f>
        <v>72949.843999999997</v>
      </c>
      <c r="I13" s="18">
        <f>Reference!G155</f>
        <v>11.994999999999999</v>
      </c>
      <c r="J13" s="19">
        <f t="shared" si="1"/>
        <v>20.263845555555555</v>
      </c>
      <c r="L13" s="17">
        <f>Test!B155</f>
        <v>11574.407999999999</v>
      </c>
      <c r="M13" s="18">
        <f>Test!C155</f>
        <v>35.969099999999997</v>
      </c>
      <c r="N13" s="18">
        <f>Test!D155</f>
        <v>36.414299999999997</v>
      </c>
      <c r="O13" s="18">
        <f>Test!E155</f>
        <v>38.676699999999997</v>
      </c>
      <c r="P13" s="18">
        <f>Test!F155</f>
        <v>72236.820000000007</v>
      </c>
      <c r="Q13" s="18">
        <f>Test!G155</f>
        <v>11.776</v>
      </c>
      <c r="R13" s="19">
        <f t="shared" si="2"/>
        <v>20.065783333333336</v>
      </c>
      <c r="S13" s="17">
        <f t="shared" si="3"/>
        <v>0.99022583242261641</v>
      </c>
      <c r="T13" s="18">
        <f t="shared" si="4"/>
        <v>0.98174239266360985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5681.3440000000001</v>
      </c>
      <c r="E14" s="23">
        <f>Reference!C156</f>
        <v>34.054499999999997</v>
      </c>
      <c r="F14" s="23">
        <f>Reference!D156</f>
        <v>33.984400000000001</v>
      </c>
      <c r="G14" s="23">
        <f>Reference!E156</f>
        <v>36.934800000000003</v>
      </c>
      <c r="H14" s="23">
        <f>Reference!F156</f>
        <v>43001.315999999999</v>
      </c>
      <c r="I14" s="23">
        <f>Reference!G156</f>
        <v>10.749000000000001</v>
      </c>
      <c r="J14" s="24">
        <f t="shared" si="1"/>
        <v>11.94481</v>
      </c>
      <c r="L14" s="22">
        <f>Test!B156</f>
        <v>5675.2079999999996</v>
      </c>
      <c r="M14" s="23">
        <f>Test!C156</f>
        <v>34.052599999999998</v>
      </c>
      <c r="N14" s="23">
        <f>Test!D156</f>
        <v>33.987900000000003</v>
      </c>
      <c r="O14" s="23">
        <f>Test!E156</f>
        <v>36.923699999999997</v>
      </c>
      <c r="P14" s="23">
        <f>Test!F156</f>
        <v>43251.391000000003</v>
      </c>
      <c r="Q14" s="23">
        <f>Test!G156</f>
        <v>11.115</v>
      </c>
      <c r="R14" s="24">
        <f t="shared" si="2"/>
        <v>12.014275277777779</v>
      </c>
      <c r="S14" s="17">
        <f t="shared" si="3"/>
        <v>1.0058155196924672</v>
      </c>
      <c r="T14" s="18">
        <f t="shared" si="4"/>
        <v>1.0340496790399107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24466.024000000001</v>
      </c>
      <c r="E15" s="13">
        <f>Reference!C157</f>
        <v>37.540399999999998</v>
      </c>
      <c r="F15" s="13">
        <f>Reference!D157</f>
        <v>45.030099999999997</v>
      </c>
      <c r="G15" s="13">
        <f>Reference!E157</f>
        <v>42.794899999999998</v>
      </c>
      <c r="H15" s="13">
        <f>Reference!F157</f>
        <v>274296.125</v>
      </c>
      <c r="I15" s="13">
        <f>Reference!G157</f>
        <v>27.422999999999998</v>
      </c>
      <c r="J15" s="14">
        <f>H15/3600</f>
        <v>76.193368055555553</v>
      </c>
      <c r="L15" s="12">
        <f>Test!B157</f>
        <v>24478.928</v>
      </c>
      <c r="M15" s="13">
        <f>Test!C157</f>
        <v>37.5396</v>
      </c>
      <c r="N15" s="13">
        <f>Test!D157</f>
        <v>45.035600000000002</v>
      </c>
      <c r="O15" s="13">
        <f>Test!E157</f>
        <v>42.803800000000003</v>
      </c>
      <c r="P15" s="13">
        <f>Test!F157</f>
        <v>272494.09399999998</v>
      </c>
      <c r="Q15" s="13">
        <f>Test!G157</f>
        <v>26.986999999999998</v>
      </c>
      <c r="R15" s="14">
        <f>P15/3600</f>
        <v>75.692803888888889</v>
      </c>
      <c r="S15" s="17">
        <f t="shared" si="3"/>
        <v>0.9934303446685584</v>
      </c>
      <c r="T15" s="18">
        <f t="shared" si="4"/>
        <v>0.98410093716952918</v>
      </c>
      <c r="U15" s="91"/>
      <c r="V15" s="37">
        <f>bdrate($D15:$D18,E15:E18,$L15:$L18,M15:M18)</f>
        <v>-4.3391912499735064E-4</v>
      </c>
      <c r="W15" s="42">
        <f>bdrate($D15:$D18,F15:F18,$L15:$L18,N15:N18)</f>
        <v>1.2893627648247197E-3</v>
      </c>
      <c r="X15" s="43">
        <f>bdrate($D15:$D18,G15:G18,$L15:$L18,O15:O18)</f>
        <v>4.4041961848935163E-3</v>
      </c>
      <c r="Y15" s="37">
        <f>bdrateOld($D15:$D18,E15:E18,$L15:$L18,M15:M18)</f>
        <v>-8.2094339817573303E-4</v>
      </c>
      <c r="Z15" s="42">
        <f>bdrateOld($D15:$D18,F15:F18,$L15:$L18,N15:N18)</f>
        <v>8.479132760335073E-4</v>
      </c>
      <c r="AA15" s="43">
        <f>bdrateOld($D15:$D18,G15:G18,$L15:$L18,O15:O18)</f>
        <v>4.163174199724784E-3</v>
      </c>
    </row>
    <row r="16" spans="1:27" x14ac:dyDescent="0.2">
      <c r="A16" s="16"/>
      <c r="B16" s="85"/>
      <c r="C16" s="16">
        <v>48</v>
      </c>
      <c r="D16" s="17">
        <f>Reference!B158</f>
        <v>10317.92</v>
      </c>
      <c r="E16" s="18">
        <f>Reference!C158</f>
        <v>36.917999999999999</v>
      </c>
      <c r="F16" s="18">
        <f>Reference!D158</f>
        <v>44.381599999999999</v>
      </c>
      <c r="G16" s="18">
        <f>Reference!E158</f>
        <v>42.0959</v>
      </c>
      <c r="H16" s="18">
        <f>Reference!F158</f>
        <v>151224.43799999999</v>
      </c>
      <c r="I16" s="18">
        <f>Reference!G158</f>
        <v>23.457000000000001</v>
      </c>
      <c r="J16" s="19">
        <f t="shared" ref="J16:J26" si="5">H16/3600</f>
        <v>42.006788333333333</v>
      </c>
      <c r="L16" s="17">
        <f>Test!B158</f>
        <v>10319.128000000001</v>
      </c>
      <c r="M16" s="18">
        <f>Test!C158</f>
        <v>36.916200000000003</v>
      </c>
      <c r="N16" s="18">
        <f>Test!D158</f>
        <v>44.381700000000002</v>
      </c>
      <c r="O16" s="18">
        <f>Test!E158</f>
        <v>42.090499999999999</v>
      </c>
      <c r="P16" s="18">
        <f>Test!F158</f>
        <v>151291.25</v>
      </c>
      <c r="Q16" s="18">
        <f>Test!G158</f>
        <v>22.512</v>
      </c>
      <c r="R16" s="19">
        <f t="shared" ref="R16:R26" si="6">P16/3600</f>
        <v>42.025347222222223</v>
      </c>
      <c r="S16" s="17">
        <f t="shared" si="3"/>
        <v>1.0004418068989618</v>
      </c>
      <c r="T16" s="18">
        <f t="shared" si="4"/>
        <v>0.95971351835273055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5159.384</v>
      </c>
      <c r="E17" s="18">
        <f>Reference!C159</f>
        <v>35.905799999999999</v>
      </c>
      <c r="F17" s="18">
        <f>Reference!D159</f>
        <v>43.456699999999998</v>
      </c>
      <c r="G17" s="18">
        <f>Reference!E159</f>
        <v>41.129800000000003</v>
      </c>
      <c r="H17" s="18">
        <f>Reference!F159</f>
        <v>81780.023000000001</v>
      </c>
      <c r="I17" s="18">
        <f>Reference!G159</f>
        <v>18.597000000000001</v>
      </c>
      <c r="J17" s="19">
        <f t="shared" si="5"/>
        <v>22.716673055555557</v>
      </c>
      <c r="L17" s="17">
        <f>Test!B159</f>
        <v>5152.3119999999999</v>
      </c>
      <c r="M17" s="18">
        <f>Test!C159</f>
        <v>35.906999999999996</v>
      </c>
      <c r="N17" s="18">
        <f>Test!D159</f>
        <v>43.449100000000001</v>
      </c>
      <c r="O17" s="18">
        <f>Test!E159</f>
        <v>41.122</v>
      </c>
      <c r="P17" s="18">
        <f>Test!F159</f>
        <v>82699.125</v>
      </c>
      <c r="Q17" s="18">
        <f>Test!G159</f>
        <v>19.317</v>
      </c>
      <c r="R17" s="19">
        <f t="shared" si="6"/>
        <v>22.971979166666667</v>
      </c>
      <c r="S17" s="17">
        <f t="shared" si="3"/>
        <v>1.0112387104611109</v>
      </c>
      <c r="T17" s="18">
        <f t="shared" si="4"/>
        <v>1.0387159219228908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2561.4160000000002</v>
      </c>
      <c r="E18" s="23">
        <f>Reference!C160</f>
        <v>34.3324</v>
      </c>
      <c r="F18" s="23">
        <f>Reference!D160</f>
        <v>42.169600000000003</v>
      </c>
      <c r="G18" s="23">
        <f>Reference!E160</f>
        <v>40.024999999999999</v>
      </c>
      <c r="H18" s="23">
        <f>Reference!F160</f>
        <v>41063.074000000001</v>
      </c>
      <c r="I18" s="23">
        <f>Reference!G160</f>
        <v>15.06</v>
      </c>
      <c r="J18" s="24">
        <f t="shared" si="5"/>
        <v>11.406409444444444</v>
      </c>
      <c r="L18" s="22">
        <f>Test!B160</f>
        <v>2562.0720000000001</v>
      </c>
      <c r="M18" s="23">
        <f>Test!C160</f>
        <v>34.332500000000003</v>
      </c>
      <c r="N18" s="23">
        <f>Test!D160</f>
        <v>42.166499999999999</v>
      </c>
      <c r="O18" s="23">
        <f>Test!E160</f>
        <v>39.999899999999997</v>
      </c>
      <c r="P18" s="23">
        <f>Test!F160</f>
        <v>41995.226999999999</v>
      </c>
      <c r="Q18" s="23">
        <f>Test!G160</f>
        <v>14.916</v>
      </c>
      <c r="R18" s="24">
        <f t="shared" si="6"/>
        <v>11.665340833333333</v>
      </c>
      <c r="S18" s="17">
        <f t="shared" si="3"/>
        <v>1.0227005167708583</v>
      </c>
      <c r="T18" s="18">
        <f t="shared" si="4"/>
        <v>0.99043824701195216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7975.8256000000001</v>
      </c>
      <c r="E19" s="13">
        <f>Reference!C161</f>
        <v>38.025100000000002</v>
      </c>
      <c r="F19" s="13">
        <f>Reference!D161</f>
        <v>39.741100000000003</v>
      </c>
      <c r="G19" s="13">
        <f>Reference!E161</f>
        <v>42.829900000000002</v>
      </c>
      <c r="H19" s="13">
        <f>Reference!F161</f>
        <v>311721.03100000002</v>
      </c>
      <c r="I19" s="13">
        <f>Reference!G161</f>
        <v>25.044</v>
      </c>
      <c r="J19" s="14">
        <f t="shared" si="5"/>
        <v>86.589175277777784</v>
      </c>
      <c r="L19" s="12">
        <f>Test!B161</f>
        <v>7974.0640000000003</v>
      </c>
      <c r="M19" s="13">
        <f>Test!C161</f>
        <v>38.024000000000001</v>
      </c>
      <c r="N19" s="13">
        <f>Test!D161</f>
        <v>39.740499999999997</v>
      </c>
      <c r="O19" s="13">
        <f>Test!E161</f>
        <v>42.824599999999997</v>
      </c>
      <c r="P19" s="13">
        <f>Test!F161</f>
        <v>307671.09399999998</v>
      </c>
      <c r="Q19" s="13">
        <f>Test!G161</f>
        <v>24.260999999999999</v>
      </c>
      <c r="R19" s="14">
        <f t="shared" si="6"/>
        <v>85.464192777777768</v>
      </c>
      <c r="S19" s="12">
        <f t="shared" si="3"/>
        <v>0.98700781597248077</v>
      </c>
      <c r="T19" s="13">
        <f t="shared" si="4"/>
        <v>0.96873502635361763</v>
      </c>
      <c r="U19" s="90"/>
      <c r="V19" s="37">
        <f>bdrate($D19:$D22,E19:E22,$L19:$L22,M19:M22)</f>
        <v>-7.5523356566942201E-4</v>
      </c>
      <c r="W19" s="42">
        <f>bdrate($D19:$D22,F19:F22,$L19:$L22,N19:N22)</f>
        <v>-6.4727054858548794E-4</v>
      </c>
      <c r="X19" s="43">
        <f>bdrate($D19:$D22,G19:G22,$L19:$L22,O19:O22)</f>
        <v>1.6974024894935713E-3</v>
      </c>
      <c r="Y19" s="37">
        <f>bdrateOld($D19:$D22,E19:E22,$L19:$L22,M19:M22)</f>
        <v>-7.0460204258215864E-4</v>
      </c>
      <c r="Z19" s="42">
        <f>bdrateOld($D19:$D22,F19:F22,$L19:$L22,N19:N22)</f>
        <v>-1.0687626960557139E-3</v>
      </c>
      <c r="AA19" s="43">
        <f>bdrateOld($D19:$D22,G19:G22,$L19:$L22,O19:O22)</f>
        <v>2.1049829512831408E-3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3759.2208000000001</v>
      </c>
      <c r="E20" s="18">
        <f>Reference!C162</f>
        <v>36.681899999999999</v>
      </c>
      <c r="F20" s="18">
        <f>Reference!D162</f>
        <v>39.107599999999998</v>
      </c>
      <c r="G20" s="18">
        <f>Reference!E162</f>
        <v>41.661200000000001</v>
      </c>
      <c r="H20" s="18">
        <f>Reference!F162</f>
        <v>190594.42199999999</v>
      </c>
      <c r="I20" s="18">
        <f>Reference!G162</f>
        <v>20.291</v>
      </c>
      <c r="J20" s="19">
        <f t="shared" si="5"/>
        <v>52.942895</v>
      </c>
      <c r="L20" s="17">
        <f>Test!B162</f>
        <v>3757.0223999999998</v>
      </c>
      <c r="M20" s="18">
        <f>Test!C162</f>
        <v>36.681100000000001</v>
      </c>
      <c r="N20" s="18">
        <f>Test!D162</f>
        <v>39.103000000000002</v>
      </c>
      <c r="O20" s="18">
        <f>Test!E162</f>
        <v>41.668500000000002</v>
      </c>
      <c r="P20" s="18">
        <f>Test!F162</f>
        <v>194177.82800000001</v>
      </c>
      <c r="Q20" s="18">
        <f>Test!G162</f>
        <v>20.218</v>
      </c>
      <c r="R20" s="19">
        <f t="shared" si="6"/>
        <v>53.938285555555559</v>
      </c>
      <c r="S20" s="17">
        <f t="shared" si="3"/>
        <v>1.0188012112967295</v>
      </c>
      <c r="T20" s="18">
        <f t="shared" si="4"/>
        <v>0.99640234586762599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1843.5264</v>
      </c>
      <c r="E21" s="18">
        <f>Reference!C163</f>
        <v>34.810400000000001</v>
      </c>
      <c r="F21" s="18">
        <f>Reference!D163</f>
        <v>38.278799999999997</v>
      </c>
      <c r="G21" s="18">
        <f>Reference!E163</f>
        <v>40.179900000000004</v>
      </c>
      <c r="H21" s="18">
        <f>Reference!F163</f>
        <v>116616.969</v>
      </c>
      <c r="I21" s="18">
        <f>Reference!G163</f>
        <v>16.815999999999999</v>
      </c>
      <c r="J21" s="19">
        <f t="shared" si="5"/>
        <v>32.3936025</v>
      </c>
      <c r="L21" s="17">
        <f>Test!B163</f>
        <v>1842.864</v>
      </c>
      <c r="M21" s="18">
        <f>Test!C163</f>
        <v>34.8125</v>
      </c>
      <c r="N21" s="18">
        <f>Test!D163</f>
        <v>38.286999999999999</v>
      </c>
      <c r="O21" s="18">
        <f>Test!E163</f>
        <v>40.167400000000001</v>
      </c>
      <c r="P21" s="18">
        <f>Test!F163</f>
        <v>115628.43799999999</v>
      </c>
      <c r="Q21" s="18">
        <f>Test!G163</f>
        <v>16.305</v>
      </c>
      <c r="R21" s="19">
        <f t="shared" si="6"/>
        <v>32.119010555555555</v>
      </c>
      <c r="S21" s="17">
        <f t="shared" si="3"/>
        <v>0.99152326622380316</v>
      </c>
      <c r="T21" s="18">
        <f t="shared" si="4"/>
        <v>0.96961227402473837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883.25919999999996</v>
      </c>
      <c r="E22" s="23">
        <f>Reference!C164</f>
        <v>32.500999999999998</v>
      </c>
      <c r="F22" s="23">
        <f>Reference!D164</f>
        <v>37.270899999999997</v>
      </c>
      <c r="G22" s="23">
        <f>Reference!E164</f>
        <v>38.529299999999999</v>
      </c>
      <c r="H22" s="23">
        <f>Reference!F164</f>
        <v>66110.233999999997</v>
      </c>
      <c r="I22" s="23">
        <f>Reference!G164</f>
        <v>14.151999999999999</v>
      </c>
      <c r="J22" s="24">
        <f t="shared" si="5"/>
        <v>18.363953888888886</v>
      </c>
      <c r="L22" s="22">
        <f>Test!B164</f>
        <v>881.17920000000004</v>
      </c>
      <c r="M22" s="23">
        <f>Test!C164</f>
        <v>32.497900000000001</v>
      </c>
      <c r="N22" s="23">
        <f>Test!D164</f>
        <v>37.2562</v>
      </c>
      <c r="O22" s="23">
        <f>Test!E164</f>
        <v>38.515099999999997</v>
      </c>
      <c r="P22" s="23">
        <f>Test!F164</f>
        <v>67423.351999999999</v>
      </c>
      <c r="Q22" s="23">
        <f>Test!G164</f>
        <v>13.609</v>
      </c>
      <c r="R22" s="24">
        <f t="shared" si="6"/>
        <v>18.728708888888889</v>
      </c>
      <c r="S22" s="17">
        <f t="shared" si="3"/>
        <v>1.0198625525966223</v>
      </c>
      <c r="T22" s="18">
        <f t="shared" si="4"/>
        <v>0.96163086489542116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9100.3376000000007</v>
      </c>
      <c r="E23" s="13">
        <f>Reference!C165</f>
        <v>38.741</v>
      </c>
      <c r="F23" s="13">
        <f>Reference!D165</f>
        <v>43.695999999999998</v>
      </c>
      <c r="G23" s="13">
        <f>Reference!E165</f>
        <v>44.6235</v>
      </c>
      <c r="H23" s="13">
        <f>Reference!F165</f>
        <v>345406.43800000002</v>
      </c>
      <c r="I23" s="13">
        <f>Reference!G165</f>
        <v>31.545000000000002</v>
      </c>
      <c r="J23" s="14">
        <f t="shared" si="5"/>
        <v>95.94623277777778</v>
      </c>
      <c r="L23" s="12">
        <f>Test!B165</f>
        <v>9100.0064000000002</v>
      </c>
      <c r="M23" s="13">
        <f>Test!C165</f>
        <v>38.740499999999997</v>
      </c>
      <c r="N23" s="13">
        <f>Test!D165</f>
        <v>43.689100000000003</v>
      </c>
      <c r="O23" s="13">
        <f>Test!E165</f>
        <v>44.625900000000001</v>
      </c>
      <c r="P23" s="13">
        <f>Test!F165</f>
        <v>344808.59399999998</v>
      </c>
      <c r="Q23" s="13">
        <f>Test!G165</f>
        <v>31.795999999999999</v>
      </c>
      <c r="R23" s="14">
        <f t="shared" si="6"/>
        <v>95.780164999999997</v>
      </c>
      <c r="S23" s="17">
        <f t="shared" si="3"/>
        <v>0.99826915791303217</v>
      </c>
      <c r="T23" s="18">
        <f t="shared" si="4"/>
        <v>1.007956886986844</v>
      </c>
      <c r="U23" s="91"/>
      <c r="V23" s="37">
        <f>bdrate($D23:$D26,E23:E26,$L23:$L26,M23:M26)</f>
        <v>1.4363229618918893E-4</v>
      </c>
      <c r="W23" s="42">
        <f>bdrate($D23:$D26,F23:F26,$L23:$L26,N23:N26)</f>
        <v>3.2037112422527159E-3</v>
      </c>
      <c r="X23" s="43">
        <f>bdrate($D23:$D26,G23:G26,$L23:$L26,O23:O26)</f>
        <v>2.0580399078284906E-4</v>
      </c>
      <c r="Y23" s="37">
        <f>bdrateOld($D23:$D26,E23:E26,$L23:$L26,M23:M26)</f>
        <v>2.4435910823705775E-4</v>
      </c>
      <c r="Z23" s="42">
        <f>bdrateOld($D23:$D26,F23:F26,$L23:$L26,N23:N26)</f>
        <v>3.1827447442367429E-3</v>
      </c>
      <c r="AA23" s="43">
        <f>bdrateOld($D23:$D26,G23:G26,$L23:$L26,O23:O26)</f>
        <v>2.1867661403796035E-4</v>
      </c>
    </row>
    <row r="24" spans="1:27" x14ac:dyDescent="0.2">
      <c r="A24" s="34"/>
      <c r="B24" s="85"/>
      <c r="C24" s="16">
        <v>32</v>
      </c>
      <c r="D24" s="17">
        <f>Reference!B166</f>
        <v>4704.2928000000002</v>
      </c>
      <c r="E24" s="18">
        <f>Reference!C166</f>
        <v>37.5349</v>
      </c>
      <c r="F24" s="18">
        <f>Reference!D166</f>
        <v>42.717700000000001</v>
      </c>
      <c r="G24" s="18">
        <f>Reference!E166</f>
        <v>43.123899999999999</v>
      </c>
      <c r="H24" s="18">
        <f>Reference!F166</f>
        <v>213488.28099999999</v>
      </c>
      <c r="I24" s="18">
        <f>Reference!G166</f>
        <v>26.219000000000001</v>
      </c>
      <c r="J24" s="19">
        <f t="shared" si="5"/>
        <v>59.302300277777775</v>
      </c>
      <c r="L24" s="17">
        <f>Test!B166</f>
        <v>4701.5856000000003</v>
      </c>
      <c r="M24" s="18">
        <f>Test!C166</f>
        <v>37.535200000000003</v>
      </c>
      <c r="N24" s="18">
        <f>Test!D166</f>
        <v>42.711799999999997</v>
      </c>
      <c r="O24" s="18">
        <f>Test!E166</f>
        <v>43.118600000000001</v>
      </c>
      <c r="P24" s="18">
        <f>Test!F166</f>
        <v>216006.54699999999</v>
      </c>
      <c r="Q24" s="18">
        <f>Test!G166</f>
        <v>26.111000000000001</v>
      </c>
      <c r="R24" s="19">
        <f t="shared" si="6"/>
        <v>60.001818611111112</v>
      </c>
      <c r="S24" s="17">
        <f t="shared" si="3"/>
        <v>1.0117958043795388</v>
      </c>
      <c r="T24" s="18">
        <f t="shared" si="4"/>
        <v>0.99588084976543723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2398.2719999999999</v>
      </c>
      <c r="E25" s="18">
        <f>Reference!C167</f>
        <v>35.8596</v>
      </c>
      <c r="F25" s="18">
        <f>Reference!D167</f>
        <v>41.4848</v>
      </c>
      <c r="G25" s="18">
        <f>Reference!E167</f>
        <v>41.391500000000001</v>
      </c>
      <c r="H25" s="18">
        <f>Reference!F167</f>
        <v>127307.67200000001</v>
      </c>
      <c r="I25" s="18">
        <f>Reference!G167</f>
        <v>21.946999999999999</v>
      </c>
      <c r="J25" s="19">
        <f t="shared" si="5"/>
        <v>35.363242222222226</v>
      </c>
      <c r="L25" s="17">
        <f>Test!B167</f>
        <v>2398.8303999999998</v>
      </c>
      <c r="M25" s="18">
        <f>Test!C167</f>
        <v>35.858800000000002</v>
      </c>
      <c r="N25" s="18">
        <f>Test!D167</f>
        <v>41.485199999999999</v>
      </c>
      <c r="O25" s="18">
        <f>Test!E167</f>
        <v>41.386899999999997</v>
      </c>
      <c r="P25" s="18">
        <f>Test!F167</f>
        <v>127756.70299999999</v>
      </c>
      <c r="Q25" s="18">
        <f>Test!G167</f>
        <v>21.63</v>
      </c>
      <c r="R25" s="19">
        <f t="shared" si="6"/>
        <v>35.487973055555557</v>
      </c>
      <c r="S25" s="17">
        <f t="shared" si="3"/>
        <v>1.0035271322846906</v>
      </c>
      <c r="T25" s="18">
        <f t="shared" si="4"/>
        <v>0.98555611245272701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1188.6592000000001</v>
      </c>
      <c r="E26" s="23">
        <f>Reference!C168</f>
        <v>33.767000000000003</v>
      </c>
      <c r="F26" s="23">
        <f>Reference!D168</f>
        <v>40.130400000000002</v>
      </c>
      <c r="G26" s="23">
        <f>Reference!E168</f>
        <v>39.453800000000001</v>
      </c>
      <c r="H26" s="23">
        <f>Reference!F168</f>
        <v>70394.616999999998</v>
      </c>
      <c r="I26" s="23">
        <f>Reference!G168</f>
        <v>18.327999999999999</v>
      </c>
      <c r="J26" s="24">
        <f t="shared" si="5"/>
        <v>19.554060277777776</v>
      </c>
      <c r="L26" s="22">
        <f>Test!B168</f>
        <v>1188.3664000000001</v>
      </c>
      <c r="M26" s="23">
        <f>Test!C168</f>
        <v>33.764400000000002</v>
      </c>
      <c r="N26" s="23">
        <f>Test!D168</f>
        <v>40.105899999999998</v>
      </c>
      <c r="O26" s="23">
        <f>Test!E168</f>
        <v>39.4739</v>
      </c>
      <c r="P26" s="23">
        <f>Test!F168</f>
        <v>70994.008000000002</v>
      </c>
      <c r="Q26" s="23">
        <f>Test!G168</f>
        <v>18.248000000000001</v>
      </c>
      <c r="R26" s="24">
        <f t="shared" si="6"/>
        <v>19.720557777777778</v>
      </c>
      <c r="S26" s="17">
        <f t="shared" si="3"/>
        <v>1.0085147277667552</v>
      </c>
      <c r="T26" s="18">
        <f t="shared" si="4"/>
        <v>0.99563509384548243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6358.7520000000004</v>
      </c>
      <c r="E27" s="13">
        <f>Reference!C169</f>
        <v>39.833100000000002</v>
      </c>
      <c r="F27" s="13">
        <f>Reference!D169</f>
        <v>43.805700000000002</v>
      </c>
      <c r="G27" s="13">
        <f>Reference!E169</f>
        <v>44.502400000000002</v>
      </c>
      <c r="H27" s="13">
        <f>Reference!F169</f>
        <v>311763.78100000002</v>
      </c>
      <c r="I27" s="13">
        <f>Reference!G169</f>
        <v>32.595999999999997</v>
      </c>
      <c r="J27" s="14">
        <f>H27/3600</f>
        <v>86.601050277777787</v>
      </c>
      <c r="L27" s="12">
        <f>Test!B169</f>
        <v>6359.3728000000001</v>
      </c>
      <c r="M27" s="13">
        <f>Test!C169</f>
        <v>39.834200000000003</v>
      </c>
      <c r="N27" s="13">
        <f>Test!D169</f>
        <v>43.800400000000003</v>
      </c>
      <c r="O27" s="13">
        <f>Test!E169</f>
        <v>44.509900000000002</v>
      </c>
      <c r="P27" s="13">
        <f>Test!F169</f>
        <v>304111.15600000002</v>
      </c>
      <c r="Q27" s="13">
        <f>Test!G169</f>
        <v>31.309000000000001</v>
      </c>
      <c r="R27" s="14">
        <f>P27/3600</f>
        <v>84.475321111111114</v>
      </c>
      <c r="S27" s="17">
        <f t="shared" ref="S27:T46" si="7">P27/H27</f>
        <v>0.97545377152068857</v>
      </c>
      <c r="T27" s="18">
        <f t="shared" si="7"/>
        <v>0.96051662780709302</v>
      </c>
      <c r="U27" s="91"/>
      <c r="V27" s="37">
        <f>bdrate($D27:$D30,E27:E30,$L27:$L30,M27:M30)</f>
        <v>-8.7884754670619625E-4</v>
      </c>
      <c r="W27" s="42">
        <f>bdrate($D27:$D30,F27:F30,$L27:$L30,N27:N30)</f>
        <v>-2.2096729345733035E-3</v>
      </c>
      <c r="X27" s="43">
        <f>bdrate($D27:$D30,G27:G30,$L27:$L30,O27:O30)</f>
        <v>-7.0043049755983411E-3</v>
      </c>
      <c r="Y27" s="37">
        <f>bdrateOld($D27:$D30,E27:E30,$L27:$L30,M27:M30)</f>
        <v>-9.336893095034382E-4</v>
      </c>
      <c r="Z27" s="42">
        <f>bdrateOld($D27:$D30,F27:F30,$L27:$L30,N27:N30)</f>
        <v>-2.2333543753459972E-3</v>
      </c>
      <c r="AA27" s="43">
        <f>bdrateOld($D27:$D30,G27:G30,$L27:$L30,O27:O30)</f>
        <v>-7.3308151855894232E-3</v>
      </c>
    </row>
    <row r="28" spans="1:27" x14ac:dyDescent="0.2">
      <c r="A28" s="16"/>
      <c r="B28" s="85"/>
      <c r="C28" s="16">
        <v>48</v>
      </c>
      <c r="D28" s="17">
        <f>Reference!B170</f>
        <v>3028.7168000000001</v>
      </c>
      <c r="E28" s="18">
        <f>Reference!C170</f>
        <v>38.537500000000001</v>
      </c>
      <c r="F28" s="18">
        <f>Reference!D170</f>
        <v>42.9377</v>
      </c>
      <c r="G28" s="18">
        <f>Reference!E170</f>
        <v>43.661099999999998</v>
      </c>
      <c r="H28" s="18">
        <f>Reference!F170</f>
        <v>180860.65599999999</v>
      </c>
      <c r="I28" s="18">
        <f>Reference!G170</f>
        <v>25.285</v>
      </c>
      <c r="J28" s="19">
        <f t="shared" ref="J28:J46" si="8">H28/3600</f>
        <v>50.239071111111109</v>
      </c>
      <c r="L28" s="17">
        <f>Test!B170</f>
        <v>3027.0576000000001</v>
      </c>
      <c r="M28" s="18">
        <f>Test!C170</f>
        <v>38.536200000000001</v>
      </c>
      <c r="N28" s="18">
        <f>Test!D170</f>
        <v>42.935699999999997</v>
      </c>
      <c r="O28" s="18">
        <f>Test!E170</f>
        <v>43.661799999999999</v>
      </c>
      <c r="P28" s="18">
        <f>Test!F170</f>
        <v>180363.125</v>
      </c>
      <c r="Q28" s="18">
        <f>Test!G170</f>
        <v>25.204999999999998</v>
      </c>
      <c r="R28" s="19">
        <f t="shared" ref="R28:R46" si="9">P28/3600</f>
        <v>50.100868055555559</v>
      </c>
      <c r="S28" s="17">
        <f t="shared" si="7"/>
        <v>0.997249092140858</v>
      </c>
      <c r="T28" s="18">
        <f t="shared" si="7"/>
        <v>0.99683606881550324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1461.84</v>
      </c>
      <c r="E29" s="18">
        <f>Reference!C171</f>
        <v>36.719799999999999</v>
      </c>
      <c r="F29" s="18">
        <f>Reference!D171</f>
        <v>41.841500000000003</v>
      </c>
      <c r="G29" s="18">
        <f>Reference!E171</f>
        <v>42.417499999999997</v>
      </c>
      <c r="H29" s="18">
        <f>Reference!F171</f>
        <v>100636.398</v>
      </c>
      <c r="I29" s="18">
        <f>Reference!G171</f>
        <v>21.28</v>
      </c>
      <c r="J29" s="19">
        <f t="shared" si="8"/>
        <v>27.954554999999999</v>
      </c>
      <c r="L29" s="17">
        <f>Test!B171</f>
        <v>1460.8784000000001</v>
      </c>
      <c r="M29" s="18">
        <f>Test!C171</f>
        <v>36.723500000000001</v>
      </c>
      <c r="N29" s="18">
        <f>Test!D171</f>
        <v>41.8521</v>
      </c>
      <c r="O29" s="18">
        <f>Test!E171</f>
        <v>42.433399999999999</v>
      </c>
      <c r="P29" s="18">
        <f>Test!F171</f>
        <v>99690.766000000003</v>
      </c>
      <c r="Q29" s="18">
        <f>Test!G171</f>
        <v>20.553000000000001</v>
      </c>
      <c r="R29" s="19">
        <f t="shared" si="9"/>
        <v>27.691879444444446</v>
      </c>
      <c r="S29" s="17">
        <f t="shared" si="7"/>
        <v>0.99060347926999537</v>
      </c>
      <c r="T29" s="18">
        <f t="shared" si="7"/>
        <v>0.96583646616541352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687.25919999999996</v>
      </c>
      <c r="E30" s="23">
        <f>Reference!C172</f>
        <v>34.431600000000003</v>
      </c>
      <c r="F30" s="23">
        <f>Reference!D172</f>
        <v>40.671599999999998</v>
      </c>
      <c r="G30" s="23">
        <f>Reference!E172</f>
        <v>41.045699999999997</v>
      </c>
      <c r="H30" s="23">
        <f>Reference!F172</f>
        <v>53915.925999999999</v>
      </c>
      <c r="I30" s="23">
        <f>Reference!G172</f>
        <v>17.486999999999998</v>
      </c>
      <c r="J30" s="24">
        <f t="shared" si="8"/>
        <v>14.97664611111111</v>
      </c>
      <c r="L30" s="22">
        <f>Test!B172</f>
        <v>685.92639999999994</v>
      </c>
      <c r="M30" s="23">
        <f>Test!C172</f>
        <v>34.423400000000001</v>
      </c>
      <c r="N30" s="23">
        <f>Test!D172</f>
        <v>40.666699999999999</v>
      </c>
      <c r="O30" s="23">
        <f>Test!E172</f>
        <v>41.063800000000001</v>
      </c>
      <c r="P30" s="23">
        <f>Test!F172</f>
        <v>54215.809000000001</v>
      </c>
      <c r="Q30" s="23">
        <f>Test!G172</f>
        <v>17.919</v>
      </c>
      <c r="R30" s="24">
        <f t="shared" si="9"/>
        <v>15.059946944444444</v>
      </c>
      <c r="S30" s="17">
        <f t="shared" si="7"/>
        <v>1.0055620485865346</v>
      </c>
      <c r="T30" s="18">
        <f t="shared" si="7"/>
        <v>1.0247040658775091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6710.1743999999999</v>
      </c>
      <c r="E31" s="13">
        <f>Reference!C173</f>
        <v>43.387500000000003</v>
      </c>
      <c r="F31" s="13">
        <f>Reference!D173</f>
        <v>46.720500000000001</v>
      </c>
      <c r="G31" s="13">
        <f>Reference!E173</f>
        <v>47.315800000000003</v>
      </c>
      <c r="H31" s="13">
        <f>Reference!F173</f>
        <v>256939.79699999999</v>
      </c>
      <c r="I31" s="13">
        <f>Reference!G173</f>
        <v>33.292000000000002</v>
      </c>
      <c r="J31" s="14">
        <f t="shared" si="8"/>
        <v>71.372165833333327</v>
      </c>
      <c r="L31" s="12">
        <f>Test!B173</f>
        <v>6706.32</v>
      </c>
      <c r="M31" s="13">
        <f>Test!C173</f>
        <v>43.388300000000001</v>
      </c>
      <c r="N31" s="13">
        <f>Test!D173</f>
        <v>46.719799999999999</v>
      </c>
      <c r="O31" s="13">
        <f>Test!E173</f>
        <v>47.328000000000003</v>
      </c>
      <c r="P31" s="13">
        <f>Test!F173</f>
        <v>258146.484</v>
      </c>
      <c r="Q31" s="13">
        <f>Test!G173</f>
        <v>32.554000000000002</v>
      </c>
      <c r="R31" s="14">
        <f t="shared" si="9"/>
        <v>71.707356666666669</v>
      </c>
      <c r="S31" s="17">
        <f t="shared" si="7"/>
        <v>1.0046963802964319</v>
      </c>
      <c r="T31" s="18">
        <f t="shared" si="7"/>
        <v>0.97783251231527091</v>
      </c>
      <c r="U31" s="91"/>
      <c r="V31" s="37">
        <f>bdrate($D31:$D34,E31:E34,$L31:$L34,M31:M34)</f>
        <v>-1.1198996189800692E-3</v>
      </c>
      <c r="W31" s="42">
        <f>bdrate($D31:$D34,F31:F34,$L31:$L34,N31:N34)</f>
        <v>-2.6733435390198235E-3</v>
      </c>
      <c r="X31" s="42">
        <f>bdrate($D31:$D34,G31:G34,$L31:$L34,O31:O34)</f>
        <v>-9.4453981815512122E-5</v>
      </c>
      <c r="Y31" s="40">
        <f>bdrateOld($D31:$D34,E31:E34,$L31:$L34,M31:M34)</f>
        <v>-1.0810533023285496E-3</v>
      </c>
      <c r="Z31" s="44">
        <f>bdrateOld($D31:$D34,F31:F34,$L31:$L34,N31:N34)</f>
        <v>-2.6659139886437977E-3</v>
      </c>
      <c r="AA31" s="45">
        <f>bdrateOld($D31:$D34,G31:G34,$L31:$L34,O31:O34)</f>
        <v>3.384264883865562E-5</v>
      </c>
    </row>
    <row r="32" spans="1:27" x14ac:dyDescent="0.2">
      <c r="A32" s="16"/>
      <c r="B32" s="85"/>
      <c r="C32" s="16">
        <v>48</v>
      </c>
      <c r="D32" s="17">
        <f>Reference!B174</f>
        <v>4085.6608000000001</v>
      </c>
      <c r="E32" s="18">
        <f>Reference!C174</f>
        <v>41.070700000000002</v>
      </c>
      <c r="F32" s="18">
        <f>Reference!D174</f>
        <v>45.270899999999997</v>
      </c>
      <c r="G32" s="18">
        <f>Reference!E174</f>
        <v>45.634999999999998</v>
      </c>
      <c r="H32" s="18">
        <f>Reference!F174</f>
        <v>181486.516</v>
      </c>
      <c r="I32" s="18">
        <f>Reference!G174</f>
        <v>28.812000000000001</v>
      </c>
      <c r="J32" s="19">
        <f t="shared" si="8"/>
        <v>50.41292111111111</v>
      </c>
      <c r="L32" s="17">
        <f>Test!B174</f>
        <v>4083.1871999999998</v>
      </c>
      <c r="M32" s="18">
        <f>Test!C174</f>
        <v>41.076599999999999</v>
      </c>
      <c r="N32" s="18">
        <f>Test!D174</f>
        <v>45.272799999999997</v>
      </c>
      <c r="O32" s="18">
        <f>Test!E174</f>
        <v>45.637</v>
      </c>
      <c r="P32" s="18">
        <f>Test!F174</f>
        <v>180995.70300000001</v>
      </c>
      <c r="Q32" s="18">
        <f>Test!G174</f>
        <v>27.943999999999999</v>
      </c>
      <c r="R32" s="19">
        <f t="shared" si="9"/>
        <v>50.276584166666666</v>
      </c>
      <c r="S32" s="17">
        <f t="shared" si="7"/>
        <v>0.9972955952275816</v>
      </c>
      <c r="T32" s="18">
        <f t="shared" si="7"/>
        <v>0.96987366375121475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2258.6176</v>
      </c>
      <c r="E33" s="18">
        <f>Reference!C175</f>
        <v>38.269599999999997</v>
      </c>
      <c r="F33" s="18">
        <f>Reference!D175</f>
        <v>43.606999999999999</v>
      </c>
      <c r="G33" s="18">
        <f>Reference!E175</f>
        <v>43.785699999999999</v>
      </c>
      <c r="H33" s="18">
        <f>Reference!F175</f>
        <v>114561.44500000001</v>
      </c>
      <c r="I33" s="18">
        <f>Reference!G175</f>
        <v>24.452000000000002</v>
      </c>
      <c r="J33" s="19">
        <f t="shared" si="8"/>
        <v>31.822623611111112</v>
      </c>
      <c r="L33" s="17">
        <f>Test!B175</f>
        <v>2258.2303999999999</v>
      </c>
      <c r="M33" s="18">
        <f>Test!C175</f>
        <v>38.271799999999999</v>
      </c>
      <c r="N33" s="18">
        <f>Test!D175</f>
        <v>43.613199999999999</v>
      </c>
      <c r="O33" s="18">
        <f>Test!E175</f>
        <v>43.7654</v>
      </c>
      <c r="P33" s="18">
        <f>Test!F175</f>
        <v>113815.969</v>
      </c>
      <c r="Q33" s="18">
        <f>Test!G175</f>
        <v>23.722000000000001</v>
      </c>
      <c r="R33" s="19">
        <f t="shared" si="9"/>
        <v>31.615546944444443</v>
      </c>
      <c r="S33" s="17">
        <f t="shared" si="7"/>
        <v>0.9934927845925825</v>
      </c>
      <c r="T33" s="18">
        <f t="shared" si="7"/>
        <v>0.97014559136266976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1174.1312</v>
      </c>
      <c r="E34" s="23">
        <f>Reference!C176</f>
        <v>35.308599999999998</v>
      </c>
      <c r="F34" s="23">
        <f>Reference!D176</f>
        <v>41.974200000000003</v>
      </c>
      <c r="G34" s="23">
        <f>Reference!E176</f>
        <v>41.875900000000001</v>
      </c>
      <c r="H34" s="23">
        <f>Reference!F176</f>
        <v>66956.406000000003</v>
      </c>
      <c r="I34" s="23">
        <f>Reference!G176</f>
        <v>20.271999999999998</v>
      </c>
      <c r="J34" s="24">
        <f t="shared" si="8"/>
        <v>18.599001666666666</v>
      </c>
      <c r="L34" s="22">
        <f>Test!B176</f>
        <v>1173.6768</v>
      </c>
      <c r="M34" s="23">
        <f>Test!C176</f>
        <v>35.311300000000003</v>
      </c>
      <c r="N34" s="23">
        <f>Test!D176</f>
        <v>41.995199999999997</v>
      </c>
      <c r="O34" s="23">
        <f>Test!E176</f>
        <v>41.913800000000002</v>
      </c>
      <c r="P34" s="23">
        <f>Test!F176</f>
        <v>67002.031000000003</v>
      </c>
      <c r="Q34" s="23">
        <f>Test!G176</f>
        <v>19.946000000000002</v>
      </c>
      <c r="R34" s="24">
        <f t="shared" si="9"/>
        <v>18.611675277777778</v>
      </c>
      <c r="S34" s="17">
        <f t="shared" si="7"/>
        <v>1.0006814135155342</v>
      </c>
      <c r="T34" s="18">
        <f t="shared" si="7"/>
        <v>0.98391870560378858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4671.2719999999999</v>
      </c>
      <c r="E35" s="13">
        <f>Reference!C177</f>
        <v>38.456400000000002</v>
      </c>
      <c r="F35" s="13">
        <f>Reference!D177</f>
        <v>45.521999999999998</v>
      </c>
      <c r="G35" s="13">
        <f>Reference!E177</f>
        <v>45.726900000000001</v>
      </c>
      <c r="H35" s="13">
        <f>Reference!F177</f>
        <v>178330.40599999999</v>
      </c>
      <c r="I35" s="13">
        <f>Reference!G177</f>
        <v>14.002000000000001</v>
      </c>
      <c r="J35" s="14">
        <f t="shared" si="8"/>
        <v>49.536223888888884</v>
      </c>
      <c r="L35" s="12">
        <f>Test!B177</f>
        <v>4672.16</v>
      </c>
      <c r="M35" s="13">
        <f>Test!C177</f>
        <v>38.455300000000001</v>
      </c>
      <c r="N35" s="13">
        <f>Test!D177</f>
        <v>45.5182</v>
      </c>
      <c r="O35" s="13">
        <f>Test!E177</f>
        <v>45.734999999999999</v>
      </c>
      <c r="P35" s="13">
        <f>Test!F177</f>
        <v>179305.96900000001</v>
      </c>
      <c r="Q35" s="13">
        <f>Test!G177</f>
        <v>14.041</v>
      </c>
      <c r="R35" s="14">
        <f t="shared" si="9"/>
        <v>49.807213611111116</v>
      </c>
      <c r="S35" s="12">
        <f t="shared" si="7"/>
        <v>1.0054705365275736</v>
      </c>
      <c r="T35" s="13">
        <f t="shared" si="7"/>
        <v>1.0027853163833738</v>
      </c>
      <c r="U35" s="90"/>
      <c r="V35" s="37">
        <f>bdrate($D35:$D38,E35:E38,$L35:$L38,M35:M38)</f>
        <v>2.0165798221636333E-3</v>
      </c>
      <c r="W35" s="42">
        <f>bdrate($D35:$D38,F35:F38,$L35:$L38,N35:N38)</f>
        <v>-8.9201894592760844E-4</v>
      </c>
      <c r="X35" s="42">
        <f>bdrate($D35:$D38,G35:G38,$L35:$L38,O35:O38)</f>
        <v>8.4109083203562918E-3</v>
      </c>
      <c r="Y35" s="40">
        <f>bdrateOld($D35:$D38,E35:E38,$L35:$L38,M35:M38)</f>
        <v>1.9592412823883354E-3</v>
      </c>
      <c r="Z35" s="44">
        <f>bdrateOld($D35:$D38,F35:F38,$L35:$L38,N35:N38)</f>
        <v>-1.4453849026219157E-4</v>
      </c>
      <c r="AA35" s="45">
        <f>bdrateOld($D35:$D38,G35:G38,$L35:$L38,O35:O38)</f>
        <v>8.0491187108735485E-3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1630.3168000000001</v>
      </c>
      <c r="E36" s="18">
        <f>Reference!C178</f>
        <v>36.4634</v>
      </c>
      <c r="F36" s="18">
        <f>Reference!D178</f>
        <v>44.562399999999997</v>
      </c>
      <c r="G36" s="18">
        <f>Reference!E178</f>
        <v>44.750900000000001</v>
      </c>
      <c r="H36" s="18">
        <f>Reference!F178</f>
        <v>89424.164000000004</v>
      </c>
      <c r="I36" s="18">
        <f>Reference!G178</f>
        <v>9.9849999999999994</v>
      </c>
      <c r="J36" s="19">
        <f t="shared" si="8"/>
        <v>24.840045555555555</v>
      </c>
      <c r="L36" s="17">
        <f>Test!B178</f>
        <v>1633.1264000000001</v>
      </c>
      <c r="M36" s="18">
        <f>Test!C178</f>
        <v>36.459299999999999</v>
      </c>
      <c r="N36" s="18">
        <f>Test!D178</f>
        <v>44.537500000000001</v>
      </c>
      <c r="O36" s="18">
        <f>Test!E178</f>
        <v>44.762700000000002</v>
      </c>
      <c r="P36" s="18">
        <f>Test!F178</f>
        <v>91523.108999999997</v>
      </c>
      <c r="Q36" s="18">
        <f>Test!G178</f>
        <v>10.073</v>
      </c>
      <c r="R36" s="19">
        <f t="shared" si="9"/>
        <v>25.423085833333332</v>
      </c>
      <c r="S36" s="17">
        <f t="shared" si="7"/>
        <v>1.0234717877821031</v>
      </c>
      <c r="T36" s="18">
        <f t="shared" si="7"/>
        <v>1.0088132198297448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652.47680000000003</v>
      </c>
      <c r="E37" s="18">
        <f>Reference!C179</f>
        <v>34.033200000000001</v>
      </c>
      <c r="F37" s="18">
        <f>Reference!D179</f>
        <v>43.162999999999997</v>
      </c>
      <c r="G37" s="18">
        <f>Reference!E179</f>
        <v>43.412700000000001</v>
      </c>
      <c r="H37" s="18">
        <f>Reference!F179</f>
        <v>51203.27</v>
      </c>
      <c r="I37" s="18">
        <f>Reference!G179</f>
        <v>7.548</v>
      </c>
      <c r="J37" s="19">
        <f t="shared" si="8"/>
        <v>14.223130555555555</v>
      </c>
      <c r="L37" s="17">
        <f>Test!B179</f>
        <v>653.54560000000004</v>
      </c>
      <c r="M37" s="18">
        <f>Test!C179</f>
        <v>34.033000000000001</v>
      </c>
      <c r="N37" s="18">
        <f>Test!D179</f>
        <v>43.206699999999998</v>
      </c>
      <c r="O37" s="18">
        <f>Test!E179</f>
        <v>43.370699999999999</v>
      </c>
      <c r="P37" s="18">
        <f>Test!F179</f>
        <v>51336.449000000001</v>
      </c>
      <c r="Q37" s="18">
        <f>Test!G179</f>
        <v>8.1140000000000008</v>
      </c>
      <c r="R37" s="19">
        <f t="shared" si="9"/>
        <v>14.260124722222223</v>
      </c>
      <c r="S37" s="17">
        <f t="shared" si="7"/>
        <v>1.0026009862260752</v>
      </c>
      <c r="T37" s="18">
        <f t="shared" si="7"/>
        <v>1.0749867514573397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274.86239999999998</v>
      </c>
      <c r="E38" s="23">
        <f>Reference!C180</f>
        <v>31.0305</v>
      </c>
      <c r="F38" s="23">
        <f>Reference!D180</f>
        <v>41.8872</v>
      </c>
      <c r="G38" s="23">
        <f>Reference!E180</f>
        <v>42.0276</v>
      </c>
      <c r="H38" s="23">
        <f>Reference!F180</f>
        <v>29084.67</v>
      </c>
      <c r="I38" s="23">
        <f>Reference!G180</f>
        <v>5.8689999999999998</v>
      </c>
      <c r="J38" s="24">
        <f t="shared" si="8"/>
        <v>8.0790749999999996</v>
      </c>
      <c r="L38" s="22">
        <f>Test!B180</f>
        <v>274.15519999999998</v>
      </c>
      <c r="M38" s="23">
        <f>Test!C180</f>
        <v>31.017700000000001</v>
      </c>
      <c r="N38" s="23">
        <f>Test!D180</f>
        <v>41.856499999999997</v>
      </c>
      <c r="O38" s="23">
        <f>Test!E180</f>
        <v>42.025799999999997</v>
      </c>
      <c r="P38" s="23">
        <f>Test!F180</f>
        <v>29353.021000000001</v>
      </c>
      <c r="Q38" s="23">
        <f>Test!G180</f>
        <v>6.4530000000000003</v>
      </c>
      <c r="R38" s="24">
        <f t="shared" si="9"/>
        <v>8.153616944444444</v>
      </c>
      <c r="S38" s="17">
        <f t="shared" si="7"/>
        <v>1.0092265444304509</v>
      </c>
      <c r="T38" s="18">
        <f t="shared" si="7"/>
        <v>1.0995058783438405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3765.6912000000002</v>
      </c>
      <c r="E39" s="13">
        <f>Reference!C181</f>
        <v>40.533200000000001</v>
      </c>
      <c r="F39" s="13">
        <f>Reference!D181</f>
        <v>45.264499999999998</v>
      </c>
      <c r="G39" s="13">
        <f>Reference!E181</f>
        <v>46.064700000000002</v>
      </c>
      <c r="H39" s="13">
        <f>Reference!F181</f>
        <v>149738.57800000001</v>
      </c>
      <c r="I39" s="13">
        <f>Reference!G181</f>
        <v>14.813000000000001</v>
      </c>
      <c r="J39" s="14">
        <f t="shared" si="8"/>
        <v>41.594049444444444</v>
      </c>
      <c r="L39" s="12">
        <f>Test!B181</f>
        <v>3771.4207999999999</v>
      </c>
      <c r="M39" s="13">
        <f>Test!C181</f>
        <v>40.531199999999998</v>
      </c>
      <c r="N39" s="13">
        <f>Test!D181</f>
        <v>45.2605</v>
      </c>
      <c r="O39" s="13">
        <f>Test!E181</f>
        <v>46.064100000000003</v>
      </c>
      <c r="P39" s="13">
        <f>Test!F181</f>
        <v>153917.78099999999</v>
      </c>
      <c r="Q39" s="13">
        <f>Test!G181</f>
        <v>14.826000000000001</v>
      </c>
      <c r="R39" s="14">
        <f t="shared" si="9"/>
        <v>42.754939166666666</v>
      </c>
      <c r="S39" s="17">
        <f t="shared" si="7"/>
        <v>1.0279099952451798</v>
      </c>
      <c r="T39" s="18">
        <f t="shared" si="7"/>
        <v>1.0008776075069197</v>
      </c>
      <c r="U39" s="91"/>
      <c r="V39" s="37">
        <f>bdrate($D39:$D42,E39:E42,$L39:$L42,M39:M42)</f>
        <v>1.9849482670446505E-3</v>
      </c>
      <c r="W39" s="42">
        <f>bdrate($D39:$D42,F39:F42,$L39:$L42,N39:N42)</f>
        <v>5.7200876190153238E-3</v>
      </c>
      <c r="X39" s="42">
        <f>bdrate($D39:$D42,G39:G42,$L39:$L42,O39:O42)</f>
        <v>4.5012958970152006E-3</v>
      </c>
      <c r="Y39" s="40">
        <f>bdrateOld($D39:$D42,E39:E42,$L39:$L42,M39:M42)</f>
        <v>1.9944685427277786E-3</v>
      </c>
      <c r="Z39" s="44">
        <f>bdrateOld($D39:$D42,F39:F42,$L39:$L42,N39:N42)</f>
        <v>6.6351468132235247E-3</v>
      </c>
      <c r="AA39" s="45">
        <f>bdrateOld($D39:$D42,G39:G42,$L39:$L42,O39:O42)</f>
        <v>4.5340918077700909E-3</v>
      </c>
    </row>
    <row r="40" spans="1:27" x14ac:dyDescent="0.2">
      <c r="A40" s="16"/>
      <c r="B40" s="85"/>
      <c r="C40" s="16">
        <v>32</v>
      </c>
      <c r="D40" s="17">
        <f>Reference!B182</f>
        <v>1702.0032000000001</v>
      </c>
      <c r="E40" s="18">
        <f>Reference!C182</f>
        <v>38.882199999999997</v>
      </c>
      <c r="F40" s="18">
        <f>Reference!D182</f>
        <v>44.436100000000003</v>
      </c>
      <c r="G40" s="18">
        <f>Reference!E182</f>
        <v>44.5107</v>
      </c>
      <c r="H40" s="18">
        <f>Reference!F182</f>
        <v>89538.773000000001</v>
      </c>
      <c r="I40" s="18">
        <f>Reference!G182</f>
        <v>12.025</v>
      </c>
      <c r="J40" s="19">
        <f t="shared" si="8"/>
        <v>24.871881388888887</v>
      </c>
      <c r="L40" s="17">
        <f>Test!B182</f>
        <v>1704.0047999999999</v>
      </c>
      <c r="M40" s="18">
        <f>Test!C182</f>
        <v>38.880699999999997</v>
      </c>
      <c r="N40" s="18">
        <f>Test!D182</f>
        <v>44.443199999999997</v>
      </c>
      <c r="O40" s="18">
        <f>Test!E182</f>
        <v>44.502200000000002</v>
      </c>
      <c r="P40" s="18">
        <f>Test!F182</f>
        <v>90463.983999999997</v>
      </c>
      <c r="Q40" s="18">
        <f>Test!G182</f>
        <v>12.24</v>
      </c>
      <c r="R40" s="19">
        <f t="shared" si="9"/>
        <v>25.128884444444445</v>
      </c>
      <c r="S40" s="17">
        <f t="shared" si="7"/>
        <v>1.0103330765991174</v>
      </c>
      <c r="T40" s="18">
        <f t="shared" si="7"/>
        <v>1.0178794178794179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813.29759999999999</v>
      </c>
      <c r="E41" s="18">
        <f>Reference!C183</f>
        <v>36.9133</v>
      </c>
      <c r="F41" s="18">
        <f>Reference!D183</f>
        <v>43.408000000000001</v>
      </c>
      <c r="G41" s="18">
        <f>Reference!E183</f>
        <v>42.729500000000002</v>
      </c>
      <c r="H41" s="18">
        <f>Reference!F183</f>
        <v>50104.637000000002</v>
      </c>
      <c r="I41" s="18">
        <f>Reference!G183</f>
        <v>9.4039999999999999</v>
      </c>
      <c r="J41" s="19">
        <f t="shared" si="8"/>
        <v>13.917954722222223</v>
      </c>
      <c r="L41" s="17">
        <f>Test!B183</f>
        <v>813.98720000000003</v>
      </c>
      <c r="M41" s="18">
        <f>Test!C183</f>
        <v>36.9101</v>
      </c>
      <c r="N41" s="18">
        <f>Test!D183</f>
        <v>43.388300000000001</v>
      </c>
      <c r="O41" s="18">
        <f>Test!E183</f>
        <v>42.710099999999997</v>
      </c>
      <c r="P41" s="18">
        <f>Test!F183</f>
        <v>50197.358999999997</v>
      </c>
      <c r="Q41" s="18">
        <f>Test!G183</f>
        <v>9.6649999999999991</v>
      </c>
      <c r="R41" s="19">
        <f t="shared" si="9"/>
        <v>13.943710833333332</v>
      </c>
      <c r="S41" s="17">
        <f t="shared" si="7"/>
        <v>1.001850567243906</v>
      </c>
      <c r="T41" s="18">
        <f t="shared" si="7"/>
        <v>1.0277541471714164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380.66559999999998</v>
      </c>
      <c r="E42" s="23">
        <f>Reference!C184</f>
        <v>34.673699999999997</v>
      </c>
      <c r="F42" s="23">
        <f>Reference!D184</f>
        <v>42.121499999999997</v>
      </c>
      <c r="G42" s="23">
        <f>Reference!E184</f>
        <v>40.654299999999999</v>
      </c>
      <c r="H42" s="23">
        <f>Reference!F184</f>
        <v>25962.18</v>
      </c>
      <c r="I42" s="23">
        <f>Reference!G184</f>
        <v>7.4989999999999997</v>
      </c>
      <c r="J42" s="24">
        <f t="shared" si="8"/>
        <v>7.2117166666666668</v>
      </c>
      <c r="L42" s="22">
        <f>Test!B184</f>
        <v>381.16160000000002</v>
      </c>
      <c r="M42" s="23">
        <f>Test!C184</f>
        <v>34.671700000000001</v>
      </c>
      <c r="N42" s="23">
        <f>Test!D184</f>
        <v>42.1173</v>
      </c>
      <c r="O42" s="23">
        <f>Test!E184</f>
        <v>40.676200000000001</v>
      </c>
      <c r="P42" s="23">
        <f>Test!F184</f>
        <v>26502.773000000001</v>
      </c>
      <c r="Q42" s="23">
        <f>Test!G184</f>
        <v>7.8369999999999997</v>
      </c>
      <c r="R42" s="24">
        <f t="shared" si="9"/>
        <v>7.3618813888888894</v>
      </c>
      <c r="S42" s="17">
        <f t="shared" si="7"/>
        <v>1.0208223269386469</v>
      </c>
      <c r="T42" s="18">
        <f t="shared" si="7"/>
        <v>1.0450726763568476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917.10559999999998</v>
      </c>
      <c r="E43" s="13">
        <f>Reference!C185</f>
        <v>42.968499999999999</v>
      </c>
      <c r="F43" s="13">
        <f>Reference!D185</f>
        <v>46.788699999999999</v>
      </c>
      <c r="G43" s="13">
        <f>Reference!E185</f>
        <v>47.590499999999999</v>
      </c>
      <c r="H43" s="13">
        <f>Reference!F185</f>
        <v>58618.311999999998</v>
      </c>
      <c r="I43" s="13">
        <f>Reference!G185</f>
        <v>7.77</v>
      </c>
      <c r="J43" s="14">
        <f t="shared" si="8"/>
        <v>16.282864444444442</v>
      </c>
      <c r="L43" s="12">
        <f>Test!B185</f>
        <v>916.11360000000002</v>
      </c>
      <c r="M43" s="13">
        <f>Test!C185</f>
        <v>42.970300000000002</v>
      </c>
      <c r="N43" s="13">
        <f>Test!D185</f>
        <v>46.778199999999998</v>
      </c>
      <c r="O43" s="13">
        <f>Test!E185</f>
        <v>47.613100000000003</v>
      </c>
      <c r="P43" s="13">
        <f>Test!F185</f>
        <v>59843.288999999997</v>
      </c>
      <c r="Q43" s="13">
        <f>Test!G185</f>
        <v>7.9489999999999998</v>
      </c>
      <c r="R43" s="14">
        <f t="shared" si="9"/>
        <v>16.623135833333333</v>
      </c>
      <c r="S43" s="17">
        <f t="shared" si="7"/>
        <v>1.0208975140737591</v>
      </c>
      <c r="T43" s="18">
        <f t="shared" si="7"/>
        <v>1.0230373230373231</v>
      </c>
      <c r="U43" s="91"/>
      <c r="V43" s="37">
        <f>bdrate($D43:$D46,E43:E46,$L43:$L46,M43:M46)</f>
        <v>-4.0628174298654729E-3</v>
      </c>
      <c r="W43" s="42">
        <f>bdrate($D43:$D46,F43:F46,$L43:$L46,N43:N46)</f>
        <v>-1.3197789405063776E-2</v>
      </c>
      <c r="X43" s="42">
        <f>bdrate($D43:$D46,G43:G46,$L43:$L46,O43:O46)</f>
        <v>3.8755658731164377E-3</v>
      </c>
      <c r="Y43" s="40">
        <f>bdrateOld($D43:$D46,E43:E46,$L43:$L46,M43:M46)</f>
        <v>-4.1668635665186304E-3</v>
      </c>
      <c r="Z43" s="44">
        <f>bdrateOld($D43:$D46,F43:F46,$L43:$L46,N43:N46)</f>
        <v>-1.2900147335694556E-2</v>
      </c>
      <c r="AA43" s="45">
        <f>bdrateOld($D43:$D46,G43:G46,$L43:$L46,O43:O46)</f>
        <v>4.1359278389583309E-3</v>
      </c>
    </row>
    <row r="44" spans="1:27" x14ac:dyDescent="0.2">
      <c r="A44" s="16"/>
      <c r="B44" s="85"/>
      <c r="C44" s="16">
        <v>32</v>
      </c>
      <c r="D44" s="17">
        <f>Reference!B186</f>
        <v>469.04160000000002</v>
      </c>
      <c r="E44" s="18">
        <f>Reference!C186</f>
        <v>41.2941</v>
      </c>
      <c r="F44" s="18">
        <f>Reference!D186</f>
        <v>45.967799999999997</v>
      </c>
      <c r="G44" s="18">
        <f>Reference!E186</f>
        <v>46.556199999999997</v>
      </c>
      <c r="H44" s="18">
        <f>Reference!F186</f>
        <v>34489.296999999999</v>
      </c>
      <c r="I44" s="18">
        <f>Reference!G186</f>
        <v>6.0039999999999996</v>
      </c>
      <c r="J44" s="19">
        <f t="shared" si="8"/>
        <v>9.5803602777777765</v>
      </c>
      <c r="L44" s="17">
        <f>Test!B186</f>
        <v>468.88</v>
      </c>
      <c r="M44" s="18">
        <f>Test!C186</f>
        <v>41.299199999999999</v>
      </c>
      <c r="N44" s="18">
        <f>Test!D186</f>
        <v>45.979500000000002</v>
      </c>
      <c r="O44" s="18">
        <f>Test!E186</f>
        <v>46.565800000000003</v>
      </c>
      <c r="P44" s="18">
        <f>Test!F186</f>
        <v>35519.434000000001</v>
      </c>
      <c r="Q44" s="18">
        <f>Test!G186</f>
        <v>6.5289999999999999</v>
      </c>
      <c r="R44" s="19">
        <f t="shared" si="9"/>
        <v>9.8665094444444446</v>
      </c>
      <c r="S44" s="17">
        <f t="shared" si="7"/>
        <v>1.0298683095802157</v>
      </c>
      <c r="T44" s="18">
        <f t="shared" si="7"/>
        <v>1.087441705529647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250.25120000000001</v>
      </c>
      <c r="E45" s="18">
        <f>Reference!C187</f>
        <v>39.078800000000001</v>
      </c>
      <c r="F45" s="18">
        <f>Reference!D187</f>
        <v>44.792000000000002</v>
      </c>
      <c r="G45" s="18">
        <f>Reference!E187</f>
        <v>45.209600000000002</v>
      </c>
      <c r="H45" s="18">
        <f>Reference!F187</f>
        <v>19677.736000000001</v>
      </c>
      <c r="I45" s="18">
        <f>Reference!G187</f>
        <v>5.0410000000000004</v>
      </c>
      <c r="J45" s="19">
        <f t="shared" si="8"/>
        <v>5.4660377777777782</v>
      </c>
      <c r="L45" s="17">
        <f>Test!B187</f>
        <v>249.17599999999999</v>
      </c>
      <c r="M45" s="18">
        <f>Test!C187</f>
        <v>39.078200000000002</v>
      </c>
      <c r="N45" s="18">
        <f>Test!D187</f>
        <v>44.812899999999999</v>
      </c>
      <c r="O45" s="18">
        <f>Test!E187</f>
        <v>45.180799999999998</v>
      </c>
      <c r="P45" s="18">
        <f>Test!F187</f>
        <v>20380.098000000002</v>
      </c>
      <c r="Q45" s="18">
        <f>Test!G187</f>
        <v>5.3159999999999998</v>
      </c>
      <c r="R45" s="19">
        <f t="shared" si="9"/>
        <v>5.6611383333333336</v>
      </c>
      <c r="S45" s="17">
        <f t="shared" si="7"/>
        <v>1.0356932321889063</v>
      </c>
      <c r="T45" s="18">
        <f t="shared" si="7"/>
        <v>1.0545526681214044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136.28639999999999</v>
      </c>
      <c r="E46" s="23">
        <f>Reference!C188</f>
        <v>36.294199999999996</v>
      </c>
      <c r="F46" s="23">
        <f>Reference!D188</f>
        <v>43.002800000000001</v>
      </c>
      <c r="G46" s="23">
        <f>Reference!E188</f>
        <v>43.247</v>
      </c>
      <c r="H46" s="23">
        <f>Reference!F188</f>
        <v>11690.17</v>
      </c>
      <c r="I46" s="23">
        <f>Reference!G188</f>
        <v>4.3</v>
      </c>
      <c r="J46" s="24">
        <f t="shared" si="8"/>
        <v>3.2472694444444445</v>
      </c>
      <c r="L46" s="22">
        <f>Test!B188</f>
        <v>135.65280000000001</v>
      </c>
      <c r="M46" s="23">
        <f>Test!C188</f>
        <v>36.315800000000003</v>
      </c>
      <c r="N46" s="23">
        <f>Test!D188</f>
        <v>43.097000000000001</v>
      </c>
      <c r="O46" s="23">
        <f>Test!E188</f>
        <v>43.134399999999999</v>
      </c>
      <c r="P46" s="23">
        <f>Test!F188</f>
        <v>11894.49</v>
      </c>
      <c r="Q46" s="23">
        <f>Test!G188</f>
        <v>5.0910000000000002</v>
      </c>
      <c r="R46" s="24">
        <f t="shared" si="9"/>
        <v>3.3040249999999998</v>
      </c>
      <c r="S46" s="17">
        <f t="shared" si="7"/>
        <v>1.0174779323140724</v>
      </c>
      <c r="T46" s="18">
        <f t="shared" si="7"/>
        <v>1.183953488372093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1257.9631999999999</v>
      </c>
      <c r="E47" s="13">
        <f>Reference!C189</f>
        <v>42.675699999999999</v>
      </c>
      <c r="F47" s="13">
        <f>Reference!D189</f>
        <v>48.569400000000002</v>
      </c>
      <c r="G47" s="13">
        <f>Reference!E189</f>
        <v>47.680399999999999</v>
      </c>
      <c r="H47" s="13">
        <f>Reference!F189</f>
        <v>64323.949000000001</v>
      </c>
      <c r="I47" s="13">
        <f>Reference!G189</f>
        <v>8.8659999999999997</v>
      </c>
      <c r="J47" s="14">
        <f>H47/3600</f>
        <v>17.867763611111112</v>
      </c>
      <c r="L47" s="12">
        <f>Test!B189</f>
        <v>1257.6079999999999</v>
      </c>
      <c r="M47" s="13">
        <f>Test!C189</f>
        <v>42.679699999999997</v>
      </c>
      <c r="N47" s="13">
        <f>Test!D189</f>
        <v>48.569600000000001</v>
      </c>
      <c r="O47" s="13">
        <f>Test!E189</f>
        <v>47.538699999999999</v>
      </c>
      <c r="P47" s="13">
        <f>Test!F189</f>
        <v>65254.336000000003</v>
      </c>
      <c r="Q47" s="13">
        <f>Test!G189</f>
        <v>9.0879999999999992</v>
      </c>
      <c r="R47" s="14">
        <f>P47/3600</f>
        <v>18.126204444444447</v>
      </c>
      <c r="S47" s="17">
        <f t="shared" ref="S47:T62" si="10">P47/H47</f>
        <v>1.0144640839759387</v>
      </c>
      <c r="T47" s="18">
        <f t="shared" si="10"/>
        <v>1.0250394766523798</v>
      </c>
      <c r="U47" s="91"/>
      <c r="V47" s="37">
        <f>bdrate($D47:$D50,E47:E50,$L47:$L50,M47:M50)</f>
        <v>-1.2631257158552955E-3</v>
      </c>
      <c r="W47" s="42">
        <f>bdrate($D47:$D50,F47:F50,$L47:$L50,N47:N50)</f>
        <v>-1.7921710800760215E-2</v>
      </c>
      <c r="X47" s="43">
        <f>bdrate($D47:$D50,G47:G50,$L47:$L50,O47:O50)</f>
        <v>7.6269346758204293E-3</v>
      </c>
      <c r="Y47" s="37">
        <f>bdrateOld($D47:$D50,E47:E50,$L47:$L50,M47:M50)</f>
        <v>-1.7928214874149973E-3</v>
      </c>
      <c r="Z47" s="42">
        <f>bdrateOld($D47:$D50,F47:F50,$L47:$L50,N47:N50)</f>
        <v>-1.6681199758747489E-2</v>
      </c>
      <c r="AA47" s="43">
        <f>bdrateOld($D47:$D50,G47:G50,$L47:$L50,O47:O50)</f>
        <v>4.3283009693677821E-2</v>
      </c>
    </row>
    <row r="48" spans="1:27" x14ac:dyDescent="0.2">
      <c r="A48" s="16"/>
      <c r="B48" s="85"/>
      <c r="C48" s="16">
        <v>32</v>
      </c>
      <c r="D48" s="17">
        <f>Reference!B190</f>
        <v>605.85119999999995</v>
      </c>
      <c r="E48" s="18">
        <f>Reference!C190</f>
        <v>40.912399999999998</v>
      </c>
      <c r="F48" s="18">
        <f>Reference!D190</f>
        <v>47.751399999999997</v>
      </c>
      <c r="G48" s="18">
        <f>Reference!E190</f>
        <v>46.992800000000003</v>
      </c>
      <c r="H48" s="18">
        <f>Reference!F190</f>
        <v>37785.203000000001</v>
      </c>
      <c r="I48" s="18">
        <f>Reference!G190</f>
        <v>6.4</v>
      </c>
      <c r="J48" s="19">
        <f t="shared" ref="J48:J70" si="11">H48/3600</f>
        <v>10.495889722222223</v>
      </c>
      <c r="L48" s="17">
        <f>Test!B190</f>
        <v>606.24</v>
      </c>
      <c r="M48" s="18">
        <f>Test!C190</f>
        <v>40.9084</v>
      </c>
      <c r="N48" s="18">
        <f>Test!D190</f>
        <v>47.789000000000001</v>
      </c>
      <c r="O48" s="18">
        <f>Test!E190</f>
        <v>46.997900000000001</v>
      </c>
      <c r="P48" s="18">
        <f>Test!F190</f>
        <v>37871.184000000001</v>
      </c>
      <c r="Q48" s="18">
        <f>Test!G190</f>
        <v>6.8639999999999999</v>
      </c>
      <c r="R48" s="19">
        <f t="shared" ref="R48:R70" si="12">P48/3600</f>
        <v>10.519773333333333</v>
      </c>
      <c r="S48" s="17">
        <f t="shared" si="10"/>
        <v>1.0022755203935254</v>
      </c>
      <c r="T48" s="18">
        <f t="shared" si="10"/>
        <v>1.0725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323.40800000000002</v>
      </c>
      <c r="E49" s="18">
        <f>Reference!C191</f>
        <v>38.529000000000003</v>
      </c>
      <c r="F49" s="18">
        <f>Reference!D191</f>
        <v>46.640999999999998</v>
      </c>
      <c r="G49" s="18">
        <f>Reference!E191</f>
        <v>45.452100000000002</v>
      </c>
      <c r="H49" s="18">
        <f>Reference!F191</f>
        <v>21901.559000000001</v>
      </c>
      <c r="I49" s="18">
        <f>Reference!G191</f>
        <v>5.3390000000000004</v>
      </c>
      <c r="J49" s="19">
        <f t="shared" si="11"/>
        <v>6.0837663888888889</v>
      </c>
      <c r="L49" s="17">
        <f>Test!B191</f>
        <v>322.63040000000001</v>
      </c>
      <c r="M49" s="18">
        <f>Test!C191</f>
        <v>38.531599999999997</v>
      </c>
      <c r="N49" s="18">
        <f>Test!D191</f>
        <v>46.6676</v>
      </c>
      <c r="O49" s="18">
        <f>Test!E191</f>
        <v>45.469099999999997</v>
      </c>
      <c r="P49" s="18">
        <f>Test!F191</f>
        <v>22093.782999999999</v>
      </c>
      <c r="Q49" s="18">
        <f>Test!G191</f>
        <v>5.7939999999999996</v>
      </c>
      <c r="R49" s="19">
        <f t="shared" si="12"/>
        <v>6.1371619444444443</v>
      </c>
      <c r="S49" s="17">
        <f t="shared" si="10"/>
        <v>1.0087767268074386</v>
      </c>
      <c r="T49" s="18">
        <f t="shared" si="10"/>
        <v>1.0852219516763437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175.9744</v>
      </c>
      <c r="E50" s="23">
        <f>Reference!C192</f>
        <v>35.422800000000002</v>
      </c>
      <c r="F50" s="23">
        <f>Reference!D192</f>
        <v>45.180500000000002</v>
      </c>
      <c r="G50" s="23">
        <f>Reference!E192</f>
        <v>43.464799999999997</v>
      </c>
      <c r="H50" s="23">
        <f>Reference!F192</f>
        <v>13366.055</v>
      </c>
      <c r="I50" s="23">
        <f>Reference!G192</f>
        <v>4.8280000000000003</v>
      </c>
      <c r="J50" s="24">
        <f t="shared" si="11"/>
        <v>3.7127930555555557</v>
      </c>
      <c r="L50" s="22">
        <f>Test!B192</f>
        <v>176.17439999999999</v>
      </c>
      <c r="M50" s="23">
        <f>Test!C192</f>
        <v>35.439100000000003</v>
      </c>
      <c r="N50" s="23">
        <f>Test!D192</f>
        <v>45.239800000000002</v>
      </c>
      <c r="O50" s="23">
        <f>Test!E192</f>
        <v>43.346499999999999</v>
      </c>
      <c r="P50" s="23">
        <f>Test!F192</f>
        <v>13556.214</v>
      </c>
      <c r="Q50" s="23">
        <f>Test!G192</f>
        <v>5.3639999999999999</v>
      </c>
      <c r="R50" s="24">
        <f t="shared" si="12"/>
        <v>3.7656149999999999</v>
      </c>
      <c r="S50" s="22">
        <f t="shared" si="10"/>
        <v>1.0142270101387432</v>
      </c>
      <c r="T50" s="23">
        <f t="shared" si="10"/>
        <v>1.1110190555095276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19.776416923814967</v>
      </c>
      <c r="J75" s="15">
        <f>GEOMEAN(J3:J18)</f>
        <v>30.974181820496714</v>
      </c>
      <c r="Q75" s="15">
        <f>GEOMEAN(Q3:Q18)</f>
        <v>19.636496476369992</v>
      </c>
      <c r="R75" s="15">
        <f>GEOMEAN(R3:R18)</f>
        <v>31.040933018187573</v>
      </c>
      <c r="S75" s="15">
        <f>GEOMEAN(S3:S18)</f>
        <v>1.0021550592709019</v>
      </c>
      <c r="T75" s="15">
        <f>GEOMEAN(T3:T18)</f>
        <v>0.99292488381570876</v>
      </c>
      <c r="V75" s="37">
        <f>AVERAGE(V3:V18)</f>
        <v>-4.8157764224865396E-4</v>
      </c>
      <c r="W75" s="42">
        <f t="shared" ref="W75:AA75" si="17">AVERAGE(W3:W18)</f>
        <v>-5.4736038462799286E-4</v>
      </c>
      <c r="X75" s="42">
        <f t="shared" si="17"/>
        <v>1.0639137139820121E-3</v>
      </c>
      <c r="Y75" s="37">
        <f>AVERAGE(Y3:Y18)</f>
        <v>-6.5852321173637263E-4</v>
      </c>
      <c r="Z75" s="42">
        <f t="shared" si="17"/>
        <v>2.035532814873009E-5</v>
      </c>
      <c r="AA75" s="43">
        <f t="shared" si="17"/>
        <v>1.0055439098820285E-3</v>
      </c>
    </row>
    <row r="76" spans="1:27" x14ac:dyDescent="0.2">
      <c r="B76" s="89" t="s">
        <v>47</v>
      </c>
      <c r="I76" s="15">
        <f>GEOMEAN(I19:I34)</f>
        <v>22.936462632518975</v>
      </c>
      <c r="J76" s="15">
        <f>GEOMEAN(J19:J34)</f>
        <v>39.921522249156361</v>
      </c>
      <c r="Q76" s="15">
        <f>GEOMEAN(Q19:Q34)</f>
        <v>22.547280326978214</v>
      </c>
      <c r="R76" s="15">
        <f>GEOMEAN(R19:R34)</f>
        <v>39.929823991046263</v>
      </c>
      <c r="S76" s="15">
        <f>GEOMEAN(S19:S34)</f>
        <v>1.0002079515364692</v>
      </c>
      <c r="T76" s="15">
        <f>GEOMEAN(T19:T34)</f>
        <v>0.98303215662431809</v>
      </c>
      <c r="V76" s="38">
        <f>AVERAGE(V19:V34)</f>
        <v>-6.5258710879162463E-4</v>
      </c>
      <c r="W76" s="25">
        <f t="shared" ref="W76:AA76" si="18">AVERAGE(W19:W34)</f>
        <v>-5.8164394498147476E-4</v>
      </c>
      <c r="X76" s="25">
        <f t="shared" si="18"/>
        <v>-1.2988881192843582E-3</v>
      </c>
      <c r="Y76" s="38">
        <f t="shared" si="18"/>
        <v>-6.1874638654427216E-4</v>
      </c>
      <c r="Z76" s="25">
        <f t="shared" si="18"/>
        <v>-6.9632157895219149E-4</v>
      </c>
      <c r="AA76" s="50">
        <f t="shared" si="18"/>
        <v>-1.2433282428574166E-3</v>
      </c>
    </row>
    <row r="77" spans="1:27" x14ac:dyDescent="0.2">
      <c r="B77" s="89" t="s">
        <v>51</v>
      </c>
      <c r="I77" s="15">
        <f>GEOMEAN(I35:I50)</f>
        <v>7.5650185582167433</v>
      </c>
      <c r="J77" s="15">
        <f>GEOMEAN(J35:J50)</f>
        <v>11.946846213406918</v>
      </c>
      <c r="Q77" s="15">
        <f>GEOMEAN(Q35:Q50)</f>
        <v>7.9923256635712914</v>
      </c>
      <c r="R77" s="15">
        <f>GEOMEAN(R35:R50)</f>
        <v>12.129455976477372</v>
      </c>
      <c r="S77" s="15">
        <f>GEOMEAN(S35:S50)</f>
        <v>1.0152851857141618</v>
      </c>
      <c r="T77" s="15">
        <f>GEOMEAN(T35:T50)</f>
        <v>1.0564846076802321</v>
      </c>
      <c r="V77" s="38">
        <f>AVERAGE(V35:V50)</f>
        <v>-3.3110376412812115E-4</v>
      </c>
      <c r="W77" s="25">
        <f t="shared" ref="W77:AA77" si="19">AVERAGE(W35:W50)</f>
        <v>-6.5728578831840689E-3</v>
      </c>
      <c r="X77" s="25">
        <f t="shared" si="19"/>
        <v>6.1036761915770898E-3</v>
      </c>
      <c r="Y77" s="38">
        <f t="shared" si="19"/>
        <v>-5.0149380720437842E-4</v>
      </c>
      <c r="Z77" s="25">
        <f t="shared" si="19"/>
        <v>-5.772684692870178E-3</v>
      </c>
      <c r="AA77" s="50">
        <f t="shared" si="19"/>
        <v>1.5000537012819948E-2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15.083241417285777</v>
      </c>
      <c r="J80" s="54">
        <f xml:space="preserve"> GEOMEAN(J3:J50)</f>
        <v>24.536921295853329</v>
      </c>
      <c r="K80" s="4"/>
      <c r="L80" s="4"/>
      <c r="M80" s="4"/>
      <c r="N80" s="4"/>
      <c r="O80" s="4"/>
      <c r="P80" s="4"/>
      <c r="Q80" s="54">
        <f xml:space="preserve"> GEOMEAN(Q3:Q50)</f>
        <v>15.238554760940369</v>
      </c>
      <c r="R80" s="54">
        <f xml:space="preserve"> GEOMEAN(R3:R50)</f>
        <v>24.680720189200063</v>
      </c>
      <c r="S80" s="54">
        <f>GEOMEAN(S3:S50)</f>
        <v>1.0058605108445711</v>
      </c>
      <c r="T80" s="54">
        <f>GEOMEAN(T3:T50)</f>
        <v>1.0102970800080544</v>
      </c>
      <c r="U80" s="4"/>
      <c r="V80" s="41">
        <f>AVERAGE(V3:V50)</f>
        <v>-4.8842283838946654E-4</v>
      </c>
      <c r="W80" s="46">
        <f t="shared" ref="W80:AA80" si="23">AVERAGE(W3:W50)</f>
        <v>-2.5672874042645122E-3</v>
      </c>
      <c r="X80" s="47">
        <f t="shared" si="23"/>
        <v>1.9562339287582478E-3</v>
      </c>
      <c r="Y80" s="46">
        <f t="shared" si="23"/>
        <v>-5.9292113516167444E-4</v>
      </c>
      <c r="Z80" s="46">
        <f t="shared" si="23"/>
        <v>-2.1495503145578798E-3</v>
      </c>
      <c r="AA80" s="47">
        <f t="shared" si="23"/>
        <v>4.9209175599481863E-3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workbookViewId="0">
      <selection activeCell="B1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125119.492</v>
      </c>
      <c r="G1">
        <v>24.126000000000001</v>
      </c>
      <c r="H1">
        <v>0</v>
      </c>
      <c r="I1" t="s">
        <v>565</v>
      </c>
      <c r="J1" t="s">
        <v>566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70122.116999999998</v>
      </c>
      <c r="G2">
        <v>22.196000000000002</v>
      </c>
      <c r="H2">
        <v>0</v>
      </c>
      <c r="I2" t="s">
        <v>567</v>
      </c>
      <c r="J2" t="s">
        <v>568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41490.964999999997</v>
      </c>
      <c r="G3">
        <v>20.088999999999999</v>
      </c>
      <c r="H3">
        <v>0</v>
      </c>
      <c r="I3" t="s">
        <v>569</v>
      </c>
      <c r="J3" t="s">
        <v>570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23077.359</v>
      </c>
      <c r="G4">
        <v>18.318999999999999</v>
      </c>
      <c r="H4">
        <v>0</v>
      </c>
      <c r="I4" t="s">
        <v>571</v>
      </c>
      <c r="J4" t="s">
        <v>572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197428.46900000001</v>
      </c>
      <c r="G5">
        <v>36.365000000000002</v>
      </c>
      <c r="H5">
        <v>0</v>
      </c>
      <c r="I5" t="s">
        <v>581</v>
      </c>
      <c r="J5" t="s">
        <v>582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161393.891</v>
      </c>
      <c r="G6">
        <v>32.966000000000001</v>
      </c>
      <c r="H6">
        <v>0</v>
      </c>
      <c r="I6" t="s">
        <v>583</v>
      </c>
      <c r="J6" t="s">
        <v>584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120692.68799999999</v>
      </c>
      <c r="G7">
        <v>28.390999999999998</v>
      </c>
      <c r="H7">
        <v>0</v>
      </c>
      <c r="I7" t="s">
        <v>585</v>
      </c>
      <c r="J7" t="s">
        <v>586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77577.922000000006</v>
      </c>
      <c r="G8">
        <v>23.18</v>
      </c>
      <c r="H8">
        <v>0</v>
      </c>
      <c r="I8" t="s">
        <v>587</v>
      </c>
      <c r="J8" t="s">
        <v>588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162675.484</v>
      </c>
      <c r="G9">
        <v>30.748000000000001</v>
      </c>
      <c r="H9">
        <v>0</v>
      </c>
      <c r="I9" t="s">
        <v>573</v>
      </c>
      <c r="J9" t="s">
        <v>574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116574.273</v>
      </c>
      <c r="G10">
        <v>24.195</v>
      </c>
      <c r="H10">
        <v>0</v>
      </c>
      <c r="I10" t="s">
        <v>575</v>
      </c>
      <c r="J10" t="s">
        <v>576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65442.612999999998</v>
      </c>
      <c r="G11">
        <v>19.766999999999999</v>
      </c>
      <c r="H11">
        <v>0</v>
      </c>
      <c r="I11" t="s">
        <v>577</v>
      </c>
      <c r="J11" t="s">
        <v>578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38206.129000000001</v>
      </c>
      <c r="G12">
        <v>17.204000000000001</v>
      </c>
      <c r="H12">
        <v>0</v>
      </c>
      <c r="I12" t="s">
        <v>579</v>
      </c>
      <c r="J12" t="s">
        <v>580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198120.92199999999</v>
      </c>
      <c r="G13">
        <v>30.957000000000001</v>
      </c>
      <c r="H13">
        <v>0</v>
      </c>
      <c r="I13" t="s">
        <v>589</v>
      </c>
      <c r="J13" t="s">
        <v>590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121742.891</v>
      </c>
      <c r="G14">
        <v>24.948</v>
      </c>
      <c r="H14">
        <v>0</v>
      </c>
      <c r="I14" t="s">
        <v>591</v>
      </c>
      <c r="J14" t="s">
        <v>592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77865.547000000006</v>
      </c>
      <c r="G15">
        <v>22.094000000000001</v>
      </c>
      <c r="H15">
        <v>0</v>
      </c>
      <c r="I15" t="s">
        <v>593</v>
      </c>
      <c r="J15" t="s">
        <v>594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47365.991999999998</v>
      </c>
      <c r="G16">
        <v>19.042000000000002</v>
      </c>
      <c r="H16">
        <v>0</v>
      </c>
      <c r="I16" t="s">
        <v>595</v>
      </c>
      <c r="J16" t="s">
        <v>596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84820.648000000001</v>
      </c>
      <c r="G17">
        <v>15.286</v>
      </c>
      <c r="H17">
        <v>0</v>
      </c>
      <c r="I17" t="s">
        <v>541</v>
      </c>
      <c r="J17" t="s">
        <v>542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65636.398000000001</v>
      </c>
      <c r="G18">
        <v>13.09</v>
      </c>
      <c r="H18">
        <v>0</v>
      </c>
      <c r="I18" t="s">
        <v>543</v>
      </c>
      <c r="J18" t="s">
        <v>544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48434.762000000002</v>
      </c>
      <c r="G19">
        <v>10.891</v>
      </c>
      <c r="H19">
        <v>0</v>
      </c>
      <c r="I19" t="s">
        <v>545</v>
      </c>
      <c r="J19" t="s">
        <v>546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32450.396000000001</v>
      </c>
      <c r="G20">
        <v>9.3379999999999992</v>
      </c>
      <c r="H20">
        <v>0</v>
      </c>
      <c r="I20" t="s">
        <v>547</v>
      </c>
      <c r="J20" t="s">
        <v>548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73226.335999999996</v>
      </c>
      <c r="G21">
        <v>13.289</v>
      </c>
      <c r="H21">
        <v>0</v>
      </c>
      <c r="I21" t="s">
        <v>533</v>
      </c>
      <c r="J21" t="s">
        <v>534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52491.809000000001</v>
      </c>
      <c r="G22">
        <v>11.172000000000001</v>
      </c>
      <c r="H22">
        <v>0</v>
      </c>
      <c r="I22" t="s">
        <v>535</v>
      </c>
      <c r="J22" t="s">
        <v>536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34421.5</v>
      </c>
      <c r="G23">
        <v>9.6820000000000004</v>
      </c>
      <c r="H23">
        <v>0</v>
      </c>
      <c r="I23" t="s">
        <v>537</v>
      </c>
      <c r="J23" t="s">
        <v>538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21791.706999999999</v>
      </c>
      <c r="G24">
        <v>8.3930000000000007</v>
      </c>
      <c r="H24">
        <v>0</v>
      </c>
      <c r="I24" t="s">
        <v>539</v>
      </c>
      <c r="J24" t="s">
        <v>540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92360.531000000003</v>
      </c>
      <c r="G25">
        <v>16.545000000000002</v>
      </c>
      <c r="H25">
        <v>0</v>
      </c>
      <c r="I25" t="s">
        <v>549</v>
      </c>
      <c r="J25" t="s">
        <v>550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68868.077999999994</v>
      </c>
      <c r="G26">
        <v>14.343</v>
      </c>
      <c r="H26">
        <v>0</v>
      </c>
      <c r="I26" t="s">
        <v>551</v>
      </c>
      <c r="J26" t="s">
        <v>552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49238.32</v>
      </c>
      <c r="G27">
        <v>12.201000000000001</v>
      </c>
      <c r="H27">
        <v>0</v>
      </c>
      <c r="I27" t="s">
        <v>553</v>
      </c>
      <c r="J27" t="s">
        <v>554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30852.942999999999</v>
      </c>
      <c r="G28">
        <v>10.489000000000001</v>
      </c>
      <c r="H28">
        <v>0</v>
      </c>
      <c r="I28" t="s">
        <v>555</v>
      </c>
      <c r="J28" t="s">
        <v>556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61518.188000000002</v>
      </c>
      <c r="G29">
        <v>14.576000000000001</v>
      </c>
      <c r="H29">
        <v>0</v>
      </c>
      <c r="I29" t="s">
        <v>557</v>
      </c>
      <c r="J29" t="s">
        <v>558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48173.66</v>
      </c>
      <c r="G30">
        <v>12.688000000000001</v>
      </c>
      <c r="H30">
        <v>0</v>
      </c>
      <c r="I30" t="s">
        <v>559</v>
      </c>
      <c r="J30" t="s">
        <v>560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36652.167999999998</v>
      </c>
      <c r="G31">
        <v>11.239000000000001</v>
      </c>
      <c r="H31">
        <v>0</v>
      </c>
      <c r="I31" t="s">
        <v>561</v>
      </c>
      <c r="J31" t="s">
        <v>562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23852.530999999999</v>
      </c>
      <c r="G32">
        <v>9.6379999999999999</v>
      </c>
      <c r="H32">
        <v>0</v>
      </c>
      <c r="I32" t="s">
        <v>563</v>
      </c>
      <c r="J32" t="s">
        <v>564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51331.078000000001</v>
      </c>
      <c r="G33">
        <v>9.2089999999999996</v>
      </c>
      <c r="H33">
        <v>0</v>
      </c>
      <c r="I33" t="s">
        <v>501</v>
      </c>
      <c r="J33" t="s">
        <v>502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44427.362999999998</v>
      </c>
      <c r="G34">
        <v>8.1479999999999997</v>
      </c>
      <c r="H34">
        <v>0</v>
      </c>
      <c r="I34" t="s">
        <v>503</v>
      </c>
      <c r="J34" t="s">
        <v>504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36259.906000000003</v>
      </c>
      <c r="G35">
        <v>6.8620000000000001</v>
      </c>
      <c r="H35">
        <v>0</v>
      </c>
      <c r="I35" t="s">
        <v>505</v>
      </c>
      <c r="J35" t="s">
        <v>506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26038.782999999999</v>
      </c>
      <c r="G36">
        <v>5.5590000000000002</v>
      </c>
      <c r="H36">
        <v>0</v>
      </c>
      <c r="I36" t="s">
        <v>507</v>
      </c>
      <c r="J36" t="s">
        <v>508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33320.745999999999</v>
      </c>
      <c r="G37">
        <v>6.234</v>
      </c>
      <c r="H37">
        <v>0</v>
      </c>
      <c r="I37" t="s">
        <v>509</v>
      </c>
      <c r="J37" t="s">
        <v>510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24880.322</v>
      </c>
      <c r="G38">
        <v>5.4480000000000004</v>
      </c>
      <c r="H38">
        <v>0</v>
      </c>
      <c r="I38" t="s">
        <v>511</v>
      </c>
      <c r="J38" t="s">
        <v>512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16916.537</v>
      </c>
      <c r="G39">
        <v>4.7679999999999998</v>
      </c>
      <c r="H39">
        <v>0</v>
      </c>
      <c r="I39" t="s">
        <v>513</v>
      </c>
      <c r="J39" t="s">
        <v>514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10381.370999999999</v>
      </c>
      <c r="G40">
        <v>4.0810000000000004</v>
      </c>
      <c r="H40">
        <v>0</v>
      </c>
      <c r="I40" t="s">
        <v>515</v>
      </c>
      <c r="J40" t="s">
        <v>516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27208.164000000001</v>
      </c>
      <c r="G41">
        <v>6.0540000000000003</v>
      </c>
      <c r="H41">
        <v>0</v>
      </c>
      <c r="I41" t="s">
        <v>517</v>
      </c>
      <c r="J41" t="s">
        <v>518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20989.18</v>
      </c>
      <c r="G42">
        <v>5.4240000000000004</v>
      </c>
      <c r="H42">
        <v>0</v>
      </c>
      <c r="I42" t="s">
        <v>519</v>
      </c>
      <c r="J42" t="s">
        <v>520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15206.869000000001</v>
      </c>
      <c r="G43">
        <v>4.8570000000000002</v>
      </c>
      <c r="H43">
        <v>0</v>
      </c>
      <c r="I43" t="s">
        <v>521</v>
      </c>
      <c r="J43" t="s">
        <v>522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10784.594999999999</v>
      </c>
      <c r="G44">
        <v>4.2690000000000001</v>
      </c>
      <c r="H44">
        <v>0</v>
      </c>
      <c r="I44" t="s">
        <v>523</v>
      </c>
      <c r="J44" t="s">
        <v>524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27255.351999999999</v>
      </c>
      <c r="G45">
        <v>5.7839999999999998</v>
      </c>
      <c r="H45">
        <v>0</v>
      </c>
      <c r="I45" t="s">
        <v>525</v>
      </c>
      <c r="J45" t="s">
        <v>526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21609.921999999999</v>
      </c>
      <c r="G46">
        <v>5.1539999999999999</v>
      </c>
      <c r="H46">
        <v>0</v>
      </c>
      <c r="I46" t="s">
        <v>527</v>
      </c>
      <c r="J46" t="s">
        <v>528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16268.981</v>
      </c>
      <c r="G47">
        <v>4.6749999999999998</v>
      </c>
      <c r="H47">
        <v>0</v>
      </c>
      <c r="I47" t="s">
        <v>529</v>
      </c>
      <c r="J47" t="s">
        <v>530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11190.472</v>
      </c>
      <c r="G48">
        <v>4.0570000000000004</v>
      </c>
      <c r="H48">
        <v>0</v>
      </c>
      <c r="I48" t="s">
        <v>531</v>
      </c>
      <c r="J48" t="s">
        <v>532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14751.696</v>
      </c>
      <c r="C73">
        <v>40.090499999999999</v>
      </c>
      <c r="D73">
        <v>49.062399999999997</v>
      </c>
      <c r="E73">
        <v>47.052799999999998</v>
      </c>
      <c r="F73">
        <v>360595.598</v>
      </c>
      <c r="G73">
        <v>56.280999999999999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6720.2920000000004</v>
      </c>
      <c r="C74">
        <v>39.600499999999997</v>
      </c>
      <c r="D74">
        <v>48.466099999999997</v>
      </c>
      <c r="E74">
        <v>46.149500000000003</v>
      </c>
      <c r="F74">
        <v>199264.272</v>
      </c>
      <c r="G74">
        <v>52.063000000000002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3647.78</v>
      </c>
      <c r="C75">
        <v>38.762599999999999</v>
      </c>
      <c r="D75">
        <v>47.648000000000003</v>
      </c>
      <c r="E75">
        <v>44.913400000000003</v>
      </c>
      <c r="F75">
        <v>99064.301000000007</v>
      </c>
      <c r="G75">
        <v>46.357999999999997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1926.124</v>
      </c>
      <c r="C76">
        <v>37.2667</v>
      </c>
      <c r="D76">
        <v>46.287199999999999</v>
      </c>
      <c r="E76">
        <v>43.1663</v>
      </c>
      <c r="F76">
        <v>49653.288</v>
      </c>
      <c r="G76">
        <v>42.371000000000002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75677.759999999995</v>
      </c>
      <c r="C77">
        <v>41.653199999999998</v>
      </c>
      <c r="D77">
        <v>36.480699999999999</v>
      </c>
      <c r="E77">
        <v>37.614800000000002</v>
      </c>
      <c r="F77">
        <v>661815.33299999998</v>
      </c>
      <c r="G77">
        <v>65.652000000000001</v>
      </c>
      <c r="H77">
        <v>0</v>
      </c>
      <c r="I77" t="s">
        <v>693</v>
      </c>
      <c r="J77" t="s">
        <v>486</v>
      </c>
    </row>
    <row r="78" spans="1:10" x14ac:dyDescent="0.25">
      <c r="A78" s="141" t="s">
        <v>227</v>
      </c>
      <c r="B78">
        <v>39103.72</v>
      </c>
      <c r="C78">
        <v>39.050699999999999</v>
      </c>
      <c r="D78">
        <v>34.5533</v>
      </c>
      <c r="E78">
        <v>35.959800000000001</v>
      </c>
      <c r="F78">
        <v>445130.00300000003</v>
      </c>
      <c r="G78">
        <v>57.26</v>
      </c>
      <c r="H78">
        <v>0</v>
      </c>
      <c r="I78" t="s">
        <v>487</v>
      </c>
      <c r="J78" t="s">
        <v>488</v>
      </c>
    </row>
    <row r="79" spans="1:10" x14ac:dyDescent="0.25">
      <c r="A79" s="141" t="s">
        <v>228</v>
      </c>
      <c r="B79">
        <v>18783.403999999999</v>
      </c>
      <c r="C79">
        <v>36.145200000000003</v>
      </c>
      <c r="D79">
        <v>32.920099999999998</v>
      </c>
      <c r="E79">
        <v>34.5884</v>
      </c>
      <c r="F79">
        <v>277808.05499999999</v>
      </c>
      <c r="G79">
        <v>52.088000000000001</v>
      </c>
      <c r="H79">
        <v>0</v>
      </c>
      <c r="I79" t="s">
        <v>489</v>
      </c>
      <c r="J79" t="s">
        <v>490</v>
      </c>
    </row>
    <row r="80" spans="1:10" x14ac:dyDescent="0.25">
      <c r="A80" s="141" t="s">
        <v>229</v>
      </c>
      <c r="B80">
        <v>7762.24</v>
      </c>
      <c r="C80">
        <v>33.086199999999998</v>
      </c>
      <c r="D80">
        <v>31.261299999999999</v>
      </c>
      <c r="E80">
        <v>33.166600000000003</v>
      </c>
      <c r="F80">
        <v>155696.755</v>
      </c>
      <c r="G80">
        <v>47.133000000000003</v>
      </c>
      <c r="H80">
        <v>0</v>
      </c>
      <c r="I80" t="s">
        <v>491</v>
      </c>
      <c r="J80" t="s">
        <v>492</v>
      </c>
    </row>
    <row r="81" spans="1:10" x14ac:dyDescent="0.25">
      <c r="A81" s="141" t="s">
        <v>230</v>
      </c>
      <c r="B81">
        <v>37750.351999999999</v>
      </c>
      <c r="C81">
        <v>38.307699999999997</v>
      </c>
      <c r="D81">
        <v>40.466000000000001</v>
      </c>
      <c r="E81">
        <v>41.554299999999998</v>
      </c>
      <c r="F81">
        <v>386235.54499999998</v>
      </c>
      <c r="G81">
        <v>35.412999999999997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18416.635999999999</v>
      </c>
      <c r="C82">
        <v>37.200800000000001</v>
      </c>
      <c r="D82">
        <v>37.922400000000003</v>
      </c>
      <c r="E82">
        <v>40.339300000000001</v>
      </c>
      <c r="F82">
        <v>234469.56400000001</v>
      </c>
      <c r="G82">
        <v>30.221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9150.9120000000003</v>
      </c>
      <c r="C83">
        <v>35.839599999999997</v>
      </c>
      <c r="D83">
        <v>35.711500000000001</v>
      </c>
      <c r="E83">
        <v>39.026899999999998</v>
      </c>
      <c r="F83">
        <v>138161.644</v>
      </c>
      <c r="G83">
        <v>26.228999999999999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4626.34</v>
      </c>
      <c r="C84">
        <v>33.997799999999998</v>
      </c>
      <c r="D84">
        <v>33.810200000000002</v>
      </c>
      <c r="E84">
        <v>37.474200000000003</v>
      </c>
      <c r="F84">
        <v>79587.582999999999</v>
      </c>
      <c r="G84">
        <v>23.36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26263.511999999999</v>
      </c>
      <c r="C85">
        <v>37.639400000000002</v>
      </c>
      <c r="D85">
        <v>45.346200000000003</v>
      </c>
      <c r="E85">
        <v>43.033499999999997</v>
      </c>
      <c r="F85">
        <v>512669.93900000001</v>
      </c>
      <c r="G85">
        <v>62.164000000000001</v>
      </c>
      <c r="H85">
        <v>0</v>
      </c>
      <c r="I85" t="s">
        <v>493</v>
      </c>
      <c r="J85" t="s">
        <v>494</v>
      </c>
    </row>
    <row r="86" spans="1:10" x14ac:dyDescent="0.25">
      <c r="A86" s="141" t="s">
        <v>235</v>
      </c>
      <c r="B86">
        <v>9147.4439999999995</v>
      </c>
      <c r="C86">
        <v>37.099600000000002</v>
      </c>
      <c r="D86">
        <v>44.754899999999999</v>
      </c>
      <c r="E86">
        <v>42.404899999999998</v>
      </c>
      <c r="F86">
        <v>274917.46000000002</v>
      </c>
      <c r="G86">
        <v>53.283000000000001</v>
      </c>
      <c r="H86">
        <v>0</v>
      </c>
      <c r="I86" t="s">
        <v>495</v>
      </c>
      <c r="J86" t="s">
        <v>496</v>
      </c>
    </row>
    <row r="87" spans="1:10" x14ac:dyDescent="0.25">
      <c r="A87" s="141" t="s">
        <v>236</v>
      </c>
      <c r="B87">
        <v>4508.6959999999999</v>
      </c>
      <c r="C87">
        <v>36.250599999999999</v>
      </c>
      <c r="D87">
        <v>43.989100000000001</v>
      </c>
      <c r="E87">
        <v>41.635199999999998</v>
      </c>
      <c r="F87">
        <v>139809.717</v>
      </c>
      <c r="G87">
        <v>44.850999999999999</v>
      </c>
      <c r="H87">
        <v>0</v>
      </c>
      <c r="I87" t="s">
        <v>497</v>
      </c>
      <c r="J87" t="s">
        <v>498</v>
      </c>
    </row>
    <row r="88" spans="1:10" x14ac:dyDescent="0.25">
      <c r="A88" s="141" t="s">
        <v>237</v>
      </c>
      <c r="B88">
        <v>2179.3519999999999</v>
      </c>
      <c r="C88">
        <v>34.793500000000002</v>
      </c>
      <c r="D88">
        <v>42.678100000000001</v>
      </c>
      <c r="E88">
        <v>40.474400000000003</v>
      </c>
      <c r="F88">
        <v>67420.285000000003</v>
      </c>
      <c r="G88">
        <v>37.298000000000002</v>
      </c>
      <c r="H88">
        <v>0</v>
      </c>
      <c r="I88" t="s">
        <v>499</v>
      </c>
      <c r="J88" t="s">
        <v>500</v>
      </c>
    </row>
    <row r="89" spans="1:10" x14ac:dyDescent="0.25">
      <c r="A89" s="141" t="s">
        <v>118</v>
      </c>
      <c r="B89">
        <v>9767.5480000000007</v>
      </c>
      <c r="C89">
        <v>38.0152</v>
      </c>
      <c r="D89">
        <v>39.849499999999999</v>
      </c>
      <c r="E89">
        <v>43.340400000000002</v>
      </c>
      <c r="F89">
        <v>115839.55899999999</v>
      </c>
      <c r="G89">
        <v>12.624000000000001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4524</v>
      </c>
      <c r="C90">
        <v>36.916499999999999</v>
      </c>
      <c r="D90">
        <v>39.338299999999997</v>
      </c>
      <c r="E90">
        <v>42.212400000000002</v>
      </c>
      <c r="F90">
        <v>69393.294999999998</v>
      </c>
      <c r="G90">
        <v>10.718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2301.4119999999998</v>
      </c>
      <c r="C91">
        <v>35.360599999999998</v>
      </c>
      <c r="D91">
        <v>38.724899999999998</v>
      </c>
      <c r="E91">
        <v>40.9512</v>
      </c>
      <c r="F91">
        <v>40395.648999999998</v>
      </c>
      <c r="G91">
        <v>8.9149999999999991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1103.5039999999999</v>
      </c>
      <c r="C92">
        <v>33.174300000000002</v>
      </c>
      <c r="D92">
        <v>37.714199999999998</v>
      </c>
      <c r="E92">
        <v>39.215699999999998</v>
      </c>
      <c r="F92">
        <v>21884.102999999999</v>
      </c>
      <c r="G92">
        <v>8.0470000000000006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8554.3359999999993</v>
      </c>
      <c r="C93">
        <v>38.9512</v>
      </c>
      <c r="D93">
        <v>44.053899999999999</v>
      </c>
      <c r="E93">
        <v>45.223999999999997</v>
      </c>
      <c r="F93">
        <v>122087.71799999999</v>
      </c>
      <c r="G93">
        <v>13.554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4275.7120000000004</v>
      </c>
      <c r="C94">
        <v>37.918799999999997</v>
      </c>
      <c r="D94">
        <v>43.217100000000002</v>
      </c>
      <c r="E94">
        <v>43.771299999999997</v>
      </c>
      <c r="F94">
        <v>74864.398000000001</v>
      </c>
      <c r="G94">
        <v>11.488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2188.6080000000002</v>
      </c>
      <c r="C95">
        <v>36.426600000000001</v>
      </c>
      <c r="D95">
        <v>42.199800000000003</v>
      </c>
      <c r="E95">
        <v>42.198099999999997</v>
      </c>
      <c r="F95">
        <v>41287.175000000003</v>
      </c>
      <c r="G95">
        <v>9.9550000000000001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1078.3040000000001</v>
      </c>
      <c r="C96">
        <v>34.363399999999999</v>
      </c>
      <c r="D96">
        <v>40.830199999999998</v>
      </c>
      <c r="E96">
        <v>40.283099999999997</v>
      </c>
      <c r="F96">
        <v>22051.133000000002</v>
      </c>
      <c r="G96">
        <v>8.5690000000000008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6747.7039999999997</v>
      </c>
      <c r="C97">
        <v>39.7057</v>
      </c>
      <c r="D97">
        <v>43.9131</v>
      </c>
      <c r="E97">
        <v>45.049300000000002</v>
      </c>
      <c r="F97">
        <v>110503.44</v>
      </c>
      <c r="G97">
        <v>13.840999999999999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3208.18</v>
      </c>
      <c r="C98">
        <v>38.565199999999997</v>
      </c>
      <c r="D98">
        <v>43.145400000000002</v>
      </c>
      <c r="E98">
        <v>44.368299999999998</v>
      </c>
      <c r="F98">
        <v>66656.013000000006</v>
      </c>
      <c r="G98">
        <v>11.62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1547.1559999999999</v>
      </c>
      <c r="C99">
        <v>36.896900000000002</v>
      </c>
      <c r="D99">
        <v>42.270200000000003</v>
      </c>
      <c r="E99">
        <v>43.490299999999998</v>
      </c>
      <c r="F99">
        <v>35558.972999999998</v>
      </c>
      <c r="G99">
        <v>10.311999999999999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695.84</v>
      </c>
      <c r="C100">
        <v>34.6494</v>
      </c>
      <c r="D100">
        <v>41.061500000000002</v>
      </c>
      <c r="E100">
        <v>42.136499999999998</v>
      </c>
      <c r="F100">
        <v>17912.350999999999</v>
      </c>
      <c r="G100">
        <v>9.01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5567.884</v>
      </c>
      <c r="C101">
        <v>44.892699999999998</v>
      </c>
      <c r="D101">
        <v>47.719000000000001</v>
      </c>
      <c r="E101">
        <v>48.505600000000001</v>
      </c>
      <c r="F101">
        <v>84513.195000000007</v>
      </c>
      <c r="G101">
        <v>13.33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3420.4079999999999</v>
      </c>
      <c r="C102">
        <v>42.653700000000001</v>
      </c>
      <c r="D102">
        <v>46.1511</v>
      </c>
      <c r="E102">
        <v>46.721699999999998</v>
      </c>
      <c r="F102">
        <v>58212.324999999997</v>
      </c>
      <c r="G102">
        <v>12.378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1907.104</v>
      </c>
      <c r="C103">
        <v>39.822000000000003</v>
      </c>
      <c r="D103">
        <v>44.598700000000001</v>
      </c>
      <c r="E103">
        <v>44.914099999999998</v>
      </c>
      <c r="F103">
        <v>35550.482000000004</v>
      </c>
      <c r="G103">
        <v>10.756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971.16800000000001</v>
      </c>
      <c r="C104">
        <v>36.6387</v>
      </c>
      <c r="D104">
        <v>42.780900000000003</v>
      </c>
      <c r="E104">
        <v>42.862299999999998</v>
      </c>
      <c r="F104">
        <v>20372.825000000001</v>
      </c>
      <c r="G104">
        <v>9.0630000000000006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4096.8119999999999</v>
      </c>
      <c r="C105">
        <v>38.610500000000002</v>
      </c>
      <c r="D105">
        <v>46.229599999999998</v>
      </c>
      <c r="E105">
        <v>46.447899999999997</v>
      </c>
      <c r="F105">
        <v>53715.430999999997</v>
      </c>
      <c r="G105">
        <v>5.5579999999999998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1780.4280000000001</v>
      </c>
      <c r="C106">
        <v>37.102699999999999</v>
      </c>
      <c r="D106">
        <v>45.177700000000002</v>
      </c>
      <c r="E106">
        <v>45.387</v>
      </c>
      <c r="F106">
        <v>28912.092000000001</v>
      </c>
      <c r="G106">
        <v>4.4420000000000002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839.08799999999997</v>
      </c>
      <c r="C107">
        <v>35.145899999999997</v>
      </c>
      <c r="D107">
        <v>43.8827</v>
      </c>
      <c r="E107">
        <v>44.1601</v>
      </c>
      <c r="F107">
        <v>15776.338</v>
      </c>
      <c r="G107">
        <v>3.8159999999999998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399.43200000000002</v>
      </c>
      <c r="C108">
        <v>32.4724</v>
      </c>
      <c r="D108">
        <v>42.238100000000003</v>
      </c>
      <c r="E108">
        <v>42.521299999999997</v>
      </c>
      <c r="F108">
        <v>7983.9369999999999</v>
      </c>
      <c r="G108">
        <v>3.2949999999999999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2422.4360000000001</v>
      </c>
      <c r="C109">
        <v>40.6524</v>
      </c>
      <c r="D109">
        <v>46.151299999999999</v>
      </c>
      <c r="E109">
        <v>47.308700000000002</v>
      </c>
      <c r="F109">
        <v>42396.934999999998</v>
      </c>
      <c r="G109">
        <v>5.7050000000000001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1089.54</v>
      </c>
      <c r="C110">
        <v>39.505600000000001</v>
      </c>
      <c r="D110">
        <v>45.575899999999997</v>
      </c>
      <c r="E110">
        <v>46.055599999999998</v>
      </c>
      <c r="F110">
        <v>23766.383999999998</v>
      </c>
      <c r="G110">
        <v>4.6749999999999998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514.524</v>
      </c>
      <c r="C111">
        <v>37.943899999999999</v>
      </c>
      <c r="D111">
        <v>44.809899999999999</v>
      </c>
      <c r="E111">
        <v>44.507800000000003</v>
      </c>
      <c r="F111">
        <v>11980.77</v>
      </c>
      <c r="G111">
        <v>4.0490000000000004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233.464</v>
      </c>
      <c r="C112">
        <v>35.852699999999999</v>
      </c>
      <c r="D112">
        <v>43.619900000000001</v>
      </c>
      <c r="E112">
        <v>42.390900000000002</v>
      </c>
      <c r="F112">
        <v>5915.0550000000003</v>
      </c>
      <c r="G112">
        <v>3.6030000000000002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923.36400000000003</v>
      </c>
      <c r="C113">
        <v>43.543799999999997</v>
      </c>
      <c r="D113">
        <v>47.269300000000001</v>
      </c>
      <c r="E113">
        <v>48.290799999999997</v>
      </c>
      <c r="F113">
        <v>18682.812999999998</v>
      </c>
      <c r="G113">
        <v>4.1230000000000002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505.06400000000002</v>
      </c>
      <c r="C114">
        <v>42.264200000000002</v>
      </c>
      <c r="D114">
        <v>46.540700000000001</v>
      </c>
      <c r="E114">
        <v>47.332500000000003</v>
      </c>
      <c r="F114">
        <v>10613.823</v>
      </c>
      <c r="G114">
        <v>3.7080000000000002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290.60399999999998</v>
      </c>
      <c r="C115">
        <v>40.485399999999998</v>
      </c>
      <c r="D115">
        <v>45.563000000000002</v>
      </c>
      <c r="E115">
        <v>46.102800000000002</v>
      </c>
      <c r="F115">
        <v>5936.7529999999997</v>
      </c>
      <c r="G115">
        <v>3.7480000000000002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162.78800000000001</v>
      </c>
      <c r="C116">
        <v>37.928199999999997</v>
      </c>
      <c r="D116">
        <v>43.888399999999997</v>
      </c>
      <c r="E116">
        <v>44.019100000000002</v>
      </c>
      <c r="F116">
        <v>3473.1149999999998</v>
      </c>
      <c r="G116">
        <v>3.6070000000000002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1281.82</v>
      </c>
      <c r="C117">
        <v>42.911099999999998</v>
      </c>
      <c r="D117">
        <v>49.0291</v>
      </c>
      <c r="E117">
        <v>48.696300000000001</v>
      </c>
      <c r="F117">
        <v>21151.928</v>
      </c>
      <c r="G117">
        <v>4.1280000000000001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691.15599999999995</v>
      </c>
      <c r="C118">
        <v>41.633899999999997</v>
      </c>
      <c r="D118">
        <v>48.232799999999997</v>
      </c>
      <c r="E118">
        <v>47.726900000000001</v>
      </c>
      <c r="F118">
        <v>12184.593000000001</v>
      </c>
      <c r="G118">
        <v>3.7890000000000001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394.69600000000003</v>
      </c>
      <c r="C119">
        <v>39.771500000000003</v>
      </c>
      <c r="D119">
        <v>47.268000000000001</v>
      </c>
      <c r="E119">
        <v>46.2361</v>
      </c>
      <c r="F119">
        <v>7184.4620000000004</v>
      </c>
      <c r="G119">
        <v>3.6019999999999999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219.15600000000001</v>
      </c>
      <c r="C120">
        <v>37.053699999999999</v>
      </c>
      <c r="D120">
        <v>45.684600000000003</v>
      </c>
      <c r="E120">
        <v>43.974200000000003</v>
      </c>
      <c r="F120">
        <v>4094.538</v>
      </c>
      <c r="G120">
        <v>3.577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17053.944</v>
      </c>
      <c r="C145">
        <v>40.170499999999997</v>
      </c>
      <c r="D145">
        <v>48.760599999999997</v>
      </c>
      <c r="E145">
        <v>46.682299999999998</v>
      </c>
      <c r="F145">
        <v>206176.53099999999</v>
      </c>
      <c r="G145">
        <v>27.968</v>
      </c>
      <c r="H145">
        <v>0</v>
      </c>
      <c r="I145" t="s">
        <v>597</v>
      </c>
      <c r="J145" t="s">
        <v>598</v>
      </c>
    </row>
    <row r="146" spans="1:10" x14ac:dyDescent="0.25">
      <c r="A146" s="141" t="s">
        <v>255</v>
      </c>
      <c r="B146">
        <v>8428.0400000000009</v>
      </c>
      <c r="C146">
        <v>39.564999999999998</v>
      </c>
      <c r="D146">
        <v>47.906999999999996</v>
      </c>
      <c r="E146">
        <v>45.5383</v>
      </c>
      <c r="F146">
        <v>115838.531</v>
      </c>
      <c r="G146">
        <v>24.998000000000001</v>
      </c>
      <c r="H146">
        <v>0</v>
      </c>
      <c r="I146" t="s">
        <v>599</v>
      </c>
      <c r="J146" t="s">
        <v>600</v>
      </c>
    </row>
    <row r="147" spans="1:10" x14ac:dyDescent="0.25">
      <c r="A147" s="141" t="s">
        <v>256</v>
      </c>
      <c r="B147">
        <v>4598.0879999999997</v>
      </c>
      <c r="C147">
        <v>38.576099999999997</v>
      </c>
      <c r="D147">
        <v>46.932899999999997</v>
      </c>
      <c r="E147">
        <v>44.155700000000003</v>
      </c>
      <c r="F147">
        <v>61523.461000000003</v>
      </c>
      <c r="G147">
        <v>21.326000000000001</v>
      </c>
      <c r="H147">
        <v>0</v>
      </c>
      <c r="I147" t="s">
        <v>601</v>
      </c>
      <c r="J147" t="s">
        <v>602</v>
      </c>
    </row>
    <row r="148" spans="1:10" x14ac:dyDescent="0.25">
      <c r="A148" s="141" t="s">
        <v>257</v>
      </c>
      <c r="B148">
        <v>2500.1439999999998</v>
      </c>
      <c r="C148">
        <v>37.032400000000003</v>
      </c>
      <c r="D148">
        <v>45.538400000000003</v>
      </c>
      <c r="E148">
        <v>42.494900000000001</v>
      </c>
      <c r="F148">
        <v>31406.768</v>
      </c>
      <c r="G148">
        <v>17.786999999999999</v>
      </c>
      <c r="H148">
        <v>0</v>
      </c>
      <c r="I148" t="s">
        <v>603</v>
      </c>
      <c r="J148" t="s">
        <v>604</v>
      </c>
    </row>
    <row r="149" spans="1:10" x14ac:dyDescent="0.25">
      <c r="A149" s="141" t="s">
        <v>258</v>
      </c>
      <c r="B149">
        <v>91150.127999999997</v>
      </c>
      <c r="C149">
        <v>41.737400000000001</v>
      </c>
      <c r="D149">
        <v>36.696399999999997</v>
      </c>
      <c r="E149">
        <v>37.704599999999999</v>
      </c>
      <c r="F149">
        <v>349642.53100000002</v>
      </c>
      <c r="G149">
        <v>30.603999999999999</v>
      </c>
      <c r="H149">
        <v>0</v>
      </c>
      <c r="I149" t="s">
        <v>605</v>
      </c>
      <c r="J149" t="s">
        <v>606</v>
      </c>
    </row>
    <row r="150" spans="1:10" x14ac:dyDescent="0.25">
      <c r="A150" s="141" t="s">
        <v>259</v>
      </c>
      <c r="B150">
        <v>46653.264000000003</v>
      </c>
      <c r="C150">
        <v>38.9437</v>
      </c>
      <c r="D150">
        <v>34.424300000000002</v>
      </c>
      <c r="E150">
        <v>35.8065</v>
      </c>
      <c r="F150">
        <v>247373.5</v>
      </c>
      <c r="G150">
        <v>27.773</v>
      </c>
      <c r="H150">
        <v>0</v>
      </c>
      <c r="I150" t="s">
        <v>607</v>
      </c>
      <c r="J150" t="s">
        <v>608</v>
      </c>
    </row>
    <row r="151" spans="1:10" x14ac:dyDescent="0.25">
      <c r="A151" s="141" t="s">
        <v>260</v>
      </c>
      <c r="B151">
        <v>21687.687999999998</v>
      </c>
      <c r="C151">
        <v>35.844999999999999</v>
      </c>
      <c r="D151">
        <v>32.505600000000001</v>
      </c>
      <c r="E151">
        <v>34.201000000000001</v>
      </c>
      <c r="F151">
        <v>160859.43799999999</v>
      </c>
      <c r="G151">
        <v>22.315000000000001</v>
      </c>
      <c r="H151">
        <v>0</v>
      </c>
      <c r="I151" t="s">
        <v>609</v>
      </c>
      <c r="J151" t="s">
        <v>610</v>
      </c>
    </row>
    <row r="152" spans="1:10" x14ac:dyDescent="0.25">
      <c r="A152" s="141" t="s">
        <v>261</v>
      </c>
      <c r="B152">
        <v>9165.1839999999993</v>
      </c>
      <c r="C152">
        <v>32.826700000000002</v>
      </c>
      <c r="D152">
        <v>30.809799999999999</v>
      </c>
      <c r="E152">
        <v>32.816499999999998</v>
      </c>
      <c r="F152">
        <v>91146.585999999996</v>
      </c>
      <c r="G152">
        <v>19.004999999999999</v>
      </c>
      <c r="H152">
        <v>0</v>
      </c>
      <c r="I152" t="s">
        <v>611</v>
      </c>
      <c r="J152" t="s">
        <v>612</v>
      </c>
    </row>
    <row r="153" spans="1:10" x14ac:dyDescent="0.25">
      <c r="A153" s="141" t="s">
        <v>262</v>
      </c>
      <c r="B153">
        <v>45100.807999999997</v>
      </c>
      <c r="C153">
        <v>38.879600000000003</v>
      </c>
      <c r="D153">
        <v>41.215600000000002</v>
      </c>
      <c r="E153">
        <v>41.487200000000001</v>
      </c>
      <c r="F153">
        <v>192069.82800000001</v>
      </c>
      <c r="G153">
        <v>17.271000000000001</v>
      </c>
      <c r="H153">
        <v>0</v>
      </c>
      <c r="I153" t="s">
        <v>613</v>
      </c>
      <c r="J153" t="s">
        <v>614</v>
      </c>
    </row>
    <row r="154" spans="1:10" x14ac:dyDescent="0.25">
      <c r="A154" s="141" t="s">
        <v>263</v>
      </c>
      <c r="B154">
        <v>22155.64</v>
      </c>
      <c r="C154">
        <v>37.520099999999999</v>
      </c>
      <c r="D154">
        <v>38.651499999999999</v>
      </c>
      <c r="E154">
        <v>40.113</v>
      </c>
      <c r="F154">
        <v>116308.44500000001</v>
      </c>
      <c r="G154">
        <v>14.275</v>
      </c>
      <c r="H154">
        <v>0</v>
      </c>
      <c r="I154" t="s">
        <v>615</v>
      </c>
      <c r="J154" t="s">
        <v>616</v>
      </c>
    </row>
    <row r="155" spans="1:10" x14ac:dyDescent="0.25">
      <c r="A155" s="141" t="s">
        <v>264</v>
      </c>
      <c r="B155">
        <v>11575.432000000001</v>
      </c>
      <c r="C155">
        <v>35.967399999999998</v>
      </c>
      <c r="D155">
        <v>36.409999999999997</v>
      </c>
      <c r="E155">
        <v>38.673099999999998</v>
      </c>
      <c r="F155">
        <v>72949.843999999997</v>
      </c>
      <c r="G155">
        <v>11.994999999999999</v>
      </c>
      <c r="H155">
        <v>0</v>
      </c>
      <c r="I155" t="s">
        <v>617</v>
      </c>
      <c r="J155" t="s">
        <v>618</v>
      </c>
    </row>
    <row r="156" spans="1:10" x14ac:dyDescent="0.25">
      <c r="A156" s="141" t="s">
        <v>265</v>
      </c>
      <c r="B156">
        <v>5681.3440000000001</v>
      </c>
      <c r="C156">
        <v>34.054499999999997</v>
      </c>
      <c r="D156">
        <v>33.984400000000001</v>
      </c>
      <c r="E156">
        <v>36.934800000000003</v>
      </c>
      <c r="F156">
        <v>43001.315999999999</v>
      </c>
      <c r="G156">
        <v>10.749000000000001</v>
      </c>
      <c r="H156">
        <v>0</v>
      </c>
      <c r="I156" t="s">
        <v>619</v>
      </c>
      <c r="J156" t="s">
        <v>620</v>
      </c>
    </row>
    <row r="157" spans="1:10" x14ac:dyDescent="0.25">
      <c r="A157" s="141" t="s">
        <v>266</v>
      </c>
      <c r="B157">
        <v>24466.024000000001</v>
      </c>
      <c r="C157">
        <v>37.540399999999998</v>
      </c>
      <c r="D157">
        <v>45.030099999999997</v>
      </c>
      <c r="E157">
        <v>42.794899999999998</v>
      </c>
      <c r="F157">
        <v>274296.125</v>
      </c>
      <c r="G157">
        <v>27.422999999999998</v>
      </c>
      <c r="H157">
        <v>0</v>
      </c>
      <c r="I157" t="s">
        <v>621</v>
      </c>
      <c r="J157" t="s">
        <v>622</v>
      </c>
    </row>
    <row r="158" spans="1:10" x14ac:dyDescent="0.25">
      <c r="A158" s="141" t="s">
        <v>267</v>
      </c>
      <c r="B158">
        <v>10317.92</v>
      </c>
      <c r="C158">
        <v>36.917999999999999</v>
      </c>
      <c r="D158">
        <v>44.381599999999999</v>
      </c>
      <c r="E158">
        <v>42.0959</v>
      </c>
      <c r="F158">
        <v>151224.43799999999</v>
      </c>
      <c r="G158">
        <v>23.457000000000001</v>
      </c>
      <c r="H158">
        <v>0</v>
      </c>
      <c r="I158" t="s">
        <v>623</v>
      </c>
      <c r="J158" t="s">
        <v>624</v>
      </c>
    </row>
    <row r="159" spans="1:10" x14ac:dyDescent="0.25">
      <c r="A159" s="141" t="s">
        <v>268</v>
      </c>
      <c r="B159">
        <v>5159.384</v>
      </c>
      <c r="C159">
        <v>35.905799999999999</v>
      </c>
      <c r="D159">
        <v>43.456699999999998</v>
      </c>
      <c r="E159">
        <v>41.129800000000003</v>
      </c>
      <c r="F159">
        <v>81780.023000000001</v>
      </c>
      <c r="G159">
        <v>18.597000000000001</v>
      </c>
      <c r="H159">
        <v>0</v>
      </c>
      <c r="I159" t="s">
        <v>625</v>
      </c>
      <c r="J159" t="s">
        <v>626</v>
      </c>
    </row>
    <row r="160" spans="1:10" x14ac:dyDescent="0.25">
      <c r="A160" s="141" t="s">
        <v>269</v>
      </c>
      <c r="B160">
        <v>2561.4160000000002</v>
      </c>
      <c r="C160">
        <v>34.3324</v>
      </c>
      <c r="D160">
        <v>42.169600000000003</v>
      </c>
      <c r="E160">
        <v>40.024999999999999</v>
      </c>
      <c r="F160">
        <v>41063.074000000001</v>
      </c>
      <c r="G160">
        <v>15.06</v>
      </c>
      <c r="H160">
        <v>0</v>
      </c>
      <c r="I160" t="s">
        <v>627</v>
      </c>
      <c r="J160" t="s">
        <v>628</v>
      </c>
    </row>
    <row r="161" spans="1:10" x14ac:dyDescent="0.25">
      <c r="A161" s="141" t="s">
        <v>142</v>
      </c>
      <c r="B161">
        <v>7975.8256000000001</v>
      </c>
      <c r="C161">
        <v>38.025100000000002</v>
      </c>
      <c r="D161">
        <v>39.741100000000003</v>
      </c>
      <c r="E161">
        <v>42.829900000000002</v>
      </c>
      <c r="F161">
        <v>311721.03100000002</v>
      </c>
      <c r="G161">
        <v>25.044</v>
      </c>
      <c r="H161">
        <v>0</v>
      </c>
      <c r="I161" t="s">
        <v>629</v>
      </c>
      <c r="J161" t="s">
        <v>630</v>
      </c>
    </row>
    <row r="162" spans="1:10" x14ac:dyDescent="0.25">
      <c r="A162" s="141" t="s">
        <v>143</v>
      </c>
      <c r="B162">
        <v>3759.2208000000001</v>
      </c>
      <c r="C162">
        <v>36.681899999999999</v>
      </c>
      <c r="D162">
        <v>39.107599999999998</v>
      </c>
      <c r="E162">
        <v>41.661200000000001</v>
      </c>
      <c r="F162">
        <v>190594.42199999999</v>
      </c>
      <c r="G162">
        <v>20.291</v>
      </c>
      <c r="H162">
        <v>0</v>
      </c>
      <c r="I162" t="s">
        <v>631</v>
      </c>
      <c r="J162" t="s">
        <v>632</v>
      </c>
    </row>
    <row r="163" spans="1:10" x14ac:dyDescent="0.25">
      <c r="A163" s="141" t="s">
        <v>144</v>
      </c>
      <c r="B163">
        <v>1843.5264</v>
      </c>
      <c r="C163">
        <v>34.810400000000001</v>
      </c>
      <c r="D163">
        <v>38.278799999999997</v>
      </c>
      <c r="E163">
        <v>40.179900000000004</v>
      </c>
      <c r="F163">
        <v>116616.969</v>
      </c>
      <c r="G163">
        <v>16.815999999999999</v>
      </c>
      <c r="H163">
        <v>0</v>
      </c>
      <c r="I163" t="s">
        <v>633</v>
      </c>
      <c r="J163" t="s">
        <v>634</v>
      </c>
    </row>
    <row r="164" spans="1:10" x14ac:dyDescent="0.25">
      <c r="A164" s="141" t="s">
        <v>145</v>
      </c>
      <c r="B164">
        <v>883.25919999999996</v>
      </c>
      <c r="C164">
        <v>32.500999999999998</v>
      </c>
      <c r="D164">
        <v>37.270899999999997</v>
      </c>
      <c r="E164">
        <v>38.529299999999999</v>
      </c>
      <c r="F164">
        <v>66110.233999999997</v>
      </c>
      <c r="G164">
        <v>14.151999999999999</v>
      </c>
      <c r="H164">
        <v>0</v>
      </c>
      <c r="I164" t="s">
        <v>635</v>
      </c>
      <c r="J164" t="s">
        <v>636</v>
      </c>
    </row>
    <row r="165" spans="1:10" x14ac:dyDescent="0.25">
      <c r="A165" s="141" t="s">
        <v>146</v>
      </c>
      <c r="B165">
        <v>9100.3376000000007</v>
      </c>
      <c r="C165">
        <v>38.741</v>
      </c>
      <c r="D165">
        <v>43.695999999999998</v>
      </c>
      <c r="E165">
        <v>44.6235</v>
      </c>
      <c r="F165">
        <v>345406.43800000002</v>
      </c>
      <c r="G165">
        <v>31.545000000000002</v>
      </c>
      <c r="H165">
        <v>0</v>
      </c>
      <c r="I165" t="s">
        <v>637</v>
      </c>
      <c r="J165" t="s">
        <v>638</v>
      </c>
    </row>
    <row r="166" spans="1:10" x14ac:dyDescent="0.25">
      <c r="A166" s="141" t="s">
        <v>147</v>
      </c>
      <c r="B166">
        <v>4704.2928000000002</v>
      </c>
      <c r="C166">
        <v>37.5349</v>
      </c>
      <c r="D166">
        <v>42.717700000000001</v>
      </c>
      <c r="E166">
        <v>43.123899999999999</v>
      </c>
      <c r="F166">
        <v>213488.28099999999</v>
      </c>
      <c r="G166">
        <v>26.219000000000001</v>
      </c>
      <c r="H166">
        <v>0</v>
      </c>
      <c r="I166" t="s">
        <v>639</v>
      </c>
      <c r="J166" t="s">
        <v>640</v>
      </c>
    </row>
    <row r="167" spans="1:10" x14ac:dyDescent="0.25">
      <c r="A167" s="141" t="s">
        <v>148</v>
      </c>
      <c r="B167">
        <v>2398.2719999999999</v>
      </c>
      <c r="C167">
        <v>35.8596</v>
      </c>
      <c r="D167">
        <v>41.4848</v>
      </c>
      <c r="E167">
        <v>41.391500000000001</v>
      </c>
      <c r="F167">
        <v>127307.67200000001</v>
      </c>
      <c r="G167">
        <v>21.946999999999999</v>
      </c>
      <c r="H167">
        <v>0</v>
      </c>
      <c r="I167" t="s">
        <v>641</v>
      </c>
      <c r="J167" t="s">
        <v>642</v>
      </c>
    </row>
    <row r="168" spans="1:10" x14ac:dyDescent="0.25">
      <c r="A168" s="141" t="s">
        <v>149</v>
      </c>
      <c r="B168">
        <v>1188.6592000000001</v>
      </c>
      <c r="C168">
        <v>33.767000000000003</v>
      </c>
      <c r="D168">
        <v>40.130400000000002</v>
      </c>
      <c r="E168">
        <v>39.453800000000001</v>
      </c>
      <c r="F168">
        <v>70394.616999999998</v>
      </c>
      <c r="G168">
        <v>18.327999999999999</v>
      </c>
      <c r="H168">
        <v>0</v>
      </c>
      <c r="I168" t="s">
        <v>643</v>
      </c>
      <c r="J168" t="s">
        <v>644</v>
      </c>
    </row>
    <row r="169" spans="1:10" x14ac:dyDescent="0.25">
      <c r="A169" s="141" t="s">
        <v>270</v>
      </c>
      <c r="B169">
        <v>6358.7520000000004</v>
      </c>
      <c r="C169">
        <v>39.833100000000002</v>
      </c>
      <c r="D169">
        <v>43.805700000000002</v>
      </c>
      <c r="E169">
        <v>44.502400000000002</v>
      </c>
      <c r="F169">
        <v>311763.78100000002</v>
      </c>
      <c r="G169">
        <v>32.595999999999997</v>
      </c>
      <c r="H169">
        <v>0</v>
      </c>
      <c r="I169" t="s">
        <v>645</v>
      </c>
      <c r="J169" t="s">
        <v>646</v>
      </c>
    </row>
    <row r="170" spans="1:10" x14ac:dyDescent="0.25">
      <c r="A170" s="141" t="s">
        <v>271</v>
      </c>
      <c r="B170">
        <v>3028.7168000000001</v>
      </c>
      <c r="C170">
        <v>38.537500000000001</v>
      </c>
      <c r="D170">
        <v>42.9377</v>
      </c>
      <c r="E170">
        <v>43.661099999999998</v>
      </c>
      <c r="F170">
        <v>180860.65599999999</v>
      </c>
      <c r="G170">
        <v>25.285</v>
      </c>
      <c r="H170">
        <v>0</v>
      </c>
      <c r="I170" t="s">
        <v>647</v>
      </c>
      <c r="J170" t="s">
        <v>648</v>
      </c>
    </row>
    <row r="171" spans="1:10" x14ac:dyDescent="0.25">
      <c r="A171" s="141" t="s">
        <v>272</v>
      </c>
      <c r="B171">
        <v>1461.84</v>
      </c>
      <c r="C171">
        <v>36.719799999999999</v>
      </c>
      <c r="D171">
        <v>41.841500000000003</v>
      </c>
      <c r="E171">
        <v>42.417499999999997</v>
      </c>
      <c r="F171">
        <v>100636.398</v>
      </c>
      <c r="G171">
        <v>21.28</v>
      </c>
      <c r="H171">
        <v>0</v>
      </c>
      <c r="I171" t="s">
        <v>649</v>
      </c>
      <c r="J171" t="s">
        <v>650</v>
      </c>
    </row>
    <row r="172" spans="1:10" x14ac:dyDescent="0.25">
      <c r="A172" s="141" t="s">
        <v>273</v>
      </c>
      <c r="B172">
        <v>687.25919999999996</v>
      </c>
      <c r="C172">
        <v>34.431600000000003</v>
      </c>
      <c r="D172">
        <v>40.671599999999998</v>
      </c>
      <c r="E172">
        <v>41.045699999999997</v>
      </c>
      <c r="F172">
        <v>53915.925999999999</v>
      </c>
      <c r="G172">
        <v>17.486999999999998</v>
      </c>
      <c r="H172">
        <v>0</v>
      </c>
      <c r="I172" t="s">
        <v>651</v>
      </c>
      <c r="J172" t="s">
        <v>652</v>
      </c>
    </row>
    <row r="173" spans="1:10" x14ac:dyDescent="0.25">
      <c r="A173" s="141" t="s">
        <v>274</v>
      </c>
      <c r="B173">
        <v>6710.1743999999999</v>
      </c>
      <c r="C173">
        <v>43.387500000000003</v>
      </c>
      <c r="D173">
        <v>46.720500000000001</v>
      </c>
      <c r="E173">
        <v>47.315800000000003</v>
      </c>
      <c r="F173">
        <v>256939.79699999999</v>
      </c>
      <c r="G173">
        <v>33.292000000000002</v>
      </c>
      <c r="H173">
        <v>0</v>
      </c>
      <c r="I173" t="s">
        <v>653</v>
      </c>
      <c r="J173" t="s">
        <v>654</v>
      </c>
    </row>
    <row r="174" spans="1:10" x14ac:dyDescent="0.25">
      <c r="A174" s="141" t="s">
        <v>275</v>
      </c>
      <c r="B174">
        <v>4085.6608000000001</v>
      </c>
      <c r="C174">
        <v>41.070700000000002</v>
      </c>
      <c r="D174">
        <v>45.270899999999997</v>
      </c>
      <c r="E174">
        <v>45.634999999999998</v>
      </c>
      <c r="F174">
        <v>181486.516</v>
      </c>
      <c r="G174">
        <v>28.812000000000001</v>
      </c>
      <c r="H174">
        <v>0</v>
      </c>
      <c r="I174" t="s">
        <v>655</v>
      </c>
      <c r="J174" t="s">
        <v>656</v>
      </c>
    </row>
    <row r="175" spans="1:10" x14ac:dyDescent="0.25">
      <c r="A175" s="141" t="s">
        <v>276</v>
      </c>
      <c r="B175">
        <v>2258.6176</v>
      </c>
      <c r="C175">
        <v>38.269599999999997</v>
      </c>
      <c r="D175">
        <v>43.606999999999999</v>
      </c>
      <c r="E175">
        <v>43.785699999999999</v>
      </c>
      <c r="F175">
        <v>114561.44500000001</v>
      </c>
      <c r="G175">
        <v>24.452000000000002</v>
      </c>
      <c r="H175">
        <v>0</v>
      </c>
      <c r="I175" t="s">
        <v>657</v>
      </c>
      <c r="J175" t="s">
        <v>658</v>
      </c>
    </row>
    <row r="176" spans="1:10" x14ac:dyDescent="0.25">
      <c r="A176" s="141" t="s">
        <v>277</v>
      </c>
      <c r="B176">
        <v>1174.1312</v>
      </c>
      <c r="C176">
        <v>35.308599999999998</v>
      </c>
      <c r="D176">
        <v>41.974200000000003</v>
      </c>
      <c r="E176">
        <v>41.875900000000001</v>
      </c>
      <c r="F176">
        <v>66956.406000000003</v>
      </c>
      <c r="G176">
        <v>20.271999999999998</v>
      </c>
      <c r="H176">
        <v>0</v>
      </c>
      <c r="I176" t="s">
        <v>659</v>
      </c>
      <c r="J176" t="s">
        <v>660</v>
      </c>
    </row>
    <row r="177" spans="1:10" x14ac:dyDescent="0.25">
      <c r="A177" s="141" t="s">
        <v>150</v>
      </c>
      <c r="B177" s="71">
        <v>4671.2719999999999</v>
      </c>
      <c r="C177" s="71">
        <v>38.456400000000002</v>
      </c>
      <c r="D177" s="71">
        <v>45.521999999999998</v>
      </c>
      <c r="E177" s="71">
        <v>45.726900000000001</v>
      </c>
      <c r="F177" s="71">
        <v>178330.40599999999</v>
      </c>
      <c r="G177" s="71">
        <v>14.002000000000001</v>
      </c>
      <c r="H177">
        <v>0</v>
      </c>
      <c r="I177" t="s">
        <v>661</v>
      </c>
      <c r="J177" t="s">
        <v>662</v>
      </c>
    </row>
    <row r="178" spans="1:10" x14ac:dyDescent="0.25">
      <c r="A178" s="141" t="s">
        <v>151</v>
      </c>
      <c r="B178" s="71">
        <v>1630.3168000000001</v>
      </c>
      <c r="C178" s="71">
        <v>36.4634</v>
      </c>
      <c r="D178" s="71">
        <v>44.562399999999997</v>
      </c>
      <c r="E178" s="71">
        <v>44.750900000000001</v>
      </c>
      <c r="F178" s="71">
        <v>89424.164000000004</v>
      </c>
      <c r="G178" s="71">
        <v>9.9849999999999994</v>
      </c>
      <c r="H178">
        <v>0</v>
      </c>
      <c r="I178" t="s">
        <v>663</v>
      </c>
      <c r="J178" t="s">
        <v>664</v>
      </c>
    </row>
    <row r="179" spans="1:10" x14ac:dyDescent="0.25">
      <c r="A179" s="141" t="s">
        <v>152</v>
      </c>
      <c r="B179" s="71">
        <v>652.47680000000003</v>
      </c>
      <c r="C179" s="71">
        <v>34.033200000000001</v>
      </c>
      <c r="D179" s="71">
        <v>43.162999999999997</v>
      </c>
      <c r="E179" s="71">
        <v>43.412700000000001</v>
      </c>
      <c r="F179" s="71">
        <v>51203.27</v>
      </c>
      <c r="G179" s="71">
        <v>7.548</v>
      </c>
      <c r="H179">
        <v>0</v>
      </c>
      <c r="I179" t="s">
        <v>665</v>
      </c>
      <c r="J179" t="s">
        <v>666</v>
      </c>
    </row>
    <row r="180" spans="1:10" x14ac:dyDescent="0.25">
      <c r="A180" s="141" t="s">
        <v>153</v>
      </c>
      <c r="B180" s="71">
        <v>274.86239999999998</v>
      </c>
      <c r="C180" s="71">
        <v>31.0305</v>
      </c>
      <c r="D180" s="71">
        <v>41.8872</v>
      </c>
      <c r="E180" s="71">
        <v>42.0276</v>
      </c>
      <c r="F180" s="71">
        <v>29084.67</v>
      </c>
      <c r="G180" s="71">
        <v>5.8689999999999998</v>
      </c>
      <c r="H180">
        <v>0</v>
      </c>
      <c r="I180" t="s">
        <v>667</v>
      </c>
      <c r="J180" t="s">
        <v>668</v>
      </c>
    </row>
    <row r="181" spans="1:10" x14ac:dyDescent="0.25">
      <c r="A181" s="141" t="s">
        <v>154</v>
      </c>
      <c r="B181" s="71">
        <v>3765.6912000000002</v>
      </c>
      <c r="C181" s="71">
        <v>40.533200000000001</v>
      </c>
      <c r="D181" s="71">
        <v>45.264499999999998</v>
      </c>
      <c r="E181" s="71">
        <v>46.064700000000002</v>
      </c>
      <c r="F181" s="71">
        <v>149738.57800000001</v>
      </c>
      <c r="G181" s="71">
        <v>14.813000000000001</v>
      </c>
      <c r="H181">
        <v>0</v>
      </c>
      <c r="I181" t="s">
        <v>669</v>
      </c>
      <c r="J181" t="s">
        <v>670</v>
      </c>
    </row>
    <row r="182" spans="1:10" x14ac:dyDescent="0.25">
      <c r="A182" s="141" t="s">
        <v>155</v>
      </c>
      <c r="B182" s="71">
        <v>1702.0032000000001</v>
      </c>
      <c r="C182" s="71">
        <v>38.882199999999997</v>
      </c>
      <c r="D182" s="71">
        <v>44.436100000000003</v>
      </c>
      <c r="E182" s="71">
        <v>44.5107</v>
      </c>
      <c r="F182" s="71">
        <v>89538.773000000001</v>
      </c>
      <c r="G182" s="71">
        <v>12.025</v>
      </c>
      <c r="H182">
        <v>0</v>
      </c>
      <c r="I182" t="s">
        <v>671</v>
      </c>
      <c r="J182" t="s">
        <v>672</v>
      </c>
    </row>
    <row r="183" spans="1:10" x14ac:dyDescent="0.25">
      <c r="A183" s="141" t="s">
        <v>156</v>
      </c>
      <c r="B183" s="71">
        <v>813.29759999999999</v>
      </c>
      <c r="C183" s="71">
        <v>36.9133</v>
      </c>
      <c r="D183" s="71">
        <v>43.408000000000001</v>
      </c>
      <c r="E183" s="71">
        <v>42.729500000000002</v>
      </c>
      <c r="F183" s="71">
        <v>50104.637000000002</v>
      </c>
      <c r="G183" s="71">
        <v>9.4039999999999999</v>
      </c>
      <c r="H183">
        <v>0</v>
      </c>
      <c r="I183" t="s">
        <v>673</v>
      </c>
      <c r="J183" t="s">
        <v>674</v>
      </c>
    </row>
    <row r="184" spans="1:10" x14ac:dyDescent="0.25">
      <c r="A184" s="141" t="s">
        <v>157</v>
      </c>
      <c r="B184" s="71">
        <v>380.66559999999998</v>
      </c>
      <c r="C184" s="71">
        <v>34.673699999999997</v>
      </c>
      <c r="D184" s="71">
        <v>42.121499999999997</v>
      </c>
      <c r="E184" s="71">
        <v>40.654299999999999</v>
      </c>
      <c r="F184" s="71">
        <v>25962.18</v>
      </c>
      <c r="G184" s="71">
        <v>7.4989999999999997</v>
      </c>
      <c r="H184">
        <v>0</v>
      </c>
      <c r="I184" t="s">
        <v>675</v>
      </c>
      <c r="J184" t="s">
        <v>676</v>
      </c>
    </row>
    <row r="185" spans="1:10" x14ac:dyDescent="0.25">
      <c r="A185" s="141" t="s">
        <v>158</v>
      </c>
      <c r="B185" s="71">
        <v>917.10559999999998</v>
      </c>
      <c r="C185" s="71">
        <v>42.968499999999999</v>
      </c>
      <c r="D185" s="71">
        <v>46.788699999999999</v>
      </c>
      <c r="E185" s="71">
        <v>47.590499999999999</v>
      </c>
      <c r="F185" s="71">
        <v>58618.311999999998</v>
      </c>
      <c r="G185" s="71">
        <v>7.77</v>
      </c>
      <c r="H185">
        <v>0</v>
      </c>
      <c r="I185" t="s">
        <v>677</v>
      </c>
      <c r="J185" t="s">
        <v>678</v>
      </c>
    </row>
    <row r="186" spans="1:10" x14ac:dyDescent="0.25">
      <c r="A186" s="141" t="s">
        <v>159</v>
      </c>
      <c r="B186" s="71">
        <v>469.04160000000002</v>
      </c>
      <c r="C186" s="71">
        <v>41.2941</v>
      </c>
      <c r="D186" s="71">
        <v>45.967799999999997</v>
      </c>
      <c r="E186" s="71">
        <v>46.556199999999997</v>
      </c>
      <c r="F186" s="71">
        <v>34489.296999999999</v>
      </c>
      <c r="G186" s="71">
        <v>6.0039999999999996</v>
      </c>
      <c r="H186">
        <v>0</v>
      </c>
      <c r="I186" t="s">
        <v>679</v>
      </c>
      <c r="J186" t="s">
        <v>680</v>
      </c>
    </row>
    <row r="187" spans="1:10" x14ac:dyDescent="0.25">
      <c r="A187" s="141" t="s">
        <v>160</v>
      </c>
      <c r="B187" s="71">
        <v>250.25120000000001</v>
      </c>
      <c r="C187" s="71">
        <v>39.078800000000001</v>
      </c>
      <c r="D187" s="71">
        <v>44.792000000000002</v>
      </c>
      <c r="E187" s="71">
        <v>45.209600000000002</v>
      </c>
      <c r="F187" s="71">
        <v>19677.736000000001</v>
      </c>
      <c r="G187" s="71">
        <v>5.0410000000000004</v>
      </c>
      <c r="H187">
        <v>0</v>
      </c>
      <c r="I187" t="s">
        <v>681</v>
      </c>
      <c r="J187" t="s">
        <v>682</v>
      </c>
    </row>
    <row r="188" spans="1:10" x14ac:dyDescent="0.25">
      <c r="A188" s="141" t="s">
        <v>161</v>
      </c>
      <c r="B188" s="71">
        <v>136.28639999999999</v>
      </c>
      <c r="C188" s="71">
        <v>36.294199999999996</v>
      </c>
      <c r="D188" s="71">
        <v>43.002800000000001</v>
      </c>
      <c r="E188" s="71">
        <v>43.247</v>
      </c>
      <c r="F188" s="71">
        <v>11690.17</v>
      </c>
      <c r="G188" s="71">
        <v>4.3</v>
      </c>
      <c r="H188">
        <v>0</v>
      </c>
      <c r="I188" t="s">
        <v>683</v>
      </c>
      <c r="J188" t="s">
        <v>684</v>
      </c>
    </row>
    <row r="189" spans="1:10" x14ac:dyDescent="0.25">
      <c r="A189" s="141" t="s">
        <v>162</v>
      </c>
      <c r="B189" s="71">
        <v>1257.9631999999999</v>
      </c>
      <c r="C189" s="71">
        <v>42.675699999999999</v>
      </c>
      <c r="D189" s="71">
        <v>48.569400000000002</v>
      </c>
      <c r="E189" s="71">
        <v>47.680399999999999</v>
      </c>
      <c r="F189" s="71">
        <v>64323.949000000001</v>
      </c>
      <c r="G189" s="71">
        <v>8.8659999999999997</v>
      </c>
      <c r="H189">
        <v>0</v>
      </c>
      <c r="I189" t="s">
        <v>685</v>
      </c>
      <c r="J189" t="s">
        <v>686</v>
      </c>
    </row>
    <row r="190" spans="1:10" x14ac:dyDescent="0.25">
      <c r="A190" s="141" t="s">
        <v>163</v>
      </c>
      <c r="B190" s="71">
        <v>605.85119999999995</v>
      </c>
      <c r="C190" s="71">
        <v>40.912399999999998</v>
      </c>
      <c r="D190" s="71">
        <v>47.751399999999997</v>
      </c>
      <c r="E190" s="71">
        <v>46.992800000000003</v>
      </c>
      <c r="F190" s="71">
        <v>37785.203000000001</v>
      </c>
      <c r="G190" s="71">
        <v>6.4</v>
      </c>
      <c r="H190">
        <v>0</v>
      </c>
      <c r="I190" t="s">
        <v>687</v>
      </c>
      <c r="J190" t="s">
        <v>688</v>
      </c>
    </row>
    <row r="191" spans="1:10" x14ac:dyDescent="0.25">
      <c r="A191" s="141" t="s">
        <v>164</v>
      </c>
      <c r="B191" s="71">
        <v>323.40800000000002</v>
      </c>
      <c r="C191" s="71">
        <v>38.529000000000003</v>
      </c>
      <c r="D191" s="71">
        <v>46.640999999999998</v>
      </c>
      <c r="E191" s="71">
        <v>45.452100000000002</v>
      </c>
      <c r="F191" s="71">
        <v>21901.559000000001</v>
      </c>
      <c r="G191" s="71">
        <v>5.3390000000000004</v>
      </c>
      <c r="H191">
        <v>0</v>
      </c>
      <c r="I191" t="s">
        <v>689</v>
      </c>
      <c r="J191" t="s">
        <v>690</v>
      </c>
    </row>
    <row r="192" spans="1:10" x14ac:dyDescent="0.25">
      <c r="A192" s="141" t="s">
        <v>165</v>
      </c>
      <c r="B192" s="71">
        <v>175.9744</v>
      </c>
      <c r="C192" s="71">
        <v>35.422800000000002</v>
      </c>
      <c r="D192" s="71">
        <v>45.180500000000002</v>
      </c>
      <c r="E192" s="71">
        <v>43.464799999999997</v>
      </c>
      <c r="F192" s="71">
        <v>13366.055</v>
      </c>
      <c r="G192" s="71">
        <v>4.8280000000000003</v>
      </c>
      <c r="H192">
        <v>0</v>
      </c>
      <c r="I192" t="s">
        <v>691</v>
      </c>
      <c r="J192" t="s">
        <v>692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abSelected="1" topLeftCell="A172" zoomScaleNormal="100" workbookViewId="0">
      <selection activeCell="B1" sqref="B1:G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76126.261599999998</v>
      </c>
      <c r="C1">
        <v>40.810099999999998</v>
      </c>
      <c r="D1">
        <v>49.241599999999998</v>
      </c>
      <c r="E1">
        <v>47.746499999999997</v>
      </c>
      <c r="F1">
        <v>125952.44500000001</v>
      </c>
      <c r="G1">
        <v>24.103000000000002</v>
      </c>
      <c r="H1">
        <v>0</v>
      </c>
      <c r="I1" t="s">
        <v>565</v>
      </c>
      <c r="J1" t="s">
        <v>566</v>
      </c>
    </row>
    <row r="2" spans="1:10" x14ac:dyDescent="0.25">
      <c r="A2" s="141" t="s">
        <v>191</v>
      </c>
      <c r="B2">
        <v>41152.164299999997</v>
      </c>
      <c r="C2">
        <v>40.157800000000002</v>
      </c>
      <c r="D2">
        <v>48.555900000000001</v>
      </c>
      <c r="E2">
        <v>46.6755</v>
      </c>
      <c r="F2">
        <v>69207.304999999993</v>
      </c>
      <c r="G2">
        <v>21.859000000000002</v>
      </c>
      <c r="H2">
        <v>0</v>
      </c>
      <c r="I2" t="s">
        <v>567</v>
      </c>
      <c r="J2" t="s">
        <v>568</v>
      </c>
    </row>
    <row r="3" spans="1:10" x14ac:dyDescent="0.25">
      <c r="A3" s="141" t="s">
        <v>192</v>
      </c>
      <c r="B3">
        <v>24699.736199999999</v>
      </c>
      <c r="C3">
        <v>39.433500000000002</v>
      </c>
      <c r="D3">
        <v>47.6233</v>
      </c>
      <c r="E3">
        <v>45.387300000000003</v>
      </c>
      <c r="F3">
        <v>43378.811999999998</v>
      </c>
      <c r="G3">
        <v>20.294</v>
      </c>
      <c r="H3">
        <v>0</v>
      </c>
      <c r="I3" t="s">
        <v>569</v>
      </c>
      <c r="J3" t="s">
        <v>570</v>
      </c>
    </row>
    <row r="4" spans="1:10" x14ac:dyDescent="0.25">
      <c r="A4" s="141" t="s">
        <v>193</v>
      </c>
      <c r="B4">
        <v>14099.571900000001</v>
      </c>
      <c r="C4">
        <v>38.2196</v>
      </c>
      <c r="D4">
        <v>46.153700000000001</v>
      </c>
      <c r="E4">
        <v>43.597299999999997</v>
      </c>
      <c r="F4">
        <v>23801.234</v>
      </c>
      <c r="G4">
        <v>18.835000000000001</v>
      </c>
      <c r="H4">
        <v>0</v>
      </c>
      <c r="I4" t="s">
        <v>571</v>
      </c>
      <c r="J4" t="s">
        <v>572</v>
      </c>
    </row>
    <row r="5" spans="1:10" x14ac:dyDescent="0.25">
      <c r="A5" s="141" t="s">
        <v>194</v>
      </c>
      <c r="B5">
        <v>322499.50530000002</v>
      </c>
      <c r="C5">
        <v>44.758899999999997</v>
      </c>
      <c r="D5">
        <v>39.129300000000001</v>
      </c>
      <c r="E5">
        <v>39.625500000000002</v>
      </c>
      <c r="F5">
        <v>196828.67199999999</v>
      </c>
      <c r="G5">
        <v>36.447000000000003</v>
      </c>
      <c r="H5">
        <v>0</v>
      </c>
      <c r="I5" t="s">
        <v>581</v>
      </c>
      <c r="J5" t="s">
        <v>582</v>
      </c>
    </row>
    <row r="6" spans="1:10" x14ac:dyDescent="0.25">
      <c r="A6" s="141" t="s">
        <v>195</v>
      </c>
      <c r="B6">
        <v>205607.4632</v>
      </c>
      <c r="C6">
        <v>41.969099999999997</v>
      </c>
      <c r="D6">
        <v>36.635899999999999</v>
      </c>
      <c r="E6">
        <v>37.4422</v>
      </c>
      <c r="F6">
        <v>158530.59400000001</v>
      </c>
      <c r="G6">
        <v>32.106999999999999</v>
      </c>
      <c r="H6">
        <v>0</v>
      </c>
      <c r="I6" t="s">
        <v>583</v>
      </c>
      <c r="J6" t="s">
        <v>584</v>
      </c>
    </row>
    <row r="7" spans="1:10" x14ac:dyDescent="0.25">
      <c r="A7" s="141" t="s">
        <v>196</v>
      </c>
      <c r="B7">
        <v>117447.5474</v>
      </c>
      <c r="C7">
        <v>38.708799999999997</v>
      </c>
      <c r="D7">
        <v>34.3598</v>
      </c>
      <c r="E7">
        <v>35.525599999999997</v>
      </c>
      <c r="F7">
        <v>120672.617</v>
      </c>
      <c r="G7">
        <v>28.352</v>
      </c>
      <c r="H7">
        <v>0</v>
      </c>
      <c r="I7" t="s">
        <v>585</v>
      </c>
      <c r="J7" t="s">
        <v>586</v>
      </c>
    </row>
    <row r="8" spans="1:10" x14ac:dyDescent="0.25">
      <c r="A8" s="141" t="s">
        <v>197</v>
      </c>
      <c r="B8">
        <v>55572.905299999999</v>
      </c>
      <c r="C8">
        <v>35.226700000000001</v>
      </c>
      <c r="D8">
        <v>32.005800000000001</v>
      </c>
      <c r="E8">
        <v>33.702199999999998</v>
      </c>
      <c r="F8">
        <v>78421.976999999999</v>
      </c>
      <c r="G8">
        <v>23.385000000000002</v>
      </c>
      <c r="H8">
        <v>0</v>
      </c>
      <c r="I8" t="s">
        <v>587</v>
      </c>
      <c r="J8" t="s">
        <v>588</v>
      </c>
    </row>
    <row r="9" spans="1:10" x14ac:dyDescent="0.25">
      <c r="A9" s="141" t="s">
        <v>198</v>
      </c>
      <c r="B9">
        <v>124797.3474</v>
      </c>
      <c r="C9">
        <v>41.574300000000001</v>
      </c>
      <c r="D9">
        <v>44.0124</v>
      </c>
      <c r="E9">
        <v>42.908000000000001</v>
      </c>
      <c r="F9">
        <v>166010.46900000001</v>
      </c>
      <c r="G9">
        <v>30.616</v>
      </c>
      <c r="H9">
        <v>0</v>
      </c>
      <c r="I9" t="s">
        <v>573</v>
      </c>
      <c r="J9" t="s">
        <v>574</v>
      </c>
    </row>
    <row r="10" spans="1:10" x14ac:dyDescent="0.25">
      <c r="A10" s="141" t="s">
        <v>199</v>
      </c>
      <c r="B10">
        <v>55876.4905</v>
      </c>
      <c r="C10">
        <v>38.8795</v>
      </c>
      <c r="D10">
        <v>41.391300000000001</v>
      </c>
      <c r="E10">
        <v>41.784599999999998</v>
      </c>
      <c r="F10">
        <v>114316.109</v>
      </c>
      <c r="G10">
        <v>23.684999999999999</v>
      </c>
      <c r="H10">
        <v>0</v>
      </c>
      <c r="I10" t="s">
        <v>575</v>
      </c>
      <c r="J10" t="s">
        <v>576</v>
      </c>
    </row>
    <row r="11" spans="1:10" x14ac:dyDescent="0.25">
      <c r="A11" s="141" t="s">
        <v>200</v>
      </c>
      <c r="B11">
        <v>25287.5684</v>
      </c>
      <c r="C11">
        <v>37.307499999999997</v>
      </c>
      <c r="D11">
        <v>39.0642</v>
      </c>
      <c r="E11">
        <v>40.706800000000001</v>
      </c>
      <c r="F11">
        <v>67025.468999999997</v>
      </c>
      <c r="G11">
        <v>19.565000000000001</v>
      </c>
      <c r="H11">
        <v>0</v>
      </c>
      <c r="I11" t="s">
        <v>577</v>
      </c>
      <c r="J11" t="s">
        <v>578</v>
      </c>
    </row>
    <row r="12" spans="1:10" x14ac:dyDescent="0.25">
      <c r="A12" s="141" t="s">
        <v>201</v>
      </c>
      <c r="B12">
        <v>12251.8737</v>
      </c>
      <c r="C12">
        <v>35.925800000000002</v>
      </c>
      <c r="D12">
        <v>36.337800000000001</v>
      </c>
      <c r="E12">
        <v>39.225000000000001</v>
      </c>
      <c r="F12">
        <v>39507.116999999998</v>
      </c>
      <c r="G12">
        <v>17.355</v>
      </c>
      <c r="H12">
        <v>0</v>
      </c>
      <c r="I12" t="s">
        <v>579</v>
      </c>
      <c r="J12" t="s">
        <v>580</v>
      </c>
    </row>
    <row r="13" spans="1:10" x14ac:dyDescent="0.25">
      <c r="A13" s="141" t="s">
        <v>202</v>
      </c>
      <c r="B13">
        <v>177353.19159999999</v>
      </c>
      <c r="C13">
        <v>38.623800000000003</v>
      </c>
      <c r="D13">
        <v>45.6629</v>
      </c>
      <c r="E13">
        <v>43.4786</v>
      </c>
      <c r="F13">
        <v>203305.34400000001</v>
      </c>
      <c r="G13">
        <v>31.914999999999999</v>
      </c>
      <c r="H13">
        <v>0</v>
      </c>
      <c r="I13" t="s">
        <v>589</v>
      </c>
      <c r="J13" t="s">
        <v>590</v>
      </c>
    </row>
    <row r="14" spans="1:10" x14ac:dyDescent="0.25">
      <c r="A14" s="141" t="s">
        <v>203</v>
      </c>
      <c r="B14">
        <v>86186.463199999998</v>
      </c>
      <c r="C14">
        <v>37.677500000000002</v>
      </c>
      <c r="D14">
        <v>44.796100000000003</v>
      </c>
      <c r="E14">
        <v>42.493400000000001</v>
      </c>
      <c r="F14">
        <v>121447.617</v>
      </c>
      <c r="G14">
        <v>24.754000000000001</v>
      </c>
      <c r="H14">
        <v>0</v>
      </c>
      <c r="I14" t="s">
        <v>591</v>
      </c>
      <c r="J14" t="s">
        <v>592</v>
      </c>
    </row>
    <row r="15" spans="1:10" x14ac:dyDescent="0.25">
      <c r="A15" s="141" t="s">
        <v>204</v>
      </c>
      <c r="B15">
        <v>49701.233699999997</v>
      </c>
      <c r="C15">
        <v>36.758899999999997</v>
      </c>
      <c r="D15">
        <v>43.833300000000001</v>
      </c>
      <c r="E15">
        <v>41.472999999999999</v>
      </c>
      <c r="F15">
        <v>78423.172000000006</v>
      </c>
      <c r="G15">
        <v>22.058</v>
      </c>
      <c r="H15">
        <v>0</v>
      </c>
      <c r="I15" t="s">
        <v>593</v>
      </c>
      <c r="J15" t="s">
        <v>594</v>
      </c>
    </row>
    <row r="16" spans="1:10" x14ac:dyDescent="0.25">
      <c r="A16" s="141" t="s">
        <v>205</v>
      </c>
      <c r="B16">
        <v>26287.2379</v>
      </c>
      <c r="C16">
        <v>35.2605</v>
      </c>
      <c r="D16">
        <v>42.415199999999999</v>
      </c>
      <c r="E16">
        <v>40.2286</v>
      </c>
      <c r="F16">
        <v>49313.940999999999</v>
      </c>
      <c r="G16">
        <v>19.742000000000001</v>
      </c>
      <c r="H16">
        <v>0</v>
      </c>
      <c r="I16" t="s">
        <v>595</v>
      </c>
      <c r="J16" t="s">
        <v>596</v>
      </c>
    </row>
    <row r="17" spans="1:10" x14ac:dyDescent="0.25">
      <c r="A17" s="141" t="s">
        <v>94</v>
      </c>
      <c r="B17">
        <v>67508.488899999997</v>
      </c>
      <c r="C17">
        <v>39.563600000000001</v>
      </c>
      <c r="D17">
        <v>40.536299999999997</v>
      </c>
      <c r="E17">
        <v>43.531599999999997</v>
      </c>
      <c r="F17">
        <v>87351.312000000005</v>
      </c>
      <c r="G17">
        <v>15.656000000000001</v>
      </c>
      <c r="H17">
        <v>0</v>
      </c>
      <c r="I17" t="s">
        <v>541</v>
      </c>
      <c r="J17" t="s">
        <v>542</v>
      </c>
    </row>
    <row r="18" spans="1:10" x14ac:dyDescent="0.25">
      <c r="A18" s="141" t="s">
        <v>95</v>
      </c>
      <c r="B18">
        <v>40277.942900000002</v>
      </c>
      <c r="C18">
        <v>37.929699999999997</v>
      </c>
      <c r="D18">
        <v>39.565399999999997</v>
      </c>
      <c r="E18">
        <v>42.151400000000002</v>
      </c>
      <c r="F18">
        <v>64489.207000000002</v>
      </c>
      <c r="G18">
        <v>12.795999999999999</v>
      </c>
      <c r="H18">
        <v>0</v>
      </c>
      <c r="I18" t="s">
        <v>543</v>
      </c>
      <c r="J18" t="s">
        <v>544</v>
      </c>
    </row>
    <row r="19" spans="1:10" x14ac:dyDescent="0.25">
      <c r="A19" s="141" t="s">
        <v>96</v>
      </c>
      <c r="B19">
        <v>23214.196800000002</v>
      </c>
      <c r="C19">
        <v>36.013800000000003</v>
      </c>
      <c r="D19">
        <v>38.716999999999999</v>
      </c>
      <c r="E19">
        <v>40.763599999999997</v>
      </c>
      <c r="F19">
        <v>47698.891000000003</v>
      </c>
      <c r="G19">
        <v>10.863</v>
      </c>
      <c r="H19">
        <v>0</v>
      </c>
      <c r="I19" t="s">
        <v>545</v>
      </c>
      <c r="J19" t="s">
        <v>546</v>
      </c>
    </row>
    <row r="20" spans="1:10" x14ac:dyDescent="0.25">
      <c r="A20" s="141" t="s">
        <v>97</v>
      </c>
      <c r="B20">
        <v>11837.5746</v>
      </c>
      <c r="C20">
        <v>33.539900000000003</v>
      </c>
      <c r="D20">
        <v>37.529499999999999</v>
      </c>
      <c r="E20">
        <v>38.922800000000002</v>
      </c>
      <c r="F20">
        <v>32056.895</v>
      </c>
      <c r="G20">
        <v>9.3719999999999999</v>
      </c>
      <c r="H20">
        <v>0</v>
      </c>
      <c r="I20" t="s">
        <v>547</v>
      </c>
      <c r="J20" t="s">
        <v>548</v>
      </c>
    </row>
    <row r="21" spans="1:10" x14ac:dyDescent="0.25">
      <c r="A21" s="141" t="s">
        <v>98</v>
      </c>
      <c r="B21">
        <v>42271.7333</v>
      </c>
      <c r="C21">
        <v>40.197099999999999</v>
      </c>
      <c r="D21">
        <v>44.214599999999997</v>
      </c>
      <c r="E21">
        <v>45.685400000000001</v>
      </c>
      <c r="F21">
        <v>75490.577999999994</v>
      </c>
      <c r="G21">
        <v>13.363</v>
      </c>
      <c r="H21">
        <v>0</v>
      </c>
      <c r="I21" t="s">
        <v>533</v>
      </c>
      <c r="J21" t="s">
        <v>534</v>
      </c>
    </row>
    <row r="22" spans="1:10" x14ac:dyDescent="0.25">
      <c r="A22" s="141" t="s">
        <v>99</v>
      </c>
      <c r="B22">
        <v>22926.019</v>
      </c>
      <c r="C22">
        <v>38.722099999999998</v>
      </c>
      <c r="D22">
        <v>43.268900000000002</v>
      </c>
      <c r="E22">
        <v>44.243600000000001</v>
      </c>
      <c r="F22">
        <v>51328.413999999997</v>
      </c>
      <c r="G22">
        <v>11.111000000000001</v>
      </c>
      <c r="H22">
        <v>0</v>
      </c>
      <c r="I22" t="s">
        <v>535</v>
      </c>
      <c r="J22" t="s">
        <v>536</v>
      </c>
    </row>
    <row r="23" spans="1:10" x14ac:dyDescent="0.25">
      <c r="A23" s="141" t="s">
        <v>100</v>
      </c>
      <c r="B23">
        <v>12952.292100000001</v>
      </c>
      <c r="C23">
        <v>37.280799999999999</v>
      </c>
      <c r="D23">
        <v>42.200800000000001</v>
      </c>
      <c r="E23">
        <v>42.674199999999999</v>
      </c>
      <c r="F23">
        <v>36287.836000000003</v>
      </c>
      <c r="G23">
        <v>9.798</v>
      </c>
      <c r="H23">
        <v>0</v>
      </c>
      <c r="I23" t="s">
        <v>537</v>
      </c>
      <c r="J23" t="s">
        <v>538</v>
      </c>
    </row>
    <row r="24" spans="1:10" x14ac:dyDescent="0.25">
      <c r="A24" s="141" t="s">
        <v>101</v>
      </c>
      <c r="B24">
        <v>6922.0190000000002</v>
      </c>
      <c r="C24">
        <v>35.357599999999998</v>
      </c>
      <c r="D24">
        <v>40.681100000000001</v>
      </c>
      <c r="E24">
        <v>40.655500000000004</v>
      </c>
      <c r="F24">
        <v>22074.98</v>
      </c>
      <c r="G24">
        <v>9.0120000000000005</v>
      </c>
      <c r="H24">
        <v>0</v>
      </c>
      <c r="I24" t="s">
        <v>539</v>
      </c>
      <c r="J24" t="s">
        <v>540</v>
      </c>
    </row>
    <row r="25" spans="1:10" x14ac:dyDescent="0.25">
      <c r="A25" s="141" t="s">
        <v>206</v>
      </c>
      <c r="B25">
        <v>64678.713600000003</v>
      </c>
      <c r="C25">
        <v>41.737200000000001</v>
      </c>
      <c r="D25">
        <v>44.442900000000002</v>
      </c>
      <c r="E25">
        <v>45.164700000000003</v>
      </c>
      <c r="F25">
        <v>91393.023000000001</v>
      </c>
      <c r="G25">
        <v>16.475999999999999</v>
      </c>
      <c r="H25">
        <v>0</v>
      </c>
      <c r="I25" t="s">
        <v>549</v>
      </c>
      <c r="J25" t="s">
        <v>550</v>
      </c>
    </row>
    <row r="26" spans="1:10" x14ac:dyDescent="0.25">
      <c r="A26" s="141" t="s">
        <v>207</v>
      </c>
      <c r="B26">
        <v>41712.351999999999</v>
      </c>
      <c r="C26">
        <v>39.930799999999998</v>
      </c>
      <c r="D26">
        <v>43.034700000000001</v>
      </c>
      <c r="E26">
        <v>43.927500000000002</v>
      </c>
      <c r="F26">
        <v>69268.437999999995</v>
      </c>
      <c r="G26">
        <v>14.407999999999999</v>
      </c>
      <c r="H26">
        <v>0</v>
      </c>
      <c r="I26" t="s">
        <v>551</v>
      </c>
      <c r="J26" t="s">
        <v>552</v>
      </c>
    </row>
    <row r="27" spans="1:10" x14ac:dyDescent="0.25">
      <c r="A27" s="141" t="s">
        <v>208</v>
      </c>
      <c r="B27">
        <v>24536.6656</v>
      </c>
      <c r="C27">
        <v>37.7042</v>
      </c>
      <c r="D27">
        <v>41.736600000000003</v>
      </c>
      <c r="E27">
        <v>42.6355</v>
      </c>
      <c r="F27">
        <v>49804.305</v>
      </c>
      <c r="G27">
        <v>12.339</v>
      </c>
      <c r="H27">
        <v>0</v>
      </c>
      <c r="I27" t="s">
        <v>553</v>
      </c>
      <c r="J27" t="s">
        <v>554</v>
      </c>
    </row>
    <row r="28" spans="1:10" x14ac:dyDescent="0.25">
      <c r="A28" s="141" t="s">
        <v>209</v>
      </c>
      <c r="B28">
        <v>12379.084800000001</v>
      </c>
      <c r="C28">
        <v>35.009099999999997</v>
      </c>
      <c r="D28">
        <v>40.167299999999997</v>
      </c>
      <c r="E28">
        <v>41.01</v>
      </c>
      <c r="F28">
        <v>32467.895</v>
      </c>
      <c r="G28">
        <v>10.801</v>
      </c>
      <c r="H28">
        <v>0</v>
      </c>
      <c r="I28" t="s">
        <v>555</v>
      </c>
      <c r="J28" t="s">
        <v>556</v>
      </c>
    </row>
    <row r="29" spans="1:10" x14ac:dyDescent="0.25">
      <c r="A29" s="141" t="s">
        <v>210</v>
      </c>
      <c r="B29">
        <v>39533.638400000003</v>
      </c>
      <c r="C29">
        <v>44.935200000000002</v>
      </c>
      <c r="D29">
        <v>47.604300000000002</v>
      </c>
      <c r="E29">
        <v>48.335599999999999</v>
      </c>
      <c r="F29">
        <v>60375.809000000001</v>
      </c>
      <c r="G29">
        <v>14.414999999999999</v>
      </c>
      <c r="H29">
        <v>0</v>
      </c>
      <c r="I29" t="s">
        <v>557</v>
      </c>
      <c r="J29" t="s">
        <v>558</v>
      </c>
    </row>
    <row r="30" spans="1:10" x14ac:dyDescent="0.25">
      <c r="A30" s="141" t="s">
        <v>211</v>
      </c>
      <c r="B30">
        <v>26053.7088</v>
      </c>
      <c r="C30">
        <v>42.766599999999997</v>
      </c>
      <c r="D30">
        <v>46.002699999999997</v>
      </c>
      <c r="E30">
        <v>46.531599999999997</v>
      </c>
      <c r="F30">
        <v>48432.464999999997</v>
      </c>
      <c r="G30">
        <v>12.772</v>
      </c>
      <c r="H30">
        <v>0</v>
      </c>
      <c r="I30" t="s">
        <v>559</v>
      </c>
      <c r="J30" t="s">
        <v>560</v>
      </c>
    </row>
    <row r="31" spans="1:10" x14ac:dyDescent="0.25">
      <c r="A31" s="141" t="s">
        <v>212</v>
      </c>
      <c r="B31">
        <v>15440.6976</v>
      </c>
      <c r="C31">
        <v>40.081299999999999</v>
      </c>
      <c r="D31">
        <v>44.474400000000003</v>
      </c>
      <c r="E31">
        <v>44.7134</v>
      </c>
      <c r="F31">
        <v>37049.18</v>
      </c>
      <c r="G31">
        <v>11.484999999999999</v>
      </c>
      <c r="H31">
        <v>0</v>
      </c>
      <c r="I31" t="s">
        <v>561</v>
      </c>
      <c r="J31" t="s">
        <v>562</v>
      </c>
    </row>
    <row r="32" spans="1:10" x14ac:dyDescent="0.25">
      <c r="A32" s="141" t="s">
        <v>213</v>
      </c>
      <c r="B32">
        <v>8060.4160000000002</v>
      </c>
      <c r="C32">
        <v>37.010100000000001</v>
      </c>
      <c r="D32">
        <v>42.451599999999999</v>
      </c>
      <c r="E32">
        <v>42.517400000000002</v>
      </c>
      <c r="F32">
        <v>24011.873</v>
      </c>
      <c r="G32">
        <v>10.068</v>
      </c>
      <c r="H32">
        <v>0</v>
      </c>
      <c r="I32" t="s">
        <v>563</v>
      </c>
      <c r="J32" t="s">
        <v>564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50159.296999999999</v>
      </c>
      <c r="G33">
        <v>9.2569999999999997</v>
      </c>
      <c r="H33">
        <v>0</v>
      </c>
      <c r="I33" t="s">
        <v>501</v>
      </c>
      <c r="J33" t="s">
        <v>502</v>
      </c>
    </row>
    <row r="34" spans="1:10" x14ac:dyDescent="0.25">
      <c r="A34" s="141" t="s">
        <v>103</v>
      </c>
      <c r="B34">
        <v>36758.131200000003</v>
      </c>
      <c r="C34">
        <v>38.811199999999999</v>
      </c>
      <c r="D34">
        <v>44.325200000000002</v>
      </c>
      <c r="E34">
        <v>44.660699999999999</v>
      </c>
      <c r="F34">
        <v>44645.688000000002</v>
      </c>
      <c r="G34">
        <v>8.1620000000000008</v>
      </c>
      <c r="H34">
        <v>0</v>
      </c>
      <c r="I34" t="s">
        <v>503</v>
      </c>
      <c r="J34" t="s">
        <v>504</v>
      </c>
    </row>
    <row r="35" spans="1:10" x14ac:dyDescent="0.25">
      <c r="A35" s="141" t="s">
        <v>104</v>
      </c>
      <c r="B35">
        <v>21830.687999999998</v>
      </c>
      <c r="C35">
        <v>35.4236</v>
      </c>
      <c r="D35">
        <v>42.872100000000003</v>
      </c>
      <c r="E35">
        <v>43.201700000000002</v>
      </c>
      <c r="F35">
        <v>36387.879000000001</v>
      </c>
      <c r="G35">
        <v>7.1020000000000003</v>
      </c>
      <c r="H35">
        <v>0</v>
      </c>
      <c r="I35" t="s">
        <v>505</v>
      </c>
      <c r="J35" t="s">
        <v>506</v>
      </c>
    </row>
    <row r="36" spans="1:10" x14ac:dyDescent="0.25">
      <c r="A36" s="141" t="s">
        <v>105</v>
      </c>
      <c r="B36">
        <v>10755.910400000001</v>
      </c>
      <c r="C36">
        <v>31.796199999999999</v>
      </c>
      <c r="D36">
        <v>41.500999999999998</v>
      </c>
      <c r="E36">
        <v>41.679699999999997</v>
      </c>
      <c r="F36">
        <v>26396.096000000001</v>
      </c>
      <c r="G36">
        <v>5.8230000000000004</v>
      </c>
      <c r="H36">
        <v>0</v>
      </c>
      <c r="I36" t="s">
        <v>507</v>
      </c>
      <c r="J36" t="s">
        <v>508</v>
      </c>
    </row>
    <row r="37" spans="1:10" x14ac:dyDescent="0.25">
      <c r="A37" s="141" t="s">
        <v>106</v>
      </c>
      <c r="B37">
        <v>20102.272000000001</v>
      </c>
      <c r="C37">
        <v>42.688400000000001</v>
      </c>
      <c r="D37">
        <v>45.477699999999999</v>
      </c>
      <c r="E37">
        <v>47.034100000000002</v>
      </c>
      <c r="F37">
        <v>34298.887000000002</v>
      </c>
      <c r="G37">
        <v>6.45</v>
      </c>
      <c r="H37">
        <v>0</v>
      </c>
      <c r="I37" t="s">
        <v>509</v>
      </c>
      <c r="J37" t="s">
        <v>510</v>
      </c>
    </row>
    <row r="38" spans="1:10" x14ac:dyDescent="0.25">
      <c r="A38" s="141" t="s">
        <v>107</v>
      </c>
      <c r="B38">
        <v>11416.6656</v>
      </c>
      <c r="C38">
        <v>40.667999999999999</v>
      </c>
      <c r="D38">
        <v>44.567700000000002</v>
      </c>
      <c r="E38">
        <v>45.400799999999997</v>
      </c>
      <c r="F38">
        <v>25105.116999999998</v>
      </c>
      <c r="G38">
        <v>5.4130000000000003</v>
      </c>
      <c r="H38">
        <v>0</v>
      </c>
      <c r="I38" t="s">
        <v>511</v>
      </c>
      <c r="J38" t="s">
        <v>512</v>
      </c>
    </row>
    <row r="39" spans="1:10" x14ac:dyDescent="0.25">
      <c r="A39" s="141" t="s">
        <v>108</v>
      </c>
      <c r="B39">
        <v>6329.3760000000002</v>
      </c>
      <c r="C39">
        <v>38.663600000000002</v>
      </c>
      <c r="D39">
        <v>43.6203</v>
      </c>
      <c r="E39">
        <v>43.655099999999997</v>
      </c>
      <c r="F39">
        <v>17267.41</v>
      </c>
      <c r="G39">
        <v>4.7699999999999996</v>
      </c>
      <c r="H39">
        <v>0</v>
      </c>
      <c r="I39" t="s">
        <v>513</v>
      </c>
      <c r="J39" t="s">
        <v>514</v>
      </c>
    </row>
    <row r="40" spans="1:10" x14ac:dyDescent="0.25">
      <c r="A40" s="141" t="s">
        <v>109</v>
      </c>
      <c r="B40">
        <v>3225.2287999999999</v>
      </c>
      <c r="C40">
        <v>36.287100000000002</v>
      </c>
      <c r="D40">
        <v>42.308900000000001</v>
      </c>
      <c r="E40">
        <v>41.461300000000001</v>
      </c>
      <c r="F40">
        <v>10898.710999999999</v>
      </c>
      <c r="G40">
        <v>4.2539999999999996</v>
      </c>
      <c r="H40">
        <v>0</v>
      </c>
      <c r="I40" t="s">
        <v>515</v>
      </c>
      <c r="J40" t="s">
        <v>516</v>
      </c>
    </row>
    <row r="41" spans="1:10" x14ac:dyDescent="0.25">
      <c r="A41" s="141" t="s">
        <v>110</v>
      </c>
      <c r="B41">
        <v>15113.6</v>
      </c>
      <c r="C41">
        <v>44.225900000000003</v>
      </c>
      <c r="D41">
        <v>47.078600000000002</v>
      </c>
      <c r="E41">
        <v>47.972000000000001</v>
      </c>
      <c r="F41">
        <v>26541.796999999999</v>
      </c>
      <c r="G41">
        <v>6.0609999999999999</v>
      </c>
      <c r="H41">
        <v>0</v>
      </c>
      <c r="I41" t="s">
        <v>517</v>
      </c>
      <c r="J41" t="s">
        <v>518</v>
      </c>
    </row>
    <row r="42" spans="1:10" x14ac:dyDescent="0.25">
      <c r="A42" s="141" t="s">
        <v>111</v>
      </c>
      <c r="B42">
        <v>10258.2528</v>
      </c>
      <c r="C42">
        <v>42.497399999999999</v>
      </c>
      <c r="D42">
        <v>45.936999999999998</v>
      </c>
      <c r="E42">
        <v>46.642099999999999</v>
      </c>
      <c r="F42">
        <v>21360.561000000002</v>
      </c>
      <c r="G42">
        <v>5.5149999999999997</v>
      </c>
      <c r="H42">
        <v>0</v>
      </c>
      <c r="I42" t="s">
        <v>519</v>
      </c>
      <c r="J42" t="s">
        <v>520</v>
      </c>
    </row>
    <row r="43" spans="1:10" x14ac:dyDescent="0.25">
      <c r="A43" s="141" t="s">
        <v>112</v>
      </c>
      <c r="B43">
        <v>6482.9632000000001</v>
      </c>
      <c r="C43">
        <v>40.163899999999998</v>
      </c>
      <c r="D43">
        <v>44.606999999999999</v>
      </c>
      <c r="E43">
        <v>45.104399999999998</v>
      </c>
      <c r="F43">
        <v>15772.986999999999</v>
      </c>
      <c r="G43">
        <v>5.2229999999999999</v>
      </c>
      <c r="H43">
        <v>0</v>
      </c>
      <c r="I43" t="s">
        <v>521</v>
      </c>
      <c r="J43" t="s">
        <v>522</v>
      </c>
    </row>
    <row r="44" spans="1:10" x14ac:dyDescent="0.25">
      <c r="A44" s="141" t="s">
        <v>113</v>
      </c>
      <c r="B44">
        <v>3749.9072000000001</v>
      </c>
      <c r="C44">
        <v>37.167900000000003</v>
      </c>
      <c r="D44">
        <v>42.866199999999999</v>
      </c>
      <c r="E44">
        <v>43.095100000000002</v>
      </c>
      <c r="F44">
        <v>10957.403</v>
      </c>
      <c r="G44">
        <v>4.431</v>
      </c>
      <c r="H44">
        <v>0</v>
      </c>
      <c r="I44" t="s">
        <v>523</v>
      </c>
      <c r="J44" t="s">
        <v>524</v>
      </c>
    </row>
    <row r="45" spans="1:10" x14ac:dyDescent="0.25">
      <c r="A45" s="141" t="s">
        <v>114</v>
      </c>
      <c r="B45">
        <v>16385.792000000001</v>
      </c>
      <c r="C45">
        <v>44.1693</v>
      </c>
      <c r="D45">
        <v>48.808799999999998</v>
      </c>
      <c r="E45">
        <v>48.463299999999997</v>
      </c>
      <c r="F45">
        <v>26761.956999999999</v>
      </c>
      <c r="G45">
        <v>5.7709999999999999</v>
      </c>
      <c r="H45">
        <v>0</v>
      </c>
      <c r="I45" t="s">
        <v>525</v>
      </c>
      <c r="J45" t="s">
        <v>526</v>
      </c>
    </row>
    <row r="46" spans="1:10" x14ac:dyDescent="0.25">
      <c r="A46" s="141" t="s">
        <v>115</v>
      </c>
      <c r="B46">
        <v>11392.7232</v>
      </c>
      <c r="C46">
        <v>42.4315</v>
      </c>
      <c r="D46">
        <v>47.797199999999997</v>
      </c>
      <c r="E46">
        <v>47.000300000000003</v>
      </c>
      <c r="F46">
        <v>21970.055</v>
      </c>
      <c r="G46">
        <v>5.2519999999999998</v>
      </c>
      <c r="H46">
        <v>0</v>
      </c>
      <c r="I46" t="s">
        <v>527</v>
      </c>
      <c r="J46" t="s">
        <v>528</v>
      </c>
    </row>
    <row r="47" spans="1:10" x14ac:dyDescent="0.25">
      <c r="A47" s="141" t="s">
        <v>116</v>
      </c>
      <c r="B47">
        <v>7410.8032000000003</v>
      </c>
      <c r="C47">
        <v>40.048299999999998</v>
      </c>
      <c r="D47">
        <v>46.615499999999997</v>
      </c>
      <c r="E47">
        <v>45.326300000000003</v>
      </c>
      <c r="F47">
        <v>16557.879000000001</v>
      </c>
      <c r="G47">
        <v>4.7450000000000001</v>
      </c>
      <c r="H47">
        <v>0</v>
      </c>
      <c r="I47" t="s">
        <v>529</v>
      </c>
      <c r="J47" t="s">
        <v>530</v>
      </c>
    </row>
    <row r="48" spans="1:10" x14ac:dyDescent="0.25">
      <c r="A48" s="141" t="s">
        <v>117</v>
      </c>
      <c r="B48">
        <v>4305.2031999999999</v>
      </c>
      <c r="C48">
        <v>36.829700000000003</v>
      </c>
      <c r="D48">
        <v>44.739600000000003</v>
      </c>
      <c r="E48">
        <v>43.030299999999997</v>
      </c>
      <c r="F48">
        <v>11641.714</v>
      </c>
      <c r="G48">
        <v>4.1449999999999996</v>
      </c>
      <c r="H48">
        <v>0</v>
      </c>
      <c r="I48" t="s">
        <v>531</v>
      </c>
      <c r="J48" t="s">
        <v>532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14746.856</v>
      </c>
      <c r="C73">
        <v>40.090400000000002</v>
      </c>
      <c r="D73">
        <v>49.063400000000001</v>
      </c>
      <c r="E73">
        <v>47.0503</v>
      </c>
      <c r="F73">
        <v>361961.413</v>
      </c>
      <c r="G73">
        <v>55.472000000000001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6727.1120000000001</v>
      </c>
      <c r="C74">
        <v>39.600700000000003</v>
      </c>
      <c r="D74">
        <v>48.467700000000001</v>
      </c>
      <c r="E74">
        <v>46.150100000000002</v>
      </c>
      <c r="F74">
        <v>200562.59099999999</v>
      </c>
      <c r="G74">
        <v>50.631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3645.7</v>
      </c>
      <c r="C75">
        <v>38.76</v>
      </c>
      <c r="D75">
        <v>47.635300000000001</v>
      </c>
      <c r="E75">
        <v>44.925600000000003</v>
      </c>
      <c r="F75">
        <v>100408.542</v>
      </c>
      <c r="G75">
        <v>47.031999999999996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1931.604</v>
      </c>
      <c r="C76">
        <v>37.269300000000001</v>
      </c>
      <c r="D76">
        <v>46.308599999999998</v>
      </c>
      <c r="E76">
        <v>43.193899999999999</v>
      </c>
      <c r="F76">
        <v>50303.995000000003</v>
      </c>
      <c r="G76">
        <v>41.863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75653.347999999998</v>
      </c>
      <c r="C77">
        <v>41.652999999999999</v>
      </c>
      <c r="D77">
        <v>36.478999999999999</v>
      </c>
      <c r="E77">
        <v>37.614800000000002</v>
      </c>
      <c r="F77">
        <v>652611.97100000002</v>
      </c>
      <c r="G77">
        <v>64.319999999999993</v>
      </c>
      <c r="H77">
        <v>0</v>
      </c>
      <c r="I77" t="s">
        <v>693</v>
      </c>
      <c r="J77" t="s">
        <v>486</v>
      </c>
    </row>
    <row r="78" spans="1:10" x14ac:dyDescent="0.25">
      <c r="A78" s="141" t="s">
        <v>227</v>
      </c>
      <c r="B78">
        <v>39090.076000000001</v>
      </c>
      <c r="C78">
        <v>39.049399999999999</v>
      </c>
      <c r="D78">
        <v>34.552700000000002</v>
      </c>
      <c r="E78">
        <v>35.957099999999997</v>
      </c>
      <c r="F78">
        <v>440357.17099999997</v>
      </c>
      <c r="G78">
        <v>57.296999999999997</v>
      </c>
      <c r="H78">
        <v>0</v>
      </c>
      <c r="I78" t="s">
        <v>487</v>
      </c>
      <c r="J78" t="s">
        <v>488</v>
      </c>
    </row>
    <row r="79" spans="1:10" x14ac:dyDescent="0.25">
      <c r="A79" s="141" t="s">
        <v>228</v>
      </c>
      <c r="B79">
        <v>18789.919999999998</v>
      </c>
      <c r="C79">
        <v>36.145200000000003</v>
      </c>
      <c r="D79">
        <v>32.924199999999999</v>
      </c>
      <c r="E79">
        <v>34.586500000000001</v>
      </c>
      <c r="F79">
        <v>275003.09700000001</v>
      </c>
      <c r="G79">
        <v>51.070999999999998</v>
      </c>
      <c r="H79">
        <v>0</v>
      </c>
      <c r="I79" t="s">
        <v>489</v>
      </c>
      <c r="J79" t="s">
        <v>490</v>
      </c>
    </row>
    <row r="80" spans="1:10" x14ac:dyDescent="0.25">
      <c r="A80" s="141" t="s">
        <v>229</v>
      </c>
      <c r="B80">
        <v>7756.2719999999999</v>
      </c>
      <c r="C80">
        <v>33.088200000000001</v>
      </c>
      <c r="D80">
        <v>31.26</v>
      </c>
      <c r="E80">
        <v>33.165799999999997</v>
      </c>
      <c r="F80">
        <v>157960.19500000001</v>
      </c>
      <c r="G80">
        <v>47.533999999999999</v>
      </c>
      <c r="H80">
        <v>0</v>
      </c>
      <c r="I80" t="s">
        <v>491</v>
      </c>
      <c r="J80" t="s">
        <v>492</v>
      </c>
    </row>
    <row r="81" spans="1:10" x14ac:dyDescent="0.25">
      <c r="A81" s="141" t="s">
        <v>230</v>
      </c>
      <c r="B81">
        <v>37745.603999999999</v>
      </c>
      <c r="C81">
        <v>38.306899999999999</v>
      </c>
      <c r="D81">
        <v>40.4666</v>
      </c>
      <c r="E81">
        <v>41.552900000000001</v>
      </c>
      <c r="F81">
        <v>386644.43099999998</v>
      </c>
      <c r="G81">
        <v>35.546999999999997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18408.804</v>
      </c>
      <c r="C82">
        <v>37.197899999999997</v>
      </c>
      <c r="D82">
        <v>37.920299999999997</v>
      </c>
      <c r="E82">
        <v>40.3414</v>
      </c>
      <c r="F82">
        <v>232605.15100000001</v>
      </c>
      <c r="G82">
        <v>29.963000000000001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9149.9480000000003</v>
      </c>
      <c r="C83">
        <v>35.836399999999998</v>
      </c>
      <c r="D83">
        <v>35.711799999999997</v>
      </c>
      <c r="E83">
        <v>39.020499999999998</v>
      </c>
      <c r="F83">
        <v>140276.36199999999</v>
      </c>
      <c r="G83">
        <v>26.251000000000001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4624.6480000000001</v>
      </c>
      <c r="C84">
        <v>34.000799999999998</v>
      </c>
      <c r="D84">
        <v>33.810699999999997</v>
      </c>
      <c r="E84">
        <v>37.476300000000002</v>
      </c>
      <c r="F84">
        <v>80893.921000000002</v>
      </c>
      <c r="G84">
        <v>23.561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26227.743999999999</v>
      </c>
      <c r="C85">
        <v>37.639099999999999</v>
      </c>
      <c r="D85">
        <v>45.343699999999998</v>
      </c>
      <c r="E85">
        <v>43.035699999999999</v>
      </c>
      <c r="F85">
        <v>508940.011</v>
      </c>
      <c r="G85">
        <v>60.792000000000002</v>
      </c>
      <c r="H85">
        <v>0</v>
      </c>
      <c r="I85" t="s">
        <v>493</v>
      </c>
      <c r="J85" t="s">
        <v>494</v>
      </c>
    </row>
    <row r="86" spans="1:10" x14ac:dyDescent="0.25">
      <c r="A86" s="141" t="s">
        <v>235</v>
      </c>
      <c r="B86">
        <v>9139.3719999999994</v>
      </c>
      <c r="C86">
        <v>37.098599999999998</v>
      </c>
      <c r="D86">
        <v>44.745699999999999</v>
      </c>
      <c r="E86">
        <v>42.404699999999998</v>
      </c>
      <c r="F86">
        <v>275515.68900000001</v>
      </c>
      <c r="G86">
        <v>51.438000000000002</v>
      </c>
      <c r="H86">
        <v>0</v>
      </c>
      <c r="I86" t="s">
        <v>495</v>
      </c>
      <c r="J86" t="s">
        <v>496</v>
      </c>
    </row>
    <row r="87" spans="1:10" x14ac:dyDescent="0.25">
      <c r="A87" s="141" t="s">
        <v>236</v>
      </c>
      <c r="B87">
        <v>4509.9319999999998</v>
      </c>
      <c r="C87">
        <v>36.249400000000001</v>
      </c>
      <c r="D87">
        <v>43.992600000000003</v>
      </c>
      <c r="E87">
        <v>41.616300000000003</v>
      </c>
      <c r="F87">
        <v>142756.304</v>
      </c>
      <c r="G87">
        <v>44.16</v>
      </c>
      <c r="H87">
        <v>0</v>
      </c>
      <c r="I87" t="s">
        <v>497</v>
      </c>
      <c r="J87" t="s">
        <v>498</v>
      </c>
    </row>
    <row r="88" spans="1:10" x14ac:dyDescent="0.25">
      <c r="A88" s="141" t="s">
        <v>237</v>
      </c>
      <c r="B88">
        <v>2181.0320000000002</v>
      </c>
      <c r="C88">
        <v>34.793300000000002</v>
      </c>
      <c r="D88">
        <v>42.700699999999998</v>
      </c>
      <c r="E88">
        <v>40.4696</v>
      </c>
      <c r="F88">
        <v>68718.400999999998</v>
      </c>
      <c r="G88">
        <v>37.975000000000001</v>
      </c>
      <c r="H88">
        <v>0</v>
      </c>
      <c r="I88" t="s">
        <v>499</v>
      </c>
      <c r="J88" t="s">
        <v>500</v>
      </c>
    </row>
    <row r="89" spans="1:10" x14ac:dyDescent="0.25">
      <c r="A89" s="141" t="s">
        <v>118</v>
      </c>
      <c r="B89">
        <v>9769.5400000000009</v>
      </c>
      <c r="C89">
        <v>38.013500000000001</v>
      </c>
      <c r="D89">
        <v>39.850499999999997</v>
      </c>
      <c r="E89">
        <v>43.338500000000003</v>
      </c>
      <c r="F89">
        <v>116478.53200000001</v>
      </c>
      <c r="G89">
        <v>13.01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4522.7879999999996</v>
      </c>
      <c r="C90">
        <v>36.915199999999999</v>
      </c>
      <c r="D90">
        <v>39.3446</v>
      </c>
      <c r="E90">
        <v>42.221299999999999</v>
      </c>
      <c r="F90">
        <v>70070.361999999994</v>
      </c>
      <c r="G90">
        <v>11.105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2300.7399999999998</v>
      </c>
      <c r="C91">
        <v>35.357300000000002</v>
      </c>
      <c r="D91">
        <v>38.728900000000003</v>
      </c>
      <c r="E91">
        <v>40.947000000000003</v>
      </c>
      <c r="F91">
        <v>41124.656000000003</v>
      </c>
      <c r="G91">
        <v>9.2829999999999995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1104.404</v>
      </c>
      <c r="C92">
        <v>33.1706</v>
      </c>
      <c r="D92">
        <v>37.717599999999997</v>
      </c>
      <c r="E92">
        <v>39.195799999999998</v>
      </c>
      <c r="F92">
        <v>22097.569</v>
      </c>
      <c r="G92">
        <v>8.4819999999999993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8549.0560000000005</v>
      </c>
      <c r="C93">
        <v>38.949100000000001</v>
      </c>
      <c r="D93">
        <v>44.056399999999996</v>
      </c>
      <c r="E93">
        <v>45.210999999999999</v>
      </c>
      <c r="F93">
        <v>123688.274</v>
      </c>
      <c r="G93">
        <v>13.526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4278.2240000000002</v>
      </c>
      <c r="C94">
        <v>37.919800000000002</v>
      </c>
      <c r="D94">
        <v>43.216700000000003</v>
      </c>
      <c r="E94">
        <v>43.778300000000002</v>
      </c>
      <c r="F94">
        <v>76118.082999999999</v>
      </c>
      <c r="G94">
        <v>11.832000000000001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2188.3760000000002</v>
      </c>
      <c r="C95">
        <v>36.422800000000002</v>
      </c>
      <c r="D95">
        <v>42.210299999999997</v>
      </c>
      <c r="E95">
        <v>42.208799999999997</v>
      </c>
      <c r="F95">
        <v>42611.906000000003</v>
      </c>
      <c r="G95">
        <v>10.256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1076.52</v>
      </c>
      <c r="C96">
        <v>34.360599999999998</v>
      </c>
      <c r="D96">
        <v>40.810499999999998</v>
      </c>
      <c r="E96">
        <v>40.302100000000003</v>
      </c>
      <c r="F96">
        <v>22974.420999999998</v>
      </c>
      <c r="G96">
        <v>9.17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6750.0640000000003</v>
      </c>
      <c r="C97">
        <v>39.704099999999997</v>
      </c>
      <c r="D97">
        <v>43.908299999999997</v>
      </c>
      <c r="E97">
        <v>45.055500000000002</v>
      </c>
      <c r="F97">
        <v>112165.333</v>
      </c>
      <c r="G97">
        <v>13.972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3209.3679999999999</v>
      </c>
      <c r="C98">
        <v>38.566000000000003</v>
      </c>
      <c r="D98">
        <v>43.1616</v>
      </c>
      <c r="E98">
        <v>44.373199999999997</v>
      </c>
      <c r="F98">
        <v>67784.797000000006</v>
      </c>
      <c r="G98">
        <v>11.885999999999999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1547.0640000000001</v>
      </c>
      <c r="C99">
        <v>36.889800000000001</v>
      </c>
      <c r="D99">
        <v>42.291200000000003</v>
      </c>
      <c r="E99">
        <v>43.482399999999998</v>
      </c>
      <c r="F99">
        <v>36388.29</v>
      </c>
      <c r="G99">
        <v>10.313000000000001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695.26</v>
      </c>
      <c r="C100">
        <v>34.649099999999997</v>
      </c>
      <c r="D100">
        <v>41.020600000000002</v>
      </c>
      <c r="E100">
        <v>42.147599999999997</v>
      </c>
      <c r="F100">
        <v>18341.948</v>
      </c>
      <c r="G100">
        <v>9.1630000000000003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5564.2280000000001</v>
      </c>
      <c r="C101">
        <v>44.8902</v>
      </c>
      <c r="D101">
        <v>47.724400000000003</v>
      </c>
      <c r="E101">
        <v>48.512099999999997</v>
      </c>
      <c r="F101">
        <v>85659.046000000002</v>
      </c>
      <c r="G101">
        <v>14.028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3414.5120000000002</v>
      </c>
      <c r="C102">
        <v>42.637300000000003</v>
      </c>
      <c r="D102">
        <v>46.161700000000003</v>
      </c>
      <c r="E102">
        <v>46.748100000000001</v>
      </c>
      <c r="F102">
        <v>58587.925999999999</v>
      </c>
      <c r="G102">
        <v>12.442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1909.5319999999999</v>
      </c>
      <c r="C103">
        <v>39.825000000000003</v>
      </c>
      <c r="D103">
        <v>44.602499999999999</v>
      </c>
      <c r="E103">
        <v>44.922699999999999</v>
      </c>
      <c r="F103">
        <v>36465.597999999998</v>
      </c>
      <c r="G103">
        <v>11.195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973.05600000000004</v>
      </c>
      <c r="C104">
        <v>36.649299999999997</v>
      </c>
      <c r="D104">
        <v>42.755600000000001</v>
      </c>
      <c r="E104">
        <v>42.848799999999997</v>
      </c>
      <c r="F104">
        <v>20748.210999999999</v>
      </c>
      <c r="G104">
        <v>9.9930000000000003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4096.3159999999998</v>
      </c>
      <c r="C105">
        <v>38.607999999999997</v>
      </c>
      <c r="D105">
        <v>46.225999999999999</v>
      </c>
      <c r="E105">
        <v>46.444699999999997</v>
      </c>
      <c r="F105">
        <v>54849.851000000002</v>
      </c>
      <c r="G105">
        <v>5.8849999999999998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1778.58</v>
      </c>
      <c r="C106">
        <v>37.100900000000003</v>
      </c>
      <c r="D106">
        <v>45.186</v>
      </c>
      <c r="E106">
        <v>45.399000000000001</v>
      </c>
      <c r="F106">
        <v>29831.63</v>
      </c>
      <c r="G106">
        <v>4.7990000000000004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841.00800000000004</v>
      </c>
      <c r="C107">
        <v>35.153100000000002</v>
      </c>
      <c r="D107">
        <v>43.9011</v>
      </c>
      <c r="E107">
        <v>44.165999999999997</v>
      </c>
      <c r="F107">
        <v>16009.045</v>
      </c>
      <c r="G107">
        <v>4.1859999999999999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399.32400000000001</v>
      </c>
      <c r="C108">
        <v>32.472499999999997</v>
      </c>
      <c r="D108">
        <v>42.225200000000001</v>
      </c>
      <c r="E108">
        <v>42.506599999999999</v>
      </c>
      <c r="F108">
        <v>8183.1139999999996</v>
      </c>
      <c r="G108">
        <v>3.5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2425.5479999999998</v>
      </c>
      <c r="C109">
        <v>40.652099999999997</v>
      </c>
      <c r="D109">
        <v>46.1449</v>
      </c>
      <c r="E109">
        <v>47.320099999999996</v>
      </c>
      <c r="F109">
        <v>42915.665000000001</v>
      </c>
      <c r="G109">
        <v>5.6669999999999998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1089.2280000000001</v>
      </c>
      <c r="C110">
        <v>39.5075</v>
      </c>
      <c r="D110">
        <v>45.581000000000003</v>
      </c>
      <c r="E110">
        <v>46.055799999999998</v>
      </c>
      <c r="F110">
        <v>24192.591</v>
      </c>
      <c r="G110">
        <v>5.0369999999999999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514.44000000000005</v>
      </c>
      <c r="C111">
        <v>37.943899999999999</v>
      </c>
      <c r="D111">
        <v>44.790599999999998</v>
      </c>
      <c r="E111">
        <v>44.473199999999999</v>
      </c>
      <c r="F111">
        <v>12197.918</v>
      </c>
      <c r="G111">
        <v>4.5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233.22</v>
      </c>
      <c r="C112">
        <v>35.8506</v>
      </c>
      <c r="D112">
        <v>43.648800000000001</v>
      </c>
      <c r="E112">
        <v>42.408299999999997</v>
      </c>
      <c r="F112">
        <v>5952.9660000000003</v>
      </c>
      <c r="G112">
        <v>3.774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923.35599999999999</v>
      </c>
      <c r="C113">
        <v>43.543300000000002</v>
      </c>
      <c r="D113">
        <v>47.262599999999999</v>
      </c>
      <c r="E113">
        <v>48.293300000000002</v>
      </c>
      <c r="F113">
        <v>18747.13</v>
      </c>
      <c r="G113">
        <v>4.3550000000000004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507.38</v>
      </c>
      <c r="C114">
        <v>42.272199999999998</v>
      </c>
      <c r="D114">
        <v>46.557299999999998</v>
      </c>
      <c r="E114">
        <v>47.318600000000004</v>
      </c>
      <c r="F114">
        <v>10614.416999999999</v>
      </c>
      <c r="G114">
        <v>4.109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290.42</v>
      </c>
      <c r="C115">
        <v>40.488</v>
      </c>
      <c r="D115">
        <v>45.506399999999999</v>
      </c>
      <c r="E115">
        <v>46.085599999999999</v>
      </c>
      <c r="F115">
        <v>5932.72</v>
      </c>
      <c r="G115">
        <v>3.8610000000000002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162.33199999999999</v>
      </c>
      <c r="C116">
        <v>37.926400000000001</v>
      </c>
      <c r="D116">
        <v>43.824800000000003</v>
      </c>
      <c r="E116">
        <v>44.191499999999998</v>
      </c>
      <c r="F116">
        <v>3416.3780000000002</v>
      </c>
      <c r="G116">
        <v>3.7290000000000001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1284.6679999999999</v>
      </c>
      <c r="C117">
        <v>42.911900000000003</v>
      </c>
      <c r="D117">
        <v>49.027999999999999</v>
      </c>
      <c r="E117">
        <v>48.708399999999997</v>
      </c>
      <c r="F117">
        <v>21831.419000000002</v>
      </c>
      <c r="G117">
        <v>4.2510000000000003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690.58399999999995</v>
      </c>
      <c r="C118">
        <v>41.630899999999997</v>
      </c>
      <c r="D118">
        <v>48.214799999999997</v>
      </c>
      <c r="E118">
        <v>47.700600000000001</v>
      </c>
      <c r="F118">
        <v>12410.425999999999</v>
      </c>
      <c r="G118">
        <v>3.8849999999999998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393.12400000000002</v>
      </c>
      <c r="C119">
        <v>39.759</v>
      </c>
      <c r="D119">
        <v>47.235300000000002</v>
      </c>
      <c r="E119">
        <v>46.269799999999996</v>
      </c>
      <c r="F119">
        <v>7249.3249999999998</v>
      </c>
      <c r="G119">
        <v>3.59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218.89599999999999</v>
      </c>
      <c r="C120">
        <v>37.049300000000002</v>
      </c>
      <c r="D120">
        <v>45.702399999999997</v>
      </c>
      <c r="E120">
        <v>43.949199999999998</v>
      </c>
      <c r="F120">
        <v>4233.4179999999997</v>
      </c>
      <c r="G120">
        <v>3.528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17065.16</v>
      </c>
      <c r="C145">
        <v>40.170299999999997</v>
      </c>
      <c r="D145">
        <v>48.758699999999997</v>
      </c>
      <c r="E145">
        <v>46.671999999999997</v>
      </c>
      <c r="F145">
        <v>206094.57800000001</v>
      </c>
      <c r="G145">
        <v>27.73</v>
      </c>
      <c r="H145">
        <v>0</v>
      </c>
      <c r="I145" t="s">
        <v>597</v>
      </c>
      <c r="J145" t="s">
        <v>598</v>
      </c>
    </row>
    <row r="146" spans="1:10" x14ac:dyDescent="0.25">
      <c r="A146" s="141" t="s">
        <v>255</v>
      </c>
      <c r="B146">
        <v>8439.232</v>
      </c>
      <c r="C146">
        <v>39.565899999999999</v>
      </c>
      <c r="D146">
        <v>47.935099999999998</v>
      </c>
      <c r="E146">
        <v>45.541899999999998</v>
      </c>
      <c r="F146">
        <v>114879.289</v>
      </c>
      <c r="G146">
        <v>24.234999999999999</v>
      </c>
      <c r="H146">
        <v>0</v>
      </c>
      <c r="I146" t="s">
        <v>599</v>
      </c>
      <c r="J146" t="s">
        <v>600</v>
      </c>
    </row>
    <row r="147" spans="1:10" x14ac:dyDescent="0.25">
      <c r="A147" s="141" t="s">
        <v>256</v>
      </c>
      <c r="B147">
        <v>4589.8879999999999</v>
      </c>
      <c r="C147">
        <v>38.575800000000001</v>
      </c>
      <c r="D147">
        <v>46.908999999999999</v>
      </c>
      <c r="E147">
        <v>44.166899999999998</v>
      </c>
      <c r="F147">
        <v>62212.300999999999</v>
      </c>
      <c r="G147">
        <v>21.468</v>
      </c>
      <c r="H147">
        <v>0</v>
      </c>
      <c r="I147" t="s">
        <v>601</v>
      </c>
      <c r="J147" t="s">
        <v>602</v>
      </c>
    </row>
    <row r="148" spans="1:10" x14ac:dyDescent="0.25">
      <c r="A148" s="141" t="s">
        <v>257</v>
      </c>
      <c r="B148">
        <v>2498.64</v>
      </c>
      <c r="C148">
        <v>37.035400000000003</v>
      </c>
      <c r="D148">
        <v>45.574599999999997</v>
      </c>
      <c r="E148">
        <v>42.482700000000001</v>
      </c>
      <c r="F148">
        <v>31988.74</v>
      </c>
      <c r="G148">
        <v>18.443999999999999</v>
      </c>
      <c r="H148">
        <v>0</v>
      </c>
      <c r="I148" t="s">
        <v>603</v>
      </c>
      <c r="J148" t="s">
        <v>604</v>
      </c>
    </row>
    <row r="149" spans="1:10" x14ac:dyDescent="0.25">
      <c r="A149" s="141" t="s">
        <v>258</v>
      </c>
      <c r="B149">
        <v>91093.967999999993</v>
      </c>
      <c r="C149">
        <v>41.734499999999997</v>
      </c>
      <c r="D149">
        <v>36.693899999999999</v>
      </c>
      <c r="E149">
        <v>37.711199999999998</v>
      </c>
      <c r="F149">
        <v>354431.25</v>
      </c>
      <c r="G149">
        <v>31.045999999999999</v>
      </c>
      <c r="H149">
        <v>0</v>
      </c>
      <c r="I149" t="s">
        <v>605</v>
      </c>
      <c r="J149" t="s">
        <v>606</v>
      </c>
    </row>
    <row r="150" spans="1:10" x14ac:dyDescent="0.25">
      <c r="A150" s="141" t="s">
        <v>259</v>
      </c>
      <c r="B150">
        <v>46658.696000000004</v>
      </c>
      <c r="C150">
        <v>38.942</v>
      </c>
      <c r="D150">
        <v>34.415599999999998</v>
      </c>
      <c r="E150">
        <v>35.8035</v>
      </c>
      <c r="F150">
        <v>243925.5</v>
      </c>
      <c r="G150">
        <v>26.986999999999998</v>
      </c>
      <c r="H150">
        <v>0</v>
      </c>
      <c r="I150" t="s">
        <v>607</v>
      </c>
      <c r="J150" t="s">
        <v>608</v>
      </c>
    </row>
    <row r="151" spans="1:10" x14ac:dyDescent="0.25">
      <c r="A151" s="141" t="s">
        <v>260</v>
      </c>
      <c r="B151">
        <v>21681.024000000001</v>
      </c>
      <c r="C151">
        <v>35.844099999999997</v>
      </c>
      <c r="D151">
        <v>32.514299999999999</v>
      </c>
      <c r="E151">
        <v>34.197400000000002</v>
      </c>
      <c r="F151">
        <v>160818.68799999999</v>
      </c>
      <c r="G151">
        <v>21.821000000000002</v>
      </c>
      <c r="H151">
        <v>0</v>
      </c>
      <c r="I151" t="s">
        <v>609</v>
      </c>
      <c r="J151" t="s">
        <v>610</v>
      </c>
    </row>
    <row r="152" spans="1:10" x14ac:dyDescent="0.25">
      <c r="A152" s="141" t="s">
        <v>261</v>
      </c>
      <c r="B152">
        <v>9164.6880000000001</v>
      </c>
      <c r="C152">
        <v>32.823500000000003</v>
      </c>
      <c r="D152">
        <v>30.806899999999999</v>
      </c>
      <c r="E152">
        <v>32.808399999999999</v>
      </c>
      <c r="F152">
        <v>92316.023000000001</v>
      </c>
      <c r="G152">
        <v>18.911999999999999</v>
      </c>
      <c r="H152">
        <v>0</v>
      </c>
      <c r="I152" t="s">
        <v>611</v>
      </c>
      <c r="J152" t="s">
        <v>612</v>
      </c>
    </row>
    <row r="153" spans="1:10" x14ac:dyDescent="0.25">
      <c r="A153" s="141" t="s">
        <v>262</v>
      </c>
      <c r="B153">
        <v>45169.944000000003</v>
      </c>
      <c r="C153">
        <v>38.883200000000002</v>
      </c>
      <c r="D153">
        <v>41.218600000000002</v>
      </c>
      <c r="E153">
        <v>41.493000000000002</v>
      </c>
      <c r="F153">
        <v>187888.375</v>
      </c>
      <c r="G153">
        <v>16.841000000000001</v>
      </c>
      <c r="H153">
        <v>0</v>
      </c>
      <c r="I153" t="s">
        <v>613</v>
      </c>
      <c r="J153" t="s">
        <v>614</v>
      </c>
    </row>
    <row r="154" spans="1:10" x14ac:dyDescent="0.25">
      <c r="A154" s="141" t="s">
        <v>263</v>
      </c>
      <c r="B154">
        <v>22142.824000000001</v>
      </c>
      <c r="C154">
        <v>37.521500000000003</v>
      </c>
      <c r="D154">
        <v>38.651800000000001</v>
      </c>
      <c r="E154">
        <v>40.108499999999999</v>
      </c>
      <c r="F154">
        <v>116327.234</v>
      </c>
      <c r="G154">
        <v>13.765000000000001</v>
      </c>
      <c r="H154">
        <v>0</v>
      </c>
      <c r="I154" t="s">
        <v>615</v>
      </c>
      <c r="J154" t="s">
        <v>616</v>
      </c>
    </row>
    <row r="155" spans="1:10" x14ac:dyDescent="0.25">
      <c r="A155" s="141" t="s">
        <v>264</v>
      </c>
      <c r="B155">
        <v>11574.407999999999</v>
      </c>
      <c r="C155">
        <v>35.969099999999997</v>
      </c>
      <c r="D155">
        <v>36.414299999999997</v>
      </c>
      <c r="E155">
        <v>38.676699999999997</v>
      </c>
      <c r="F155">
        <v>72236.820000000007</v>
      </c>
      <c r="G155">
        <v>11.776</v>
      </c>
      <c r="H155">
        <v>0</v>
      </c>
      <c r="I155" t="s">
        <v>617</v>
      </c>
      <c r="J155" t="s">
        <v>618</v>
      </c>
    </row>
    <row r="156" spans="1:10" x14ac:dyDescent="0.25">
      <c r="A156" s="141" t="s">
        <v>265</v>
      </c>
      <c r="B156">
        <v>5675.2079999999996</v>
      </c>
      <c r="C156">
        <v>34.052599999999998</v>
      </c>
      <c r="D156">
        <v>33.987900000000003</v>
      </c>
      <c r="E156">
        <v>36.923699999999997</v>
      </c>
      <c r="F156">
        <v>43251.391000000003</v>
      </c>
      <c r="G156">
        <v>11.115</v>
      </c>
      <c r="H156">
        <v>0</v>
      </c>
      <c r="I156" t="s">
        <v>619</v>
      </c>
      <c r="J156" t="s">
        <v>620</v>
      </c>
    </row>
    <row r="157" spans="1:10" x14ac:dyDescent="0.25">
      <c r="A157" s="141" t="s">
        <v>266</v>
      </c>
      <c r="B157">
        <v>24478.928</v>
      </c>
      <c r="C157">
        <v>37.5396</v>
      </c>
      <c r="D157">
        <v>45.035600000000002</v>
      </c>
      <c r="E157">
        <v>42.803800000000003</v>
      </c>
      <c r="F157">
        <v>272494.09399999998</v>
      </c>
      <c r="G157">
        <v>26.986999999999998</v>
      </c>
      <c r="H157">
        <v>0</v>
      </c>
      <c r="I157" t="s">
        <v>621</v>
      </c>
      <c r="J157" t="s">
        <v>622</v>
      </c>
    </row>
    <row r="158" spans="1:10" x14ac:dyDescent="0.25">
      <c r="A158" s="141" t="s">
        <v>267</v>
      </c>
      <c r="B158">
        <v>10319.128000000001</v>
      </c>
      <c r="C158">
        <v>36.916200000000003</v>
      </c>
      <c r="D158">
        <v>44.381700000000002</v>
      </c>
      <c r="E158">
        <v>42.090499999999999</v>
      </c>
      <c r="F158">
        <v>151291.25</v>
      </c>
      <c r="G158">
        <v>22.512</v>
      </c>
      <c r="H158">
        <v>0</v>
      </c>
      <c r="I158" t="s">
        <v>623</v>
      </c>
      <c r="J158" t="s">
        <v>624</v>
      </c>
    </row>
    <row r="159" spans="1:10" x14ac:dyDescent="0.25">
      <c r="A159" s="141" t="s">
        <v>268</v>
      </c>
      <c r="B159">
        <v>5152.3119999999999</v>
      </c>
      <c r="C159">
        <v>35.906999999999996</v>
      </c>
      <c r="D159">
        <v>43.449100000000001</v>
      </c>
      <c r="E159">
        <v>41.122</v>
      </c>
      <c r="F159">
        <v>82699.125</v>
      </c>
      <c r="G159">
        <v>19.317</v>
      </c>
      <c r="H159">
        <v>0</v>
      </c>
      <c r="I159" t="s">
        <v>625</v>
      </c>
      <c r="J159" t="s">
        <v>626</v>
      </c>
    </row>
    <row r="160" spans="1:10" x14ac:dyDescent="0.25">
      <c r="A160" s="141" t="s">
        <v>269</v>
      </c>
      <c r="B160">
        <v>2562.0720000000001</v>
      </c>
      <c r="C160">
        <v>34.332500000000003</v>
      </c>
      <c r="D160">
        <v>42.166499999999999</v>
      </c>
      <c r="E160">
        <v>39.999899999999997</v>
      </c>
      <c r="F160">
        <v>41995.226999999999</v>
      </c>
      <c r="G160">
        <v>14.916</v>
      </c>
      <c r="H160">
        <v>0</v>
      </c>
      <c r="I160" t="s">
        <v>627</v>
      </c>
      <c r="J160" t="s">
        <v>628</v>
      </c>
    </row>
    <row r="161" spans="1:10" x14ac:dyDescent="0.25">
      <c r="A161" s="141" t="s">
        <v>142</v>
      </c>
      <c r="B161">
        <v>7974.0640000000003</v>
      </c>
      <c r="C161">
        <v>38.024000000000001</v>
      </c>
      <c r="D161">
        <v>39.740499999999997</v>
      </c>
      <c r="E161">
        <v>42.824599999999997</v>
      </c>
      <c r="F161">
        <v>307671.09399999998</v>
      </c>
      <c r="G161">
        <v>24.260999999999999</v>
      </c>
      <c r="H161">
        <v>0</v>
      </c>
      <c r="I161" t="s">
        <v>629</v>
      </c>
      <c r="J161" t="s">
        <v>630</v>
      </c>
    </row>
    <row r="162" spans="1:10" x14ac:dyDescent="0.25">
      <c r="A162" s="141" t="s">
        <v>143</v>
      </c>
      <c r="B162">
        <v>3757.0223999999998</v>
      </c>
      <c r="C162">
        <v>36.681100000000001</v>
      </c>
      <c r="D162">
        <v>39.103000000000002</v>
      </c>
      <c r="E162">
        <v>41.668500000000002</v>
      </c>
      <c r="F162">
        <v>194177.82800000001</v>
      </c>
      <c r="G162">
        <v>20.218</v>
      </c>
      <c r="H162">
        <v>0</v>
      </c>
      <c r="I162" t="s">
        <v>631</v>
      </c>
      <c r="J162" t="s">
        <v>632</v>
      </c>
    </row>
    <row r="163" spans="1:10" x14ac:dyDescent="0.25">
      <c r="A163" s="141" t="s">
        <v>144</v>
      </c>
      <c r="B163">
        <v>1842.864</v>
      </c>
      <c r="C163">
        <v>34.8125</v>
      </c>
      <c r="D163">
        <v>38.286999999999999</v>
      </c>
      <c r="E163">
        <v>40.167400000000001</v>
      </c>
      <c r="F163">
        <v>115628.43799999999</v>
      </c>
      <c r="G163">
        <v>16.305</v>
      </c>
      <c r="H163">
        <v>0</v>
      </c>
      <c r="I163" t="s">
        <v>633</v>
      </c>
      <c r="J163" t="s">
        <v>634</v>
      </c>
    </row>
    <row r="164" spans="1:10" x14ac:dyDescent="0.25">
      <c r="A164" s="141" t="s">
        <v>145</v>
      </c>
      <c r="B164">
        <v>881.17920000000004</v>
      </c>
      <c r="C164">
        <v>32.497900000000001</v>
      </c>
      <c r="D164">
        <v>37.2562</v>
      </c>
      <c r="E164">
        <v>38.515099999999997</v>
      </c>
      <c r="F164">
        <v>67423.351999999999</v>
      </c>
      <c r="G164">
        <v>13.609</v>
      </c>
      <c r="H164">
        <v>0</v>
      </c>
      <c r="I164" t="s">
        <v>635</v>
      </c>
      <c r="J164" t="s">
        <v>636</v>
      </c>
    </row>
    <row r="165" spans="1:10" x14ac:dyDescent="0.25">
      <c r="A165" s="141" t="s">
        <v>146</v>
      </c>
      <c r="B165">
        <v>9100.0064000000002</v>
      </c>
      <c r="C165">
        <v>38.740499999999997</v>
      </c>
      <c r="D165">
        <v>43.689100000000003</v>
      </c>
      <c r="E165">
        <v>44.625900000000001</v>
      </c>
      <c r="F165">
        <v>344808.59399999998</v>
      </c>
      <c r="G165">
        <v>31.795999999999999</v>
      </c>
      <c r="H165">
        <v>0</v>
      </c>
      <c r="I165" t="s">
        <v>637</v>
      </c>
      <c r="J165" t="s">
        <v>638</v>
      </c>
    </row>
    <row r="166" spans="1:10" x14ac:dyDescent="0.25">
      <c r="A166" s="141" t="s">
        <v>147</v>
      </c>
      <c r="B166">
        <v>4701.5856000000003</v>
      </c>
      <c r="C166">
        <v>37.535200000000003</v>
      </c>
      <c r="D166">
        <v>42.711799999999997</v>
      </c>
      <c r="E166">
        <v>43.118600000000001</v>
      </c>
      <c r="F166">
        <v>216006.54699999999</v>
      </c>
      <c r="G166">
        <v>26.111000000000001</v>
      </c>
      <c r="H166">
        <v>0</v>
      </c>
      <c r="I166" t="s">
        <v>639</v>
      </c>
      <c r="J166" t="s">
        <v>640</v>
      </c>
    </row>
    <row r="167" spans="1:10" x14ac:dyDescent="0.25">
      <c r="A167" s="141" t="s">
        <v>148</v>
      </c>
      <c r="B167">
        <v>2398.8303999999998</v>
      </c>
      <c r="C167">
        <v>35.858800000000002</v>
      </c>
      <c r="D167">
        <v>41.485199999999999</v>
      </c>
      <c r="E167">
        <v>41.386899999999997</v>
      </c>
      <c r="F167">
        <v>127756.70299999999</v>
      </c>
      <c r="G167">
        <v>21.63</v>
      </c>
      <c r="H167">
        <v>0</v>
      </c>
      <c r="I167" t="s">
        <v>641</v>
      </c>
      <c r="J167" t="s">
        <v>642</v>
      </c>
    </row>
    <row r="168" spans="1:10" x14ac:dyDescent="0.25">
      <c r="A168" s="141" t="s">
        <v>149</v>
      </c>
      <c r="B168">
        <v>1188.3664000000001</v>
      </c>
      <c r="C168">
        <v>33.764400000000002</v>
      </c>
      <c r="D168">
        <v>40.105899999999998</v>
      </c>
      <c r="E168">
        <v>39.4739</v>
      </c>
      <c r="F168">
        <v>70994.008000000002</v>
      </c>
      <c r="G168">
        <v>18.248000000000001</v>
      </c>
      <c r="H168">
        <v>0</v>
      </c>
      <c r="I168" t="s">
        <v>643</v>
      </c>
      <c r="J168" t="s">
        <v>644</v>
      </c>
    </row>
    <row r="169" spans="1:10" x14ac:dyDescent="0.25">
      <c r="A169" s="141" t="s">
        <v>270</v>
      </c>
      <c r="B169">
        <v>6359.3728000000001</v>
      </c>
      <c r="C169">
        <v>39.834200000000003</v>
      </c>
      <c r="D169">
        <v>43.800400000000003</v>
      </c>
      <c r="E169">
        <v>44.509900000000002</v>
      </c>
      <c r="F169">
        <v>304111.15600000002</v>
      </c>
      <c r="G169">
        <v>31.309000000000001</v>
      </c>
      <c r="H169">
        <v>0</v>
      </c>
      <c r="I169" t="s">
        <v>645</v>
      </c>
      <c r="J169" t="s">
        <v>646</v>
      </c>
    </row>
    <row r="170" spans="1:10" x14ac:dyDescent="0.25">
      <c r="A170" s="141" t="s">
        <v>271</v>
      </c>
      <c r="B170">
        <v>3027.0576000000001</v>
      </c>
      <c r="C170">
        <v>38.536200000000001</v>
      </c>
      <c r="D170">
        <v>42.935699999999997</v>
      </c>
      <c r="E170">
        <v>43.661799999999999</v>
      </c>
      <c r="F170">
        <v>180363.125</v>
      </c>
      <c r="G170">
        <v>25.204999999999998</v>
      </c>
      <c r="H170">
        <v>0</v>
      </c>
      <c r="I170" t="s">
        <v>647</v>
      </c>
      <c r="J170" t="s">
        <v>648</v>
      </c>
    </row>
    <row r="171" spans="1:10" x14ac:dyDescent="0.25">
      <c r="A171" s="141" t="s">
        <v>272</v>
      </c>
      <c r="B171">
        <v>1460.8784000000001</v>
      </c>
      <c r="C171">
        <v>36.723500000000001</v>
      </c>
      <c r="D171">
        <v>41.8521</v>
      </c>
      <c r="E171">
        <v>42.433399999999999</v>
      </c>
      <c r="F171">
        <v>99690.766000000003</v>
      </c>
      <c r="G171">
        <v>20.553000000000001</v>
      </c>
      <c r="H171">
        <v>0</v>
      </c>
      <c r="I171" t="s">
        <v>649</v>
      </c>
      <c r="J171" t="s">
        <v>650</v>
      </c>
    </row>
    <row r="172" spans="1:10" x14ac:dyDescent="0.25">
      <c r="A172" s="141" t="s">
        <v>273</v>
      </c>
      <c r="B172">
        <v>685.92639999999994</v>
      </c>
      <c r="C172">
        <v>34.423400000000001</v>
      </c>
      <c r="D172">
        <v>40.666699999999999</v>
      </c>
      <c r="E172">
        <v>41.063800000000001</v>
      </c>
      <c r="F172">
        <v>54215.809000000001</v>
      </c>
      <c r="G172">
        <v>17.919</v>
      </c>
      <c r="H172">
        <v>0</v>
      </c>
      <c r="I172" t="s">
        <v>651</v>
      </c>
      <c r="J172" t="s">
        <v>652</v>
      </c>
    </row>
    <row r="173" spans="1:10" x14ac:dyDescent="0.25">
      <c r="A173" s="141" t="s">
        <v>274</v>
      </c>
      <c r="B173">
        <v>6706.32</v>
      </c>
      <c r="C173">
        <v>43.388300000000001</v>
      </c>
      <c r="D173">
        <v>46.719799999999999</v>
      </c>
      <c r="E173">
        <v>47.328000000000003</v>
      </c>
      <c r="F173">
        <v>258146.484</v>
      </c>
      <c r="G173">
        <v>32.554000000000002</v>
      </c>
      <c r="H173">
        <v>0</v>
      </c>
      <c r="I173" t="s">
        <v>653</v>
      </c>
      <c r="J173" t="s">
        <v>654</v>
      </c>
    </row>
    <row r="174" spans="1:10" x14ac:dyDescent="0.25">
      <c r="A174" s="141" t="s">
        <v>275</v>
      </c>
      <c r="B174">
        <v>4083.1871999999998</v>
      </c>
      <c r="C174">
        <v>41.076599999999999</v>
      </c>
      <c r="D174">
        <v>45.272799999999997</v>
      </c>
      <c r="E174">
        <v>45.637</v>
      </c>
      <c r="F174">
        <v>180995.70300000001</v>
      </c>
      <c r="G174">
        <v>27.943999999999999</v>
      </c>
      <c r="H174">
        <v>0</v>
      </c>
      <c r="I174" t="s">
        <v>655</v>
      </c>
      <c r="J174" t="s">
        <v>656</v>
      </c>
    </row>
    <row r="175" spans="1:10" x14ac:dyDescent="0.25">
      <c r="A175" s="141" t="s">
        <v>276</v>
      </c>
      <c r="B175">
        <v>2258.2303999999999</v>
      </c>
      <c r="C175">
        <v>38.271799999999999</v>
      </c>
      <c r="D175">
        <v>43.613199999999999</v>
      </c>
      <c r="E175">
        <v>43.7654</v>
      </c>
      <c r="F175">
        <v>113815.969</v>
      </c>
      <c r="G175">
        <v>23.722000000000001</v>
      </c>
      <c r="H175">
        <v>0</v>
      </c>
      <c r="I175" t="s">
        <v>657</v>
      </c>
      <c r="J175" t="s">
        <v>658</v>
      </c>
    </row>
    <row r="176" spans="1:10" x14ac:dyDescent="0.25">
      <c r="A176" s="141" t="s">
        <v>277</v>
      </c>
      <c r="B176">
        <v>1173.6768</v>
      </c>
      <c r="C176">
        <v>35.311300000000003</v>
      </c>
      <c r="D176">
        <v>41.995199999999997</v>
      </c>
      <c r="E176">
        <v>41.913800000000002</v>
      </c>
      <c r="F176">
        <v>67002.031000000003</v>
      </c>
      <c r="G176">
        <v>19.946000000000002</v>
      </c>
      <c r="H176">
        <v>0</v>
      </c>
      <c r="I176" t="s">
        <v>659</v>
      </c>
      <c r="J176" t="s">
        <v>660</v>
      </c>
    </row>
    <row r="177" spans="1:10" x14ac:dyDescent="0.25">
      <c r="A177" s="141" t="s">
        <v>150</v>
      </c>
      <c r="B177" s="71">
        <v>4672.16</v>
      </c>
      <c r="C177" s="71">
        <v>38.455300000000001</v>
      </c>
      <c r="D177" s="71">
        <v>45.5182</v>
      </c>
      <c r="E177" s="71">
        <v>45.734999999999999</v>
      </c>
      <c r="F177" s="71">
        <v>179305.96900000001</v>
      </c>
      <c r="G177" s="71">
        <v>14.041</v>
      </c>
      <c r="H177">
        <v>0</v>
      </c>
      <c r="I177" t="s">
        <v>661</v>
      </c>
      <c r="J177" t="s">
        <v>662</v>
      </c>
    </row>
    <row r="178" spans="1:10" x14ac:dyDescent="0.25">
      <c r="A178" s="141" t="s">
        <v>151</v>
      </c>
      <c r="B178" s="71">
        <v>1633.1264000000001</v>
      </c>
      <c r="C178" s="71">
        <v>36.459299999999999</v>
      </c>
      <c r="D178" s="71">
        <v>44.537500000000001</v>
      </c>
      <c r="E178" s="71">
        <v>44.762700000000002</v>
      </c>
      <c r="F178" s="71">
        <v>91523.108999999997</v>
      </c>
      <c r="G178" s="71">
        <v>10.073</v>
      </c>
      <c r="H178">
        <v>0</v>
      </c>
      <c r="I178" t="s">
        <v>663</v>
      </c>
      <c r="J178" t="s">
        <v>664</v>
      </c>
    </row>
    <row r="179" spans="1:10" x14ac:dyDescent="0.25">
      <c r="A179" s="141" t="s">
        <v>152</v>
      </c>
      <c r="B179" s="71">
        <v>653.54560000000004</v>
      </c>
      <c r="C179" s="71">
        <v>34.033000000000001</v>
      </c>
      <c r="D179" s="71">
        <v>43.206699999999998</v>
      </c>
      <c r="E179" s="71">
        <v>43.370699999999999</v>
      </c>
      <c r="F179" s="71">
        <v>51336.449000000001</v>
      </c>
      <c r="G179" s="71">
        <v>8.1140000000000008</v>
      </c>
      <c r="H179">
        <v>0</v>
      </c>
      <c r="I179" t="s">
        <v>665</v>
      </c>
      <c r="J179" t="s">
        <v>666</v>
      </c>
    </row>
    <row r="180" spans="1:10" x14ac:dyDescent="0.25">
      <c r="A180" s="141" t="s">
        <v>153</v>
      </c>
      <c r="B180" s="71">
        <v>274.15519999999998</v>
      </c>
      <c r="C180" s="71">
        <v>31.017700000000001</v>
      </c>
      <c r="D180" s="71">
        <v>41.856499999999997</v>
      </c>
      <c r="E180" s="71">
        <v>42.025799999999997</v>
      </c>
      <c r="F180" s="71">
        <v>29353.021000000001</v>
      </c>
      <c r="G180" s="71">
        <v>6.4530000000000003</v>
      </c>
      <c r="H180">
        <v>0</v>
      </c>
      <c r="I180" t="s">
        <v>667</v>
      </c>
      <c r="J180" t="s">
        <v>668</v>
      </c>
    </row>
    <row r="181" spans="1:10" x14ac:dyDescent="0.25">
      <c r="A181" s="141" t="s">
        <v>154</v>
      </c>
      <c r="B181" s="71">
        <v>3771.4207999999999</v>
      </c>
      <c r="C181" s="71">
        <v>40.531199999999998</v>
      </c>
      <c r="D181" s="71">
        <v>45.2605</v>
      </c>
      <c r="E181" s="71">
        <v>46.064100000000003</v>
      </c>
      <c r="F181" s="71">
        <v>153917.78099999999</v>
      </c>
      <c r="G181" s="71">
        <v>14.826000000000001</v>
      </c>
      <c r="H181">
        <v>0</v>
      </c>
      <c r="I181" t="s">
        <v>669</v>
      </c>
      <c r="J181" t="s">
        <v>670</v>
      </c>
    </row>
    <row r="182" spans="1:10" x14ac:dyDescent="0.25">
      <c r="A182" s="141" t="s">
        <v>155</v>
      </c>
      <c r="B182" s="71">
        <v>1704.0047999999999</v>
      </c>
      <c r="C182" s="71">
        <v>38.880699999999997</v>
      </c>
      <c r="D182" s="71">
        <v>44.443199999999997</v>
      </c>
      <c r="E182" s="71">
        <v>44.502200000000002</v>
      </c>
      <c r="F182" s="71">
        <v>90463.983999999997</v>
      </c>
      <c r="G182" s="71">
        <v>12.24</v>
      </c>
      <c r="H182">
        <v>0</v>
      </c>
      <c r="I182" t="s">
        <v>671</v>
      </c>
      <c r="J182" t="s">
        <v>672</v>
      </c>
    </row>
    <row r="183" spans="1:10" x14ac:dyDescent="0.25">
      <c r="A183" s="141" t="s">
        <v>156</v>
      </c>
      <c r="B183" s="71">
        <v>813.98720000000003</v>
      </c>
      <c r="C183" s="71">
        <v>36.9101</v>
      </c>
      <c r="D183" s="71">
        <v>43.388300000000001</v>
      </c>
      <c r="E183" s="71">
        <v>42.710099999999997</v>
      </c>
      <c r="F183" s="71">
        <v>50197.358999999997</v>
      </c>
      <c r="G183" s="71">
        <v>9.6649999999999991</v>
      </c>
      <c r="H183">
        <v>0</v>
      </c>
      <c r="I183" t="s">
        <v>673</v>
      </c>
      <c r="J183" t="s">
        <v>674</v>
      </c>
    </row>
    <row r="184" spans="1:10" x14ac:dyDescent="0.25">
      <c r="A184" s="141" t="s">
        <v>157</v>
      </c>
      <c r="B184" s="71">
        <v>381.16160000000002</v>
      </c>
      <c r="C184" s="71">
        <v>34.671700000000001</v>
      </c>
      <c r="D184" s="71">
        <v>42.1173</v>
      </c>
      <c r="E184" s="71">
        <v>40.676200000000001</v>
      </c>
      <c r="F184" s="71">
        <v>26502.773000000001</v>
      </c>
      <c r="G184" s="71">
        <v>7.8369999999999997</v>
      </c>
      <c r="H184">
        <v>0</v>
      </c>
      <c r="I184" t="s">
        <v>675</v>
      </c>
      <c r="J184" t="s">
        <v>676</v>
      </c>
    </row>
    <row r="185" spans="1:10" x14ac:dyDescent="0.25">
      <c r="A185" s="141" t="s">
        <v>158</v>
      </c>
      <c r="B185" s="71">
        <v>916.11360000000002</v>
      </c>
      <c r="C185" s="71">
        <v>42.970300000000002</v>
      </c>
      <c r="D185" s="71">
        <v>46.778199999999998</v>
      </c>
      <c r="E185" s="71">
        <v>47.613100000000003</v>
      </c>
      <c r="F185" s="71">
        <v>59843.288999999997</v>
      </c>
      <c r="G185" s="71">
        <v>7.9489999999999998</v>
      </c>
      <c r="H185">
        <v>0</v>
      </c>
      <c r="I185" t="s">
        <v>677</v>
      </c>
      <c r="J185" t="s">
        <v>678</v>
      </c>
    </row>
    <row r="186" spans="1:10" x14ac:dyDescent="0.25">
      <c r="A186" s="141" t="s">
        <v>159</v>
      </c>
      <c r="B186" s="71">
        <v>468.88</v>
      </c>
      <c r="C186" s="71">
        <v>41.299199999999999</v>
      </c>
      <c r="D186" s="71">
        <v>45.979500000000002</v>
      </c>
      <c r="E186" s="71">
        <v>46.565800000000003</v>
      </c>
      <c r="F186" s="71">
        <v>35519.434000000001</v>
      </c>
      <c r="G186" s="71">
        <v>6.5289999999999999</v>
      </c>
      <c r="H186">
        <v>0</v>
      </c>
      <c r="I186" t="s">
        <v>679</v>
      </c>
      <c r="J186" t="s">
        <v>680</v>
      </c>
    </row>
    <row r="187" spans="1:10" x14ac:dyDescent="0.25">
      <c r="A187" s="141" t="s">
        <v>160</v>
      </c>
      <c r="B187" s="71">
        <v>249.17599999999999</v>
      </c>
      <c r="C187" s="71">
        <v>39.078200000000002</v>
      </c>
      <c r="D187" s="71">
        <v>44.812899999999999</v>
      </c>
      <c r="E187" s="71">
        <v>45.180799999999998</v>
      </c>
      <c r="F187" s="71">
        <v>20380.098000000002</v>
      </c>
      <c r="G187" s="71">
        <v>5.3159999999999998</v>
      </c>
      <c r="H187">
        <v>0</v>
      </c>
      <c r="I187" t="s">
        <v>681</v>
      </c>
      <c r="J187" t="s">
        <v>682</v>
      </c>
    </row>
    <row r="188" spans="1:10" x14ac:dyDescent="0.25">
      <c r="A188" s="141" t="s">
        <v>161</v>
      </c>
      <c r="B188" s="71">
        <v>135.65280000000001</v>
      </c>
      <c r="C188" s="71">
        <v>36.315800000000003</v>
      </c>
      <c r="D188" s="71">
        <v>43.097000000000001</v>
      </c>
      <c r="E188" s="71">
        <v>43.134399999999999</v>
      </c>
      <c r="F188" s="71">
        <v>11894.49</v>
      </c>
      <c r="G188" s="71">
        <v>5.0910000000000002</v>
      </c>
      <c r="H188">
        <v>0</v>
      </c>
      <c r="I188" t="s">
        <v>683</v>
      </c>
      <c r="J188" t="s">
        <v>684</v>
      </c>
    </row>
    <row r="189" spans="1:10" x14ac:dyDescent="0.25">
      <c r="A189" s="141" t="s">
        <v>162</v>
      </c>
      <c r="B189" s="71">
        <v>1257.6079999999999</v>
      </c>
      <c r="C189" s="71">
        <v>42.679699999999997</v>
      </c>
      <c r="D189" s="71">
        <v>48.569600000000001</v>
      </c>
      <c r="E189" s="71">
        <v>47.538699999999999</v>
      </c>
      <c r="F189" s="71">
        <v>65254.336000000003</v>
      </c>
      <c r="G189" s="71">
        <v>9.0879999999999992</v>
      </c>
      <c r="H189">
        <v>0</v>
      </c>
      <c r="I189" t="s">
        <v>685</v>
      </c>
      <c r="J189" t="s">
        <v>686</v>
      </c>
    </row>
    <row r="190" spans="1:10" x14ac:dyDescent="0.25">
      <c r="A190" s="141" t="s">
        <v>163</v>
      </c>
      <c r="B190" s="71">
        <v>606.24</v>
      </c>
      <c r="C190" s="71">
        <v>40.9084</v>
      </c>
      <c r="D190" s="71">
        <v>47.789000000000001</v>
      </c>
      <c r="E190" s="71">
        <v>46.997900000000001</v>
      </c>
      <c r="F190" s="71">
        <v>37871.184000000001</v>
      </c>
      <c r="G190" s="71">
        <v>6.8639999999999999</v>
      </c>
      <c r="H190">
        <v>0</v>
      </c>
      <c r="I190" t="s">
        <v>687</v>
      </c>
      <c r="J190" t="s">
        <v>688</v>
      </c>
    </row>
    <row r="191" spans="1:10" x14ac:dyDescent="0.25">
      <c r="A191" s="141" t="s">
        <v>164</v>
      </c>
      <c r="B191" s="71">
        <v>322.63040000000001</v>
      </c>
      <c r="C191" s="71">
        <v>38.531599999999997</v>
      </c>
      <c r="D191" s="71">
        <v>46.6676</v>
      </c>
      <c r="E191" s="71">
        <v>45.469099999999997</v>
      </c>
      <c r="F191" s="71">
        <v>22093.782999999999</v>
      </c>
      <c r="G191" s="71">
        <v>5.7939999999999996</v>
      </c>
      <c r="H191">
        <v>0</v>
      </c>
      <c r="I191" t="s">
        <v>689</v>
      </c>
      <c r="J191" t="s">
        <v>690</v>
      </c>
    </row>
    <row r="192" spans="1:10" x14ac:dyDescent="0.25">
      <c r="A192" s="141" t="s">
        <v>165</v>
      </c>
      <c r="B192" s="71">
        <v>176.17439999999999</v>
      </c>
      <c r="C192" s="71">
        <v>35.439100000000003</v>
      </c>
      <c r="D192" s="71">
        <v>45.239800000000002</v>
      </c>
      <c r="E192" s="71">
        <v>43.346499999999999</v>
      </c>
      <c r="F192" s="71">
        <v>13556.214</v>
      </c>
      <c r="G192" s="71">
        <v>5.3639999999999999</v>
      </c>
      <c r="H192">
        <v>0</v>
      </c>
      <c r="I192" t="s">
        <v>691</v>
      </c>
      <c r="J192" t="s">
        <v>692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2022-03-11T02:27:08Z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