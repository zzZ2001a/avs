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futl\work\ByteDance\Test_Try\hpm1\res\"/>
    </mc:Choice>
  </mc:AlternateContent>
  <xr:revisionPtr revIDLastSave="0" documentId="13_ncr:1_{9EFD14DD-F151-4078-92D7-6951F664D43B}" xr6:coauthVersionLast="47" xr6:coauthVersionMax="47" xr10:uidLastSave="{00000000-0000-0000-0000-000000000000}"/>
  <bookViews>
    <workbookView xWindow="-108" yWindow="-108" windowWidth="23256" windowHeight="12576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9" l="1"/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J24" i="25" s="1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J48" i="25" s="1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J4" i="25" s="1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J12" i="25" s="1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J22" i="25" s="1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J37" i="25" s="1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J47" i="25" s="1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J47" i="20" s="1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J50" i="20" s="1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8" i="29"/>
  <c r="S31" i="29"/>
  <c r="M12" i="30" s="1"/>
  <c r="J31" i="29"/>
  <c r="J10" i="25"/>
  <c r="R25" i="29"/>
  <c r="AA71" i="20"/>
  <c r="AA47" i="29"/>
  <c r="Y7" i="29"/>
  <c r="AA43" i="20"/>
  <c r="Y15" i="25"/>
  <c r="AA67" i="29"/>
  <c r="Z31" i="29"/>
  <c r="AA67" i="20"/>
  <c r="V7" i="29"/>
  <c r="X47" i="25"/>
  <c r="Y67" i="20"/>
  <c r="Z71" i="29"/>
  <c r="V15" i="25"/>
  <c r="Z31" i="27"/>
  <c r="X55" i="25"/>
  <c r="Z27" i="29"/>
  <c r="W59" i="29"/>
  <c r="W35" i="29"/>
  <c r="Z47" i="25"/>
  <c r="AA47" i="27"/>
  <c r="X19" i="25"/>
  <c r="V67" i="27"/>
  <c r="Z71" i="25"/>
  <c r="Y55" i="27"/>
  <c r="X7" i="25"/>
  <c r="AA51" i="27"/>
  <c r="X11" i="25"/>
  <c r="AA7" i="20"/>
  <c r="Z71" i="27"/>
  <c r="X51" i="27"/>
  <c r="AA23" i="27"/>
  <c r="Z67" i="29"/>
  <c r="Y67" i="25"/>
  <c r="X7" i="20"/>
  <c r="Z43" i="27"/>
  <c r="Y19" i="20"/>
  <c r="V23" i="29"/>
  <c r="AA23" i="25"/>
  <c r="X19" i="27"/>
  <c r="W55" i="25"/>
  <c r="X43" i="20"/>
  <c r="W23" i="29"/>
  <c r="Z3" i="29"/>
  <c r="W63" i="20"/>
  <c r="Y67" i="27"/>
  <c r="AA15" i="20"/>
  <c r="W35" i="25"/>
  <c r="X43" i="27"/>
  <c r="V7" i="27"/>
  <c r="Z55" i="25"/>
  <c r="Z11" i="25"/>
  <c r="X39" i="27"/>
  <c r="X43" i="25"/>
  <c r="W11" i="25"/>
  <c r="W55" i="20"/>
  <c r="Y71" i="27"/>
  <c r="W67" i="27"/>
  <c r="W71" i="25"/>
  <c r="W19" i="20"/>
  <c r="AA35" i="25"/>
  <c r="Z39" i="27"/>
  <c r="V51" i="20"/>
  <c r="W39" i="20"/>
  <c r="Z51" i="20"/>
  <c r="Y63" i="20"/>
  <c r="Y15" i="29"/>
  <c r="W7" i="29"/>
  <c r="X27" i="20"/>
  <c r="Y43" i="25"/>
  <c r="Y27" i="25"/>
  <c r="W15" i="27"/>
  <c r="W43" i="25"/>
  <c r="Y7" i="20"/>
  <c r="W3" i="29"/>
  <c r="V55" i="27"/>
  <c r="AA59" i="20"/>
  <c r="W51" i="20"/>
  <c r="AA51" i="25"/>
  <c r="V19" i="27"/>
  <c r="X15" i="27"/>
  <c r="X59" i="27"/>
  <c r="AA59" i="27"/>
  <c r="X3" i="20"/>
  <c r="AA7" i="27"/>
  <c r="Z27" i="20"/>
  <c r="X59" i="25"/>
  <c r="Z63" i="20"/>
  <c r="Z15" i="29"/>
  <c r="AA19" i="29"/>
  <c r="X11" i="20"/>
  <c r="V19" i="25"/>
  <c r="V39" i="27"/>
  <c r="Y51" i="27"/>
  <c r="X55" i="27"/>
  <c r="Y19" i="25"/>
  <c r="W3" i="25"/>
  <c r="V59" i="25"/>
  <c r="AA27" i="29"/>
  <c r="V51" i="29"/>
  <c r="Z51" i="29"/>
  <c r="V47" i="29"/>
  <c r="V43" i="20"/>
  <c r="W39" i="25"/>
  <c r="Z19" i="27"/>
  <c r="X47" i="27"/>
  <c r="V67" i="20"/>
  <c r="V15" i="27"/>
  <c r="Y23" i="27"/>
  <c r="Z51" i="25"/>
  <c r="Y59" i="20"/>
  <c r="V55" i="29"/>
  <c r="V31" i="20"/>
  <c r="Z27" i="25"/>
  <c r="Y15" i="27"/>
  <c r="X39" i="20"/>
  <c r="W31" i="25"/>
  <c r="Z23" i="25"/>
  <c r="AA55" i="29"/>
  <c r="AA43" i="29"/>
  <c r="AA63" i="29"/>
  <c r="V39" i="20"/>
  <c r="V35" i="25"/>
  <c r="W31" i="27"/>
  <c r="Y47" i="27"/>
  <c r="X15" i="25"/>
  <c r="AA47" i="25"/>
  <c r="W55" i="29"/>
  <c r="V31" i="29"/>
  <c r="Y71" i="20"/>
  <c r="W11" i="20"/>
  <c r="Z3" i="25"/>
  <c r="AA19" i="27"/>
  <c r="Z51" i="27"/>
  <c r="Z67" i="27"/>
  <c r="V71" i="27"/>
  <c r="Z35" i="20"/>
  <c r="Z59" i="29"/>
  <c r="Y35" i="20"/>
  <c r="X55" i="29"/>
  <c r="V71" i="25"/>
  <c r="W11" i="29"/>
  <c r="Y43" i="20"/>
  <c r="V47" i="20"/>
  <c r="W27" i="25"/>
  <c r="W19" i="27"/>
  <c r="Z59" i="20"/>
  <c r="X63" i="25"/>
  <c r="W15" i="25"/>
  <c r="W3" i="27"/>
  <c r="Z7" i="20"/>
  <c r="V63" i="20"/>
  <c r="Y59" i="29"/>
  <c r="AA55" i="20"/>
  <c r="AA27" i="20"/>
  <c r="Y31" i="20"/>
  <c r="Y31" i="25"/>
  <c r="V23" i="27"/>
  <c r="W39" i="27"/>
  <c r="X67" i="27"/>
  <c r="W35" i="27"/>
  <c r="Y63" i="27"/>
  <c r="W47" i="27"/>
  <c r="Z7" i="27"/>
  <c r="AA7" i="25"/>
  <c r="Y43" i="29"/>
  <c r="X35" i="20"/>
  <c r="X51" i="29"/>
  <c r="Z31" i="25"/>
  <c r="Z15" i="27"/>
  <c r="AA3" i="20"/>
  <c r="AA3" i="29"/>
  <c r="Z35" i="29"/>
  <c r="V3" i="27"/>
  <c r="V47" i="27"/>
  <c r="Z47" i="29"/>
  <c r="V55" i="20"/>
  <c r="V71" i="20"/>
  <c r="X27" i="29"/>
  <c r="X15" i="20"/>
  <c r="V27" i="25"/>
  <c r="W63" i="25"/>
  <c r="W47" i="20"/>
  <c r="V43" i="27"/>
  <c r="W23" i="27"/>
  <c r="W67" i="20"/>
  <c r="Z63" i="25"/>
  <c r="AA51" i="29"/>
  <c r="W7" i="20"/>
  <c r="AA43" i="25"/>
  <c r="W11" i="27"/>
  <c r="Y11" i="27"/>
  <c r="Y43" i="27"/>
  <c r="Y11" i="25"/>
  <c r="W19" i="29"/>
  <c r="X47" i="29"/>
  <c r="W71" i="20"/>
  <c r="X51" i="20"/>
  <c r="W19" i="25"/>
  <c r="V27" i="27"/>
  <c r="W59" i="25"/>
  <c r="W51" i="29"/>
  <c r="Y3" i="29"/>
  <c r="AA47" i="20"/>
  <c r="AA59" i="29"/>
  <c r="AA39" i="25"/>
  <c r="X23" i="29"/>
  <c r="W31" i="29"/>
  <c r="AA67" i="27"/>
  <c r="W23" i="20"/>
  <c r="Z43" i="20"/>
  <c r="Z15" i="25"/>
  <c r="X11" i="27"/>
  <c r="X71" i="25"/>
  <c r="V55" i="25"/>
  <c r="X3" i="27"/>
  <c r="V51" i="27"/>
  <c r="Y3" i="20"/>
  <c r="X19" i="29"/>
  <c r="Y27" i="29"/>
  <c r="Z67" i="20"/>
  <c r="X47" i="20"/>
  <c r="Z39" i="20"/>
  <c r="Y35" i="25"/>
  <c r="W27" i="27"/>
  <c r="Z55" i="27"/>
  <c r="AA11" i="20"/>
  <c r="X7" i="27"/>
  <c r="AA63" i="20"/>
  <c r="W51" i="27"/>
  <c r="AA63" i="25"/>
  <c r="AA59" i="25"/>
  <c r="Z63" i="29"/>
  <c r="Y51" i="25"/>
  <c r="V35" i="20"/>
  <c r="AA71" i="25"/>
  <c r="Y27" i="20"/>
  <c r="AA15" i="25"/>
  <c r="Z71" i="20"/>
  <c r="X43" i="29"/>
  <c r="X3" i="29"/>
  <c r="X23" i="25"/>
  <c r="V43" i="29"/>
  <c r="Z19" i="29"/>
  <c r="AA35" i="29"/>
  <c r="X31" i="29"/>
  <c r="Z31" i="20"/>
  <c r="AA27" i="27"/>
  <c r="X31" i="20"/>
  <c r="Y55" i="25"/>
  <c r="Y19" i="27"/>
  <c r="X67" i="20"/>
  <c r="W39" i="29"/>
  <c r="Y59" i="27"/>
  <c r="X67" i="29"/>
  <c r="AA23" i="20"/>
  <c r="AA27" i="25"/>
  <c r="X67" i="25"/>
  <c r="X27" i="25"/>
  <c r="Y35" i="27"/>
  <c r="AA31" i="27"/>
  <c r="X63" i="27"/>
  <c r="X59" i="29"/>
  <c r="X71" i="27"/>
  <c r="W35" i="20"/>
  <c r="Z19" i="25"/>
  <c r="Y27" i="27"/>
  <c r="V19" i="29"/>
  <c r="X71" i="20"/>
  <c r="W7" i="27"/>
  <c r="V59" i="20"/>
  <c r="V39" i="29"/>
  <c r="AA71" i="27"/>
  <c r="Y51" i="20"/>
  <c r="Z7" i="25"/>
  <c r="Z11" i="27"/>
  <c r="W55" i="27"/>
  <c r="Y19" i="29"/>
  <c r="Z63" i="27"/>
  <c r="AA19" i="20"/>
  <c r="Y71" i="29"/>
  <c r="V23" i="25"/>
  <c r="W63" i="27"/>
  <c r="W63" i="29"/>
  <c r="X55" i="20"/>
  <c r="V3" i="20"/>
  <c r="Y23" i="25"/>
  <c r="V31" i="25"/>
  <c r="X31" i="27"/>
  <c r="AA63" i="27"/>
  <c r="Y23" i="20"/>
  <c r="AA35" i="27"/>
  <c r="V15" i="29"/>
  <c r="Y3" i="25"/>
  <c r="V71" i="29"/>
  <c r="X71" i="29"/>
  <c r="W59" i="27"/>
  <c r="AA31" i="20"/>
  <c r="W51" i="25"/>
  <c r="V11" i="25"/>
  <c r="Y39" i="27"/>
  <c r="W59" i="20"/>
  <c r="V15" i="20"/>
  <c r="Y3" i="27"/>
  <c r="AA15" i="29"/>
  <c r="V63" i="27"/>
  <c r="AA39" i="20"/>
  <c r="V23" i="20"/>
  <c r="V47" i="25"/>
  <c r="V63" i="25"/>
  <c r="Y39" i="25"/>
  <c r="Z55" i="29"/>
  <c r="Y63" i="25"/>
  <c r="Y47" i="29"/>
  <c r="Y15" i="20"/>
  <c r="AA15" i="27"/>
  <c r="Y71" i="25"/>
  <c r="X15" i="29"/>
  <c r="Y67" i="29"/>
  <c r="V19" i="20"/>
  <c r="AA31" i="29"/>
  <c r="Z55" i="20"/>
  <c r="X23" i="27"/>
  <c r="Y31" i="29"/>
  <c r="Y47" i="20"/>
  <c r="AA11" i="25"/>
  <c r="V11" i="27"/>
  <c r="AA3" i="27"/>
  <c r="V51" i="25"/>
  <c r="W71" i="27"/>
  <c r="Z39" i="29"/>
  <c r="X19" i="20"/>
  <c r="X39" i="29"/>
  <c r="W47" i="29"/>
  <c r="V59" i="29"/>
  <c r="Z11" i="29"/>
  <c r="X35" i="29"/>
  <c r="X23" i="20"/>
  <c r="AA35" i="20"/>
  <c r="X35" i="25"/>
  <c r="Y39" i="29"/>
  <c r="AA3" i="25"/>
  <c r="V27" i="29"/>
  <c r="AA71" i="29"/>
  <c r="W71" i="29"/>
  <c r="V11" i="29"/>
  <c r="V3" i="29"/>
  <c r="W3" i="20"/>
  <c r="W47" i="25"/>
  <c r="AA43" i="27"/>
  <c r="V7" i="20"/>
  <c r="V67" i="29"/>
  <c r="X63" i="29"/>
  <c r="Y55" i="20"/>
  <c r="V59" i="27"/>
  <c r="Z15" i="20"/>
  <c r="Z47" i="20"/>
  <c r="V3" i="25"/>
  <c r="AA39" i="27"/>
  <c r="Z59" i="25"/>
  <c r="AA23" i="29"/>
  <c r="AA7" i="29"/>
  <c r="Y47" i="25"/>
  <c r="Y55" i="29"/>
  <c r="Z35" i="27"/>
  <c r="W67" i="25"/>
  <c r="V67" i="25"/>
  <c r="AA39" i="29"/>
  <c r="Z11" i="20"/>
  <c r="X31" i="25"/>
  <c r="Z47" i="27"/>
  <c r="V31" i="27"/>
  <c r="AA67" i="25"/>
  <c r="V11" i="20"/>
  <c r="Z27" i="27"/>
  <c r="W67" i="29"/>
  <c r="Z39" i="25"/>
  <c r="AA55" i="27"/>
  <c r="X7" i="29"/>
  <c r="AA55" i="25"/>
  <c r="Z3" i="20"/>
  <c r="AA19" i="25"/>
  <c r="V35" i="27"/>
  <c r="W43" i="27"/>
  <c r="Z23" i="29"/>
  <c r="Y7" i="25"/>
  <c r="Z43" i="25"/>
  <c r="Y39" i="20"/>
  <c r="V7" i="25"/>
  <c r="X35" i="27"/>
  <c r="W43" i="29"/>
  <c r="W31" i="20"/>
  <c r="Y11" i="20"/>
  <c r="Z23" i="27"/>
  <c r="Z19" i="20"/>
  <c r="Y59" i="25"/>
  <c r="Y63" i="29"/>
  <c r="W43" i="20"/>
  <c r="AA31" i="25"/>
  <c r="Y11" i="29"/>
  <c r="Z59" i="27"/>
  <c r="Y31" i="27"/>
  <c r="W27" i="29"/>
  <c r="X11" i="29"/>
  <c r="Z23" i="20"/>
  <c r="X27" i="27"/>
  <c r="Z67" i="25"/>
  <c r="AA51" i="20"/>
  <c r="Y7" i="27"/>
  <c r="Y51" i="29"/>
  <c r="V27" i="20"/>
  <c r="Z3" i="27"/>
  <c r="Z7" i="29"/>
  <c r="X51" i="25"/>
  <c r="AA11" i="29"/>
  <c r="W27" i="20"/>
  <c r="V39" i="25"/>
  <c r="V35" i="29"/>
  <c r="W15" i="29"/>
  <c r="Y23" i="29"/>
  <c r="W23" i="25"/>
  <c r="X3" i="25"/>
  <c r="X39" i="25"/>
  <c r="V63" i="29"/>
  <c r="X59" i="20"/>
  <c r="W15" i="20"/>
  <c r="V43" i="25"/>
  <c r="Z43" i="29"/>
  <c r="Y35" i="29"/>
  <c r="AA11" i="27"/>
  <c r="W7" i="25"/>
  <c r="X63" i="20"/>
  <c r="Z35" i="25"/>
  <c r="T59" i="29" l="1"/>
  <c r="T79" i="29" s="1"/>
  <c r="N28" i="30" s="1"/>
  <c r="S47" i="25"/>
  <c r="T57" i="29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G19" i="9" l="1"/>
  <c r="S78" i="25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E3" i="10"/>
  <c r="AP3" i="10"/>
  <c r="AN3" i="10"/>
  <c r="AL3" i="10"/>
  <c r="AF3" i="10"/>
  <c r="AK3" i="10"/>
  <c r="AJ3" i="10"/>
  <c r="AQ3" i="10"/>
  <c r="AD3" i="10"/>
  <c r="AO3" i="10"/>
  <c r="AG3" i="10"/>
  <c r="AI3" i="10"/>
  <c r="F29" i="9" l="1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O4" i="10"/>
  <c r="AF4" i="10"/>
  <c r="AI4" i="10"/>
  <c r="AK4" i="10"/>
  <c r="AE4" i="10"/>
  <c r="AD4" i="10"/>
  <c r="AQ4" i="10"/>
  <c r="AL4" i="10"/>
  <c r="AG4" i="10"/>
  <c r="AJ4" i="10"/>
  <c r="AP4" i="10"/>
  <c r="AN4" i="10"/>
  <c r="AC6" i="10" l="1"/>
  <c r="AP5" i="10"/>
  <c r="AQ6" i="10"/>
  <c r="AD6" i="10"/>
  <c r="AL5" i="10"/>
  <c r="AI6" i="10"/>
  <c r="AJ6" i="10"/>
  <c r="AO5" i="10"/>
  <c r="AG5" i="10"/>
  <c r="AP6" i="10"/>
  <c r="AF6" i="10"/>
  <c r="AK6" i="10"/>
  <c r="AO6" i="10"/>
  <c r="AQ5" i="10"/>
  <c r="AL6" i="10"/>
  <c r="AG6" i="10"/>
  <c r="AK5" i="10"/>
  <c r="AF5" i="10"/>
  <c r="AE5" i="10"/>
  <c r="AN6" i="10"/>
  <c r="AJ5" i="10"/>
  <c r="AE6" i="10"/>
  <c r="AD5" i="10"/>
  <c r="AI5" i="10"/>
  <c r="AN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<sst xmlns="http://schemas.openxmlformats.org/spreadsheetml/2006/main" count="1550" uniqueCount="696">
  <si>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</si>
  <si>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</si>
  <si>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</si>
  <si>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</si>
  <si>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</si>
  <si>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</si>
  <si>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</si>
  <si>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</si>
  <si>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</si>
  <si>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</si>
  <si>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</si>
  <si>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</si>
  <si>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</si>
  <si>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</si>
  <si>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</si>
  <si>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</si>
  <si>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</si>
  <si>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</si>
  <si>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</si>
  <si>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</si>
  <si>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</si>
  <si>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</si>
  <si>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</si>
  <si>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</si>
  <si>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</si>
  <si>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</si>
  <si>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</si>
  <si>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</si>
  <si>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</si>
  <si>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</si>
  <si>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</si>
  <si>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</si>
  <si>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</si>
  <si>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</si>
  <si>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</si>
  <si>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</si>
  <si>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</si>
  <si>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</si>
  <si>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</si>
  <si>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</si>
  <si>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</si>
  <si>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</si>
  <si>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</si>
  <si>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</si>
  <si>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</si>
  <si>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</si>
  <si>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</si>
  <si>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</si>
  <si>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</si>
  <si>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</si>
  <si>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</si>
  <si>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</si>
  <si>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</si>
  <si>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</si>
  <si>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</si>
  <si>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</si>
  <si>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</si>
  <si>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</si>
  <si>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</si>
  <si>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</si>
  <si>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</si>
  <si>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</si>
  <si>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</si>
  <si>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</si>
  <si>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</si>
  <si>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</si>
  <si>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</si>
  <si>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</si>
  <si>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</si>
  <si>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</si>
  <si>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</si>
  <si>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</si>
  <si>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</si>
  <si>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</si>
  <si>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</si>
  <si>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</si>
  <si>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</si>
  <si>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</si>
  <si>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</si>
  <si>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</si>
  <si>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</si>
  <si>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</si>
  <si>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</si>
  <si>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</si>
  <si>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</si>
  <si>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</si>
  <si>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</si>
  <si>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</si>
  <si>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</si>
  <si>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</si>
  <si>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</si>
  <si>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</si>
  <si>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</si>
  <si>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</si>
  <si>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</si>
  <si>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</si>
  <si>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</si>
  <si>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</si>
  <si>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</si>
  <si>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</si>
  <si>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</si>
  <si>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</si>
  <si>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</si>
  <si>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</si>
  <si>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</si>
  <si>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</si>
  <si>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</si>
  <si>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</si>
  <si>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</si>
  <si>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</si>
  <si>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</si>
  <si>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</si>
  <si>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</si>
  <si>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</si>
  <si>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</si>
  <si>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</si>
  <si>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</si>
  <si>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</si>
  <si>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</si>
  <si>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</si>
  <si>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</si>
  <si>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</si>
  <si>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</si>
  <si>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</si>
  <si>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</si>
  <si>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</si>
  <si>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</si>
  <si>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</si>
  <si>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</si>
  <si>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</si>
  <si>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</si>
  <si>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</si>
  <si>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</si>
  <si>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</si>
  <si>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</si>
  <si>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</si>
  <si>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</si>
  <si>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</si>
  <si>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</si>
  <si>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</si>
  <si>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</si>
  <si>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</si>
  <si>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</si>
  <si>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</si>
  <si>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</si>
  <si>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</si>
  <si>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</si>
  <si>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</si>
  <si>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</si>
  <si>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</si>
  <si>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</si>
  <si>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</si>
  <si>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</si>
  <si>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</si>
  <si>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</si>
  <si>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</si>
  <si>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</si>
  <si>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</si>
  <si>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</si>
  <si>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</si>
  <si>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</si>
  <si>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</si>
  <si>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</si>
  <si>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</si>
  <si>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</si>
  <si>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</si>
  <si>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</si>
  <si>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</si>
  <si>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</si>
  <si>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</si>
  <si>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</si>
  <si>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</si>
  <si>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</si>
  <si>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</si>
  <si>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</si>
  <si>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</si>
  <si>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</si>
  <si>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</si>
  <si>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</si>
  <si>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</si>
  <si>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</si>
  <si>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</si>
  <si>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</si>
  <si>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</si>
  <si>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</si>
  <si>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</si>
  <si>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</si>
  <si>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</si>
  <si>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</si>
  <si>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</si>
  <si>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</si>
  <si>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</si>
  <si>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</si>
  <si>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</si>
  <si>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</si>
  <si>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</si>
  <si>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</si>
  <si>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</si>
  <si>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</si>
  <si>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</si>
  <si>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</si>
  <si>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</si>
  <si>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</si>
  <si>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</si>
  <si>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</si>
  <si>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</si>
  <si>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</si>
  <si>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</si>
  <si>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</si>
  <si>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</si>
  <si>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</si>
  <si>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</si>
  <si>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</si>
  <si>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</si>
  <si>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</si>
  <si>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</si>
  <si>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</si>
  <si>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</si>
  <si>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</si>
  <si>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</si>
  <si>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</si>
  <si>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</si>
  <si>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</si>
  <si>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</si>
  <si>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</si>
  <si>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</si>
  <si>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</si>
  <si>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</si>
  <si>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</si>
  <si>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</si>
  <si>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</si>
  <si>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</si>
  <si>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</si>
  <si>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</si>
  <si>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</si>
  <si>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</si>
  <si>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</si>
  <si>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</si>
  <si>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</si>
  <si>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</si>
  <si>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</si>
  <si>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</si>
  <si>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</si>
  <si>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</si>
  <si>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</si>
  <si>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</si>
  <si>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</si>
  <si>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</si>
  <si>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</si>
  <si>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</si>
  <si>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</si>
  <si>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</si>
  <si>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</si>
  <si>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</si>
  <si>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</si>
  <si>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</si>
  <si>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</si>
  <si>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</si>
  <si>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</si>
  <si>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</si>
  <si>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</si>
  <si>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</si>
  <si>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</si>
  <si>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</si>
  <si>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</si>
  <si>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</si>
  <si>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</si>
  <si>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</si>
  <si>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</si>
  <si>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</si>
  <si>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</si>
  <si>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</si>
  <si>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</si>
  <si>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</si>
  <si>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</si>
  <si>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</si>
  <si>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</si>
  <si>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</si>
  <si>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</si>
  <si>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</si>
  <si>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</si>
  <si>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</si>
  <si>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</si>
  <si>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</si>
  <si>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</si>
  <si>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</si>
  <si>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</si>
  <si>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</si>
  <si>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</si>
  <si>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</si>
  <si>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</si>
  <si>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</si>
  <si>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</si>
  <si>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</si>
  <si>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</si>
  <si>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</si>
  <si>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</si>
  <si>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</si>
  <si>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</si>
  <si>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</si>
  <si>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</si>
  <si>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</si>
  <si>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</si>
  <si>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</si>
  <si>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</si>
  <si>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</si>
  <si>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</si>
  <si>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</si>
  <si>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</si>
  <si>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</si>
  <si>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</si>
  <si>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</si>
  <si>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</si>
  <si>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</si>
  <si>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</si>
  <si>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</si>
  <si>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</si>
  <si>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</si>
  <si>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</si>
  <si>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</si>
  <si>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</si>
  <si>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</si>
  <si>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</si>
  <si>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</si>
  <si>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</si>
  <si>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</si>
  <si>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</si>
  <si>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</si>
  <si>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</si>
  <si>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</si>
  <si>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</si>
  <si>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</si>
  <si>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</si>
  <si>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</si>
  <si>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</si>
  <si>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</si>
  <si>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</si>
  <si>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</si>
  <si>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</si>
  <si>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</si>
  <si>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</si>
  <si>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</si>
  <si>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</si>
  <si>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</si>
  <si>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</si>
  <si>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</si>
  <si>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</si>
  <si>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</si>
  <si>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</si>
  <si>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</si>
  <si>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</si>
  <si>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</si>
  <si>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</si>
  <si>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</si>
  <si>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</si>
  <si>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</si>
  <si>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</si>
  <si>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</si>
  <si>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</si>
  <si>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</si>
  <si>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</si>
  <si>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</si>
  <si>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</si>
  <si>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</si>
  <si>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</si>
  <si>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</si>
  <si>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</si>
  <si>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</si>
  <si>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</si>
  <si>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</si>
  <si>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</si>
  <si>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</si>
  <si>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</si>
  <si>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</si>
  <si>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</si>
  <si>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</si>
  <si>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</si>
  <si>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</si>
  <si>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</si>
  <si>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</si>
  <si>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</si>
  <si>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</si>
  <si>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</si>
  <si>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</si>
  <si>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</si>
  <si>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</si>
  <si>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</si>
  <si>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</si>
  <si>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</si>
  <si>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</si>
  <si>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</si>
  <si>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</si>
  <si>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</si>
  <si>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</si>
  <si>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</si>
  <si>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</si>
  <si>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</si>
  <si>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</si>
  <si>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</si>
  <si>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</si>
  <si>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</si>
  <si>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</si>
  <si>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</si>
  <si>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</si>
  <si>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</si>
  <si>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</si>
  <si>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RA_all_log/enc_log_City_RA_27_rap1.txt</t>
  </si>
  <si>
    <t>RA_all_log/dec_log_City_RA_27_rap1.txt</t>
  </si>
  <si>
    <t>RA_all_log/enc_log_City_RA_32_rap1.txt</t>
  </si>
  <si>
    <t>RA_all_log/dec_log_City_RA_32_rap1.txt</t>
  </si>
  <si>
    <t>RA_all_log/enc_log_City_RA_38_rap1.txt</t>
  </si>
  <si>
    <t>RA_all_log/dec_log_City_RA_38_rap1.txt</t>
  </si>
  <si>
    <t>RA_all_log/enc_log_City_RA_45_rap1.txt</t>
  </si>
  <si>
    <t>RA_all_log/dec_log_City_RA_45_rap1.txt</t>
  </si>
  <si>
    <t>RA_all_log/enc_log_Crew_RA_27_rap1.txt</t>
  </si>
  <si>
    <t>RA_all_log/dec_log_Crew_RA_27_rap1.txt</t>
  </si>
  <si>
    <t>RA_all_log/enc_log_Crew_RA_32_rap1.txt</t>
  </si>
  <si>
    <t>RA_all_log/dec_log_Crew_RA_32_rap1.txt</t>
  </si>
  <si>
    <t>RA_all_log/enc_log_Crew_RA_38_rap1.txt</t>
  </si>
  <si>
    <t>RA_all_log/dec_log_Crew_RA_38_rap1.txt</t>
  </si>
  <si>
    <t>RA_all_log/enc_log_Crew_RA_45_rap1.txt</t>
  </si>
  <si>
    <t>RA_all_log/dec_log_Crew_RA_45_rap1.txt</t>
  </si>
  <si>
    <t>RA_all_log/enc_log_Vidyo1_RA_27_rap1.txt</t>
  </si>
  <si>
    <t>RA_all_log/dec_log_Vidyo1_RA_27_rap1.txt</t>
  </si>
  <si>
    <t>RA_all_log/enc_log_Vidyo1_RA_32_rap1.txt</t>
  </si>
  <si>
    <t>RA_all_log/dec_log_Vidyo1_RA_32_rap1.txt</t>
  </si>
  <si>
    <t>RA_all_log/enc_log_Vidyo1_RA_38_rap1.txt</t>
  </si>
  <si>
    <t>RA_all_log/dec_log_Vidyo1_RA_38_rap1.txt</t>
  </si>
  <si>
    <t>RA_all_log/enc_log_Vidyo1_RA_45_rap1.txt</t>
  </si>
  <si>
    <t>RA_all_log/dec_log_Vidyo1_RA_45_rap1.txt</t>
  </si>
  <si>
    <t>RA_all_log/enc_log_Vidyo3_RA_27_rap1.txt</t>
  </si>
  <si>
    <t>RA_all_log/dec_log_Vidyo3_RA_27_rap1.txt</t>
  </si>
  <si>
    <t>RA_all_log/enc_log_Vidyo3_RA_32_rap1.txt</t>
  </si>
  <si>
    <t>RA_all_log/dec_log_Vidyo3_RA_32_rap1.txt</t>
  </si>
  <si>
    <t>RA_all_log/enc_log_Vidyo3_RA_38_rap1.txt</t>
  </si>
  <si>
    <t>RA_all_log/dec_log_Vidyo3_RA_38_rap1.txt</t>
  </si>
  <si>
    <t>RA_all_log/enc_log_Vidyo3_RA_45_rap1.txt</t>
  </si>
  <si>
    <t>RA_all_log/dec_log_Vidyo3_RA_45_rap1.txt</t>
  </si>
  <si>
    <t>RA_all_log/enc_log_BasketballDrive_RA_27_rap2.txt</t>
  </si>
  <si>
    <t>RA_all_log/dec_log_BasketballDrive_RA_27_rap2.txt</t>
  </si>
  <si>
    <t>RA_all_log/enc_log_BasketballDrive_RA_32_rap2.txt</t>
  </si>
  <si>
    <t>RA_all_log/dec_log_BasketballDrive_RA_32_rap2.txt</t>
  </si>
  <si>
    <t>RA_all_log/enc_log_BasketballDrive_RA_38_rap2.txt</t>
  </si>
  <si>
    <t>RA_all_log/dec_log_BasketballDrive_RA_38_rap2.txt</t>
  </si>
  <si>
    <t>RA_all_log/enc_log_BasketballDrive_RA_45_rap2.txt</t>
  </si>
  <si>
    <t>RA_all_log/dec_log_BasketballDrive_RA_45_rap2.txt</t>
  </si>
  <si>
    <t>RA_all_log/enc_log_Cactus_RA_27_rap2.txt</t>
  </si>
  <si>
    <t>RA_all_log/dec_log_Cactus_RA_27_rap2.txt</t>
  </si>
  <si>
    <t>RA_all_log/enc_log_Cactus_RA_32_rap2.txt</t>
  </si>
  <si>
    <t>RA_all_log/dec_log_Cactus_RA_32_rap2.txt</t>
  </si>
  <si>
    <t>RA_all_log/enc_log_Cactus_RA_38_rap2.txt</t>
  </si>
  <si>
    <t>RA_all_log/dec_log_Cactus_RA_38_rap2.txt</t>
  </si>
  <si>
    <t>RA_all_log/enc_log_Cactus_RA_45_rap2.txt</t>
  </si>
  <si>
    <t>RA_all_log/dec_log_Cactus_RA_45_rap2.txt</t>
  </si>
  <si>
    <t>RA_all_log/enc_log_MarketPlace_RA_27_rap1.txt</t>
  </si>
  <si>
    <t>RA_all_log/dec_log_MarketPlace_RA_27_rap1.txt</t>
  </si>
  <si>
    <t>RA_all_log/enc_log_MarketPlace_RA_32_rap1.txt</t>
  </si>
  <si>
    <t>RA_all_log/dec_log_MarketPlace_RA_32_rap1.txt</t>
  </si>
  <si>
    <t>RA_all_log/enc_log_MarketPlace_RA_38_rap1.txt</t>
  </si>
  <si>
    <t>RA_all_log/dec_log_MarketPlace_RA_38_rap1.txt</t>
  </si>
  <si>
    <t>RA_all_log/enc_log_MarketPlace_RA_45_rap1.txt</t>
  </si>
  <si>
    <t>RA_all_log/dec_log_MarketPlace_RA_45_rap1.txt</t>
  </si>
  <si>
    <t>RA_all_log/enc_log_RitualDance_RA_27_rap1.txt</t>
  </si>
  <si>
    <t>RA_all_log/dec_log_RitualDance_RA_27_rap1.txt</t>
  </si>
  <si>
    <t>RA_all_log/enc_log_RitualDance_RA_32_rap1.txt</t>
  </si>
  <si>
    <t>RA_all_log/dec_log_RitualDance_RA_32_rap1.txt</t>
  </si>
  <si>
    <t>RA_all_log/enc_log_RitualDance_RA_38_rap1.txt</t>
  </si>
  <si>
    <t>RA_all_log/dec_log_RitualDance_RA_38_rap1.txt</t>
  </si>
  <si>
    <t>RA_all_log/enc_log_RitualDance_RA_45_rap1.txt</t>
  </si>
  <si>
    <t>RA_all_log/dec_log_RitualDance_RA_45_rap1.txt</t>
  </si>
  <si>
    <t>RA_all_log/enc_log_Tango2_RA_27_rap1.txt</t>
  </si>
  <si>
    <t>RA_all_log/dec_log_Tango2_RA_27_rap1.txt</t>
  </si>
  <si>
    <t>RA_all_log/enc_log_Tango2_RA_32_rap1.txt</t>
  </si>
  <si>
    <t>RA_all_log/dec_log_Tango2_RA_32_rap1.txt</t>
  </si>
  <si>
    <t>RA_all_log/enc_log_Tango2_RA_38_rap1.txt</t>
  </si>
  <si>
    <t>RA_all_log/dec_log_Tango2_RA_38_rap1.txt</t>
  </si>
  <si>
    <t>RA_all_log/enc_log_Tango2_RA_45_rap1.txt</t>
  </si>
  <si>
    <t>RA_all_log/dec_log_Tango2_RA_45_rap1.txt</t>
  </si>
  <si>
    <t>RA_all_log/enc_log_Campfire_RA_27_rap1.txt</t>
  </si>
  <si>
    <t>RA_all_log/dec_log_Campfire_RA_27_rap1.txt</t>
  </si>
  <si>
    <t>RA_all_log/enc_log_Campfire_RA_32_rap1.txt</t>
  </si>
  <si>
    <t>RA_all_log/dec_log_Campfire_RA_32_rap1.txt</t>
  </si>
  <si>
    <t>RA_all_log/enc_log_Campfire_RA_38_rap1.txt</t>
  </si>
  <si>
    <t>RA_all_log/dec_log_Campfire_RA_38_rap1.txt</t>
  </si>
  <si>
    <t>RA_all_log/enc_log_Campfire_RA_45_rap1.txt</t>
  </si>
  <si>
    <t>RA_all_log/dec_log_Campfire_RA_45_rap1.txt</t>
  </si>
  <si>
    <t>RA_all_log/enc_log_ParkRunning3_RA_38_rap2.txt</t>
  </si>
  <si>
    <t>RA_all_log/dec_log_ParkRunning3_RA_38_rap2.txt</t>
  </si>
  <si>
    <t>RA_all_log/enc_log_ParkRunning3_RA_45_rap2.txt</t>
  </si>
  <si>
    <t>RA_all_log/dec_log_ParkRunning3_RA_45_rap2.txt</t>
  </si>
  <si>
    <t>RA_all_log/enc_log_DaylightRoad2_RA_32_rap1.txt</t>
  </si>
  <si>
    <t>RA_all_log/dec_log_DaylightRoad2_RA_32_rap1.txt</t>
  </si>
  <si>
    <t>RA_all_log/enc_log_DaylightRoad2_RA_38_rap1.txt</t>
  </si>
  <si>
    <t>RA_all_log/dec_log_DaylightRoad2_RA_38_rap1.txt</t>
  </si>
  <si>
    <t>RA_all_log/enc_log_DaylightRoad2_RA_45_rap1.txt</t>
  </si>
  <si>
    <t>RA_all_log/dec_log_DaylightRoad2_RA_45_rap1.txt</t>
  </si>
  <si>
    <t>AI_all_log/enc_log_City_AI_27_rap0.txt</t>
  </si>
  <si>
    <t>AI_all_log/dec_log_City_AI_27_rap0.txt</t>
  </si>
  <si>
    <t>AI_all_log/enc_log_City_AI_32_rap0.txt</t>
  </si>
  <si>
    <t>AI_all_log/dec_log_City_AI_32_rap0.txt</t>
  </si>
  <si>
    <t>AI_all_log/enc_log_City_AI_38_rap0.txt</t>
  </si>
  <si>
    <t>AI_all_log/dec_log_City_AI_38_rap0.txt</t>
  </si>
  <si>
    <t>AI_all_log/enc_log_City_AI_45_rap0.txt</t>
  </si>
  <si>
    <t>AI_all_log/dec_log_City_AI_45_rap0.txt</t>
  </si>
  <si>
    <t>AI_all_log/enc_log_Crew_AI_27_rap0.txt</t>
  </si>
  <si>
    <t>AI_all_log/dec_log_Crew_AI_27_rap0.txt</t>
  </si>
  <si>
    <t>AI_all_log/enc_log_Crew_AI_32_rap0.txt</t>
  </si>
  <si>
    <t>AI_all_log/dec_log_Crew_AI_32_rap0.txt</t>
  </si>
  <si>
    <t>AI_all_log/enc_log_Crew_AI_38_rap0.txt</t>
  </si>
  <si>
    <t>AI_all_log/dec_log_Crew_AI_38_rap0.txt</t>
  </si>
  <si>
    <t>AI_all_log/enc_log_Crew_AI_45_rap0.txt</t>
  </si>
  <si>
    <t>AI_all_log/dec_log_Crew_AI_45_rap0.txt</t>
  </si>
  <si>
    <t>AI_all_log/enc_log_Vidyo1_AI_27_rap0.txt</t>
  </si>
  <si>
    <t>AI_all_log/dec_log_Vidyo1_AI_27_rap0.txt</t>
  </si>
  <si>
    <t>AI_all_log/enc_log_Vidyo1_AI_32_rap0.txt</t>
  </si>
  <si>
    <t>AI_all_log/dec_log_Vidyo1_AI_32_rap0.txt</t>
  </si>
  <si>
    <t>AI_all_log/enc_log_Vidyo1_AI_38_rap0.txt</t>
  </si>
  <si>
    <t>AI_all_log/dec_log_Vidyo1_AI_38_rap0.txt</t>
  </si>
  <si>
    <t>AI_all_log/enc_log_Vidyo1_AI_45_rap0.txt</t>
  </si>
  <si>
    <t>AI_all_log/dec_log_Vidyo1_AI_45_rap0.txt</t>
  </si>
  <si>
    <t>AI_all_log/enc_log_Vidyo3_AI_27_rap0.txt</t>
  </si>
  <si>
    <t>AI_all_log/dec_log_Vidyo3_AI_27_rap0.txt</t>
  </si>
  <si>
    <t>AI_all_log/enc_log_Vidyo3_AI_32_rap0.txt</t>
  </si>
  <si>
    <t>AI_all_log/dec_log_Vidyo3_AI_32_rap0.txt</t>
  </si>
  <si>
    <t>AI_all_log/enc_log_Vidyo3_AI_38_rap0.txt</t>
  </si>
  <si>
    <t>AI_all_log/dec_log_Vidyo3_AI_38_rap0.txt</t>
  </si>
  <si>
    <t>AI_all_log/enc_log_Vidyo3_AI_45_rap0.txt</t>
  </si>
  <si>
    <t>AI_all_log/dec_log_Vidyo3_AI_45_rap0.txt</t>
  </si>
  <si>
    <t>AI_all_log/enc_log_BasketballDrive_AI_27_rap0.txt</t>
  </si>
  <si>
    <t>AI_all_log/dec_log_BasketballDrive_AI_27_rap0.txt</t>
  </si>
  <si>
    <t>AI_all_log/enc_log_BasketballDrive_AI_32_rap0.txt</t>
  </si>
  <si>
    <t>AI_all_log/dec_log_BasketballDrive_AI_32_rap0.txt</t>
  </si>
  <si>
    <t>AI_all_log/enc_log_BasketballDrive_AI_38_rap0.txt</t>
  </si>
  <si>
    <t>AI_all_log/dec_log_BasketballDrive_AI_38_rap0.txt</t>
  </si>
  <si>
    <t>AI_all_log/enc_log_BasketballDrive_AI_45_rap0.txt</t>
  </si>
  <si>
    <t>AI_all_log/dec_log_BasketballDrive_AI_45_rap0.txt</t>
  </si>
  <si>
    <t>AI_all_log/enc_log_Cactus_AI_27_rap0.txt</t>
  </si>
  <si>
    <t>AI_all_log/dec_log_Cactus_AI_27_rap0.txt</t>
  </si>
  <si>
    <t>AI_all_log/enc_log_Cactus_AI_32_rap0.txt</t>
  </si>
  <si>
    <t>AI_all_log/dec_log_Cactus_AI_32_rap0.txt</t>
  </si>
  <si>
    <t>AI_all_log/enc_log_Cactus_AI_38_rap0.txt</t>
  </si>
  <si>
    <t>AI_all_log/dec_log_Cactus_AI_38_rap0.txt</t>
  </si>
  <si>
    <t>AI_all_log/enc_log_Cactus_AI_45_rap0.txt</t>
  </si>
  <si>
    <t>AI_all_log/dec_log_Cactus_AI_45_rap0.txt</t>
  </si>
  <si>
    <t>AI_all_log/enc_log_MarketPlace_AI_27_rap0.txt</t>
  </si>
  <si>
    <t>AI_all_log/dec_log_MarketPlace_AI_27_rap0.txt</t>
  </si>
  <si>
    <t>AI_all_log/enc_log_MarketPlace_AI_32_rap0.txt</t>
  </si>
  <si>
    <t>AI_all_log/dec_log_MarketPlace_AI_32_rap0.txt</t>
  </si>
  <si>
    <t>AI_all_log/enc_log_MarketPlace_AI_38_rap0.txt</t>
  </si>
  <si>
    <t>AI_all_log/dec_log_MarketPlace_AI_38_rap0.txt</t>
  </si>
  <si>
    <t>AI_all_log/enc_log_MarketPlace_AI_45_rap0.txt</t>
  </si>
  <si>
    <t>AI_all_log/dec_log_MarketPlace_AI_45_rap0.txt</t>
  </si>
  <si>
    <t>AI_all_log/enc_log_RitualDance_AI_27_rap0.txt</t>
  </si>
  <si>
    <t>AI_all_log/dec_log_RitualDance_AI_27_rap0.txt</t>
  </si>
  <si>
    <t>AI_all_log/enc_log_RitualDance_AI_32_rap0.txt</t>
  </si>
  <si>
    <t>AI_all_log/dec_log_RitualDance_AI_32_rap0.txt</t>
  </si>
  <si>
    <t>AI_all_log/enc_log_RitualDance_AI_38_rap0.txt</t>
  </si>
  <si>
    <t>AI_all_log/dec_log_RitualDance_AI_38_rap0.txt</t>
  </si>
  <si>
    <t>AI_all_log/enc_log_RitualDance_AI_45_rap0.txt</t>
  </si>
  <si>
    <t>AI_all_log/dec_log_RitualDance_AI_45_rap0.txt</t>
  </si>
  <si>
    <t>AI_all_log/enc_log_Tango2_AI_27_rap0.txt</t>
  </si>
  <si>
    <t>AI_all_log/dec_log_Tango2_AI_27_rap0.txt</t>
  </si>
  <si>
    <t>AI_all_log/enc_log_Tango2_AI_32_rap0.txt</t>
  </si>
  <si>
    <t>AI_all_log/dec_log_Tango2_AI_32_rap0.txt</t>
  </si>
  <si>
    <t>AI_all_log/enc_log_Tango2_AI_38_rap0.txt</t>
  </si>
  <si>
    <t>AI_all_log/dec_log_Tango2_AI_38_rap0.txt</t>
  </si>
  <si>
    <t>AI_all_log/enc_log_Tango2_AI_45_rap0.txt</t>
  </si>
  <si>
    <t>AI_all_log/dec_log_Tango2_AI_45_rap0.txt</t>
  </si>
  <si>
    <t>AI_all_log/enc_log_Campfire_AI_27_rap0.txt</t>
  </si>
  <si>
    <t>AI_all_log/dec_log_Campfire_AI_27_rap0.txt</t>
  </si>
  <si>
    <t>AI_all_log/enc_log_Campfire_AI_32_rap0.txt</t>
  </si>
  <si>
    <t>AI_all_log/dec_log_Campfire_AI_32_rap0.txt</t>
  </si>
  <si>
    <t>AI_all_log/enc_log_Campfire_AI_38_rap0.txt</t>
  </si>
  <si>
    <t>AI_all_log/dec_log_Campfire_AI_38_rap0.txt</t>
  </si>
  <si>
    <t>AI_all_log/enc_log_Campfire_AI_45_rap0.txt</t>
  </si>
  <si>
    <t>AI_all_log/dec_log_Campfire_AI_45_rap0.txt</t>
  </si>
  <si>
    <t>AI_all_log/enc_log_ParkRunning3_AI_27_rap0.txt</t>
  </si>
  <si>
    <t>AI_all_log/dec_log_ParkRunning3_AI_27_rap0.txt</t>
  </si>
  <si>
    <t>AI_all_log/enc_log_ParkRunning3_AI_32_rap0.txt</t>
  </si>
  <si>
    <t>AI_all_log/dec_log_ParkRunning3_AI_32_rap0.txt</t>
  </si>
  <si>
    <t>AI_all_log/enc_log_ParkRunning3_AI_38_rap0.txt</t>
  </si>
  <si>
    <t>AI_all_log/dec_log_ParkRunning3_AI_38_rap0.txt</t>
  </si>
  <si>
    <t>AI_all_log/enc_log_ParkRunning3_AI_45_rap0.txt</t>
  </si>
  <si>
    <t>AI_all_log/dec_log_ParkRunning3_AI_45_rap0.txt</t>
  </si>
  <si>
    <t>AI_all_log/enc_log_DaylightRoad2_AI_27_rap0.txt</t>
  </si>
  <si>
    <t>AI_all_log/dec_log_DaylightRoad2_AI_27_rap0.txt</t>
  </si>
  <si>
    <t>AI_all_log/enc_log_DaylightRoad2_AI_32_rap0.txt</t>
  </si>
  <si>
    <t>AI_all_log/dec_log_DaylightRoad2_AI_32_rap0.txt</t>
  </si>
  <si>
    <t>AI_all_log/enc_log_DaylightRoad2_AI_38_rap0.txt</t>
  </si>
  <si>
    <t>AI_all_log/dec_log_DaylightRoad2_AI_38_rap0.txt</t>
  </si>
  <si>
    <t>AI_all_log/enc_log_DaylightRoad2_AI_45_rap0.txt</t>
  </si>
  <si>
    <t>AI_all_log/dec_log_DaylightRoad2_AI_45_rap0.txt</t>
  </si>
  <si>
    <t>LD_all_log/enc_log_Tango2_LD_27_rap0.txt</t>
  </si>
  <si>
    <t>LD_all_log/dec_log_Tango2_LD_27_rap0.txt</t>
  </si>
  <si>
    <t>LD_all_log/enc_log_Tango2_LD_32_rap0.txt</t>
  </si>
  <si>
    <t>LD_all_log/dec_log_Tango2_LD_32_rap0.txt</t>
  </si>
  <si>
    <t>LD_all_log/enc_log_Tango2_LD_38_rap0.txt</t>
  </si>
  <si>
    <t>LD_all_log/dec_log_Tango2_LD_38_rap0.txt</t>
  </si>
  <si>
    <t>LD_all_log/enc_log_Tango2_LD_45_rap0.txt</t>
  </si>
  <si>
    <t>LD_all_log/dec_log_Tango2_LD_45_rap0.txt</t>
  </si>
  <si>
    <t>LD_all_log/enc_log_ParkRunning3_LD_27_rap0.txt</t>
  </si>
  <si>
    <t>LD_all_log/dec_log_ParkRunning3_LD_27_rap0.txt</t>
  </si>
  <si>
    <t>LD_all_log/enc_log_ParkRunning3_LD_32_rap0.txt</t>
  </si>
  <si>
    <t>LD_all_log/dec_log_ParkRunning3_LD_32_rap0.txt</t>
  </si>
  <si>
    <t>LD_all_log/enc_log_ParkRunning3_LD_38_rap0.txt</t>
  </si>
  <si>
    <t>LD_all_log/dec_log_ParkRunning3_LD_38_rap0.txt</t>
  </si>
  <si>
    <t>LD_all_log/enc_log_ParkRunning3_LD_45_rap0.txt</t>
  </si>
  <si>
    <t>LD_all_log/dec_log_ParkRunning3_LD_45_rap0.txt</t>
  </si>
  <si>
    <t>LD_all_log/enc_log_Campfire_LD_27_rap0.txt</t>
  </si>
  <si>
    <t>LD_all_log/dec_log_Campfire_LD_27_rap0.txt</t>
  </si>
  <si>
    <t>LD_all_log/enc_log_Campfire_LD_32_rap0.txt</t>
  </si>
  <si>
    <t>LD_all_log/dec_log_Campfire_LD_32_rap0.txt</t>
  </si>
  <si>
    <t>LD_all_log/enc_log_Campfire_LD_38_rap0.txt</t>
  </si>
  <si>
    <t>LD_all_log/dec_log_Campfire_LD_38_rap0.txt</t>
  </si>
  <si>
    <t>LD_all_log/enc_log_Campfire_LD_45_rap0.txt</t>
  </si>
  <si>
    <t>LD_all_log/dec_log_Campfire_LD_45_rap0.txt</t>
  </si>
  <si>
    <t>LD_all_log/enc_log_DaylightRoad2_LD_27_rap0.txt</t>
  </si>
  <si>
    <t>LD_all_log/dec_log_DaylightRoad2_LD_27_rap0.txt</t>
  </si>
  <si>
    <t>LD_all_log/enc_log_DaylightRoad2_LD_32_rap0.txt</t>
  </si>
  <si>
    <t>LD_all_log/dec_log_DaylightRoad2_LD_32_rap0.txt</t>
  </si>
  <si>
    <t>LD_all_log/enc_log_DaylightRoad2_LD_38_rap0.txt</t>
  </si>
  <si>
    <t>LD_all_log/dec_log_DaylightRoad2_LD_38_rap0.txt</t>
  </si>
  <si>
    <t>LD_all_log/enc_log_DaylightRoad2_LD_45_rap0.txt</t>
  </si>
  <si>
    <t>LD_all_log/dec_log_DaylightRoad2_LD_45_rap0.txt</t>
  </si>
  <si>
    <t>LD_all_log/enc_log_Cactus_LD_27_rap0.txt</t>
  </si>
  <si>
    <t>LD_all_log/dec_log_Cactus_LD_27_rap0.txt</t>
  </si>
  <si>
    <t>LD_all_log/enc_log_Cactus_LD_32_rap0.txt</t>
  </si>
  <si>
    <t>LD_all_log/dec_log_Cactus_LD_32_rap0.txt</t>
  </si>
  <si>
    <t>LD_all_log/enc_log_Cactus_LD_38_rap0.txt</t>
  </si>
  <si>
    <t>LD_all_log/dec_log_Cactus_LD_38_rap0.txt</t>
  </si>
  <si>
    <t>LD_all_log/enc_log_Cactus_LD_45_rap0.txt</t>
  </si>
  <si>
    <t>LD_all_log/dec_log_Cactus_LD_45_rap0.txt</t>
  </si>
  <si>
    <t>LD_all_log/enc_log_BasketballDrive_LD_27_rap0.txt</t>
  </si>
  <si>
    <t>LD_all_log/dec_log_BasketballDrive_LD_27_rap0.txt</t>
  </si>
  <si>
    <t>LD_all_log/enc_log_BasketballDrive_LD_32_rap0.txt</t>
  </si>
  <si>
    <t>LD_all_log/dec_log_BasketballDrive_LD_32_rap0.txt</t>
  </si>
  <si>
    <t>LD_all_log/enc_log_BasketballDrive_LD_38_rap0.txt</t>
  </si>
  <si>
    <t>LD_all_log/dec_log_BasketballDrive_LD_38_rap0.txt</t>
  </si>
  <si>
    <t>LD_all_log/enc_log_BasketballDrive_LD_45_rap0.txt</t>
  </si>
  <si>
    <t>LD_all_log/dec_log_BasketballDrive_LD_45_rap0.txt</t>
  </si>
  <si>
    <t>LD_all_log/enc_log_MarketPlace_LD_27_rap0.txt</t>
  </si>
  <si>
    <t>LD_all_log/dec_log_MarketPlace_LD_27_rap0.txt</t>
  </si>
  <si>
    <t>LD_all_log/enc_log_MarketPlace_LD_32_rap0.txt</t>
  </si>
  <si>
    <t>LD_all_log/dec_log_MarketPlace_LD_32_rap0.txt</t>
  </si>
  <si>
    <t>LD_all_log/enc_log_MarketPlace_LD_38_rap0.txt</t>
  </si>
  <si>
    <t>LD_all_log/dec_log_MarketPlace_LD_38_rap0.txt</t>
  </si>
  <si>
    <t>LD_all_log/enc_log_MarketPlace_LD_45_rap0.txt</t>
  </si>
  <si>
    <t>LD_all_log/dec_log_MarketPlace_LD_45_rap0.txt</t>
  </si>
  <si>
    <t>LD_all_log/enc_log_RitualDance_LD_27_rap0.txt</t>
  </si>
  <si>
    <t>LD_all_log/dec_log_RitualDance_LD_27_rap0.txt</t>
  </si>
  <si>
    <t>LD_all_log/enc_log_RitualDance_LD_32_rap0.txt</t>
  </si>
  <si>
    <t>LD_all_log/dec_log_RitualDance_LD_32_rap0.txt</t>
  </si>
  <si>
    <t>LD_all_log/enc_log_RitualDance_LD_38_rap0.txt</t>
  </si>
  <si>
    <t>LD_all_log/dec_log_RitualDance_LD_38_rap0.txt</t>
  </si>
  <si>
    <t>LD_all_log/enc_log_RitualDance_LD_45_rap0.txt</t>
  </si>
  <si>
    <t>LD_all_log/dec_log_RitualDance_LD_45_rap0.txt</t>
  </si>
  <si>
    <t>LD_all_log/enc_log_City_LD_27_rap0.txt</t>
  </si>
  <si>
    <t>LD_all_log/dec_log_City_LD_27_rap0.txt</t>
  </si>
  <si>
    <t>LD_all_log/enc_log_City_LD_32_rap0.txt</t>
  </si>
  <si>
    <t>LD_all_log/dec_log_City_LD_32_rap0.txt</t>
  </si>
  <si>
    <t>LD_all_log/enc_log_City_LD_38_rap0.txt</t>
  </si>
  <si>
    <t>LD_all_log/dec_log_City_LD_38_rap0.txt</t>
  </si>
  <si>
    <t>LD_all_log/enc_log_City_LD_45_rap0.txt</t>
  </si>
  <si>
    <t>LD_all_log/dec_log_City_LD_45_rap0.txt</t>
  </si>
  <si>
    <t>LD_all_log/enc_log_Crew_LD_27_rap0.txt</t>
  </si>
  <si>
    <t>LD_all_log/dec_log_Crew_LD_27_rap0.txt</t>
  </si>
  <si>
    <t>LD_all_log/enc_log_Crew_LD_32_rap0.txt</t>
  </si>
  <si>
    <t>LD_all_log/dec_log_Crew_LD_32_rap0.txt</t>
  </si>
  <si>
    <t>LD_all_log/enc_log_Crew_LD_38_rap0.txt</t>
  </si>
  <si>
    <t>LD_all_log/dec_log_Crew_LD_38_rap0.txt</t>
  </si>
  <si>
    <t>LD_all_log/enc_log_Crew_LD_45_rap0.txt</t>
  </si>
  <si>
    <t>LD_all_log/dec_log_Crew_LD_45_rap0.txt</t>
  </si>
  <si>
    <t>LD_all_log/enc_log_Vidyo1_LD_27_rap0.txt</t>
  </si>
  <si>
    <t>LD_all_log/dec_log_Vidyo1_LD_27_rap0.txt</t>
  </si>
  <si>
    <t>LD_all_log/enc_log_Vidyo1_LD_32_rap0.txt</t>
  </si>
  <si>
    <t>LD_all_log/dec_log_Vidyo1_LD_32_rap0.txt</t>
  </si>
  <si>
    <t>LD_all_log/enc_log_Vidyo1_LD_38_rap0.txt</t>
  </si>
  <si>
    <t>LD_all_log/dec_log_Vidyo1_LD_38_rap0.txt</t>
  </si>
  <si>
    <t>LD_all_log/enc_log_Vidyo1_LD_45_rap0.txt</t>
  </si>
  <si>
    <t>LD_all_log/dec_log_Vidyo1_LD_45_rap0.txt</t>
  </si>
  <si>
    <t>LD_all_log/enc_log_Vidyo3_LD_27_rap0.txt</t>
  </si>
  <si>
    <t>LD_all_log/dec_log_Vidyo3_LD_27_rap0.txt</t>
  </si>
  <si>
    <t>LD_all_log/enc_log_Vidyo3_LD_32_rap0.txt</t>
  </si>
  <si>
    <t>LD_all_log/dec_log_Vidyo3_LD_32_rap0.txt</t>
  </si>
  <si>
    <t>LD_all_log/enc_log_Vidyo3_LD_38_rap0.txt</t>
  </si>
  <si>
    <t>LD_all_log/dec_log_Vidyo3_LD_38_rap0.txt</t>
  </si>
  <si>
    <t>LD_all_log/enc_log_Vidyo3_LD_45_rap0.txt</t>
  </si>
  <si>
    <t>LD_all_log/dec_log_Vidyo3_LD_45_rap0.txt</t>
  </si>
  <si>
    <t>RA_all_log/enc_log_ParkRunning3_RA_27_rap2.txt</t>
  </si>
  <si>
    <t>RA_all_log/dec_log_ParkRunning3_RA_27_rap2.txt</t>
  </si>
  <si>
    <t>RA_all_log/enc_log_ParkRunning3_RA_32_rap2.txt</t>
  </si>
  <si>
    <t>RA_all_log/dec_log_ParkRunning3_RA_32_rap2.txt</t>
  </si>
  <si>
    <t>RA_all_log/enc_log_DaylightRoad2_RA_27_rap1.txt</t>
  </si>
  <si>
    <t>RA_all_log/dec_log_DaylightRoad2_RA_27_rap1.txt</t>
  </si>
  <si>
    <t>HPM14.0</t>
    <phoneticPr fontId="1" type="noConversion"/>
  </si>
  <si>
    <t>phase-2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</si>
</sst>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176" fontId="2" fillId="4" borderId="8" xfId="0" applyNumberFormat="1" applyFont="1" applyFill="1" applyBorder="1"/>
    <xf numFmtId="176" fontId="2" fillId="4" borderId="0" xfId="0" applyNumberFormat="1" applyFont="1" applyFill="1" applyBorder="1"/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U5" sqref="U5"/>
    </sheetView>
  </sheetViews>
  <sheetFormatPr defaultColWidth="10.8984375" defaultRowHeight="11.4" x14ac:dyDescent="0.2"/>
  <cols>
    <col min="1" max="1" width="4.09765625" style="103" customWidth="1"/>
    <col min="2" max="2" width="15.3984375" style="102" bestFit="1" customWidth="1"/>
    <col min="3" max="5" width="7.5" style="102" bestFit="1" customWidth="1"/>
    <col min="6" max="7" width="6.3984375" style="102" bestFit="1" customWidth="1"/>
    <col min="8" max="8" width="4.8984375" style="103" customWidth="1"/>
    <col min="9" max="9" width="15.3984375" style="103" bestFit="1" customWidth="1"/>
    <col min="10" max="12" width="7.5" style="103" bestFit="1" customWidth="1"/>
    <col min="13" max="14" width="6.3984375" style="103" bestFit="1" customWidth="1"/>
    <col min="15" max="16384" width="10.8984375" style="103"/>
  </cols>
  <sheetData>
    <row r="1" spans="2:15" ht="12" thickBot="1" x14ac:dyDescent="0.25"/>
    <row r="2" spans="2:15" ht="12.75" customHeight="1" thickBot="1" x14ac:dyDescent="0.25">
      <c r="C2" s="152" t="s">
        <v>74</v>
      </c>
      <c r="D2" s="153"/>
      <c r="E2" s="153"/>
      <c r="F2" s="153"/>
      <c r="G2" s="154"/>
      <c r="I2" s="102"/>
      <c r="J2" s="152" t="s">
        <v>75</v>
      </c>
      <c r="K2" s="153"/>
      <c r="L2" s="153"/>
      <c r="M2" s="153"/>
      <c r="N2" s="154"/>
    </row>
    <row r="3" spans="2:15" ht="12.75" customHeight="1" x14ac:dyDescent="0.25">
      <c r="C3" s="152" t="str">
        <f>CONCATENATE("Over ", Summary!$J$3)</f>
        <v>Over HPM14.0</v>
      </c>
      <c r="D3" s="153"/>
      <c r="E3" s="153"/>
      <c r="F3" s="153"/>
      <c r="G3" s="154"/>
      <c r="I3" s="102"/>
      <c r="J3" s="152" t="str">
        <f>CONCATENATE("Over ", Summary!$J$3)</f>
        <v>Over HPM14.0</v>
      </c>
      <c r="K3" s="153"/>
      <c r="L3" s="153"/>
      <c r="M3" s="153"/>
      <c r="N3" s="154"/>
      <c r="O3" s="104"/>
    </row>
    <row r="4" spans="2:15" ht="12.75" customHeight="1" thickBot="1" x14ac:dyDescent="0.3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5">
      <c r="B5" s="110" t="str">
        <f>'AI-10'!$B$3</f>
        <v>Tango2</v>
      </c>
      <c r="C5" s="111">
        <f>'AI-10'!$V$3</f>
        <v>-1.508991595078335E-5</v>
      </c>
      <c r="D5" s="112">
        <f>'AI-10'!$W$3</f>
        <v>1.0443147734537916E-3</v>
      </c>
      <c r="E5" s="113">
        <f>'AI-10'!$X$3</f>
        <v>-7.5619407890892276E-4</v>
      </c>
      <c r="F5" s="114">
        <f>GEOMEAN('AI-10'!$S$3:'AI-10'!$S$6)</f>
        <v>1.0203466792420675</v>
      </c>
      <c r="G5" s="115">
        <f>GEOMEAN('AI-10'!$T$3:'AI-10'!$T$6)</f>
        <v>1.0275437624284915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5">
      <c r="B6" s="116" t="str">
        <f>'AI-10'!$B$7</f>
        <v>ParkRunning3</v>
      </c>
      <c r="C6" s="117">
        <f>'AI-10'!$V$7</f>
        <v>-7.331612746652727E-5</v>
      </c>
      <c r="D6" s="118">
        <f>'AI-10'!$W$7</f>
        <v>-8.8611982617730067E-3</v>
      </c>
      <c r="E6" s="119">
        <f>'AI-10'!$X$7</f>
        <v>-4.9549129770372069E-3</v>
      </c>
      <c r="F6" s="120">
        <f>GEOMEAN('AI-10'!$S$7:'AI-10'!$S$10)</f>
        <v>1.0143388789956784</v>
      </c>
      <c r="G6" s="121">
        <f>GEOMEAN('AI-10'!$T$7:'AI-10'!$T$10)</f>
        <v>1.0255981448404041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5">
      <c r="B7" s="116" t="str">
        <f>'AI-10'!$B$11</f>
        <v>Campfire</v>
      </c>
      <c r="C7" s="117">
        <f>'AI-10'!$V$11</f>
        <v>-2.2139215457139816E-4</v>
      </c>
      <c r="D7" s="118">
        <f>'AI-10'!$W$11</f>
        <v>1.7198191625755754E-4</v>
      </c>
      <c r="E7" s="119">
        <f>'AI-10'!$X$11</f>
        <v>-1.2486035493498582E-3</v>
      </c>
      <c r="F7" s="130">
        <f>GEOMEAN('AI-10'!$S$11:'AI-10'!$S$14)</f>
        <v>1.0141018495572278</v>
      </c>
      <c r="G7" s="121">
        <f>GEOMEAN('AI-10'!$T$11:'AI-10'!$T$14)</f>
        <v>1.0222350864564509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3">
      <c r="B8" s="122" t="str">
        <f>'AI-10'!$B$15</f>
        <v>DaylightRoad2</v>
      </c>
      <c r="C8" s="123">
        <f>'AI-10'!$V$15</f>
        <v>-5.5756853455712907E-5</v>
      </c>
      <c r="D8" s="124">
        <f>'AI-10'!$W$15</f>
        <v>-2.0996044390338975E-3</v>
      </c>
      <c r="E8" s="125">
        <f>'AI-10'!$X$15</f>
        <v>-8.7185273335972369E-3</v>
      </c>
      <c r="F8" s="126">
        <f>GEOMEAN('AI-10'!$S$15:'AI-10'!$S$18)</f>
        <v>1.0050857846892725</v>
      </c>
      <c r="G8" s="127">
        <f>GEOMEAN('AI-10'!$T$15:'AI-10'!$T$18)</f>
        <v>1.0070985871084692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5">
      <c r="B9" s="110" t="str">
        <f>'AI-10'!$B$19</f>
        <v>Cactus</v>
      </c>
      <c r="C9" s="111">
        <f>'AI-10'!$V$19</f>
        <v>1.7926080706165415E-4</v>
      </c>
      <c r="D9" s="112">
        <f>'AI-10'!$W$19</f>
        <v>-7.6211432501693821E-5</v>
      </c>
      <c r="E9" s="113">
        <f>'AI-10'!$X$19</f>
        <v>-9.8180342108412644E-3</v>
      </c>
      <c r="F9" s="114">
        <f>GEOMEAN('AI-10'!$S$19:'AI-10'!$S$22)</f>
        <v>1.0230953197109451</v>
      </c>
      <c r="G9" s="115">
        <f>GEOMEAN('AI-10'!$T$19:'AI-10'!$T$22)</f>
        <v>1.0279503452269729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5">
      <c r="B10" s="116" t="str">
        <f>'AI-10'!$B$23</f>
        <v>BasketballDrive</v>
      </c>
      <c r="C10" s="117">
        <f>'AI-10'!$V$23</f>
        <v>4.8198292987855496E-6</v>
      </c>
      <c r="D10" s="118">
        <f>'AI-10'!$W$23</f>
        <v>-9.5138762312241276E-4</v>
      </c>
      <c r="E10" s="119">
        <f>'AI-10'!$X$23</f>
        <v>3.0008208689502602E-4</v>
      </c>
      <c r="F10" s="120">
        <f>GEOMEAN('AI-10'!$S$23:'AI-10'!$S$26)</f>
        <v>1.0341694863015409</v>
      </c>
      <c r="G10" s="121">
        <f>GEOMEAN('AI-10'!$T$23:'AI-10'!$T$26)</f>
        <v>1.0289570962291428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5">
      <c r="B11" s="116" t="str">
        <f>'AI-10'!$B$27</f>
        <v>MarketPlace</v>
      </c>
      <c r="C11" s="117">
        <f>'AI-10'!$V$27</f>
        <v>1.4491061763877155E-5</v>
      </c>
      <c r="D11" s="118">
        <f>'AI-10'!$W$27</f>
        <v>-8.8652118135301716E-4</v>
      </c>
      <c r="E11" s="119">
        <f>'AI-10'!$X$27</f>
        <v>-7.4215995847559668E-4</v>
      </c>
      <c r="F11" s="120">
        <f>GEOMEAN('AI-10'!$S$27:'AI-10'!$S$30)</f>
        <v>1.0200932799634206</v>
      </c>
      <c r="G11" s="121">
        <f>GEOMEAN('AI-10'!$T$27:'AI-10'!$T$30)</f>
        <v>1.0398122626492328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3">
      <c r="B12" s="122" t="str">
        <f>'AI-10'!$B$31</f>
        <v>RitualDance</v>
      </c>
      <c r="C12" s="123">
        <f>'AI-10'!$V$31</f>
        <v>-5.1811510900612312E-5</v>
      </c>
      <c r="D12" s="124">
        <f>'AI-10'!$W$31</f>
        <v>-3.6245241272581108E-4</v>
      </c>
      <c r="E12" s="125">
        <f>'AI-10'!$X$31</f>
        <v>-3.8212351850519521E-4</v>
      </c>
      <c r="F12" s="126">
        <f>GEOMEAN('AI-10'!$S$31:'AI-10'!$S$34)</f>
        <v>1.0171381810239348</v>
      </c>
      <c r="G12" s="127">
        <f>GEOMEAN('AI-10'!$T$31:'AI-10'!$T$34)</f>
        <v>1.0185955518184779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5">
      <c r="B13" s="110" t="str">
        <f>'AI-10'!$B$35</f>
        <v>City</v>
      </c>
      <c r="C13" s="111">
        <f>'AI-10'!$V$35</f>
        <v>-2.0712614571261057E-5</v>
      </c>
      <c r="D13" s="112">
        <f>'AI-10'!$W$35</f>
        <v>6.0805973631938848E-4</v>
      </c>
      <c r="E13" s="113">
        <f>'AI-10'!$X$35</f>
        <v>3.811722403497253E-4</v>
      </c>
      <c r="F13" s="114">
        <f>GEOMEAN('AI-10'!$S$35:'AI-10'!$S$38)</f>
        <v>1.0124232897499923</v>
      </c>
      <c r="G13" s="115">
        <f>GEOMEAN('AI-10'!$T$35:'AI-10'!$T$38)</f>
        <v>1.0097232326536256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5">
      <c r="B14" s="116" t="str">
        <f>'AI-10'!$B$39</f>
        <v>Crew</v>
      </c>
      <c r="C14" s="117">
        <f>'AI-10'!$V$39</f>
        <v>-1.2582994788656876E-4</v>
      </c>
      <c r="D14" s="118">
        <f>'AI-10'!$W$39</f>
        <v>-6.4659589433779807E-4</v>
      </c>
      <c r="E14" s="119">
        <f>'AI-10'!$X$39</f>
        <v>-1.2444166436043069E-4</v>
      </c>
      <c r="F14" s="120">
        <f>GEOMEAN('AI-10'!$S$39:'AI-10'!$S$42)</f>
        <v>1.0456112256980672</v>
      </c>
      <c r="G14" s="121">
        <f>GEOMEAN('AI-10'!$T$39:'AI-10'!$T$42)</f>
        <v>1.0489802692856827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5">
      <c r="B15" s="116" t="str">
        <f>'AI-10'!$B$43</f>
        <v>vidyo1</v>
      </c>
      <c r="C15" s="117">
        <f>'AI-10'!$V$43</f>
        <v>1.8526721846878758E-5</v>
      </c>
      <c r="D15" s="118">
        <f>'AI-10'!$W$43</f>
        <v>3.6117621550180168E-4</v>
      </c>
      <c r="E15" s="119">
        <f>'AI-10'!$X$43</f>
        <v>-1.5280679954454701E-4</v>
      </c>
      <c r="F15" s="120">
        <f>GEOMEAN('AI-10'!$S$43:'AI-10'!$S$46)</f>
        <v>1.0441057205441762</v>
      </c>
      <c r="G15" s="121">
        <f>GEOMEAN('AI-10'!$T$43:'AI-10'!$T$46)</f>
        <v>1.0815929778652587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3">
      <c r="B16" s="122" t="str">
        <f>'AI-10'!$B$47</f>
        <v>vidyo3</v>
      </c>
      <c r="C16" s="123">
        <f>'AI-10'!$V$47</f>
        <v>-1.3999969983380378E-4</v>
      </c>
      <c r="D16" s="124">
        <f>'AI-10'!$W$47</f>
        <v>1.4082804316488673E-3</v>
      </c>
      <c r="E16" s="125">
        <f>'AI-10'!$X$47</f>
        <v>-1.8399928635719487E-3</v>
      </c>
      <c r="F16" s="126">
        <f>GEOMEAN('AI-10'!$S$47:'AI-10'!$S$50)</f>
        <v>1.0272334916898644</v>
      </c>
      <c r="G16" s="127">
        <f>GEOMEAN('AI-10'!$T$47:'AI-10'!$T$50)</f>
        <v>1.0407237356748342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3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3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5">
      <c r="B23" s="132" t="s">
        <v>78</v>
      </c>
      <c r="C23" s="111">
        <f>'AI-10'!$V75</f>
        <v>-9.1388762861105421E-5</v>
      </c>
      <c r="D23" s="112">
        <f>'AI-10'!$W75</f>
        <v>-2.4361265027738888E-3</v>
      </c>
      <c r="E23" s="113">
        <f>'AI-10'!$X75</f>
        <v>-3.9195594847233062E-3</v>
      </c>
      <c r="F23" s="128">
        <f>'AI-10'!$S75</f>
        <v>1.0134536314828411</v>
      </c>
      <c r="G23" s="115">
        <f>'AI-10'!$T75</f>
        <v>1.0205871148400065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5">
      <c r="B24" s="133" t="s">
        <v>79</v>
      </c>
      <c r="C24" s="117">
        <f>'AI-10'!$V76</f>
        <v>3.6690046805926135E-5</v>
      </c>
      <c r="D24" s="118">
        <f>'AI-10'!$W76</f>
        <v>-5.6914316242573371E-4</v>
      </c>
      <c r="E24" s="119">
        <f>'AI-10'!$X76</f>
        <v>-2.6605589002317576E-3</v>
      </c>
      <c r="F24" s="130">
        <f>'AI-10'!$S76</f>
        <v>1.0236038607903377</v>
      </c>
      <c r="G24" s="121">
        <f>'AI-10'!$T76</f>
        <v>1.0288013568817549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-6.700388511118871E-5</v>
      </c>
      <c r="D25" s="118">
        <f>'AI-10'!$W77</f>
        <v>4.3273012228306484E-4</v>
      </c>
      <c r="E25" s="119">
        <f>'AI-10'!$X77</f>
        <v>-4.3401727178180027E-4</v>
      </c>
      <c r="F25" s="130">
        <f>'AI-10'!$S77</f>
        <v>1.0322538290522487</v>
      </c>
      <c r="G25" s="121">
        <f>'AI-10'!$T77</f>
        <v>1.0449421476498135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-4.0567533722122663E-5</v>
      </c>
      <c r="D26" s="137">
        <f>'AI-10'!$W80</f>
        <v>-8.5751318097218587E-4</v>
      </c>
      <c r="E26" s="136">
        <f>'AI-10'!$X80</f>
        <v>-2.338045218912288E-3</v>
      </c>
      <c r="F26" s="135">
        <f>'AI-10'!$S80</f>
        <v>1.0230749089670961</v>
      </c>
      <c r="G26" s="134">
        <f>'AI-10'!$T80</f>
        <v>1.0313940429128079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2" t="s">
        <v>76</v>
      </c>
      <c r="D30" s="153"/>
      <c r="E30" s="153"/>
      <c r="F30" s="153"/>
      <c r="G30" s="154"/>
      <c r="I30" s="102"/>
      <c r="J30" s="152" t="s">
        <v>77</v>
      </c>
      <c r="K30" s="153"/>
      <c r="L30" s="153"/>
      <c r="M30" s="153"/>
      <c r="N30" s="154"/>
    </row>
    <row r="31" spans="2:15" ht="12.75" customHeight="1" x14ac:dyDescent="0.2">
      <c r="C31" s="152" t="str">
        <f>CONCATENATE("Over ", Summary!$J$3)</f>
        <v>Over HPM14.0</v>
      </c>
      <c r="D31" s="153"/>
      <c r="E31" s="153"/>
      <c r="F31" s="153"/>
      <c r="G31" s="154"/>
      <c r="I31" s="102"/>
      <c r="J31" s="152" t="str">
        <f>CONCATENATE("Over ", Summary!$J$3)</f>
        <v>Over HPM14.0</v>
      </c>
      <c r="K31" s="153"/>
      <c r="L31" s="153"/>
      <c r="M31" s="153"/>
      <c r="N31" s="154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-2.0282251022174513E-4</v>
      </c>
      <c r="D33" s="112">
        <f>'RA-10'!$W$3</f>
        <v>6.3673995560777907E-3</v>
      </c>
      <c r="E33" s="113">
        <f>'RA-10'!$X$3</f>
        <v>1.8918342350640049E-3</v>
      </c>
      <c r="F33" s="114">
        <f>GEOMEAN('RA-10'!$S$3:'RA-10'!$S$6)</f>
        <v>1.0407732006785715</v>
      </c>
      <c r="G33" s="115">
        <f>GEOMEAN('RA-10'!$T$3:'RA-10'!$T$6)</f>
        <v>1.0690459534010728</v>
      </c>
      <c r="I33" s="110" t="str">
        <f>'AI-10'!$B$3</f>
        <v>Tango2</v>
      </c>
      <c r="J33" s="111">
        <f>'LDB-10'!$V$3</f>
        <v>5.127281902337355E-4</v>
      </c>
      <c r="K33" s="112">
        <f>'LDB-10'!$W$3</f>
        <v>-7.6015405645089018E-3</v>
      </c>
      <c r="L33" s="113">
        <f>'LDB-10'!$X$3</f>
        <v>-4.9399243550738436E-3</v>
      </c>
      <c r="M33" s="114">
        <f>GEOMEAN('LDB-10'!$S$3:'LDB-10'!$S$6)</f>
        <v>1.0304092932065756</v>
      </c>
      <c r="N33" s="115">
        <f>GEOMEAN('LDB-10'!$T$3:'LDB-10'!$T$6)</f>
        <v>1.045078519101124</v>
      </c>
    </row>
    <row r="34" spans="2:14" ht="12.75" customHeight="1" x14ac:dyDescent="0.2">
      <c r="B34" s="116" t="str">
        <f>'AI-10'!$B$7</f>
        <v>ParkRunning3</v>
      </c>
      <c r="C34" s="117">
        <f>'RA-10'!$V$7</f>
        <v>-2.952069740618235E-4</v>
      </c>
      <c r="D34" s="118">
        <f>'RA-10'!$W$7</f>
        <v>-1.1735535978843914E-2</v>
      </c>
      <c r="E34" s="119">
        <f>'RA-10'!$X$7</f>
        <v>-3.9943772167325697E-3</v>
      </c>
      <c r="F34" s="120">
        <f>GEOMEAN('RA-10'!$S$7:'RA-10'!$S$10)</f>
        <v>1.0440860269897776</v>
      </c>
      <c r="G34" s="121">
        <f>GEOMEAN('RA-10'!$T$7:'RA-10'!$T$10)</f>
        <v>1.0119857014364411</v>
      </c>
      <c r="I34" s="116" t="str">
        <f>'AI-10'!$B$7</f>
        <v>ParkRunning3</v>
      </c>
      <c r="J34" s="117">
        <f>'LDB-10'!$V$7</f>
        <v>-2.0651432324245711E-3</v>
      </c>
      <c r="K34" s="118">
        <f>'LDB-10'!$W$7</f>
        <v>-1.2774320500336556E-2</v>
      </c>
      <c r="L34" s="119">
        <f>'LDB-10'!$X$7</f>
        <v>-1.1937707076096982E-2</v>
      </c>
      <c r="M34" s="120">
        <f>GEOMEAN('LDB-10'!$S$7:'LDB-10'!$S$10)</f>
        <v>1.0441261031476481</v>
      </c>
      <c r="N34" s="121">
        <f>GEOMEAN('LDB-10'!$T$7:'LDB-10'!$T$10)</f>
        <v>1.0309422811101734</v>
      </c>
    </row>
    <row r="35" spans="2:14" ht="12.75" customHeight="1" x14ac:dyDescent="0.2">
      <c r="B35" s="116" t="str">
        <f>'AI-10'!$B$11</f>
        <v>Campfire</v>
      </c>
      <c r="C35" s="117">
        <f>'RA-10'!$V$11</f>
        <v>1.9819148287414379E-5</v>
      </c>
      <c r="D35" s="118">
        <f>'RA-10'!$W$11</f>
        <v>3.6418151729078474E-4</v>
      </c>
      <c r="E35" s="119">
        <f>'RA-10'!$X$11</f>
        <v>-2.3253851734383879E-4</v>
      </c>
      <c r="F35" s="130">
        <f>GEOMEAN('RA-10'!$S$11:'RA-10'!$S$14)</f>
        <v>1.0410313604309469</v>
      </c>
      <c r="G35" s="121">
        <f>GEOMEAN('RA-10'!$T$11:'RA-10'!$T$14)</f>
        <v>1.0585697237841349</v>
      </c>
      <c r="I35" s="116" t="str">
        <f>'AI-10'!$B$11</f>
        <v>Campfire</v>
      </c>
      <c r="J35" s="117">
        <f>'LDB-10'!$V$11</f>
        <v>-4.7592361882742296E-4</v>
      </c>
      <c r="K35" s="118">
        <f>'LDB-10'!$W$11</f>
        <v>1.5288995360496216E-4</v>
      </c>
      <c r="L35" s="119">
        <f>'LDB-10'!$X$11</f>
        <v>4.0467938813071314E-5</v>
      </c>
      <c r="M35" s="130">
        <f>GEOMEAN('LDB-10'!$S$11:'LDB-10'!$S$14)</f>
        <v>1.0485672265676065</v>
      </c>
      <c r="N35" s="121">
        <f>GEOMEAN('LDB-10'!$T$11:'LDB-10'!$T$14)</f>
        <v>1.049184070222815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-1.0213467684662136E-3</v>
      </c>
      <c r="D36" s="124">
        <f>'RA-10'!$W$15</f>
        <v>-9.6785353290615994E-3</v>
      </c>
      <c r="E36" s="125">
        <f>'RA-10'!$X$15</f>
        <v>-1.2396732370062336E-2</v>
      </c>
      <c r="F36" s="126">
        <f>GEOMEAN('RA-10'!$S$15:'RA-10'!$S$18)</f>
        <v>1.0350513163457096</v>
      </c>
      <c r="G36" s="127">
        <f>GEOMEAN('RA-10'!$T$15:'RA-10'!$T$18)</f>
        <v>1.0553843848319708</v>
      </c>
      <c r="I36" s="122" t="str">
        <f>'AI-10'!$B$15</f>
        <v>DaylightRoad2</v>
      </c>
      <c r="J36" s="123">
        <f>'LDB-10'!$V$15</f>
        <v>-1.8960509298271422E-4</v>
      </c>
      <c r="K36" s="124">
        <f>'LDB-10'!$W$15</f>
        <v>-1.1828149461214355E-2</v>
      </c>
      <c r="L36" s="125">
        <f>'LDB-10'!$X$15</f>
        <v>-8.5219755132549535E-3</v>
      </c>
      <c r="M36" s="126">
        <f>GEOMEAN('LDB-10'!$S$15:'LDB-10'!$S$18)</f>
        <v>1.0439522944714286</v>
      </c>
      <c r="N36" s="127">
        <f>GEOMEAN('LDB-10'!$T$15:'LDB-10'!$T$18)</f>
        <v>1.0454130261584582</v>
      </c>
    </row>
    <row r="37" spans="2:14" ht="12.75" customHeight="1" x14ac:dyDescent="0.2">
      <c r="B37" s="110" t="str">
        <f>'AI-10'!$B$19</f>
        <v>Cactus</v>
      </c>
      <c r="C37" s="111">
        <f>'RA-10'!$V$19</f>
        <v>-5.4199240193131271E-4</v>
      </c>
      <c r="D37" s="112">
        <f>'RA-10'!$W$19</f>
        <v>-3.2523160748684221E-3</v>
      </c>
      <c r="E37" s="113">
        <f>'RA-10'!$X$19</f>
        <v>-1.4974258994705725E-2</v>
      </c>
      <c r="F37" s="114">
        <f>GEOMEAN('RA-10'!$S$19:'RA-10'!$S$22)</f>
        <v>1.0170209790075821</v>
      </c>
      <c r="G37" s="115">
        <f>GEOMEAN('RA-10'!$T$19:'RA-10'!$T$22)</f>
        <v>1.0262549633888387</v>
      </c>
      <c r="I37" s="110" t="str">
        <f>'AI-10'!$B$19</f>
        <v>Cactus</v>
      </c>
      <c r="J37" s="111">
        <f>'LDB-10'!$V$19</f>
        <v>7.4761991098037939E-4</v>
      </c>
      <c r="K37" s="112">
        <f>'LDB-10'!$W$19</f>
        <v>-4.6044303569501288E-3</v>
      </c>
      <c r="L37" s="113">
        <f>'LDB-10'!$X$19</f>
        <v>-1.2165209937869848E-2</v>
      </c>
      <c r="M37" s="114">
        <f>GEOMEAN('LDB-10'!$S$19:'LDB-10'!$S$22)</f>
        <v>1.0570484438610521</v>
      </c>
      <c r="N37" s="115">
        <f>GEOMEAN('LDB-10'!$T$19:'LDB-10'!$T$22)</f>
        <v>1.037888145911771</v>
      </c>
    </row>
    <row r="38" spans="2:14" ht="12.75" customHeight="1" x14ac:dyDescent="0.2">
      <c r="B38" s="116" t="str">
        <f>'AI-10'!$B$23</f>
        <v>BasketballDrive</v>
      </c>
      <c r="C38" s="117">
        <f>'RA-10'!$V$23</f>
        <v>4.0837264730919642E-5</v>
      </c>
      <c r="D38" s="118">
        <f>'RA-10'!$W$23</f>
        <v>-2.8919985130825276E-3</v>
      </c>
      <c r="E38" s="119">
        <f>'RA-10'!$X$23</f>
        <v>-9.6387197009106806E-5</v>
      </c>
      <c r="F38" s="120">
        <f>GEOMEAN('RA-10'!$S$23:'RA-10'!$S$26)</f>
        <v>1.0147540568080593</v>
      </c>
      <c r="G38" s="121">
        <f>GEOMEAN('RA-10'!$T$23:'RA-10'!$T$26)</f>
        <v>1.0380548782109615</v>
      </c>
      <c r="I38" s="116" t="str">
        <f>'AI-10'!$B$23</f>
        <v>BasketballDrive</v>
      </c>
      <c r="J38" s="117">
        <f>'LDB-10'!$V$23</f>
        <v>-3.3509273396614692E-4</v>
      </c>
      <c r="K38" s="118">
        <f>'LDB-10'!$W$23</f>
        <v>-3.5133619150067297E-3</v>
      </c>
      <c r="L38" s="119">
        <f>'LDB-10'!$X$23</f>
        <v>-1.884540446939198E-4</v>
      </c>
      <c r="M38" s="120">
        <f>GEOMEAN('LDB-10'!$S$23:'LDB-10'!$S$26)</f>
        <v>1.0298857453410408</v>
      </c>
      <c r="N38" s="121">
        <f>GEOMEAN('LDB-10'!$T$23:'LDB-10'!$T$26)</f>
        <v>1.021699380467022</v>
      </c>
    </row>
    <row r="39" spans="2:14" ht="12.75" customHeight="1" x14ac:dyDescent="0.2">
      <c r="B39" s="116" t="str">
        <f>'AI-10'!$B$27</f>
        <v>MarketPlace</v>
      </c>
      <c r="C39" s="117">
        <f>'RA-10'!$V$27</f>
        <v>-3.1506934322800273E-4</v>
      </c>
      <c r="D39" s="118">
        <f>'RA-10'!$W$27</f>
        <v>8.4587322373477214E-3</v>
      </c>
      <c r="E39" s="119">
        <f>'RA-10'!$X$27</f>
        <v>-1.5138417597790887E-3</v>
      </c>
      <c r="F39" s="120">
        <f>GEOMEAN('RA-10'!$S$27:'RA-10'!$S$30)</f>
        <v>1.008916737909354</v>
      </c>
      <c r="G39" s="121">
        <f>GEOMEAN('RA-10'!$T$27:'RA-10'!$T$30)</f>
        <v>1.0305029641089845</v>
      </c>
      <c r="I39" s="116" t="str">
        <f>'AI-10'!$B$27</f>
        <v>MarketPlace</v>
      </c>
      <c r="J39" s="117">
        <f>'LDB-10'!$V$27</f>
        <v>6.5239338060241181E-4</v>
      </c>
      <c r="K39" s="118">
        <f>'LDB-10'!$W$27</f>
        <v>-1.135096916283973E-2</v>
      </c>
      <c r="L39" s="119">
        <f>'LDB-10'!$X$27</f>
        <v>-4.0706793668240371E-3</v>
      </c>
      <c r="M39" s="120">
        <f>GEOMEAN('LDB-10'!$S$27:'LDB-10'!$S$30)</f>
        <v>1.0326967661471058</v>
      </c>
      <c r="N39" s="121">
        <f>GEOMEAN('LDB-10'!$T$27:'LDB-10'!$T$30)</f>
        <v>1.0436955472357168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4.5230026468634499E-4</v>
      </c>
      <c r="D40" s="124">
        <f>'RA-10'!$W$31</f>
        <v>1.3645876619428066E-3</v>
      </c>
      <c r="E40" s="125">
        <f>'RA-10'!$X$31</f>
        <v>4.5643709176141911E-3</v>
      </c>
      <c r="F40" s="126">
        <f>GEOMEAN('RA-10'!$S$31:'RA-10'!$S$34)</f>
        <v>1.0045051296497052</v>
      </c>
      <c r="G40" s="127">
        <f>GEOMEAN('RA-10'!$T$31:'RA-10'!$T$34)</f>
        <v>1.0235113584852831</v>
      </c>
      <c r="I40" s="122" t="str">
        <f>'AI-10'!$B$31</f>
        <v>RitualDance</v>
      </c>
      <c r="J40" s="123">
        <f>'LDB-10'!$V$31</f>
        <v>-5.5792169726232022E-4</v>
      </c>
      <c r="K40" s="124">
        <f>'LDB-10'!$W$31</f>
        <v>-2.7045337534666869E-3</v>
      </c>
      <c r="L40" s="125">
        <f>'LDB-10'!$X$31</f>
        <v>1.5785637555820742E-4</v>
      </c>
      <c r="M40" s="126">
        <f>GEOMEAN('LDB-10'!$S$31:'LDB-10'!$S$34)</f>
        <v>1.041215678129995</v>
      </c>
      <c r="N40" s="127">
        <f>GEOMEAN('LDB-10'!$T$31:'LDB-10'!$T$34)</f>
        <v>1.0418544529006579</v>
      </c>
    </row>
    <row r="41" spans="2:14" ht="12.75" customHeight="1" x14ac:dyDescent="0.2">
      <c r="B41" s="110" t="str">
        <f>'AI-10'!$B$35</f>
        <v>City</v>
      </c>
      <c r="C41" s="111">
        <f>'RA-10'!$V$35</f>
        <v>1.3641659599183953E-4</v>
      </c>
      <c r="D41" s="112">
        <f>'RA-10'!$W$35</f>
        <v>-1.2269808345157784E-3</v>
      </c>
      <c r="E41" s="113">
        <f>'RA-10'!$X$35</f>
        <v>8.3052236906944188E-4</v>
      </c>
      <c r="F41" s="114">
        <f>GEOMEAN('RA-10'!$S$35:'RA-10'!$S$38)</f>
        <v>1.0064455910569763</v>
      </c>
      <c r="G41" s="115">
        <f>GEOMEAN('RA-10'!$T$35:'RA-10'!$T$38)</f>
        <v>1.037832502940117</v>
      </c>
      <c r="I41" s="110" t="str">
        <f>'AI-10'!$B$35</f>
        <v>City</v>
      </c>
      <c r="J41" s="111">
        <f>'LDB-10'!$V$35</f>
        <v>-6.7899046916819472E-4</v>
      </c>
      <c r="K41" s="112">
        <f>'LDB-10'!$W$35</f>
        <v>7.6964720069061521E-3</v>
      </c>
      <c r="L41" s="113">
        <f>'LDB-10'!$X$35</f>
        <v>-1.366758155270742E-2</v>
      </c>
      <c r="M41" s="114">
        <f>GEOMEAN('LDB-10'!$S$35:'LDB-10'!$S$38)</f>
        <v>1.0461672632186165</v>
      </c>
      <c r="N41" s="115">
        <f>GEOMEAN('LDB-10'!$T$35:'LDB-10'!$T$38)</f>
        <v>1.0622883134764145</v>
      </c>
    </row>
    <row r="42" spans="2:14" ht="12.75" customHeight="1" x14ac:dyDescent="0.2">
      <c r="B42" s="116" t="str">
        <f>'AI-10'!$B$39</f>
        <v>Crew</v>
      </c>
      <c r="C42" s="117">
        <f>'RA-10'!$V$39</f>
        <v>-1.8565465747255594E-4</v>
      </c>
      <c r="D42" s="118">
        <f>'RA-10'!$W$39</f>
        <v>2.9033608210515816E-3</v>
      </c>
      <c r="E42" s="119">
        <f>'RA-10'!$X$39</f>
        <v>2.3983757329890665E-3</v>
      </c>
      <c r="F42" s="120">
        <f>GEOMEAN('RA-10'!$S$39:'RA-10'!$S$42)</f>
        <v>0.99534006157240307</v>
      </c>
      <c r="G42" s="121">
        <f>GEOMEAN('RA-10'!$T$39:'RA-10'!$T$42)</f>
        <v>0.99728702556573767</v>
      </c>
      <c r="I42" s="116" t="str">
        <f>'AI-10'!$B$39</f>
        <v>Crew</v>
      </c>
      <c r="J42" s="117">
        <f>'LDB-10'!$V$39</f>
        <v>-2.7464005151867088E-4</v>
      </c>
      <c r="K42" s="118">
        <f>'LDB-10'!$W$39</f>
        <v>7.0766891333207127E-4</v>
      </c>
      <c r="L42" s="119">
        <f>'LDB-10'!$X$39</f>
        <v>3.5621384699433545E-3</v>
      </c>
      <c r="M42" s="120">
        <f>GEOMEAN('LDB-10'!$S$39:'LDB-10'!$S$42)</f>
        <v>1.0258314285797296</v>
      </c>
      <c r="N42" s="121">
        <f>GEOMEAN('LDB-10'!$T$39:'LDB-10'!$T$42)</f>
        <v>1.0945459256701813</v>
      </c>
    </row>
    <row r="43" spans="2:14" ht="12.75" customHeight="1" x14ac:dyDescent="0.2">
      <c r="B43" s="116" t="str">
        <f>'AI-10'!$B$43</f>
        <v>vidyo1</v>
      </c>
      <c r="C43" s="117">
        <f>'RA-10'!$V$43</f>
        <v>1.263165709495917E-3</v>
      </c>
      <c r="D43" s="118">
        <f>'RA-10'!$W$43</f>
        <v>-3.6581260928696402E-3</v>
      </c>
      <c r="E43" s="119">
        <f>'RA-10'!$X$43</f>
        <v>-1.0152918147976475E-4</v>
      </c>
      <c r="F43" s="120">
        <f>GEOMEAN('RA-10'!$S$43:'RA-10'!$S$46)</f>
        <v>0.99213940350164265</v>
      </c>
      <c r="G43" s="121">
        <f>GEOMEAN('RA-10'!$T$43:'RA-10'!$T$46)</f>
        <v>1.0022009955869235</v>
      </c>
      <c r="I43" s="116" t="str">
        <f>'AI-10'!$B$43</f>
        <v>vidyo1</v>
      </c>
      <c r="J43" s="117">
        <f>'LDB-10'!$V$43</f>
        <v>-9.5456649224967549E-4</v>
      </c>
      <c r="K43" s="118">
        <f>'LDB-10'!$W$43</f>
        <v>-8.580224865140984E-3</v>
      </c>
      <c r="L43" s="119">
        <f>'LDB-10'!$X$43</f>
        <v>4.8993945484037127E-3</v>
      </c>
      <c r="M43" s="120">
        <f>GEOMEAN('LDB-10'!$S$43:'LDB-10'!$S$46)</f>
        <v>1.0102090463506688</v>
      </c>
      <c r="N43" s="121">
        <f>GEOMEAN('LDB-10'!$T$43:'LDB-10'!$T$46)</f>
        <v>1.0470223609643163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-4.2231744411536098E-4</v>
      </c>
      <c r="D44" s="124">
        <f>'RA-10'!$W$47</f>
        <v>4.0440153713898752E-3</v>
      </c>
      <c r="E44" s="125">
        <f>'RA-10'!$X$47</f>
        <v>-1.6560380164911681E-3</v>
      </c>
      <c r="F44" s="126">
        <f>GEOMEAN('RA-10'!$S$47:'RA-10'!$S$50)</f>
        <v>0.99630910931958871</v>
      </c>
      <c r="G44" s="127">
        <f>GEOMEAN('RA-10'!$T$47:'RA-10'!$T$50)</f>
        <v>1.0137220484654907</v>
      </c>
      <c r="I44" s="122" t="str">
        <f>'AI-10'!$B$47</f>
        <v>vidyo3</v>
      </c>
      <c r="J44" s="123">
        <f>'LDB-10'!$V$47</f>
        <v>-2.554745160175842E-3</v>
      </c>
      <c r="K44" s="124">
        <f>'LDB-10'!$W$47</f>
        <v>-2.1590518670566716E-5</v>
      </c>
      <c r="L44" s="125">
        <f>'LDB-10'!$X$47</f>
        <v>-5.3152937107994402E-2</v>
      </c>
      <c r="M44" s="126">
        <f>GEOMEAN('LDB-10'!$S$47:'LDB-10'!$S$50)</f>
        <v>1.0156128256218477</v>
      </c>
      <c r="N44" s="127">
        <f>GEOMEAN('LDB-10'!$T$47:'LDB-10'!$T$50)</f>
        <v>1.047468178607692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-3.7488927611559197E-4</v>
      </c>
      <c r="D51" s="112">
        <f>'RA-10'!$W75</f>
        <v>-3.6706225586342345E-3</v>
      </c>
      <c r="E51" s="113">
        <f>'RA-10'!$X75</f>
        <v>-3.6829534672686848E-3</v>
      </c>
      <c r="F51" s="128">
        <f>'RA-10'!$S75</f>
        <v>1.0402303477716743</v>
      </c>
      <c r="G51" s="115">
        <f>'RA-10'!$T75</f>
        <v>1.0485163831717179</v>
      </c>
      <c r="I51" s="132" t="s">
        <v>78</v>
      </c>
      <c r="J51" s="111">
        <f>'LDB-10'!$V75</f>
        <v>-5.5448593850024319E-4</v>
      </c>
      <c r="K51" s="112">
        <f>'LDB-10'!$W75</f>
        <v>-8.0127801431137124E-3</v>
      </c>
      <c r="L51" s="113">
        <f>'LDB-10'!$X75</f>
        <v>-6.3397847514031769E-3</v>
      </c>
      <c r="M51" s="128">
        <f>'LDB-10'!$S75</f>
        <v>1.0417413744403941</v>
      </c>
      <c r="N51" s="115">
        <f>'LDB-10'!$T75</f>
        <v>1.0426312005141989</v>
      </c>
    </row>
    <row r="52" spans="2:14" ht="12.75" customHeight="1" x14ac:dyDescent="0.2">
      <c r="B52" s="133" t="s">
        <v>79</v>
      </c>
      <c r="C52" s="117">
        <f>'RA-10'!$V76</f>
        <v>-9.0981053935512701E-5</v>
      </c>
      <c r="D52" s="118">
        <f>'RA-10'!$W76</f>
        <v>9.1975132783489455E-4</v>
      </c>
      <c r="E52" s="119">
        <f>'RA-10'!$X76</f>
        <v>-3.0050292584699323E-3</v>
      </c>
      <c r="F52" s="130">
        <f>'RA-10'!$S76</f>
        <v>1.0112872886771964</v>
      </c>
      <c r="G52" s="121">
        <f>'RA-10'!$T76</f>
        <v>1.0295664312127957</v>
      </c>
      <c r="I52" s="133" t="s">
        <v>79</v>
      </c>
      <c r="J52" s="117">
        <f>'LDB-10'!$V76</f>
        <v>1.2674971508858102E-4</v>
      </c>
      <c r="K52" s="118">
        <f>'LDB-10'!$W76</f>
        <v>-5.5433237970658189E-3</v>
      </c>
      <c r="L52" s="119">
        <f>'LDB-10'!$X76</f>
        <v>-4.0666217434573992E-3</v>
      </c>
      <c r="M52" s="130">
        <f>'LDB-10'!$S76</f>
        <v>1.0401581195630312</v>
      </c>
      <c r="N52" s="121">
        <f>'LDB-10'!$T76</f>
        <v>1.0362478468398224</v>
      </c>
    </row>
    <row r="53" spans="2:14" ht="12.75" customHeight="1" thickBot="1" x14ac:dyDescent="0.25">
      <c r="B53" s="133" t="s">
        <v>51</v>
      </c>
      <c r="C53" s="117">
        <f>'RA-10'!$V77</f>
        <v>1.979025509749599E-4</v>
      </c>
      <c r="D53" s="118">
        <f>'RA-10'!$W77</f>
        <v>5.1556731626400953E-4</v>
      </c>
      <c r="E53" s="119">
        <f>'RA-10'!$X77</f>
        <v>3.6783272602189387E-4</v>
      </c>
      <c r="F53" s="130">
        <f>'RA-10'!$S77</f>
        <v>0.99754419658320126</v>
      </c>
      <c r="G53" s="121">
        <f>'RA-10'!$T77</f>
        <v>1.0126404930898598</v>
      </c>
      <c r="I53" s="133" t="s">
        <v>80</v>
      </c>
      <c r="J53" s="117">
        <f>'LDB-10'!$V77</f>
        <v>-1.1157355432780958E-3</v>
      </c>
      <c r="K53" s="118">
        <f>'LDB-10'!$W77</f>
        <v>-4.9418615893331852E-5</v>
      </c>
      <c r="L53" s="119">
        <f>'LDB-10'!$X77</f>
        <v>-1.4589746410588689E-2</v>
      </c>
      <c r="M53" s="130">
        <f>'LDB-10'!$S77</f>
        <v>1.0243636031988534</v>
      </c>
      <c r="N53" s="121">
        <f>'LDB-10'!$T77</f>
        <v>1.0626574637040578</v>
      </c>
    </row>
    <row r="54" spans="2:14" ht="12.75" customHeight="1" thickBot="1" x14ac:dyDescent="0.25">
      <c r="B54" s="139" t="s">
        <v>37</v>
      </c>
      <c r="C54" s="138">
        <f>'RA-10'!$V80</f>
        <v>-8.9322593025381591E-5</v>
      </c>
      <c r="D54" s="137">
        <f>'RA-10'!$W80</f>
        <v>-7.4510130484511017E-4</v>
      </c>
      <c r="E54" s="136">
        <f>'RA-10'!$X80</f>
        <v>-2.1067166665722412E-3</v>
      </c>
      <c r="F54" s="135">
        <f>'RA-10'!$S80</f>
        <v>1.0161989414747976</v>
      </c>
      <c r="G54" s="134">
        <f>'RA-10'!$T80</f>
        <v>1.030136941383617</v>
      </c>
      <c r="I54" s="139" t="s">
        <v>37</v>
      </c>
      <c r="J54" s="138">
        <f>'LDB-10'!$V80</f>
        <v>-5.1449058889658594E-4</v>
      </c>
      <c r="K54" s="137">
        <f>'LDB-10'!$W80</f>
        <v>-4.5351741853576211E-3</v>
      </c>
      <c r="L54" s="136">
        <f>'LDB-10'!$X80</f>
        <v>-8.3320509684830877E-3</v>
      </c>
      <c r="M54" s="135">
        <f>'LDB-10'!$S80</f>
        <v>1.0353912058440256</v>
      </c>
      <c r="N54" s="134">
        <f>'LDB-10'!$T80</f>
        <v>1.0471186264154071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5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5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G28" sqref="B2:G28"/>
    </sheetView>
  </sheetViews>
  <sheetFormatPr defaultColWidth="10.8984375" defaultRowHeight="11.4" x14ac:dyDescent="0.2"/>
  <cols>
    <col min="1" max="1" width="4.09765625" style="1" customWidth="1"/>
    <col min="2" max="2" width="13.59765625" style="70" customWidth="1"/>
    <col min="3" max="7" width="8.8984375" style="70" customWidth="1"/>
    <col min="8" max="8" width="10.8984375" style="1"/>
    <col min="9" max="9" width="20.59765625" style="1" customWidth="1"/>
    <col min="10" max="10" width="13" style="1" customWidth="1"/>
    <col min="11" max="16384" width="10.8984375" style="1"/>
  </cols>
  <sheetData>
    <row r="1" spans="2:10" ht="12" thickBot="1" x14ac:dyDescent="0.25"/>
    <row r="2" spans="2:10" ht="12.75" customHeight="1" thickBot="1" x14ac:dyDescent="0.3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5">
      <c r="C3" s="145" t="str">
        <f>CONCATENATE("Over ", $J$3)</f>
        <v>Over HPM14.0</v>
      </c>
      <c r="D3" s="146"/>
      <c r="E3" s="146"/>
      <c r="F3" s="146"/>
      <c r="G3" s="147"/>
      <c r="I3" s="28" t="s">
        <v>20</v>
      </c>
      <c r="J3" s="28" t="s">
        <v>694</v>
      </c>
    </row>
    <row r="4" spans="2:10" ht="12.75" customHeight="1" thickBot="1" x14ac:dyDescent="0.3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695</v>
      </c>
    </row>
    <row r="5" spans="2:10" ht="12.75" customHeight="1" x14ac:dyDescent="0.25">
      <c r="B5" s="93" t="s">
        <v>92</v>
      </c>
      <c r="C5" s="60">
        <f>'AI-10'!V75</f>
        <v>-9.1388762861105421E-5</v>
      </c>
      <c r="D5" s="61">
        <f>'AI-10'!W75</f>
        <v>-2.4361265027738888E-3</v>
      </c>
      <c r="E5" s="62">
        <f>'AI-10'!X75</f>
        <v>-3.9195594847233062E-3</v>
      </c>
      <c r="F5" s="63">
        <f>'AI-10'!S75</f>
        <v>1.0134536314828411</v>
      </c>
      <c r="G5" s="64">
        <f>'AI-10'!T75</f>
        <v>1.0205871148400065</v>
      </c>
      <c r="H5" s="25"/>
      <c r="J5" s="28"/>
    </row>
    <row r="6" spans="2:10" ht="12.75" customHeight="1" x14ac:dyDescent="0.25">
      <c r="B6" s="94" t="s">
        <v>91</v>
      </c>
      <c r="C6" s="65">
        <f>'AI-10'!V76</f>
        <v>3.6690046805926135E-5</v>
      </c>
      <c r="D6" s="66">
        <f>'AI-10'!W76</f>
        <v>-5.6914316242573371E-4</v>
      </c>
      <c r="E6" s="67">
        <f>'AI-10'!X76</f>
        <v>-2.6605589002317576E-3</v>
      </c>
      <c r="F6" s="68">
        <f>'AI-10'!S76</f>
        <v>1.0236038607903377</v>
      </c>
      <c r="G6" s="69">
        <f>'AI-10'!T76</f>
        <v>1.0288013568817549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-6.700388511118871E-5</v>
      </c>
      <c r="D7" s="66">
        <f>'AI-10'!W77</f>
        <v>4.3273012228306484E-4</v>
      </c>
      <c r="E7" s="67">
        <f>'AI-10'!X77</f>
        <v>-4.3401727178180027E-4</v>
      </c>
      <c r="F7" s="68">
        <f>'AI-10'!S77</f>
        <v>1.0322538290522487</v>
      </c>
      <c r="G7" s="69">
        <f>'AI-10'!T77</f>
        <v>1.0449421476498135</v>
      </c>
      <c r="H7" s="25"/>
    </row>
    <row r="8" spans="2:10" s="20" customFormat="1" ht="12.75" customHeight="1" thickBot="1" x14ac:dyDescent="0.3">
      <c r="B8" s="81" t="s">
        <v>37</v>
      </c>
      <c r="C8" s="60">
        <f>'AI-10'!V80</f>
        <v>-4.0567533722122663E-5</v>
      </c>
      <c r="D8" s="61">
        <f>'AI-10'!W80</f>
        <v>-8.5751318097218587E-4</v>
      </c>
      <c r="E8" s="61">
        <f>'AI-10'!X80</f>
        <v>-2.338045218912288E-3</v>
      </c>
      <c r="F8" s="100">
        <f>'AI-10'!S80</f>
        <v>1.0230749089670961</v>
      </c>
      <c r="G8" s="101">
        <f>'AI-10'!T80</f>
        <v>1.0313940429128079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3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5">
      <c r="C13" s="145" t="str">
        <f>CONCATENATE("Over ", $J$3)</f>
        <v>Over HPM14.0</v>
      </c>
      <c r="D13" s="146"/>
      <c r="E13" s="146"/>
      <c r="F13" s="146"/>
      <c r="G13" s="147"/>
      <c r="I13" s="28"/>
    </row>
    <row r="14" spans="2:10" ht="12.75" customHeight="1" thickBot="1" x14ac:dyDescent="0.3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5">
      <c r="B15" s="93" t="s">
        <v>92</v>
      </c>
      <c r="C15" s="60">
        <f>'RA-10'!V75</f>
        <v>-3.7488927611559197E-4</v>
      </c>
      <c r="D15" s="61">
        <f>'RA-10'!W75</f>
        <v>-3.6706225586342345E-3</v>
      </c>
      <c r="E15" s="62">
        <f>'RA-10'!X75</f>
        <v>-3.6829534672686848E-3</v>
      </c>
      <c r="F15" s="63">
        <f>'RA-10'!S75</f>
        <v>1.0402303477716743</v>
      </c>
      <c r="G15" s="64">
        <f>'RA-10'!T75</f>
        <v>1.0485163831717179</v>
      </c>
      <c r="H15" s="25"/>
      <c r="I15" s="28"/>
    </row>
    <row r="16" spans="2:10" ht="12.75" customHeight="1" x14ac:dyDescent="0.25">
      <c r="B16" s="94" t="s">
        <v>91</v>
      </c>
      <c r="C16" s="65">
        <f>'RA-10'!V76</f>
        <v>-9.0981053935512701E-5</v>
      </c>
      <c r="D16" s="66">
        <f>'RA-10'!W76</f>
        <v>9.1975132783489455E-4</v>
      </c>
      <c r="E16" s="67">
        <f>'RA-10'!X76</f>
        <v>-3.0050292584699323E-3</v>
      </c>
      <c r="F16" s="68">
        <f>'RA-10'!S76</f>
        <v>1.0112872886771964</v>
      </c>
      <c r="G16" s="69">
        <f>'RA-10'!T76</f>
        <v>1.0295664312127957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1.979025509749599E-4</v>
      </c>
      <c r="D17" s="66">
        <f>'RA-10'!W77</f>
        <v>5.1556731626400953E-4</v>
      </c>
      <c r="E17" s="67">
        <f>'RA-10'!X77</f>
        <v>3.6783272602189387E-4</v>
      </c>
      <c r="F17" s="68">
        <f>'RA-10'!S77</f>
        <v>0.99754419658320126</v>
      </c>
      <c r="G17" s="69">
        <f>'RA-10'!T77</f>
        <v>1.0126404930898598</v>
      </c>
      <c r="H17" s="25"/>
    </row>
    <row r="18" spans="2:9" ht="12.75" customHeight="1" thickBot="1" x14ac:dyDescent="0.3">
      <c r="B18" s="81" t="s">
        <v>37</v>
      </c>
      <c r="C18" s="60">
        <f>'RA-10'!V80</f>
        <v>-8.9322593025381591E-5</v>
      </c>
      <c r="D18" s="61">
        <f>'RA-10'!W80</f>
        <v>-7.4510130484511017E-4</v>
      </c>
      <c r="E18" s="61">
        <f>'RA-10'!X80</f>
        <v>-2.1067166665722412E-3</v>
      </c>
      <c r="F18" s="100">
        <f>'RA-10'!S80</f>
        <v>1.0161989414747976</v>
      </c>
      <c r="G18" s="101">
        <f>'RA-10'!T80</f>
        <v>1.030136941383617</v>
      </c>
      <c r="H18" s="25"/>
      <c r="I18" s="28"/>
    </row>
    <row r="19" spans="2:9" ht="12.75" customHeight="1" thickBot="1" x14ac:dyDescent="0.3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3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3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HPM14.0</v>
      </c>
      <c r="D23" s="146"/>
      <c r="E23" s="146"/>
      <c r="F23" s="146"/>
      <c r="G23" s="147"/>
    </row>
    <row r="24" spans="2:9" ht="12.75" customHeight="1" thickBot="1" x14ac:dyDescent="0.3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5">
      <c r="B25" s="93" t="s">
        <v>92</v>
      </c>
      <c r="C25" s="60">
        <f>'LDB-10'!V75</f>
        <v>-5.5448593850024319E-4</v>
      </c>
      <c r="D25" s="61">
        <f>'LDB-10'!W75</f>
        <v>-8.0127801431137124E-3</v>
      </c>
      <c r="E25" s="62">
        <f>'LDB-10'!X75</f>
        <v>-6.3397847514031769E-3</v>
      </c>
      <c r="F25" s="63">
        <f>'LDB-10'!S75</f>
        <v>1.0417413744403941</v>
      </c>
      <c r="G25" s="64">
        <f>'LDB-10'!T75</f>
        <v>1.0426312005141989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1.2674971508858102E-4</v>
      </c>
      <c r="D26" s="66">
        <f>'LDB-10'!W76</f>
        <v>-5.5433237970658189E-3</v>
      </c>
      <c r="E26" s="67">
        <f>'LDB-10'!X76</f>
        <v>-4.0666217434573992E-3</v>
      </c>
      <c r="F26" s="68">
        <f>'LDB-10'!S76</f>
        <v>1.0401581195630312</v>
      </c>
      <c r="G26" s="69">
        <f>'LDB-10'!T76</f>
        <v>1.0362478468398224</v>
      </c>
      <c r="H26" s="25"/>
    </row>
    <row r="27" spans="2:9" ht="12.75" customHeight="1" thickBot="1" x14ac:dyDescent="0.3">
      <c r="B27" s="95" t="s">
        <v>93</v>
      </c>
      <c r="C27" s="65">
        <f>'LDB-10'!V77</f>
        <v>-1.1157355432780958E-3</v>
      </c>
      <c r="D27" s="66">
        <f>'LDB-10'!W77</f>
        <v>-4.9418615893331852E-5</v>
      </c>
      <c r="E27" s="67">
        <f>'LDB-10'!X77</f>
        <v>-1.4589746410588689E-2</v>
      </c>
      <c r="F27" s="68">
        <f>'LDB-10'!S77</f>
        <v>1.0243636031988534</v>
      </c>
      <c r="G27" s="69">
        <f>'LDB-10'!T77</f>
        <v>1.0626574637040578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-5.1449058889658594E-4</v>
      </c>
      <c r="D28" s="61">
        <f>'LDB-10'!W80</f>
        <v>-4.5351741853576211E-3</v>
      </c>
      <c r="E28" s="61">
        <f>'LDB-10'!X80</f>
        <v>-8.3320509684830877E-3</v>
      </c>
      <c r="F28" s="100">
        <f>'LDB-10'!S80</f>
        <v>1.0353912058440256</v>
      </c>
      <c r="G28" s="101">
        <f>'LDB-10'!T80</f>
        <v>1.0471186264154071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HPM14.0</v>
      </c>
      <c r="D33" s="146"/>
      <c r="E33" s="146"/>
      <c r="F33" s="146"/>
      <c r="G33" s="147"/>
    </row>
    <row r="34" spans="2:9" ht="12.75" customHeight="1" thickBot="1" x14ac:dyDescent="0.3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984375" defaultRowHeight="15.6" x14ac:dyDescent="0.25"/>
  <cols>
    <col min="2" max="2" width="21.3984375" customWidth="1"/>
    <col min="25" max="26" width="9" customWidth="1"/>
    <col min="27" max="27" width="16.3984375" style="30" bestFit="1" customWidth="1"/>
    <col min="28" max="39" width="9" customWidth="1"/>
  </cols>
  <sheetData>
    <row r="1" spans="1:43" ht="16.2" thickBot="1" x14ac:dyDescent="0.3">
      <c r="A1" t="s">
        <v>24</v>
      </c>
      <c r="AD1" t="s">
        <v>22</v>
      </c>
      <c r="AI1" t="s">
        <v>23</v>
      </c>
      <c r="AN1" t="s">
        <v>29</v>
      </c>
    </row>
    <row r="2" spans="1:43" ht="16.2" thickBot="1" x14ac:dyDescent="0.3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25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20" t="s">
        <v>66</v>
      </c>
      <c r="AB7">
        <f t="shared" si="0"/>
        <v>19</v>
      </c>
    </row>
    <row r="8" spans="1:43" x14ac:dyDescent="0.25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25">
      <c r="AA9" s="20" t="s">
        <v>68</v>
      </c>
      <c r="AB9">
        <f t="shared" si="0"/>
        <v>27</v>
      </c>
    </row>
    <row r="10" spans="1:43" x14ac:dyDescent="0.25">
      <c r="AA10" s="20" t="s">
        <v>69</v>
      </c>
      <c r="AB10">
        <f t="shared" si="0"/>
        <v>31</v>
      </c>
    </row>
    <row r="11" spans="1:43" x14ac:dyDescent="0.25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6.2" x14ac:dyDescent="0.3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6.2" x14ac:dyDescent="0.3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6.2" x14ac:dyDescent="0.3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6.2" x14ac:dyDescent="0.3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6.2" x14ac:dyDescent="0.3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25">
      <c r="AA17" s="20" t="s">
        <v>83</v>
      </c>
      <c r="AB17">
        <f t="shared" si="0"/>
        <v>59</v>
      </c>
    </row>
    <row r="18" spans="27:28" x14ac:dyDescent="0.25">
      <c r="AA18" s="20" t="s">
        <v>84</v>
      </c>
      <c r="AB18">
        <f t="shared" si="0"/>
        <v>63</v>
      </c>
    </row>
    <row r="19" spans="27:28" x14ac:dyDescent="0.25">
      <c r="AA19" s="20" t="s">
        <v>85</v>
      </c>
      <c r="AB19">
        <f t="shared" si="0"/>
        <v>67</v>
      </c>
    </row>
    <row r="20" spans="27:28" x14ac:dyDescent="0.25">
      <c r="AA20" s="20" t="s">
        <v>86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O47" sqref="O47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76108.410799999998</v>
      </c>
      <c r="E3" s="13">
        <f>Reference!C1</f>
        <v>40.809800000000003</v>
      </c>
      <c r="F3" s="13">
        <f>Reference!D1</f>
        <v>49.245100000000001</v>
      </c>
      <c r="G3" s="13">
        <f>Reference!E1</f>
        <v>47.749699999999997</v>
      </c>
      <c r="H3" s="13">
        <f>Reference!F1</f>
        <v>127914.648</v>
      </c>
      <c r="I3" s="13">
        <f>Reference!G1</f>
        <v>26.254999999999999</v>
      </c>
      <c r="J3" s="14">
        <f>H3/3600</f>
        <v>35.531846666666667</v>
      </c>
      <c r="L3" s="12">
        <f>Test!B1</f>
        <v>76132.358900000007</v>
      </c>
      <c r="M3" s="13">
        <f>Test!C1</f>
        <v>40.81</v>
      </c>
      <c r="N3" s="13">
        <f>Test!D1</f>
        <v>49.247500000000002</v>
      </c>
      <c r="O3" s="13">
        <f>Test!E1</f>
        <v>47.755499999999998</v>
      </c>
      <c r="P3" s="13">
        <f>Test!F1</f>
        <v>131763.141</v>
      </c>
      <c r="Q3" s="13">
        <f>Test!G1</f>
        <v>26.702999999999999</v>
      </c>
      <c r="R3" s="13">
        <f>P3/3600</f>
        <v>36.600872500000001</v>
      </c>
      <c r="S3" s="12">
        <f>P3/H3</f>
        <v>1.0300864135591414</v>
      </c>
      <c r="T3" s="13">
        <f>Q3/I3</f>
        <v>1.0170634164920969</v>
      </c>
      <c r="U3" s="90"/>
      <c r="V3" s="42">
        <f>bdrate($D3:$D6,E3:E6,$L3:$L6,M3:M6)</f>
        <v>-1.508991595078335E-5</v>
      </c>
      <c r="W3" s="42">
        <f>bdrate($D3:$D6,F3:F6,$L3:$L6,N3:N6)</f>
        <v>1.0443147734537916E-3</v>
      </c>
      <c r="X3" s="43">
        <f>bdrate($D3:$D6,G3:G6,$L3:$L6,O3:O6)</f>
        <v>-7.5619407890892276E-4</v>
      </c>
      <c r="Y3" s="37">
        <f>bdrateOld($D3:$D6,E3:E6,$L3:$L6,M3:M6)</f>
        <v>-2.2176317977518067E-5</v>
      </c>
      <c r="Z3" s="42">
        <f>bdrateOld($D3:$D6,F3:F6,$L3:$L6,N3:N6)</f>
        <v>5.1056473801147639E-4</v>
      </c>
      <c r="AA3" s="43">
        <f>bdrateOld($D3:$D6,G3:G6,$L3:$L6,O3:O6)</f>
        <v>-7.336343058992334E-4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41138.075700000001</v>
      </c>
      <c r="E4" s="18">
        <f>Reference!C2</f>
        <v>40.157800000000002</v>
      </c>
      <c r="F4" s="18">
        <f>Reference!D2</f>
        <v>48.552900000000001</v>
      </c>
      <c r="G4" s="18">
        <f>Reference!E2</f>
        <v>46.664700000000003</v>
      </c>
      <c r="H4" s="18">
        <f>Reference!F2</f>
        <v>70068.406000000003</v>
      </c>
      <c r="I4" s="18">
        <f>Reference!G2</f>
        <v>22.991</v>
      </c>
      <c r="J4" s="19">
        <f t="shared" ref="J4:J14" si="0">H4/3600</f>
        <v>19.463446111111111</v>
      </c>
      <c r="L4" s="17">
        <f>Test!B2</f>
        <v>41139.243199999997</v>
      </c>
      <c r="M4" s="18">
        <f>Test!C2</f>
        <v>40.157800000000002</v>
      </c>
      <c r="N4" s="18">
        <f>Test!D2</f>
        <v>48.549500000000002</v>
      </c>
      <c r="O4" s="18">
        <f>Test!E2</f>
        <v>46.668199999999999</v>
      </c>
      <c r="P4" s="18">
        <f>Test!F2</f>
        <v>70499.883000000002</v>
      </c>
      <c r="Q4" s="18">
        <f>Test!G2</f>
        <v>23.626000000000001</v>
      </c>
      <c r="R4" s="18">
        <f t="shared" ref="R4:R14" si="1">P4/3600</f>
        <v>19.583300833333332</v>
      </c>
      <c r="S4" s="17">
        <f t="shared" ref="S4:T14" si="2">P4/H4</f>
        <v>1.0061579394285065</v>
      </c>
      <c r="T4" s="18">
        <f t="shared" si="2"/>
        <v>1.0276195032838937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24681.1849</v>
      </c>
      <c r="E5" s="18">
        <f>Reference!C3</f>
        <v>39.432499999999997</v>
      </c>
      <c r="F5" s="18">
        <f>Reference!D3</f>
        <v>47.6188</v>
      </c>
      <c r="G5" s="18">
        <f>Reference!E3</f>
        <v>45.377800000000001</v>
      </c>
      <c r="H5" s="18">
        <f>Reference!F3</f>
        <v>42459.703000000001</v>
      </c>
      <c r="I5" s="18">
        <f>Reference!G3</f>
        <v>21.045999999999999</v>
      </c>
      <c r="J5" s="19">
        <f t="shared" si="0"/>
        <v>11.794361944444445</v>
      </c>
      <c r="L5" s="17">
        <f>Test!B3</f>
        <v>24678.045399999999</v>
      </c>
      <c r="M5" s="18">
        <f>Test!C3</f>
        <v>39.432400000000001</v>
      </c>
      <c r="N5" s="18">
        <f>Test!D3</f>
        <v>47.614400000000003</v>
      </c>
      <c r="O5" s="18">
        <f>Test!E3</f>
        <v>45.377000000000002</v>
      </c>
      <c r="P5" s="18">
        <f>Test!F3</f>
        <v>44015.811999999998</v>
      </c>
      <c r="Q5" s="18">
        <f>Test!G3</f>
        <v>21.071000000000002</v>
      </c>
      <c r="R5" s="18">
        <f t="shared" si="1"/>
        <v>12.226614444444444</v>
      </c>
      <c r="S5" s="17">
        <f t="shared" si="2"/>
        <v>1.036649078774762</v>
      </c>
      <c r="T5" s="18">
        <f t="shared" si="2"/>
        <v>1.0011878741803668</v>
      </c>
      <c r="U5" s="91"/>
      <c r="V5" s="25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Reference!B4</f>
        <v>14111.481100000001</v>
      </c>
      <c r="E6" s="23">
        <f>Reference!C4</f>
        <v>38.220999999999997</v>
      </c>
      <c r="F6" s="23">
        <f>Reference!D4</f>
        <v>46.124299999999998</v>
      </c>
      <c r="G6" s="23">
        <f>Reference!E4</f>
        <v>43.599600000000002</v>
      </c>
      <c r="H6" s="23">
        <f>Reference!F4</f>
        <v>23729.91</v>
      </c>
      <c r="I6" s="23">
        <f>Reference!G4</f>
        <v>19.149000000000001</v>
      </c>
      <c r="J6" s="24">
        <f t="shared" si="0"/>
        <v>6.5916416666666668</v>
      </c>
      <c r="L6" s="22">
        <f>Test!B4</f>
        <v>14111.4941</v>
      </c>
      <c r="M6" s="23">
        <f>Test!C4</f>
        <v>38.220999999999997</v>
      </c>
      <c r="N6" s="23">
        <f>Test!D4</f>
        <v>46.13</v>
      </c>
      <c r="O6" s="23">
        <f>Test!E4</f>
        <v>43.600099999999998</v>
      </c>
      <c r="P6" s="23">
        <f>Test!F4</f>
        <v>23939.525000000001</v>
      </c>
      <c r="Q6" s="23">
        <f>Test!G4</f>
        <v>20.401</v>
      </c>
      <c r="R6" s="23">
        <f t="shared" si="1"/>
        <v>6.6498680555555563</v>
      </c>
      <c r="S6" s="17">
        <f t="shared" si="2"/>
        <v>1.0088333668353568</v>
      </c>
      <c r="T6" s="18">
        <f t="shared" si="2"/>
        <v>1.065382004282208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322497.61050000001</v>
      </c>
      <c r="E7" s="13">
        <f>Reference!C5</f>
        <v>44.759700000000002</v>
      </c>
      <c r="F7" s="13">
        <f>Reference!D5</f>
        <v>39.129199999999997</v>
      </c>
      <c r="G7" s="13">
        <f>Reference!E5</f>
        <v>39.623100000000001</v>
      </c>
      <c r="H7" s="13">
        <f>Reference!F5</f>
        <v>197218.71900000001</v>
      </c>
      <c r="I7" s="13">
        <f>Reference!G5</f>
        <v>39.981000000000002</v>
      </c>
      <c r="J7" s="14">
        <f t="shared" si="0"/>
        <v>54.782977500000001</v>
      </c>
      <c r="L7" s="12">
        <f>Test!B5</f>
        <v>322468.1789</v>
      </c>
      <c r="M7" s="13">
        <f>Test!C5</f>
        <v>44.758800000000001</v>
      </c>
      <c r="N7" s="13">
        <f>Test!D5</f>
        <v>39.171599999999998</v>
      </c>
      <c r="O7" s="13">
        <f>Test!E5</f>
        <v>39.639600000000002</v>
      </c>
      <c r="P7" s="13">
        <f>Test!F5</f>
        <v>201295.84400000001</v>
      </c>
      <c r="Q7" s="13">
        <f>Test!G5</f>
        <v>40.515999999999998</v>
      </c>
      <c r="R7" s="13">
        <f t="shared" si="1"/>
        <v>55.915512222222226</v>
      </c>
      <c r="S7" s="17">
        <f t="shared" si="2"/>
        <v>1.0206731136916065</v>
      </c>
      <c r="T7" s="18">
        <f t="shared" si="2"/>
        <v>1.0133813561441685</v>
      </c>
      <c r="U7" s="91"/>
      <c r="V7" s="42">
        <f>bdrate($D7:$D10,E7:E10,$L7:$L10,M7:M10)</f>
        <v>-7.331612746652727E-5</v>
      </c>
      <c r="W7" s="42">
        <f>bdrate($D7:$D10,F7:F10,$L7:$L10,N7:N10)</f>
        <v>-8.8611982617730067E-3</v>
      </c>
      <c r="X7" s="42">
        <f>bdrate($D7:$D10,G7:G10,$L7:$L10,O7:O10)</f>
        <v>-4.9549129770372069E-3</v>
      </c>
      <c r="Y7" s="40">
        <f>bdrateOld($D7:$D10,E7:E10,$L7:$L10,M7:M10)</f>
        <v>-6.6302332279888354E-5</v>
      </c>
      <c r="Z7" s="44">
        <f>bdrateOld($D7:$D10,F7:F10,$L7:$L10,N7:N10)</f>
        <v>-8.8909235987961743E-3</v>
      </c>
      <c r="AA7" s="45">
        <f>bdrateOld($D7:$D10,G7:G10,$L7:$L10,O7:O10)</f>
        <v>-4.9451669717723856E-3</v>
      </c>
    </row>
    <row r="8" spans="1:27" x14ac:dyDescent="0.2">
      <c r="A8" s="16"/>
      <c r="B8" s="85"/>
      <c r="C8" s="16">
        <v>48</v>
      </c>
      <c r="D8" s="17">
        <f>Reference!B6</f>
        <v>205611.31580000001</v>
      </c>
      <c r="E8" s="18">
        <f>Reference!C6</f>
        <v>41.968299999999999</v>
      </c>
      <c r="F8" s="18">
        <f>Reference!D6</f>
        <v>36.6325</v>
      </c>
      <c r="G8" s="18">
        <f>Reference!E6</f>
        <v>37.441699999999997</v>
      </c>
      <c r="H8" s="18">
        <f>Reference!F6</f>
        <v>160831.641</v>
      </c>
      <c r="I8" s="18">
        <f>Reference!G6</f>
        <v>34.985999999999997</v>
      </c>
      <c r="J8" s="19">
        <f t="shared" si="0"/>
        <v>44.675455833333331</v>
      </c>
      <c r="L8" s="17">
        <f>Test!B6</f>
        <v>205573.25260000001</v>
      </c>
      <c r="M8" s="18">
        <f>Test!C6</f>
        <v>41.968699999999998</v>
      </c>
      <c r="N8" s="18">
        <f>Test!D6</f>
        <v>36.68</v>
      </c>
      <c r="O8" s="18">
        <f>Test!E6</f>
        <v>37.465600000000002</v>
      </c>
      <c r="P8" s="18">
        <f>Test!F6</f>
        <v>161691.68799999999</v>
      </c>
      <c r="Q8" s="18">
        <f>Test!G6</f>
        <v>35.427999999999997</v>
      </c>
      <c r="R8" s="18">
        <f t="shared" si="1"/>
        <v>44.914357777777774</v>
      </c>
      <c r="S8" s="17">
        <f t="shared" si="2"/>
        <v>1.0053474987549247</v>
      </c>
      <c r="T8" s="18">
        <f t="shared" si="2"/>
        <v>1.0126336248785228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117452.6421</v>
      </c>
      <c r="E9" s="18">
        <f>Reference!C7</f>
        <v>38.709200000000003</v>
      </c>
      <c r="F9" s="18">
        <f>Reference!D7</f>
        <v>34.360500000000002</v>
      </c>
      <c r="G9" s="18">
        <f>Reference!E7</f>
        <v>35.528399999999998</v>
      </c>
      <c r="H9" s="18">
        <f>Reference!F7</f>
        <v>119122.17200000001</v>
      </c>
      <c r="I9" s="18">
        <f>Reference!G7</f>
        <v>30.157</v>
      </c>
      <c r="J9" s="19">
        <f t="shared" si="0"/>
        <v>33.089492222222226</v>
      </c>
      <c r="L9" s="17">
        <f>Test!B7</f>
        <v>117425.3158</v>
      </c>
      <c r="M9" s="18">
        <f>Test!C7</f>
        <v>38.707900000000002</v>
      </c>
      <c r="N9" s="18">
        <f>Test!D7</f>
        <v>34.389200000000002</v>
      </c>
      <c r="O9" s="18">
        <f>Test!E7</f>
        <v>35.543399999999998</v>
      </c>
      <c r="P9" s="18">
        <f>Test!F7</f>
        <v>121943.211</v>
      </c>
      <c r="Q9" s="18">
        <f>Test!G7</f>
        <v>31.524999999999999</v>
      </c>
      <c r="R9" s="18">
        <f t="shared" si="1"/>
        <v>33.873114166666667</v>
      </c>
      <c r="S9" s="17">
        <f t="shared" si="2"/>
        <v>1.0236818969351902</v>
      </c>
      <c r="T9" s="18">
        <f t="shared" si="2"/>
        <v>1.0453626023808733</v>
      </c>
      <c r="U9" s="91"/>
      <c r="V9" s="25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</f>
        <v>55572.484199999999</v>
      </c>
      <c r="E10" s="23">
        <f>Reference!C8</f>
        <v>35.227800000000002</v>
      </c>
      <c r="F10" s="23">
        <f>Reference!D8</f>
        <v>32.005800000000001</v>
      </c>
      <c r="G10" s="23">
        <f>Reference!E8</f>
        <v>33.699800000000003</v>
      </c>
      <c r="H10" s="23">
        <f>Reference!F8</f>
        <v>78566.266000000003</v>
      </c>
      <c r="I10" s="23">
        <f>Reference!G8</f>
        <v>24.956</v>
      </c>
      <c r="J10" s="24">
        <f t="shared" si="0"/>
        <v>21.82396277777778</v>
      </c>
      <c r="L10" s="22">
        <f>Test!B8</f>
        <v>55574.6</v>
      </c>
      <c r="M10" s="23">
        <f>Test!C8</f>
        <v>35.227899999999998</v>
      </c>
      <c r="N10" s="23">
        <f>Test!D8</f>
        <v>32.031500000000001</v>
      </c>
      <c r="O10" s="23">
        <f>Test!E8</f>
        <v>33.7044</v>
      </c>
      <c r="P10" s="23">
        <f>Test!F8</f>
        <v>79177.266000000003</v>
      </c>
      <c r="Q10" s="23">
        <f>Test!G8</f>
        <v>25.739000000000001</v>
      </c>
      <c r="R10" s="23">
        <f t="shared" si="1"/>
        <v>21.993684999999999</v>
      </c>
      <c r="S10" s="17">
        <f t="shared" si="2"/>
        <v>1.0077768746194455</v>
      </c>
      <c r="T10" s="18">
        <f t="shared" si="2"/>
        <v>1.0313752203878828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124786.2758</v>
      </c>
      <c r="E11" s="13">
        <f>Reference!C9</f>
        <v>41.574599999999997</v>
      </c>
      <c r="F11" s="13">
        <f>Reference!D9</f>
        <v>44.012599999999999</v>
      </c>
      <c r="G11" s="13">
        <f>Reference!E9</f>
        <v>42.909700000000001</v>
      </c>
      <c r="H11" s="13">
        <f>Reference!F9</f>
        <v>166211.95300000001</v>
      </c>
      <c r="I11" s="13">
        <f>Reference!G9</f>
        <v>35.692999999999998</v>
      </c>
      <c r="J11" s="14">
        <f t="shared" si="0"/>
        <v>46.169986944444446</v>
      </c>
      <c r="L11" s="12">
        <f>Test!B9</f>
        <v>124781.4632</v>
      </c>
      <c r="M11" s="13">
        <f>Test!C9</f>
        <v>41.574599999999997</v>
      </c>
      <c r="N11" s="13">
        <f>Test!D9</f>
        <v>44.011099999999999</v>
      </c>
      <c r="O11" s="13">
        <f>Test!E9</f>
        <v>42.914900000000003</v>
      </c>
      <c r="P11" s="13">
        <f>Test!F9</f>
        <v>165520.609</v>
      </c>
      <c r="Q11" s="13">
        <f>Test!G9</f>
        <v>35.540999999999997</v>
      </c>
      <c r="R11" s="13">
        <f t="shared" si="1"/>
        <v>45.97794694444444</v>
      </c>
      <c r="S11" s="17">
        <f t="shared" si="2"/>
        <v>0.99584058795097596</v>
      </c>
      <c r="T11" s="18">
        <f t="shared" si="2"/>
        <v>0.99574146191129909</v>
      </c>
      <c r="U11" s="91"/>
      <c r="V11" s="42">
        <f>bdrate($D11:$D14,E11:E14,$L11:$L14,M11:M14)</f>
        <v>-2.2139215457139816E-4</v>
      </c>
      <c r="W11" s="42">
        <f>bdrate($D11:$D14,F11:F14,$L11:$L14,N11:N14)</f>
        <v>1.7198191625755754E-4</v>
      </c>
      <c r="X11" s="42">
        <f>bdrate($D11:$D14,G11:G14,$L11:$L14,O11:O14)</f>
        <v>-1.2486035493498582E-3</v>
      </c>
      <c r="Y11" s="40">
        <f>bdrateOld($D11:$D14,E11:E14,$L11:$L14,M11:M14)</f>
        <v>-3.0284298851246394E-4</v>
      </c>
      <c r="Z11" s="44">
        <f>bdrateOld($D11:$D14,F11:F14,$L11:$L14,N11:N14)</f>
        <v>1.4363343957546348E-4</v>
      </c>
      <c r="AA11" s="45">
        <f>bdrateOld($D11:$D14,G11:G14,$L11:$L14,O11:O14)</f>
        <v>-1.1232483531795623E-3</v>
      </c>
    </row>
    <row r="12" spans="1:27" x14ac:dyDescent="0.2">
      <c r="A12" s="34"/>
      <c r="B12" s="83"/>
      <c r="C12" s="16">
        <v>48</v>
      </c>
      <c r="D12" s="17">
        <f>Reference!B10</f>
        <v>55896.726300000002</v>
      </c>
      <c r="E12" s="18">
        <f>Reference!C10</f>
        <v>38.880200000000002</v>
      </c>
      <c r="F12" s="18">
        <f>Reference!D10</f>
        <v>41.390099999999997</v>
      </c>
      <c r="G12" s="18">
        <f>Reference!E10</f>
        <v>41.786299999999997</v>
      </c>
      <c r="H12" s="18">
        <f>Reference!F10</f>
        <v>115937.008</v>
      </c>
      <c r="I12" s="18">
        <f>Reference!G10</f>
        <v>26.85</v>
      </c>
      <c r="J12" s="19">
        <f t="shared" si="0"/>
        <v>32.204724444444444</v>
      </c>
      <c r="L12" s="17">
        <f>Test!B10</f>
        <v>55911.890500000001</v>
      </c>
      <c r="M12" s="18">
        <f>Test!C10</f>
        <v>38.881799999999998</v>
      </c>
      <c r="N12" s="18">
        <f>Test!D10</f>
        <v>41.389200000000002</v>
      </c>
      <c r="O12" s="18">
        <f>Test!E10</f>
        <v>41.788600000000002</v>
      </c>
      <c r="P12" s="18">
        <f>Test!F10</f>
        <v>118011.29700000001</v>
      </c>
      <c r="Q12" s="18">
        <f>Test!G10</f>
        <v>27.117999999999999</v>
      </c>
      <c r="R12" s="18">
        <f t="shared" si="1"/>
        <v>32.780915833333331</v>
      </c>
      <c r="S12" s="17">
        <f t="shared" si="2"/>
        <v>1.017891517435054</v>
      </c>
      <c r="T12" s="18">
        <f t="shared" si="2"/>
        <v>1.0099813780260707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25289.968400000002</v>
      </c>
      <c r="E13" s="18">
        <f>Reference!C11</f>
        <v>37.308700000000002</v>
      </c>
      <c r="F13" s="18">
        <f>Reference!D11</f>
        <v>39.061500000000002</v>
      </c>
      <c r="G13" s="18">
        <f>Reference!E11</f>
        <v>40.706800000000001</v>
      </c>
      <c r="H13" s="18">
        <f>Reference!F11</f>
        <v>66375.304999999993</v>
      </c>
      <c r="I13" s="18">
        <f>Reference!G11</f>
        <v>20.861000000000001</v>
      </c>
      <c r="J13" s="19">
        <f t="shared" si="0"/>
        <v>18.437584722222219</v>
      </c>
      <c r="L13" s="17">
        <f>Test!B11</f>
        <v>25279.4653</v>
      </c>
      <c r="M13" s="18">
        <f>Test!C11</f>
        <v>37.308100000000003</v>
      </c>
      <c r="N13" s="18">
        <f>Test!D11</f>
        <v>39.061300000000003</v>
      </c>
      <c r="O13" s="18">
        <f>Test!E11</f>
        <v>40.706600000000002</v>
      </c>
      <c r="P13" s="18">
        <f>Test!F11</f>
        <v>67762.156000000003</v>
      </c>
      <c r="Q13" s="18">
        <f>Test!G11</f>
        <v>22.385999999999999</v>
      </c>
      <c r="R13" s="18">
        <f t="shared" si="1"/>
        <v>18.822821111111111</v>
      </c>
      <c r="S13" s="17">
        <f t="shared" si="2"/>
        <v>1.0208940810140159</v>
      </c>
      <c r="T13" s="18">
        <f t="shared" si="2"/>
        <v>1.0731029193231387</v>
      </c>
      <c r="U13" s="91"/>
      <c r="V13" s="25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Reference!B12</f>
        <v>12251.709500000001</v>
      </c>
      <c r="E14" s="23">
        <f>Reference!C12</f>
        <v>35.925800000000002</v>
      </c>
      <c r="F14" s="23">
        <f>Reference!D12</f>
        <v>36.340899999999998</v>
      </c>
      <c r="G14" s="23">
        <f>Reference!E12</f>
        <v>39.218400000000003</v>
      </c>
      <c r="H14" s="23">
        <f>Reference!F12</f>
        <v>37623.546999999999</v>
      </c>
      <c r="I14" s="23">
        <f>Reference!G12</f>
        <v>18.364000000000001</v>
      </c>
      <c r="J14" s="24">
        <f t="shared" si="0"/>
        <v>10.450985277777777</v>
      </c>
      <c r="L14" s="22">
        <f>Test!B12</f>
        <v>12246.3789</v>
      </c>
      <c r="M14" s="23">
        <f>Test!C12</f>
        <v>35.924999999999997</v>
      </c>
      <c r="N14" s="23">
        <f>Test!D12</f>
        <v>36.337499999999999</v>
      </c>
      <c r="O14" s="23">
        <f>Test!E12</f>
        <v>39.221600000000002</v>
      </c>
      <c r="P14" s="23">
        <f>Test!F12</f>
        <v>38451.565999999999</v>
      </c>
      <c r="Q14" s="23">
        <f>Test!G12</f>
        <v>18.581</v>
      </c>
      <c r="R14" s="23">
        <f t="shared" si="1"/>
        <v>10.680990555555555</v>
      </c>
      <c r="S14" s="17">
        <f t="shared" si="2"/>
        <v>1.022007999405266</v>
      </c>
      <c r="T14" s="18">
        <f t="shared" si="2"/>
        <v>1.0118165976911349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177227.53260000001</v>
      </c>
      <c r="E15" s="13">
        <f>Reference!C13</f>
        <v>38.622599999999998</v>
      </c>
      <c r="F15" s="13">
        <f>Reference!D13</f>
        <v>45.664700000000003</v>
      </c>
      <c r="G15" s="13">
        <f>Reference!E13</f>
        <v>43.477400000000003</v>
      </c>
      <c r="H15" s="13">
        <f>Reference!F13</f>
        <v>201959.28099999999</v>
      </c>
      <c r="I15" s="13">
        <f>Reference!G13</f>
        <v>36.557000000000002</v>
      </c>
      <c r="J15" s="14">
        <f>H15/3600</f>
        <v>56.099800277777774</v>
      </c>
      <c r="L15" s="12">
        <f>Test!B13</f>
        <v>177359.97469999999</v>
      </c>
      <c r="M15" s="13">
        <f>Test!C13</f>
        <v>38.623800000000003</v>
      </c>
      <c r="N15" s="13">
        <f>Test!D13</f>
        <v>45.669899999999998</v>
      </c>
      <c r="O15" s="13">
        <f>Test!E13</f>
        <v>43.4878</v>
      </c>
      <c r="P15" s="13">
        <f>Test!F13</f>
        <v>198571.28099999999</v>
      </c>
      <c r="Q15" s="13">
        <f>Test!G13</f>
        <v>35.424999999999997</v>
      </c>
      <c r="R15" s="13">
        <f>P15/3600</f>
        <v>55.158689166666662</v>
      </c>
      <c r="S15" s="17">
        <f>P15/H15</f>
        <v>0.98322434114825352</v>
      </c>
      <c r="T15" s="18">
        <f>Q15/I15</f>
        <v>0.96903465820499479</v>
      </c>
      <c r="U15" s="91"/>
      <c r="V15" s="42">
        <f>bdrate($D15:$D18,E15:E18,$L15:$L18,M15:M18)</f>
        <v>-5.5756853455712907E-5</v>
      </c>
      <c r="W15" s="42">
        <f>bdrate($D15:$D18,F15:F18,$L15:$L18,N15:N18)</f>
        <v>-2.0996044390338975E-3</v>
      </c>
      <c r="X15" s="43">
        <f>bdrate($D15:$D18,G15:G18,$L15:$L18,O15:O18)</f>
        <v>-8.7185273335972369E-3</v>
      </c>
      <c r="Y15" s="37">
        <f>bdrateOld($D15:$D18,E15:E18,$L15:$L18,M15:M18)</f>
        <v>-1.4054430496912573E-4</v>
      </c>
      <c r="Z15" s="42">
        <f>bdrateOld($D15:$D18,F15:F18,$L15:$L18,N15:N18)</f>
        <v>-1.7363227542969151E-3</v>
      </c>
      <c r="AA15" s="43">
        <f>bdrateOld($D15:$D18,G15:G18,$L15:$L18,O15:O18)</f>
        <v>-8.5271553194311567E-3</v>
      </c>
    </row>
    <row r="16" spans="1:27" x14ac:dyDescent="0.2">
      <c r="A16" s="16"/>
      <c r="B16" s="85"/>
      <c r="C16" s="16">
        <v>48</v>
      </c>
      <c r="D16" s="17">
        <f>Reference!B14</f>
        <v>86177.166299999997</v>
      </c>
      <c r="E16" s="18">
        <f>Reference!C14</f>
        <v>37.677999999999997</v>
      </c>
      <c r="F16" s="18">
        <f>Reference!D14</f>
        <v>44.801000000000002</v>
      </c>
      <c r="G16" s="18">
        <f>Reference!E14</f>
        <v>42.488999999999997</v>
      </c>
      <c r="H16" s="18">
        <f>Reference!F14</f>
        <v>122163.82799999999</v>
      </c>
      <c r="I16" s="18">
        <f>Reference!G14</f>
        <v>27.545999999999999</v>
      </c>
      <c r="J16" s="19">
        <f t="shared" ref="J16:J26" si="3">H16/3600</f>
        <v>33.934396666666665</v>
      </c>
      <c r="L16" s="17">
        <f>Test!B14</f>
        <v>86191.743199999997</v>
      </c>
      <c r="M16" s="18">
        <f>Test!C14</f>
        <v>37.677599999999998</v>
      </c>
      <c r="N16" s="18">
        <f>Test!D14</f>
        <v>44.8095</v>
      </c>
      <c r="O16" s="18">
        <f>Test!E14</f>
        <v>42.5075</v>
      </c>
      <c r="P16" s="18">
        <f>Test!F14</f>
        <v>124702.734</v>
      </c>
      <c r="Q16" s="18">
        <f>Test!G14</f>
        <v>28.01</v>
      </c>
      <c r="R16" s="18">
        <f t="shared" ref="R16:R26" si="4">P16/3600</f>
        <v>34.639648333333334</v>
      </c>
      <c r="S16" s="17">
        <f t="shared" ref="S16:S26" si="5">P16/H16</f>
        <v>1.0207827966883947</v>
      </c>
      <c r="T16" s="18">
        <f t="shared" ref="T16:T26" si="6">Q16/I16</f>
        <v>1.0168445509329849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49746.997900000002</v>
      </c>
      <c r="E17" s="18">
        <f>Reference!C15</f>
        <v>36.759300000000003</v>
      </c>
      <c r="F17" s="18">
        <f>Reference!D15</f>
        <v>43.834400000000002</v>
      </c>
      <c r="G17" s="18">
        <f>Reference!E15</f>
        <v>41.474899999999998</v>
      </c>
      <c r="H17" s="18">
        <f>Reference!F15</f>
        <v>80409.625</v>
      </c>
      <c r="I17" s="18">
        <f>Reference!G15</f>
        <v>23.861999999999998</v>
      </c>
      <c r="J17" s="19">
        <f t="shared" si="3"/>
        <v>22.336006944444446</v>
      </c>
      <c r="L17" s="17">
        <f>Test!B15</f>
        <v>49730.046300000002</v>
      </c>
      <c r="M17" s="18">
        <f>Test!C15</f>
        <v>36.7592</v>
      </c>
      <c r="N17" s="18">
        <f>Test!D15</f>
        <v>43.838500000000003</v>
      </c>
      <c r="O17" s="18">
        <f>Test!E15</f>
        <v>41.489100000000001</v>
      </c>
      <c r="P17" s="18">
        <f>Test!F15</f>
        <v>80142.577999999994</v>
      </c>
      <c r="Q17" s="18">
        <f>Test!G15</f>
        <v>25.082999999999998</v>
      </c>
      <c r="R17" s="18">
        <f t="shared" si="4"/>
        <v>22.26182722222222</v>
      </c>
      <c r="S17" s="17">
        <f t="shared" si="5"/>
        <v>0.99667891748033888</v>
      </c>
      <c r="T17" s="18">
        <f t="shared" si="6"/>
        <v>1.0511692230324365</v>
      </c>
      <c r="U17" s="91"/>
      <c r="V17" s="25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</f>
        <v>26292.265299999999</v>
      </c>
      <c r="E18" s="23">
        <f>Reference!C16</f>
        <v>35.259599999999999</v>
      </c>
      <c r="F18" s="23">
        <f>Reference!D16</f>
        <v>42.452500000000001</v>
      </c>
      <c r="G18" s="23">
        <f>Reference!E16</f>
        <v>40.209099999999999</v>
      </c>
      <c r="H18" s="23">
        <f>Reference!F16</f>
        <v>48473.258000000002</v>
      </c>
      <c r="I18" s="23">
        <f>Reference!G16</f>
        <v>20.483000000000001</v>
      </c>
      <c r="J18" s="24">
        <f t="shared" si="3"/>
        <v>13.46479388888889</v>
      </c>
      <c r="L18" s="22">
        <f>Test!B16</f>
        <v>26284.0674</v>
      </c>
      <c r="M18" s="23">
        <f>Test!C16</f>
        <v>35.259</v>
      </c>
      <c r="N18" s="23">
        <f>Test!D16</f>
        <v>42.436</v>
      </c>
      <c r="O18" s="23">
        <f>Test!E16</f>
        <v>40.221699999999998</v>
      </c>
      <c r="P18" s="23">
        <f>Test!F16</f>
        <v>49450.82</v>
      </c>
      <c r="Q18" s="23">
        <f>Test!G16</f>
        <v>20.343</v>
      </c>
      <c r="R18" s="23">
        <f t="shared" si="4"/>
        <v>13.73633888888889</v>
      </c>
      <c r="S18" s="17">
        <f t="shared" si="5"/>
        <v>1.0201670372558824</v>
      </c>
      <c r="T18" s="18">
        <f t="shared" si="6"/>
        <v>0.99316506371137037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67513.092099999994</v>
      </c>
      <c r="E19" s="13">
        <f>Reference!C17</f>
        <v>39.564399999999999</v>
      </c>
      <c r="F19" s="13">
        <f>Reference!D17</f>
        <v>40.5364</v>
      </c>
      <c r="G19" s="13">
        <f>Reference!E17</f>
        <v>43.534500000000001</v>
      </c>
      <c r="H19" s="13">
        <f>Reference!F17</f>
        <v>84838.702999999994</v>
      </c>
      <c r="I19" s="13">
        <f>Reference!G17</f>
        <v>17.992000000000001</v>
      </c>
      <c r="J19" s="14">
        <f t="shared" si="3"/>
        <v>23.566306388888886</v>
      </c>
      <c r="L19" s="12">
        <f>Test!B17</f>
        <v>67507.472999999998</v>
      </c>
      <c r="M19" s="13">
        <f>Test!C17</f>
        <v>39.563000000000002</v>
      </c>
      <c r="N19" s="13">
        <f>Test!D17</f>
        <v>40.538200000000003</v>
      </c>
      <c r="O19" s="13">
        <f>Test!E17</f>
        <v>43.602899999999998</v>
      </c>
      <c r="P19" s="13">
        <f>Test!F17</f>
        <v>89451.335999999996</v>
      </c>
      <c r="Q19" s="13">
        <f>Test!G17</f>
        <v>19.350000000000001</v>
      </c>
      <c r="R19" s="13">
        <f t="shared" si="4"/>
        <v>24.847593333333332</v>
      </c>
      <c r="S19" s="12">
        <f t="shared" si="5"/>
        <v>1.0543694426823098</v>
      </c>
      <c r="T19" s="13">
        <f t="shared" si="6"/>
        <v>1.0754779902178746</v>
      </c>
      <c r="U19" s="90"/>
      <c r="V19" s="42">
        <f>bdrate($D19:$D22,E19:E22,$L19:$L22,M19:M22)</f>
        <v>1.7926080706165415E-4</v>
      </c>
      <c r="W19" s="42">
        <f>bdrate($D19:$D22,F19:F22,$L19:$L22,N19:N22)</f>
        <v>-7.6211432501693821E-5</v>
      </c>
      <c r="X19" s="42">
        <f>bdrate($D19:$D22,G19:G22,$L19:$L22,O19:O22)</f>
        <v>-9.8180342108412644E-3</v>
      </c>
      <c r="Y19" s="40">
        <f>bdrateOld($D19:$D22,E19:E22,$L19:$L22,M19:M22)</f>
        <v>1.7752320591069015E-4</v>
      </c>
      <c r="Z19" s="44">
        <f>bdrateOld($D19:$D22,F19:F22,$L19:$L22,N19:N22)</f>
        <v>-1.9242293337629057E-4</v>
      </c>
      <c r="AA19" s="45">
        <f>bdrateOld($D19:$D22,G19:G22,$L19:$L22,O19:O22)</f>
        <v>-9.287816176486885E-3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40263.168299999998</v>
      </c>
      <c r="E20" s="18">
        <f>Reference!C18</f>
        <v>37.929200000000002</v>
      </c>
      <c r="F20" s="18">
        <f>Reference!D18</f>
        <v>39.565899999999999</v>
      </c>
      <c r="G20" s="18">
        <f>Reference!E18</f>
        <v>42.150599999999997</v>
      </c>
      <c r="H20" s="18">
        <f>Reference!F18</f>
        <v>65362.722999999998</v>
      </c>
      <c r="I20" s="18">
        <f>Reference!G18</f>
        <v>15.147</v>
      </c>
      <c r="J20" s="19">
        <f t="shared" si="3"/>
        <v>18.156311944444443</v>
      </c>
      <c r="L20" s="17">
        <f>Test!B18</f>
        <v>40260.7048</v>
      </c>
      <c r="M20" s="18">
        <f>Test!C18</f>
        <v>37.927999999999997</v>
      </c>
      <c r="N20" s="18">
        <f>Test!D18</f>
        <v>39.564799999999998</v>
      </c>
      <c r="O20" s="18">
        <f>Test!E18</f>
        <v>42.206200000000003</v>
      </c>
      <c r="P20" s="18">
        <f>Test!F18</f>
        <v>67813.945000000007</v>
      </c>
      <c r="Q20" s="18">
        <f>Test!G18</f>
        <v>15.840999999999999</v>
      </c>
      <c r="R20" s="18">
        <f t="shared" si="4"/>
        <v>18.837206944444446</v>
      </c>
      <c r="S20" s="17">
        <f t="shared" si="5"/>
        <v>1.037501834187661</v>
      </c>
      <c r="T20" s="18">
        <f t="shared" si="6"/>
        <v>1.0458176536607908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23221.384099999999</v>
      </c>
      <c r="E21" s="18">
        <f>Reference!C19</f>
        <v>36.016100000000002</v>
      </c>
      <c r="F21" s="18">
        <f>Reference!D19</f>
        <v>38.714799999999997</v>
      </c>
      <c r="G21" s="18">
        <f>Reference!E19</f>
        <v>40.759300000000003</v>
      </c>
      <c r="H21" s="18">
        <f>Reference!F19</f>
        <v>48284.800999999999</v>
      </c>
      <c r="I21" s="18">
        <f>Reference!G19</f>
        <v>12.585000000000001</v>
      </c>
      <c r="J21" s="19">
        <f t="shared" si="3"/>
        <v>13.412444722222222</v>
      </c>
      <c r="L21" s="17">
        <f>Test!B19</f>
        <v>23226.279399999999</v>
      </c>
      <c r="M21" s="18">
        <f>Test!C19</f>
        <v>36.016399999999997</v>
      </c>
      <c r="N21" s="18">
        <f>Test!D19</f>
        <v>38.7166</v>
      </c>
      <c r="O21" s="18">
        <f>Test!E19</f>
        <v>40.7639</v>
      </c>
      <c r="P21" s="18">
        <f>Test!F19</f>
        <v>47972.84</v>
      </c>
      <c r="Q21" s="18">
        <f>Test!G19</f>
        <v>12.502000000000001</v>
      </c>
      <c r="R21" s="18">
        <f t="shared" si="4"/>
        <v>13.325788888888887</v>
      </c>
      <c r="S21" s="17">
        <f t="shared" si="5"/>
        <v>0.99353914702889623</v>
      </c>
      <c r="T21" s="18">
        <f t="shared" si="6"/>
        <v>0.9934048470401271</v>
      </c>
      <c r="U21" s="91"/>
      <c r="V21" s="25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Reference!B20</f>
        <v>11838.127</v>
      </c>
      <c r="E22" s="23">
        <f>Reference!C20</f>
        <v>33.5398</v>
      </c>
      <c r="F22" s="23">
        <f>Reference!D20</f>
        <v>37.531100000000002</v>
      </c>
      <c r="G22" s="23">
        <f>Reference!E20</f>
        <v>38.919199999999996</v>
      </c>
      <c r="H22" s="23">
        <f>Reference!F20</f>
        <v>31942.440999999999</v>
      </c>
      <c r="I22" s="23">
        <f>Reference!G20</f>
        <v>10.301</v>
      </c>
      <c r="J22" s="24">
        <f t="shared" si="3"/>
        <v>8.8729002777777772</v>
      </c>
      <c r="L22" s="22">
        <f>Test!B20</f>
        <v>11836.1841</v>
      </c>
      <c r="M22" s="23">
        <f>Test!C20</f>
        <v>33.539299999999997</v>
      </c>
      <c r="N22" s="23">
        <f>Test!D20</f>
        <v>37.528199999999998</v>
      </c>
      <c r="O22" s="23">
        <f>Test!E20</f>
        <v>38.914700000000003</v>
      </c>
      <c r="P22" s="23">
        <f>Test!F20</f>
        <v>32200.738000000001</v>
      </c>
      <c r="Q22" s="23">
        <f>Test!G20</f>
        <v>10.294</v>
      </c>
      <c r="R22" s="23">
        <f t="shared" si="4"/>
        <v>8.944649444444444</v>
      </c>
      <c r="S22" s="17">
        <f t="shared" si="5"/>
        <v>1.0080863262766926</v>
      </c>
      <c r="T22" s="18">
        <f t="shared" si="6"/>
        <v>0.99932045432482286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42273.879399999998</v>
      </c>
      <c r="E23" s="13">
        <f>Reference!C21</f>
        <v>40.197200000000002</v>
      </c>
      <c r="F23" s="13">
        <f>Reference!D21</f>
        <v>44.212699999999998</v>
      </c>
      <c r="G23" s="13">
        <f>Reference!E21</f>
        <v>45.685499999999998</v>
      </c>
      <c r="H23" s="13">
        <f>Reference!F21</f>
        <v>73357.976999999999</v>
      </c>
      <c r="I23" s="13">
        <f>Reference!G21</f>
        <v>15.326000000000001</v>
      </c>
      <c r="J23" s="14">
        <f t="shared" si="3"/>
        <v>20.377215833333334</v>
      </c>
      <c r="L23" s="12">
        <f>Test!B21</f>
        <v>42275.371400000004</v>
      </c>
      <c r="M23" s="13">
        <f>Test!C21</f>
        <v>40.197600000000001</v>
      </c>
      <c r="N23" s="13">
        <f>Test!D21</f>
        <v>44.213799999999999</v>
      </c>
      <c r="O23" s="13">
        <f>Test!E21</f>
        <v>45.688499999999998</v>
      </c>
      <c r="P23" s="13">
        <f>Test!F21</f>
        <v>75298.491999999998</v>
      </c>
      <c r="Q23" s="13">
        <f>Test!G21</f>
        <v>16.082000000000001</v>
      </c>
      <c r="R23" s="13">
        <f t="shared" si="4"/>
        <v>20.916247777777777</v>
      </c>
      <c r="S23" s="17">
        <f t="shared" si="5"/>
        <v>1.0264526787591213</v>
      </c>
      <c r="T23" s="18">
        <f t="shared" si="6"/>
        <v>1.0493279394493018</v>
      </c>
      <c r="U23" s="91"/>
      <c r="V23" s="42">
        <f>bdrate($D23:$D26,E23:E26,$L23:$L26,M23:M26)</f>
        <v>4.8198292987855496E-6</v>
      </c>
      <c r="W23" s="42">
        <f>bdrate($D23:$D26,F23:F26,$L23:$L26,N23:N26)</f>
        <v>-9.5138762312241276E-4</v>
      </c>
      <c r="X23" s="42">
        <f>bdrate($D23:$D26,G23:G26,$L23:$L26,O23:O26)</f>
        <v>3.0008208689502602E-4</v>
      </c>
      <c r="Y23" s="40">
        <f>bdrateOld($D23:$D26,E23:E26,$L23:$L26,M23:M26)</f>
        <v>-1.2781459598487643E-6</v>
      </c>
      <c r="Z23" s="44">
        <f>bdrateOld($D23:$D26,F23:F26,$L23:$L26,N23:N26)</f>
        <v>-7.0707813913351014E-4</v>
      </c>
      <c r="AA23" s="45">
        <f>bdrateOld($D23:$D26,G23:G26,$L23:$L26,O23:O26)</f>
        <v>3.6038370044177981E-4</v>
      </c>
    </row>
    <row r="24" spans="1:27" x14ac:dyDescent="0.2">
      <c r="A24" s="34"/>
      <c r="B24" s="85"/>
      <c r="C24" s="16">
        <v>32</v>
      </c>
      <c r="D24" s="17">
        <f>Reference!B22</f>
        <v>22915.866699999999</v>
      </c>
      <c r="E24" s="18">
        <f>Reference!C22</f>
        <v>38.721699999999998</v>
      </c>
      <c r="F24" s="18">
        <f>Reference!D22</f>
        <v>43.264099999999999</v>
      </c>
      <c r="G24" s="18">
        <f>Reference!E22</f>
        <v>44.241599999999998</v>
      </c>
      <c r="H24" s="18">
        <f>Reference!F22</f>
        <v>53191.438000000002</v>
      </c>
      <c r="I24" s="18">
        <f>Reference!G22</f>
        <v>12.451000000000001</v>
      </c>
      <c r="J24" s="19">
        <f t="shared" si="3"/>
        <v>14.775399444444446</v>
      </c>
      <c r="L24" s="17">
        <f>Test!B22</f>
        <v>22914.438099999999</v>
      </c>
      <c r="M24" s="18">
        <f>Test!C22</f>
        <v>38.720999999999997</v>
      </c>
      <c r="N24" s="18">
        <f>Test!D22</f>
        <v>43.268700000000003</v>
      </c>
      <c r="O24" s="18">
        <f>Test!E22</f>
        <v>44.243000000000002</v>
      </c>
      <c r="P24" s="18">
        <f>Test!F22</f>
        <v>54890.195</v>
      </c>
      <c r="Q24" s="18">
        <f>Test!G22</f>
        <v>12.701000000000001</v>
      </c>
      <c r="R24" s="18">
        <f t="shared" si="4"/>
        <v>15.247276388888888</v>
      </c>
      <c r="S24" s="17">
        <f t="shared" si="5"/>
        <v>1.0319366624380413</v>
      </c>
      <c r="T24" s="18">
        <f t="shared" si="6"/>
        <v>1.020078708537467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12958.736500000001</v>
      </c>
      <c r="E25" s="18">
        <f>Reference!C23</f>
        <v>37.281799999999997</v>
      </c>
      <c r="F25" s="18">
        <f>Reference!D23</f>
        <v>42.192900000000002</v>
      </c>
      <c r="G25" s="18">
        <f>Reference!E23</f>
        <v>42.6877</v>
      </c>
      <c r="H25" s="18">
        <f>Reference!F23</f>
        <v>35128.156000000003</v>
      </c>
      <c r="I25" s="18">
        <f>Reference!G23</f>
        <v>10.611000000000001</v>
      </c>
      <c r="J25" s="19">
        <f t="shared" si="3"/>
        <v>9.7578211111111113</v>
      </c>
      <c r="L25" s="17">
        <f>Test!B23</f>
        <v>12956.3683</v>
      </c>
      <c r="M25" s="18">
        <f>Test!C23</f>
        <v>37.281399999999998</v>
      </c>
      <c r="N25" s="18">
        <f>Test!D23</f>
        <v>42.192</v>
      </c>
      <c r="O25" s="18">
        <f>Test!E23</f>
        <v>42.683500000000002</v>
      </c>
      <c r="P25" s="18">
        <f>Test!F23</f>
        <v>35934.589999999997</v>
      </c>
      <c r="Q25" s="18">
        <f>Test!G23</f>
        <v>10.907</v>
      </c>
      <c r="R25" s="18">
        <f t="shared" si="4"/>
        <v>9.981830555555554</v>
      </c>
      <c r="S25" s="17">
        <f t="shared" si="5"/>
        <v>1.0229569123981341</v>
      </c>
      <c r="T25" s="18">
        <f t="shared" si="6"/>
        <v>1.02789558005843</v>
      </c>
      <c r="U25" s="91"/>
      <c r="V25" s="25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</f>
        <v>6928.8</v>
      </c>
      <c r="E26" s="23">
        <f>Reference!C24</f>
        <v>35.359400000000001</v>
      </c>
      <c r="F26" s="23">
        <f>Reference!D24</f>
        <v>40.697499999999998</v>
      </c>
      <c r="G26" s="23">
        <f>Reference!E24</f>
        <v>40.6751</v>
      </c>
      <c r="H26" s="23">
        <f>Reference!F24</f>
        <v>21969.553</v>
      </c>
      <c r="I26" s="23">
        <f>Reference!G24</f>
        <v>9.1950000000000003</v>
      </c>
      <c r="J26" s="24">
        <f t="shared" si="3"/>
        <v>6.1026536111111112</v>
      </c>
      <c r="L26" s="22">
        <f>Test!B24</f>
        <v>6928.6031999999996</v>
      </c>
      <c r="M26" s="23">
        <f>Test!C24</f>
        <v>35.360100000000003</v>
      </c>
      <c r="N26" s="23">
        <f>Test!D24</f>
        <v>40.700400000000002</v>
      </c>
      <c r="O26" s="23">
        <f>Test!E24</f>
        <v>40.672600000000003</v>
      </c>
      <c r="P26" s="23">
        <f>Test!F24</f>
        <v>23192.030999999999</v>
      </c>
      <c r="Q26" s="23">
        <f>Test!G24</f>
        <v>9.3680000000000003</v>
      </c>
      <c r="R26" s="23">
        <f t="shared" si="4"/>
        <v>6.4422308333333334</v>
      </c>
      <c r="S26" s="17">
        <f t="shared" si="5"/>
        <v>1.0556441908490355</v>
      </c>
      <c r="T26" s="18">
        <f t="shared" si="6"/>
        <v>1.0188145731375748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64679.993600000002</v>
      </c>
      <c r="E27" s="13">
        <f>Reference!C25</f>
        <v>41.7378</v>
      </c>
      <c r="F27" s="13">
        <f>Reference!D25</f>
        <v>44.443800000000003</v>
      </c>
      <c r="G27" s="13">
        <f>Reference!E25</f>
        <v>45.162199999999999</v>
      </c>
      <c r="H27" s="13">
        <f>Reference!F25</f>
        <v>92521.054999999993</v>
      </c>
      <c r="I27" s="13">
        <f>Reference!G25</f>
        <v>18.591000000000001</v>
      </c>
      <c r="J27" s="14">
        <f>H27/3600</f>
        <v>25.700293055555555</v>
      </c>
      <c r="L27" s="12">
        <f>Test!B25</f>
        <v>64684.959999999999</v>
      </c>
      <c r="M27" s="13">
        <f>Test!C25</f>
        <v>41.738100000000003</v>
      </c>
      <c r="N27" s="13">
        <f>Test!D25</f>
        <v>44.445300000000003</v>
      </c>
      <c r="O27" s="13">
        <f>Test!E25</f>
        <v>45.165100000000002</v>
      </c>
      <c r="P27" s="13">
        <f>Test!F25</f>
        <v>90936.273000000001</v>
      </c>
      <c r="Q27" s="13">
        <f>Test!G25</f>
        <v>18.617000000000001</v>
      </c>
      <c r="R27" s="13">
        <f>P27/3600</f>
        <v>25.260075833333335</v>
      </c>
      <c r="S27" s="17">
        <f>P27/H27</f>
        <v>0.98287112052494441</v>
      </c>
      <c r="T27" s="18">
        <f>Q27/I27</f>
        <v>1.0013985261685763</v>
      </c>
      <c r="U27" s="91"/>
      <c r="V27" s="42">
        <f>bdrate($D27:$D30,E27:E30,$L27:$L30,M27:M30)</f>
        <v>1.4491061763877155E-5</v>
      </c>
      <c r="W27" s="42">
        <f>bdrate($D27:$D30,F27:F30,$L27:$L30,N27:N30)</f>
        <v>-8.8652118135301716E-4</v>
      </c>
      <c r="X27" s="43">
        <f>bdrate($D27:$D30,G27:G30,$L27:$L30,O27:O30)</f>
        <v>-7.4215995847559668E-4</v>
      </c>
      <c r="Y27" s="37">
        <f>bdrateOld($D27:$D30,E27:E30,$L27:$L30,M27:M30)</f>
        <v>1.1536109952858808E-5</v>
      </c>
      <c r="Z27" s="42">
        <f>bdrateOld($D27:$D30,F27:F30,$L27:$L30,N27:N30)</f>
        <v>-9.0889639234059683E-4</v>
      </c>
      <c r="AA27" s="43">
        <f>bdrateOld($D27:$D30,G27:G30,$L27:$L30,O27:O30)</f>
        <v>-6.7362617132271652E-4</v>
      </c>
    </row>
    <row r="28" spans="1:27" x14ac:dyDescent="0.2">
      <c r="A28" s="16"/>
      <c r="B28" s="85"/>
      <c r="C28" s="16">
        <v>48</v>
      </c>
      <c r="D28" s="17">
        <f>Reference!B26</f>
        <v>41704.480000000003</v>
      </c>
      <c r="E28" s="18">
        <f>Reference!C26</f>
        <v>39.930599999999998</v>
      </c>
      <c r="F28" s="18">
        <f>Reference!D26</f>
        <v>43.034500000000001</v>
      </c>
      <c r="G28" s="18">
        <f>Reference!E26</f>
        <v>43.923900000000003</v>
      </c>
      <c r="H28" s="18">
        <f>Reference!F26</f>
        <v>68878.125</v>
      </c>
      <c r="I28" s="18">
        <f>Reference!G26</f>
        <v>15.962</v>
      </c>
      <c r="J28" s="19">
        <f t="shared" ref="J28:J46" si="7">H28/3600</f>
        <v>19.1328125</v>
      </c>
      <c r="L28" s="17">
        <f>Test!B26</f>
        <v>41704.102400000003</v>
      </c>
      <c r="M28" s="18">
        <f>Test!C26</f>
        <v>39.930500000000002</v>
      </c>
      <c r="N28" s="18">
        <f>Test!D26</f>
        <v>43.036799999999999</v>
      </c>
      <c r="O28" s="18">
        <f>Test!E26</f>
        <v>43.930199999999999</v>
      </c>
      <c r="P28" s="18">
        <f>Test!F26</f>
        <v>71043.718999999997</v>
      </c>
      <c r="Q28" s="18">
        <f>Test!G26</f>
        <v>16.867999999999999</v>
      </c>
      <c r="R28" s="18">
        <f t="shared" ref="R28:R46" si="8">P28/3600</f>
        <v>19.734366388888887</v>
      </c>
      <c r="S28" s="17">
        <f t="shared" ref="S28:S46" si="9">P28/H28</f>
        <v>1.0314409545846377</v>
      </c>
      <c r="T28" s="18">
        <f t="shared" ref="T28:T46" si="10">Q28/I28</f>
        <v>1.0567598045357725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24529.068800000001</v>
      </c>
      <c r="E29" s="18">
        <f>Reference!C27</f>
        <v>37.703499999999998</v>
      </c>
      <c r="F29" s="18">
        <f>Reference!D27</f>
        <v>41.736899999999999</v>
      </c>
      <c r="G29" s="18">
        <f>Reference!E27</f>
        <v>42.634399999999999</v>
      </c>
      <c r="H29" s="18">
        <f>Reference!F27</f>
        <v>48357.129000000001</v>
      </c>
      <c r="I29" s="18">
        <f>Reference!G27</f>
        <v>13.147</v>
      </c>
      <c r="J29" s="19">
        <f t="shared" si="7"/>
        <v>13.432535833333333</v>
      </c>
      <c r="L29" s="17">
        <f>Test!B27</f>
        <v>24524.928</v>
      </c>
      <c r="M29" s="18">
        <f>Test!C27</f>
        <v>37.702800000000003</v>
      </c>
      <c r="N29" s="18">
        <f>Test!D27</f>
        <v>41.739800000000002</v>
      </c>
      <c r="O29" s="18">
        <f>Test!E27</f>
        <v>42.634099999999997</v>
      </c>
      <c r="P29" s="18">
        <f>Test!F27</f>
        <v>50828.434000000001</v>
      </c>
      <c r="Q29" s="18">
        <f>Test!G27</f>
        <v>13.635999999999999</v>
      </c>
      <c r="R29" s="18">
        <f t="shared" si="8"/>
        <v>14.119009444444444</v>
      </c>
      <c r="S29" s="17">
        <f t="shared" si="9"/>
        <v>1.0511052879090486</v>
      </c>
      <c r="T29" s="18">
        <f t="shared" si="10"/>
        <v>1.0371947972921578</v>
      </c>
      <c r="U29" s="91"/>
      <c r="V29" s="25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Reference!B28</f>
        <v>12366.822399999999</v>
      </c>
      <c r="E30" s="23">
        <f>Reference!C28</f>
        <v>35.007100000000001</v>
      </c>
      <c r="F30" s="23">
        <f>Reference!D28</f>
        <v>40.1569</v>
      </c>
      <c r="G30" s="23">
        <f>Reference!E28</f>
        <v>41.013199999999998</v>
      </c>
      <c r="H30" s="23">
        <f>Reference!F28</f>
        <v>31238.201000000001</v>
      </c>
      <c r="I30" s="23">
        <f>Reference!G28</f>
        <v>11.281000000000001</v>
      </c>
      <c r="J30" s="24">
        <f t="shared" si="7"/>
        <v>8.677278055555556</v>
      </c>
      <c r="L30" s="22">
        <f>Test!B28</f>
        <v>12368.48</v>
      </c>
      <c r="M30" s="23">
        <f>Test!C28</f>
        <v>35.007399999999997</v>
      </c>
      <c r="N30" s="23">
        <f>Test!D28</f>
        <v>40.157400000000003</v>
      </c>
      <c r="O30" s="23">
        <f>Test!E28</f>
        <v>41.011099999999999</v>
      </c>
      <c r="P30" s="23">
        <f>Test!F28</f>
        <v>31743.761999999999</v>
      </c>
      <c r="Q30" s="23">
        <f>Test!G28</f>
        <v>12.015000000000001</v>
      </c>
      <c r="R30" s="23">
        <f t="shared" si="8"/>
        <v>8.8177116666666659</v>
      </c>
      <c r="S30" s="17">
        <f t="shared" si="9"/>
        <v>1.0161840625841416</v>
      </c>
      <c r="T30" s="18">
        <f t="shared" si="10"/>
        <v>1.0650651537984221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39540.396800000002</v>
      </c>
      <c r="E31" s="13">
        <f>Reference!C29</f>
        <v>44.935899999999997</v>
      </c>
      <c r="F31" s="13">
        <f>Reference!D29</f>
        <v>47.599899999999998</v>
      </c>
      <c r="G31" s="13">
        <f>Reference!E29</f>
        <v>48.3399</v>
      </c>
      <c r="H31" s="13">
        <f>Reference!F29</f>
        <v>61641.913999999997</v>
      </c>
      <c r="I31" s="13">
        <f>Reference!G29</f>
        <v>16.427</v>
      </c>
      <c r="J31" s="14">
        <f t="shared" si="7"/>
        <v>17.122753888888887</v>
      </c>
      <c r="L31" s="12">
        <f>Test!B29</f>
        <v>39536.371200000001</v>
      </c>
      <c r="M31" s="13">
        <f>Test!C29</f>
        <v>44.935200000000002</v>
      </c>
      <c r="N31" s="13">
        <f>Test!D29</f>
        <v>47.6053</v>
      </c>
      <c r="O31" s="13">
        <f>Test!E29</f>
        <v>48.342300000000002</v>
      </c>
      <c r="P31" s="13">
        <f>Test!F29</f>
        <v>61618.277000000002</v>
      </c>
      <c r="Q31" s="13">
        <f>Test!G29</f>
        <v>16.52</v>
      </c>
      <c r="R31" s="13">
        <f t="shared" si="8"/>
        <v>17.116188055555558</v>
      </c>
      <c r="S31" s="17">
        <f t="shared" si="9"/>
        <v>0.99961654337988282</v>
      </c>
      <c r="T31" s="18">
        <f t="shared" si="10"/>
        <v>1.0056614110914956</v>
      </c>
      <c r="U31" s="91"/>
      <c r="V31" s="42">
        <f>bdrate($D31:$D34,E31:E34,$L31:$L34,M31:M34)</f>
        <v>-5.1811510900612312E-5</v>
      </c>
      <c r="W31" s="42">
        <f>bdrate($D31:$D34,F31:F34,$L31:$L34,N31:N34)</f>
        <v>-3.6245241272581108E-4</v>
      </c>
      <c r="X31" s="42">
        <f>bdrate($D31:$D34,G31:G34,$L31:$L34,O31:O34)</f>
        <v>-3.8212351850519521E-4</v>
      </c>
      <c r="Y31" s="40">
        <f>bdrateOld($D31:$D34,E31:E34,$L31:$L34,M31:M34)</f>
        <v>-5.1657962579887418E-5</v>
      </c>
      <c r="Z31" s="44">
        <f>bdrateOld($D31:$D34,F31:F34,$L31:$L34,N31:N34)</f>
        <v>-3.5279843369706576E-4</v>
      </c>
      <c r="AA31" s="45">
        <f>bdrateOld($D31:$D34,G31:G34,$L31:$L34,O31:O34)</f>
        <v>-4.3656494565957882E-4</v>
      </c>
    </row>
    <row r="32" spans="1:27" x14ac:dyDescent="0.2">
      <c r="A32" s="16"/>
      <c r="B32" s="85"/>
      <c r="C32" s="16">
        <v>48</v>
      </c>
      <c r="D32" s="17">
        <f>Reference!B30</f>
        <v>26062.713599999999</v>
      </c>
      <c r="E32" s="18">
        <f>Reference!C30</f>
        <v>42.768099999999997</v>
      </c>
      <c r="F32" s="18">
        <f>Reference!D30</f>
        <v>46.012700000000002</v>
      </c>
      <c r="G32" s="18">
        <f>Reference!E30</f>
        <v>46.5458</v>
      </c>
      <c r="H32" s="18">
        <f>Reference!F30</f>
        <v>48269.188000000002</v>
      </c>
      <c r="I32" s="18">
        <f>Reference!G30</f>
        <v>14.069000000000001</v>
      </c>
      <c r="J32" s="19">
        <f t="shared" si="7"/>
        <v>13.408107777777778</v>
      </c>
      <c r="L32" s="17">
        <f>Test!B30</f>
        <v>26056.9728</v>
      </c>
      <c r="M32" s="18">
        <f>Test!C30</f>
        <v>42.767600000000002</v>
      </c>
      <c r="N32" s="18">
        <f>Test!D30</f>
        <v>46.010100000000001</v>
      </c>
      <c r="O32" s="18">
        <f>Test!E30</f>
        <v>46.542400000000001</v>
      </c>
      <c r="P32" s="18">
        <f>Test!F30</f>
        <v>49161.171999999999</v>
      </c>
      <c r="Q32" s="18">
        <f>Test!G30</f>
        <v>14.204000000000001</v>
      </c>
      <c r="R32" s="18">
        <f t="shared" si="8"/>
        <v>13.65588111111111</v>
      </c>
      <c r="S32" s="17">
        <f t="shared" si="9"/>
        <v>1.0184793661745459</v>
      </c>
      <c r="T32" s="18">
        <f t="shared" si="10"/>
        <v>1.0095955647167532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15445.3056</v>
      </c>
      <c r="E33" s="18">
        <f>Reference!C31</f>
        <v>40.083399999999997</v>
      </c>
      <c r="F33" s="18">
        <f>Reference!D31</f>
        <v>44.475900000000003</v>
      </c>
      <c r="G33" s="18">
        <f>Reference!E31</f>
        <v>44.7119</v>
      </c>
      <c r="H33" s="18">
        <f>Reference!F31</f>
        <v>36872.968999999997</v>
      </c>
      <c r="I33" s="18">
        <f>Reference!G31</f>
        <v>12.239000000000001</v>
      </c>
      <c r="J33" s="19">
        <f t="shared" si="7"/>
        <v>10.242491388888888</v>
      </c>
      <c r="L33" s="17">
        <f>Test!B31</f>
        <v>15442.3104</v>
      </c>
      <c r="M33" s="18">
        <f>Test!C31</f>
        <v>40.082900000000002</v>
      </c>
      <c r="N33" s="18">
        <f>Test!D31</f>
        <v>44.476799999999997</v>
      </c>
      <c r="O33" s="18">
        <f>Test!E31</f>
        <v>44.715400000000002</v>
      </c>
      <c r="P33" s="18">
        <f>Test!F31</f>
        <v>37714.266000000003</v>
      </c>
      <c r="Q33" s="18">
        <f>Test!G31</f>
        <v>12.616</v>
      </c>
      <c r="R33" s="18">
        <f t="shared" si="8"/>
        <v>10.476185000000001</v>
      </c>
      <c r="S33" s="17">
        <f t="shared" si="9"/>
        <v>1.0228160905621677</v>
      </c>
      <c r="T33" s="18">
        <f t="shared" si="10"/>
        <v>1.0308031701936431</v>
      </c>
      <c r="U33" s="91"/>
      <c r="V33" s="25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Reference!B32</f>
        <v>8057.0816000000004</v>
      </c>
      <c r="E34" s="23">
        <f>Reference!C32</f>
        <v>37.007100000000001</v>
      </c>
      <c r="F34" s="23">
        <f>Reference!D32</f>
        <v>42.447699999999998</v>
      </c>
      <c r="G34" s="23">
        <f>Reference!E32</f>
        <v>42.496699999999997</v>
      </c>
      <c r="H34" s="23">
        <f>Reference!F32</f>
        <v>24000.932000000001</v>
      </c>
      <c r="I34" s="23">
        <f>Reference!G32</f>
        <v>10.397</v>
      </c>
      <c r="J34" s="24">
        <f t="shared" si="7"/>
        <v>6.6669255555555553</v>
      </c>
      <c r="L34" s="22">
        <f>Test!B32</f>
        <v>8059.3472000000002</v>
      </c>
      <c r="M34" s="23">
        <f>Test!C32</f>
        <v>37.007599999999996</v>
      </c>
      <c r="N34" s="23">
        <f>Test!D32</f>
        <v>42.452599999999997</v>
      </c>
      <c r="O34" s="23">
        <f>Test!E32</f>
        <v>42.498600000000003</v>
      </c>
      <c r="P34" s="23">
        <f>Test!F32</f>
        <v>24669.748</v>
      </c>
      <c r="Q34" s="23">
        <f>Test!G32</f>
        <v>10.694000000000001</v>
      </c>
      <c r="R34" s="23">
        <f t="shared" si="8"/>
        <v>6.8527077777777778</v>
      </c>
      <c r="S34" s="17">
        <f t="shared" si="9"/>
        <v>1.0278662511939118</v>
      </c>
      <c r="T34" s="18">
        <f t="shared" si="10"/>
        <v>1.0285659324805232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53882.239999999998</v>
      </c>
      <c r="E35" s="13">
        <f>Reference!C33</f>
        <v>41.744599999999998</v>
      </c>
      <c r="F35" s="13">
        <f>Reference!D33</f>
        <v>46.064700000000002</v>
      </c>
      <c r="G35" s="13">
        <f>Reference!E33</f>
        <v>46.381</v>
      </c>
      <c r="H35" s="13">
        <f>Reference!F33</f>
        <v>51052.663999999997</v>
      </c>
      <c r="I35" s="13">
        <f>Reference!G33</f>
        <v>11.083</v>
      </c>
      <c r="J35" s="14">
        <f t="shared" si="7"/>
        <v>14.181295555555554</v>
      </c>
      <c r="L35" s="12">
        <f>Test!B33</f>
        <v>53884.396800000002</v>
      </c>
      <c r="M35" s="13">
        <f>Test!C33</f>
        <v>41.745100000000001</v>
      </c>
      <c r="N35" s="13">
        <f>Test!D33</f>
        <v>46.068300000000001</v>
      </c>
      <c r="O35" s="13">
        <f>Test!E33</f>
        <v>46.391300000000001</v>
      </c>
      <c r="P35" s="13">
        <f>Test!F33</f>
        <v>50508.425999999999</v>
      </c>
      <c r="Q35" s="13">
        <f>Test!G33</f>
        <v>10.942</v>
      </c>
      <c r="R35" s="13">
        <f t="shared" si="8"/>
        <v>14.030118333333332</v>
      </c>
      <c r="S35" s="12">
        <f t="shared" si="9"/>
        <v>0.98933967481109319</v>
      </c>
      <c r="T35" s="13">
        <f t="shared" si="10"/>
        <v>0.98727781286655236</v>
      </c>
      <c r="U35" s="90"/>
      <c r="V35" s="42">
        <f>bdrate($D35:$D38,E35:E38,$L35:$L38,M35:M38)</f>
        <v>-2.0712614571261057E-5</v>
      </c>
      <c r="W35" s="42">
        <f>bdrate($D35:$D38,F35:F38,$L35:$L38,N35:N38)</f>
        <v>6.0805973631938848E-4</v>
      </c>
      <c r="X35" s="42">
        <f>bdrate($D35:$D38,G35:G38,$L35:$L38,O35:O38)</f>
        <v>3.811722403497253E-4</v>
      </c>
      <c r="Y35" s="40">
        <f>bdrateOld($D35:$D38,E35:E38,$L35:$L38,M35:M38)</f>
        <v>-1.9366527430286773E-5</v>
      </c>
      <c r="Z35" s="44">
        <f>bdrateOld($D35:$D38,F35:F38,$L35:$L38,N35:N38)</f>
        <v>6.85465801252505E-4</v>
      </c>
      <c r="AA35" s="45">
        <f>bdrateOld($D35:$D38,G35:G38,$L35:$L38,O35:O38)</f>
        <v>3.0588540268539077E-4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36767.455999999998</v>
      </c>
      <c r="E36" s="18">
        <f>Reference!C34</f>
        <v>38.811399999999999</v>
      </c>
      <c r="F36" s="18">
        <f>Reference!D34</f>
        <v>44.329599999999999</v>
      </c>
      <c r="G36" s="18">
        <f>Reference!E34</f>
        <v>44.672699999999999</v>
      </c>
      <c r="H36" s="18">
        <f>Reference!F34</f>
        <v>44549.684000000001</v>
      </c>
      <c r="I36" s="18">
        <f>Reference!G34</f>
        <v>9.8179999999999996</v>
      </c>
      <c r="J36" s="19">
        <f t="shared" si="7"/>
        <v>12.374912222222223</v>
      </c>
      <c r="L36" s="17">
        <f>Test!B34</f>
        <v>36763.462399999997</v>
      </c>
      <c r="M36" s="18">
        <f>Test!C34</f>
        <v>38.810699999999997</v>
      </c>
      <c r="N36" s="18">
        <f>Test!D34</f>
        <v>44.3279</v>
      </c>
      <c r="O36" s="18">
        <f>Test!E34</f>
        <v>44.675899999999999</v>
      </c>
      <c r="P36" s="18">
        <f>Test!F34</f>
        <v>45651.391000000003</v>
      </c>
      <c r="Q36" s="18">
        <f>Test!G34</f>
        <v>9.8049999999999997</v>
      </c>
      <c r="R36" s="18">
        <f t="shared" si="8"/>
        <v>12.680941944444445</v>
      </c>
      <c r="S36" s="17">
        <f t="shared" si="9"/>
        <v>1.0247298499356359</v>
      </c>
      <c r="T36" s="18">
        <f t="shared" si="10"/>
        <v>0.9986759014055816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21839.423999999999</v>
      </c>
      <c r="E37" s="18">
        <f>Reference!C35</f>
        <v>35.425699999999999</v>
      </c>
      <c r="F37" s="18">
        <f>Reference!D35</f>
        <v>42.876600000000003</v>
      </c>
      <c r="G37" s="18">
        <f>Reference!E35</f>
        <v>43.221800000000002</v>
      </c>
      <c r="H37" s="18">
        <f>Reference!F35</f>
        <v>36373.898000000001</v>
      </c>
      <c r="I37" s="18">
        <f>Reference!G35</f>
        <v>8.2479999999999993</v>
      </c>
      <c r="J37" s="19">
        <f t="shared" si="7"/>
        <v>10.103860555555556</v>
      </c>
      <c r="L37" s="17">
        <f>Test!B35</f>
        <v>21841.4912</v>
      </c>
      <c r="M37" s="18">
        <f>Test!C35</f>
        <v>35.426200000000001</v>
      </c>
      <c r="N37" s="18">
        <f>Test!D35</f>
        <v>42.8767</v>
      </c>
      <c r="O37" s="18">
        <f>Test!E35</f>
        <v>43.213200000000001</v>
      </c>
      <c r="P37" s="18">
        <f>Test!F35</f>
        <v>35905.402000000002</v>
      </c>
      <c r="Q37" s="18">
        <f>Test!G35</f>
        <v>8.2319999999999993</v>
      </c>
      <c r="R37" s="18">
        <f t="shared" si="8"/>
        <v>9.9737227777777786</v>
      </c>
      <c r="S37" s="17">
        <f t="shared" si="9"/>
        <v>0.9871199946731033</v>
      </c>
      <c r="T37" s="18">
        <f t="shared" si="10"/>
        <v>0.99806013579049468</v>
      </c>
      <c r="U37" s="91"/>
      <c r="V37" s="25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Reference!B36</f>
        <v>10754.432000000001</v>
      </c>
      <c r="E38" s="23">
        <f>Reference!C36</f>
        <v>31.796500000000002</v>
      </c>
      <c r="F38" s="23">
        <f>Reference!D36</f>
        <v>41.522199999999998</v>
      </c>
      <c r="G38" s="23">
        <f>Reference!E36</f>
        <v>41.688099999999999</v>
      </c>
      <c r="H38" s="23">
        <f>Reference!F36</f>
        <v>25832.776999999998</v>
      </c>
      <c r="I38" s="23">
        <f>Reference!G36</f>
        <v>6.5359999999999996</v>
      </c>
      <c r="J38" s="24">
        <f t="shared" si="7"/>
        <v>7.1757713888888883</v>
      </c>
      <c r="L38" s="22">
        <f>Test!B36</f>
        <v>10751.3472</v>
      </c>
      <c r="M38" s="23">
        <f>Test!C36</f>
        <v>31.7958</v>
      </c>
      <c r="N38" s="23">
        <f>Test!D36</f>
        <v>41.514099999999999</v>
      </c>
      <c r="O38" s="23">
        <f>Test!E36</f>
        <v>41.691800000000001</v>
      </c>
      <c r="P38" s="23">
        <f>Test!F36</f>
        <v>27120.322</v>
      </c>
      <c r="Q38" s="23">
        <f>Test!G36</f>
        <v>6.9039999999999999</v>
      </c>
      <c r="R38" s="23">
        <f t="shared" si="8"/>
        <v>7.533422777777778</v>
      </c>
      <c r="S38" s="17">
        <f t="shared" si="9"/>
        <v>1.0498415249742605</v>
      </c>
      <c r="T38" s="18">
        <f t="shared" si="10"/>
        <v>1.0563035495716036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20107.5072</v>
      </c>
      <c r="E39" s="13">
        <f>Reference!C37</f>
        <v>42.688499999999998</v>
      </c>
      <c r="F39" s="13">
        <f>Reference!D37</f>
        <v>45.483199999999997</v>
      </c>
      <c r="G39" s="13">
        <f>Reference!E37</f>
        <v>47.035299999999999</v>
      </c>
      <c r="H39" s="13">
        <f>Reference!F37</f>
        <v>33930.605000000003</v>
      </c>
      <c r="I39" s="13">
        <f>Reference!G37</f>
        <v>7.3479999999999999</v>
      </c>
      <c r="J39" s="14">
        <f t="shared" si="7"/>
        <v>9.4251680555555559</v>
      </c>
      <c r="L39" s="12">
        <f>Test!B37</f>
        <v>20103.168000000001</v>
      </c>
      <c r="M39" s="13">
        <f>Test!C37</f>
        <v>42.687399999999997</v>
      </c>
      <c r="N39" s="13">
        <f>Test!D37</f>
        <v>45.478999999999999</v>
      </c>
      <c r="O39" s="13">
        <f>Test!E37</f>
        <v>47.0383</v>
      </c>
      <c r="P39" s="13">
        <f>Test!F37</f>
        <v>34534.309000000001</v>
      </c>
      <c r="Q39" s="13">
        <f>Test!G37</f>
        <v>7.4459999999999997</v>
      </c>
      <c r="R39" s="13">
        <f t="shared" si="8"/>
        <v>9.5928636111111114</v>
      </c>
      <c r="S39" s="17">
        <f t="shared" si="9"/>
        <v>1.0177923146374783</v>
      </c>
      <c r="T39" s="18">
        <f t="shared" si="10"/>
        <v>1.0133369624387589</v>
      </c>
      <c r="U39" s="91"/>
      <c r="V39" s="42">
        <f>bdrate($D39:$D42,E39:E42,$L39:$L42,M39:M42)</f>
        <v>-1.2582994788656876E-4</v>
      </c>
      <c r="W39" s="42">
        <f>bdrate($D39:$D42,F39:F42,$L39:$L42,N39:N42)</f>
        <v>-6.4659589433779807E-4</v>
      </c>
      <c r="X39" s="42">
        <f>bdrate($D39:$D42,G39:G42,$L39:$L42,O39:O42)</f>
        <v>-1.2444166436043069E-4</v>
      </c>
      <c r="Y39" s="40">
        <f>bdrateOld($D39:$D42,E39:E42,$L39:$L42,M39:M42)</f>
        <v>-1.232587207704583E-4</v>
      </c>
      <c r="Z39" s="44">
        <f>bdrateOld($D39:$D42,F39:F42,$L39:$L42,N39:N42)</f>
        <v>-6.7618118102086289E-4</v>
      </c>
      <c r="AA39" s="45">
        <f>bdrateOld($D39:$D42,G39:G42,$L39:$L42,O39:O42)</f>
        <v>-3.1365520176940276E-4</v>
      </c>
    </row>
    <row r="40" spans="1:27" x14ac:dyDescent="0.2">
      <c r="A40" s="16"/>
      <c r="B40" s="85"/>
      <c r="C40" s="16">
        <v>32</v>
      </c>
      <c r="D40" s="17">
        <f>Reference!B38</f>
        <v>11427.756799999999</v>
      </c>
      <c r="E40" s="18">
        <f>Reference!C38</f>
        <v>40.669400000000003</v>
      </c>
      <c r="F40" s="18">
        <f>Reference!D38</f>
        <v>44.565600000000003</v>
      </c>
      <c r="G40" s="18">
        <f>Reference!E38</f>
        <v>45.408200000000001</v>
      </c>
      <c r="H40" s="18">
        <f>Reference!F38</f>
        <v>24922.773000000001</v>
      </c>
      <c r="I40" s="18">
        <f>Reference!G38</f>
        <v>6.1660000000000004</v>
      </c>
      <c r="J40" s="19">
        <f t="shared" si="7"/>
        <v>6.9229925000000003</v>
      </c>
      <c r="L40" s="17">
        <f>Test!B38</f>
        <v>11426.284799999999</v>
      </c>
      <c r="M40" s="18">
        <f>Test!C38</f>
        <v>40.669699999999999</v>
      </c>
      <c r="N40" s="18">
        <f>Test!D38</f>
        <v>44.567500000000003</v>
      </c>
      <c r="O40" s="18">
        <f>Test!E38</f>
        <v>45.402000000000001</v>
      </c>
      <c r="P40" s="18">
        <f>Test!F38</f>
        <v>27957.705000000002</v>
      </c>
      <c r="Q40" s="18">
        <f>Test!G38</f>
        <v>6.37</v>
      </c>
      <c r="R40" s="18">
        <f t="shared" si="8"/>
        <v>7.7660291666666668</v>
      </c>
      <c r="S40" s="17">
        <f t="shared" si="9"/>
        <v>1.1217734479225085</v>
      </c>
      <c r="T40" s="18">
        <f t="shared" si="10"/>
        <v>1.0330846578008432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6327.9552000000003</v>
      </c>
      <c r="E41" s="18">
        <f>Reference!C39</f>
        <v>38.6616</v>
      </c>
      <c r="F41" s="18">
        <f>Reference!D39</f>
        <v>43.612099999999998</v>
      </c>
      <c r="G41" s="18">
        <f>Reference!E39</f>
        <v>43.630699999999997</v>
      </c>
      <c r="H41" s="18">
        <f>Reference!F39</f>
        <v>17219.398000000001</v>
      </c>
      <c r="I41" s="18">
        <f>Reference!G39</f>
        <v>5.2759999999999998</v>
      </c>
      <c r="J41" s="19">
        <f t="shared" si="7"/>
        <v>4.783166111111111</v>
      </c>
      <c r="L41" s="17">
        <f>Test!B39</f>
        <v>6328.9664000000002</v>
      </c>
      <c r="M41" s="18">
        <f>Test!C39</f>
        <v>38.662500000000001</v>
      </c>
      <c r="N41" s="18">
        <f>Test!D39</f>
        <v>43.615099999999998</v>
      </c>
      <c r="O41" s="18">
        <f>Test!E39</f>
        <v>43.636600000000001</v>
      </c>
      <c r="P41" s="18">
        <f>Test!F39</f>
        <v>17914.405999999999</v>
      </c>
      <c r="Q41" s="18">
        <f>Test!G39</f>
        <v>5.7679999999999998</v>
      </c>
      <c r="R41" s="18">
        <f t="shared" si="8"/>
        <v>4.9762238888888888</v>
      </c>
      <c r="S41" s="17">
        <f t="shared" si="9"/>
        <v>1.0403619220602252</v>
      </c>
      <c r="T41" s="18">
        <f t="shared" si="10"/>
        <v>1.0932524639878696</v>
      </c>
      <c r="U41" s="91"/>
      <c r="V41" s="25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Reference!B40</f>
        <v>3227.5136000000002</v>
      </c>
      <c r="E42" s="23">
        <f>Reference!C40</f>
        <v>36.2881</v>
      </c>
      <c r="F42" s="23">
        <f>Reference!D40</f>
        <v>42.325299999999999</v>
      </c>
      <c r="G42" s="23">
        <f>Reference!E40</f>
        <v>41.4589</v>
      </c>
      <c r="H42" s="23">
        <f>Reference!F40</f>
        <v>10628.911</v>
      </c>
      <c r="I42" s="23">
        <f>Reference!G40</f>
        <v>4.4359999999999999</v>
      </c>
      <c r="J42" s="24">
        <f t="shared" si="7"/>
        <v>2.9524752777777779</v>
      </c>
      <c r="L42" s="22">
        <f>Test!B40</f>
        <v>3227.3791999999999</v>
      </c>
      <c r="M42" s="23">
        <f>Test!C40</f>
        <v>36.288499999999999</v>
      </c>
      <c r="N42" s="23">
        <f>Test!D40</f>
        <v>42.322899999999997</v>
      </c>
      <c r="O42" s="23">
        <f>Test!E40</f>
        <v>41.456499999999998</v>
      </c>
      <c r="P42" s="23">
        <f>Test!F40</f>
        <v>10695.989</v>
      </c>
      <c r="Q42" s="23">
        <f>Test!G40</f>
        <v>4.6929999999999996</v>
      </c>
      <c r="R42" s="23">
        <f t="shared" si="8"/>
        <v>2.9711080555555553</v>
      </c>
      <c r="S42" s="17">
        <f t="shared" si="9"/>
        <v>1.0063109005240518</v>
      </c>
      <c r="T42" s="18">
        <f t="shared" si="10"/>
        <v>1.0579350766456266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15113.5296</v>
      </c>
      <c r="E43" s="13">
        <f>Reference!C41</f>
        <v>44.225099999999998</v>
      </c>
      <c r="F43" s="13">
        <f>Reference!D41</f>
        <v>47.079799999999999</v>
      </c>
      <c r="G43" s="13">
        <f>Reference!E41</f>
        <v>47.964500000000001</v>
      </c>
      <c r="H43" s="13">
        <f>Reference!F41</f>
        <v>26870.421999999999</v>
      </c>
      <c r="I43" s="13">
        <f>Reference!G41</f>
        <v>6.9260000000000002</v>
      </c>
      <c r="J43" s="14">
        <f t="shared" si="7"/>
        <v>7.4640061111111109</v>
      </c>
      <c r="L43" s="12">
        <f>Test!B41</f>
        <v>15115.36</v>
      </c>
      <c r="M43" s="13">
        <f>Test!C41</f>
        <v>44.226100000000002</v>
      </c>
      <c r="N43" s="13">
        <f>Test!D41</f>
        <v>47.075699999999998</v>
      </c>
      <c r="O43" s="13">
        <f>Test!E41</f>
        <v>47.98</v>
      </c>
      <c r="P43" s="13">
        <f>Test!F41</f>
        <v>27398.495999999999</v>
      </c>
      <c r="Q43" s="13">
        <f>Test!G41</f>
        <v>7.1109999999999998</v>
      </c>
      <c r="R43" s="13">
        <f t="shared" si="8"/>
        <v>7.6106933333333329</v>
      </c>
      <c r="S43" s="17">
        <f t="shared" si="9"/>
        <v>1.0196526128246144</v>
      </c>
      <c r="T43" s="18">
        <f t="shared" si="10"/>
        <v>1.0267109442679756</v>
      </c>
      <c r="U43" s="91"/>
      <c r="V43" s="42">
        <f>bdrate($D43:$D46,E43:E46,$L43:$L46,M43:M46)</f>
        <v>1.8526721846878758E-5</v>
      </c>
      <c r="W43" s="42">
        <f>bdrate($D43:$D46,F43:F46,$L43:$L46,N43:N46)</f>
        <v>3.6117621550180168E-4</v>
      </c>
      <c r="X43" s="42">
        <f>bdrate($D43:$D46,G43:G46,$L43:$L46,O43:O46)</f>
        <v>-1.5280679954454701E-4</v>
      </c>
      <c r="Y43" s="40">
        <f>bdrateOld($D43:$D46,E43:E46,$L43:$L46,M43:M46)</f>
        <v>-6.0107256379948737E-6</v>
      </c>
      <c r="Z43" s="44">
        <f>bdrateOld($D43:$D46,F43:F46,$L43:$L46,N43:N46)</f>
        <v>2.8069807999497876E-4</v>
      </c>
      <c r="AA43" s="45">
        <f>bdrateOld($D43:$D46,G43:G46,$L43:$L46,O43:O46)</f>
        <v>-7.1335191976662493E-5</v>
      </c>
    </row>
    <row r="44" spans="1:27" x14ac:dyDescent="0.2">
      <c r="A44" s="16"/>
      <c r="B44" s="85"/>
      <c r="C44" s="16">
        <v>32</v>
      </c>
      <c r="D44" s="17">
        <f>Reference!B42</f>
        <v>10258.656000000001</v>
      </c>
      <c r="E44" s="18">
        <f>Reference!C42</f>
        <v>42.497900000000001</v>
      </c>
      <c r="F44" s="18">
        <f>Reference!D42</f>
        <v>45.939500000000002</v>
      </c>
      <c r="G44" s="18">
        <f>Reference!E42</f>
        <v>46.627299999999998</v>
      </c>
      <c r="H44" s="18">
        <f>Reference!F42</f>
        <v>21295.58</v>
      </c>
      <c r="I44" s="18">
        <f>Reference!G42</f>
        <v>6.1050000000000004</v>
      </c>
      <c r="J44" s="19">
        <f t="shared" si="7"/>
        <v>5.9154388888888896</v>
      </c>
      <c r="L44" s="17">
        <f>Test!B42</f>
        <v>10261.3184</v>
      </c>
      <c r="M44" s="18">
        <f>Test!C42</f>
        <v>42.498100000000001</v>
      </c>
      <c r="N44" s="18">
        <f>Test!D42</f>
        <v>45.938499999999998</v>
      </c>
      <c r="O44" s="18">
        <f>Test!E42</f>
        <v>46.6325</v>
      </c>
      <c r="P44" s="18">
        <f>Test!F42</f>
        <v>21050.521000000001</v>
      </c>
      <c r="Q44" s="18">
        <f>Test!G42</f>
        <v>6.4379999999999997</v>
      </c>
      <c r="R44" s="18">
        <f t="shared" si="8"/>
        <v>5.8473669444444445</v>
      </c>
      <c r="S44" s="17">
        <f t="shared" si="9"/>
        <v>0.98849249468669076</v>
      </c>
      <c r="T44" s="18">
        <f t="shared" si="10"/>
        <v>1.0545454545454545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6479.5968000000003</v>
      </c>
      <c r="E45" s="18">
        <f>Reference!C43</f>
        <v>40.1614</v>
      </c>
      <c r="F45" s="18">
        <f>Reference!D43</f>
        <v>44.615299999999998</v>
      </c>
      <c r="G45" s="18">
        <f>Reference!E43</f>
        <v>45.103999999999999</v>
      </c>
      <c r="H45" s="18">
        <f>Reference!F43</f>
        <v>15399.914000000001</v>
      </c>
      <c r="I45" s="18">
        <f>Reference!G43</f>
        <v>5.3849999999999998</v>
      </c>
      <c r="J45" s="19">
        <f t="shared" si="7"/>
        <v>4.2777538888888893</v>
      </c>
      <c r="L45" s="17">
        <f>Test!B43</f>
        <v>6479.4751999999999</v>
      </c>
      <c r="M45" s="18">
        <f>Test!C43</f>
        <v>40.1616</v>
      </c>
      <c r="N45" s="18">
        <f>Test!D43</f>
        <v>44.616700000000002</v>
      </c>
      <c r="O45" s="18">
        <f>Test!E43</f>
        <v>45.099200000000003</v>
      </c>
      <c r="P45" s="18">
        <f>Test!F43</f>
        <v>16927.766</v>
      </c>
      <c r="Q45" s="18">
        <f>Test!G43</f>
        <v>6.2050000000000001</v>
      </c>
      <c r="R45" s="18">
        <f t="shared" si="8"/>
        <v>4.7021572222222225</v>
      </c>
      <c r="S45" s="17">
        <f t="shared" si="9"/>
        <v>1.0992117228706602</v>
      </c>
      <c r="T45" s="18">
        <f t="shared" si="10"/>
        <v>1.1522748375116063</v>
      </c>
      <c r="U45" s="91"/>
      <c r="V45" s="25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Reference!B44</f>
        <v>3755.3984</v>
      </c>
      <c r="E46" s="23">
        <f>Reference!C44</f>
        <v>37.178699999999999</v>
      </c>
      <c r="F46" s="23">
        <f>Reference!D44</f>
        <v>42.8752</v>
      </c>
      <c r="G46" s="23">
        <f>Reference!E44</f>
        <v>43.073399999999999</v>
      </c>
      <c r="H46" s="23">
        <f>Reference!F44</f>
        <v>10686.903</v>
      </c>
      <c r="I46" s="23">
        <f>Reference!G44</f>
        <v>4.6520000000000001</v>
      </c>
      <c r="J46" s="24">
        <f t="shared" si="7"/>
        <v>2.9685841666666666</v>
      </c>
      <c r="L46" s="22">
        <f>Test!B44</f>
        <v>3755.0655999999999</v>
      </c>
      <c r="M46" s="23">
        <f>Test!C44</f>
        <v>37.1785</v>
      </c>
      <c r="N46" s="23">
        <f>Test!D44</f>
        <v>42.869700000000002</v>
      </c>
      <c r="O46" s="23">
        <f>Test!E44</f>
        <v>43.0717</v>
      </c>
      <c r="P46" s="23">
        <f>Test!F44</f>
        <v>11463.647000000001</v>
      </c>
      <c r="Q46" s="23">
        <f>Test!G44</f>
        <v>5.1029999999999998</v>
      </c>
      <c r="R46" s="23">
        <f t="shared" si="8"/>
        <v>3.1843463888888892</v>
      </c>
      <c r="S46" s="17">
        <f t="shared" si="9"/>
        <v>1.0726818611528524</v>
      </c>
      <c r="T46" s="18">
        <f t="shared" si="10"/>
        <v>1.0969475494411005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16391.392</v>
      </c>
      <c r="E47" s="13">
        <f>Reference!C45</f>
        <v>44.168399999999998</v>
      </c>
      <c r="F47" s="13">
        <f>Reference!D45</f>
        <v>48.8063</v>
      </c>
      <c r="G47" s="13">
        <f>Reference!E45</f>
        <v>48.466299999999997</v>
      </c>
      <c r="H47" s="13">
        <f>Reference!F45</f>
        <v>27108.615000000002</v>
      </c>
      <c r="I47" s="13">
        <f>Reference!G45</f>
        <v>6.71</v>
      </c>
      <c r="J47" s="14">
        <f>H47/3600</f>
        <v>7.5301708333333339</v>
      </c>
      <c r="L47" s="12">
        <f>Test!B45</f>
        <v>16384.876799999998</v>
      </c>
      <c r="M47" s="13">
        <f>Test!C45</f>
        <v>44.167999999999999</v>
      </c>
      <c r="N47" s="13">
        <f>Test!D45</f>
        <v>48.803899999999999</v>
      </c>
      <c r="O47" s="13">
        <f>Test!E45</f>
        <v>48.4664</v>
      </c>
      <c r="P47" s="13">
        <f>Test!F45</f>
        <v>27828.719000000001</v>
      </c>
      <c r="Q47" s="13">
        <f>Test!G45</f>
        <v>7.1059999999999999</v>
      </c>
      <c r="R47" s="13">
        <f>P47/3600</f>
        <v>7.7301997222222223</v>
      </c>
      <c r="S47" s="17">
        <f>P47/H47</f>
        <v>1.0265636588221125</v>
      </c>
      <c r="T47" s="18">
        <f>Q47/I47</f>
        <v>1.0590163934426229</v>
      </c>
      <c r="U47" s="91"/>
      <c r="V47" s="42">
        <f>bdrate($D47:$D50,E47:E50,$L47:$L50,M47:M50)</f>
        <v>-1.3999969983380378E-4</v>
      </c>
      <c r="W47" s="42">
        <f>bdrate($D47:$D50,F47:F50,$L47:$L50,N47:N50)</f>
        <v>1.4082804316488673E-3</v>
      </c>
      <c r="X47" s="43">
        <f>bdrate($D47:$D50,G47:G50,$L47:$L50,O47:O50)</f>
        <v>-1.8399928635719487E-3</v>
      </c>
      <c r="Y47" s="37">
        <f>bdrateOld($D47:$D50,E47:E50,$L47:$L50,M47:M50)</f>
        <v>-1.8035236427249579E-4</v>
      </c>
      <c r="Z47" s="42">
        <f>bdrateOld($D47:$D50,F47:F50,$L47:$L50,N47:N50)</f>
        <v>1.281482600606898E-3</v>
      </c>
      <c r="AA47" s="43">
        <f>bdrateOld($D47:$D50,G47:G50,$L47:$L50,O47:O50)</f>
        <v>-1.7619104792371276E-3</v>
      </c>
    </row>
    <row r="48" spans="1:27" x14ac:dyDescent="0.2">
      <c r="A48" s="16"/>
      <c r="B48" s="85"/>
      <c r="C48" s="16">
        <v>32</v>
      </c>
      <c r="D48" s="17">
        <f>Reference!B46</f>
        <v>11401.9264</v>
      </c>
      <c r="E48" s="18">
        <f>Reference!C46</f>
        <v>42.434600000000003</v>
      </c>
      <c r="F48" s="18">
        <f>Reference!D46</f>
        <v>47.810200000000002</v>
      </c>
      <c r="G48" s="18">
        <f>Reference!E46</f>
        <v>46.992199999999997</v>
      </c>
      <c r="H48" s="18">
        <f>Reference!F46</f>
        <v>21560.967000000001</v>
      </c>
      <c r="I48" s="18">
        <f>Reference!G46</f>
        <v>5.91</v>
      </c>
      <c r="J48" s="19">
        <f t="shared" ref="J48:J70" si="11">H48/3600</f>
        <v>5.9891575000000001</v>
      </c>
      <c r="L48" s="17">
        <f>Test!B46</f>
        <v>11399.8272</v>
      </c>
      <c r="M48" s="18">
        <f>Test!C46</f>
        <v>42.432899999999997</v>
      </c>
      <c r="N48" s="18">
        <f>Test!D46</f>
        <v>47.811</v>
      </c>
      <c r="O48" s="18">
        <f>Test!E46</f>
        <v>47.002000000000002</v>
      </c>
      <c r="P48" s="18">
        <f>Test!F46</f>
        <v>21814.445</v>
      </c>
      <c r="Q48" s="18">
        <f>Test!G46</f>
        <v>5.8330000000000002</v>
      </c>
      <c r="R48" s="18">
        <f t="shared" ref="R48:R70" si="12">P48/3600</f>
        <v>6.0595680555555553</v>
      </c>
      <c r="S48" s="17">
        <f t="shared" ref="S48:S70" si="13">P48/H48</f>
        <v>1.011756337273741</v>
      </c>
      <c r="T48" s="18">
        <f t="shared" ref="T48:T70" si="14">Q48/I48</f>
        <v>0.98697123519458541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7416.576</v>
      </c>
      <c r="E49" s="18">
        <f>Reference!C47</f>
        <v>40.051600000000001</v>
      </c>
      <c r="F49" s="18">
        <f>Reference!D47</f>
        <v>46.611699999999999</v>
      </c>
      <c r="G49" s="18">
        <f>Reference!E47</f>
        <v>45.317700000000002</v>
      </c>
      <c r="H49" s="18">
        <f>Reference!F47</f>
        <v>16207.735000000001</v>
      </c>
      <c r="I49" s="18">
        <f>Reference!G47</f>
        <v>5.0940000000000003</v>
      </c>
      <c r="J49" s="19">
        <f t="shared" si="11"/>
        <v>4.5021486111111111</v>
      </c>
      <c r="L49" s="17">
        <f>Test!B47</f>
        <v>7415.2128000000002</v>
      </c>
      <c r="M49" s="18">
        <f>Test!C47</f>
        <v>40.051900000000003</v>
      </c>
      <c r="N49" s="18">
        <f>Test!D47</f>
        <v>46.609200000000001</v>
      </c>
      <c r="O49" s="18">
        <f>Test!E47</f>
        <v>45.324199999999998</v>
      </c>
      <c r="P49" s="18">
        <f>Test!F47</f>
        <v>16525.543000000001</v>
      </c>
      <c r="Q49" s="18">
        <f>Test!G47</f>
        <v>5.3630000000000004</v>
      </c>
      <c r="R49" s="18">
        <f t="shared" si="12"/>
        <v>4.5904286111111112</v>
      </c>
      <c r="S49" s="17">
        <f t="shared" si="13"/>
        <v>1.0196084153646392</v>
      </c>
      <c r="T49" s="18">
        <f t="shared" si="14"/>
        <v>1.0528072241853161</v>
      </c>
      <c r="U49" s="91"/>
      <c r="V49" s="25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Reference!B48</f>
        <v>4306.9376000000002</v>
      </c>
      <c r="E50" s="23">
        <f>Reference!C48</f>
        <v>36.828899999999997</v>
      </c>
      <c r="F50" s="23">
        <f>Reference!D48</f>
        <v>44.761200000000002</v>
      </c>
      <c r="G50" s="23">
        <f>Reference!E48</f>
        <v>43.084000000000003</v>
      </c>
      <c r="H50" s="23">
        <f>Reference!F48</f>
        <v>11189.258</v>
      </c>
      <c r="I50" s="23">
        <f>Reference!G48</f>
        <v>4.359</v>
      </c>
      <c r="J50" s="24">
        <f t="shared" si="11"/>
        <v>3.108127222222222</v>
      </c>
      <c r="L50" s="22">
        <f>Test!B48</f>
        <v>4305.2608</v>
      </c>
      <c r="M50" s="23">
        <f>Test!C48</f>
        <v>36.828099999999999</v>
      </c>
      <c r="N50" s="23">
        <f>Test!D48</f>
        <v>44.733899999999998</v>
      </c>
      <c r="O50" s="23">
        <f>Test!E48</f>
        <v>43.087699999999998</v>
      </c>
      <c r="P50" s="23">
        <f>Test!F48</f>
        <v>11764.751</v>
      </c>
      <c r="Q50" s="23">
        <f>Test!G48</f>
        <v>4.6470000000000002</v>
      </c>
      <c r="R50" s="23">
        <f t="shared" si="12"/>
        <v>3.2679863888888891</v>
      </c>
      <c r="S50" s="22">
        <f t="shared" si="13"/>
        <v>1.0514326329770929</v>
      </c>
      <c r="T50" s="23">
        <f t="shared" si="14"/>
        <v>1.0660701995870614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26.096648791482714</v>
      </c>
      <c r="J75" s="15">
        <f>GEOMEAN(J3:J18)</f>
        <v>24.380884085519771</v>
      </c>
      <c r="Q75" s="15">
        <f>GEOMEAN(Q3:Q18)</f>
        <v>26.633903497092284</v>
      </c>
      <c r="R75" s="15">
        <f>GEOMEAN(R3:R18)</f>
        <v>24.708895515232218</v>
      </c>
      <c r="S75" s="15">
        <f>GEOMEAN(S3:S18)</f>
        <v>1.0134536314828411</v>
      </c>
      <c r="T75" s="15">
        <f>GEOMEAN(T3:T18)</f>
        <v>1.0205871148400065</v>
      </c>
      <c r="V75" s="37">
        <f>AVERAGE(V3:V18)</f>
        <v>-9.1388762861105421E-5</v>
      </c>
      <c r="W75" s="42">
        <f t="shared" ref="W75:AA75" si="19">AVERAGE(W3:W18)</f>
        <v>-2.4361265027738888E-3</v>
      </c>
      <c r="X75" s="42">
        <f t="shared" si="19"/>
        <v>-3.9195594847233062E-3</v>
      </c>
      <c r="Y75" s="37">
        <f>AVERAGE(Y3:Y18)</f>
        <v>-1.3296648593474902E-4</v>
      </c>
      <c r="Z75" s="42">
        <f t="shared" si="19"/>
        <v>-2.4932620438765374E-3</v>
      </c>
      <c r="AA75" s="43">
        <f t="shared" si="19"/>
        <v>-3.8323012375705845E-3</v>
      </c>
    </row>
    <row r="76" spans="1:27" x14ac:dyDescent="0.2">
      <c r="B76" s="89" t="s">
        <v>47</v>
      </c>
      <c r="I76" s="15">
        <f>GEOMEAN(I19:I34)</f>
        <v>13.201779435765294</v>
      </c>
      <c r="J76" s="15">
        <f>GEOMEAN(J19:J34)</f>
        <v>13.171149905275923</v>
      </c>
      <c r="Q76" s="15">
        <f>GEOMEAN(Q19:Q34)</f>
        <v>13.582008596768981</v>
      </c>
      <c r="R76" s="15">
        <f>GEOMEAN(R19:R34)</f>
        <v>13.482039894088725</v>
      </c>
      <c r="S76" s="15">
        <f>GEOMEAN(S19:S34)</f>
        <v>1.0236038607903377</v>
      </c>
      <c r="T76" s="15">
        <f>GEOMEAN(T19:T34)</f>
        <v>1.0288013568817549</v>
      </c>
      <c r="V76" s="40">
        <f>AVERAGE(V19:V34)</f>
        <v>3.6690046805926135E-5</v>
      </c>
      <c r="W76" s="44">
        <f t="shared" ref="W76:AA76" si="20">AVERAGE(W19:W34)</f>
        <v>-5.6914316242573371E-4</v>
      </c>
      <c r="X76" s="44">
        <f t="shared" si="20"/>
        <v>-2.6605589002317576E-3</v>
      </c>
      <c r="Y76" s="40">
        <f t="shared" si="20"/>
        <v>3.4030801830953195E-5</v>
      </c>
      <c r="Z76" s="44">
        <f t="shared" si="20"/>
        <v>-5.4029897463686583E-4</v>
      </c>
      <c r="AA76" s="45">
        <f t="shared" si="20"/>
        <v>-2.5094058982568501E-3</v>
      </c>
    </row>
    <row r="77" spans="1:27" x14ac:dyDescent="0.2">
      <c r="B77" s="89" t="s">
        <v>51</v>
      </c>
      <c r="I77" s="15">
        <f>GEOMEAN(I35:I50)</f>
        <v>6.2765712663222928</v>
      </c>
      <c r="J77" s="15">
        <f>GEOMEAN(J35:J50)</f>
        <v>6.1463812868586833</v>
      </c>
      <c r="Q77" s="15">
        <f>GEOMEAN(Q35:Q50)</f>
        <v>6.5586538589079257</v>
      </c>
      <c r="R77" s="15">
        <f>GEOMEAN(R35:R50)</f>
        <v>6.3446256181749643</v>
      </c>
      <c r="S77" s="15">
        <f>GEOMEAN(S35:S50)</f>
        <v>1.0322538290522487</v>
      </c>
      <c r="T77" s="15">
        <f>GEOMEAN(T35:T50)</f>
        <v>1.0449421476498135</v>
      </c>
      <c r="V77" s="40">
        <f>AVERAGE(V35:V50)</f>
        <v>-6.700388511118871E-5</v>
      </c>
      <c r="W77" s="44">
        <f t="shared" ref="W77:AA77" si="21">AVERAGE(W35:W50)</f>
        <v>4.3273012228306484E-4</v>
      </c>
      <c r="X77" s="44">
        <f t="shared" si="21"/>
        <v>-4.3401727178180027E-4</v>
      </c>
      <c r="Y77" s="40">
        <f t="shared" si="21"/>
        <v>-8.2247084527808934E-5</v>
      </c>
      <c r="Z77" s="44">
        <f t="shared" si="21"/>
        <v>3.9286632520837972E-4</v>
      </c>
      <c r="AA77" s="45">
        <f t="shared" si="21"/>
        <v>-4.6025386757445053E-4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12.931430179615218</v>
      </c>
      <c r="J80" s="54">
        <f xml:space="preserve"> GEOMEAN(J3:J50)</f>
        <v>12.543850809753893</v>
      </c>
      <c r="K80" s="4"/>
      <c r="L80" s="4"/>
      <c r="M80" s="4"/>
      <c r="N80" s="4"/>
      <c r="O80" s="4"/>
      <c r="P80" s="4"/>
      <c r="Q80" s="54">
        <f xml:space="preserve"> GEOMEAN(Q3:Q50)</f>
        <v>13.337400053598037</v>
      </c>
      <c r="R80" s="54">
        <f xml:space="preserve"> GEOMEAN(R3:R50)</f>
        <v>12.833299025285799</v>
      </c>
      <c r="S80" s="54">
        <f xml:space="preserve"> GEOMEAN(S3:S50)</f>
        <v>1.0230749089670961</v>
      </c>
      <c r="T80" s="54">
        <f>GEOMEAN(T3:T50)</f>
        <v>1.0313940429128079</v>
      </c>
      <c r="U80" s="4"/>
      <c r="V80" s="41">
        <f>AVERAGE(V3:V50)</f>
        <v>-4.0567533722122663E-5</v>
      </c>
      <c r="W80" s="46">
        <f t="shared" ref="W80:AA80" si="25">AVERAGE(W3:W50)</f>
        <v>-8.5751318097218587E-4</v>
      </c>
      <c r="X80" s="47">
        <f t="shared" si="25"/>
        <v>-2.338045218912288E-3</v>
      </c>
      <c r="Y80" s="46">
        <f t="shared" si="25"/>
        <v>-6.0394256210534923E-5</v>
      </c>
      <c r="Z80" s="46">
        <f t="shared" si="25"/>
        <v>-8.8023156443500783E-4</v>
      </c>
      <c r="AA80" s="47">
        <f t="shared" si="25"/>
        <v>-2.2673203344672952E-3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A19" zoomScale="85" zoomScaleNormal="85" workbookViewId="0">
      <selection activeCell="T45" sqref="S45:T45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14761.092000000001</v>
      </c>
      <c r="E3" s="13">
        <f>Reference!C73</f>
        <v>40.090499999999999</v>
      </c>
      <c r="F3" s="13">
        <f>Reference!D73</f>
        <v>49.066200000000002</v>
      </c>
      <c r="G3" s="13">
        <f>Reference!E73</f>
        <v>47.056100000000001</v>
      </c>
      <c r="H3" s="13">
        <f>Reference!F73</f>
        <v>381763.61800000002</v>
      </c>
      <c r="I3" s="13">
        <f>Reference!G73</f>
        <v>57.116</v>
      </c>
      <c r="J3" s="14">
        <f>H3/3600</f>
        <v>106.04544944444444</v>
      </c>
      <c r="L3" s="12">
        <f>Test!B73</f>
        <v>14754.62</v>
      </c>
      <c r="M3" s="13">
        <f>Test!C73</f>
        <v>40.090400000000002</v>
      </c>
      <c r="N3" s="13">
        <f>Test!D73</f>
        <v>49.067300000000003</v>
      </c>
      <c r="O3" s="13">
        <f>Test!E73</f>
        <v>47.055100000000003</v>
      </c>
      <c r="P3" s="13">
        <f>Test!F73</f>
        <v>404409.71100000001</v>
      </c>
      <c r="Q3" s="13">
        <f>Test!G73</f>
        <v>59.994999999999997</v>
      </c>
      <c r="R3" s="14">
        <f>P3/3600</f>
        <v>112.33603083333334</v>
      </c>
      <c r="S3" s="12">
        <f>P3/H3</f>
        <v>1.059319673044381</v>
      </c>
      <c r="T3" s="13">
        <f>Q3/I3</f>
        <v>1.0504061909097275</v>
      </c>
      <c r="U3" s="90"/>
      <c r="V3" s="37">
        <f>bdrate($D3:$D6,E3:E6,$L3:$L6,M3:M6)</f>
        <v>-2.0282251022174513E-4</v>
      </c>
      <c r="W3" s="42">
        <f>bdrate($D3:$D6,F3:F6,$L3:$L6,N3:N6)</f>
        <v>6.3673995560777907E-3</v>
      </c>
      <c r="X3" s="43">
        <f>bdrate($D3:$D6,G3:G6,$L3:$L6,O3:O6)</f>
        <v>1.8918342350640049E-3</v>
      </c>
      <c r="Y3" s="37">
        <f>bdrateOld($D3:$D6,E3:E6,$L3:$L6,M3:M6)</f>
        <v>4.8893133462346583E-5</v>
      </c>
      <c r="Z3" s="42">
        <f>bdrateOld($D3:$D6,F3:F6,$L3:$L6,N3:N6)</f>
        <v>8.6816292488389735E-3</v>
      </c>
      <c r="AA3" s="43">
        <f>bdrateOld($D3:$D6,G3:G6,$L3:$L6,O3:O6)</f>
        <v>2.0739249089325451E-3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6726.18</v>
      </c>
      <c r="E4" s="18">
        <f>Reference!C74</f>
        <v>39.600299999999997</v>
      </c>
      <c r="F4" s="18">
        <f>Reference!D74</f>
        <v>48.469700000000003</v>
      </c>
      <c r="G4" s="18">
        <f>Reference!E74</f>
        <v>46.1524</v>
      </c>
      <c r="H4" s="18">
        <f>Reference!F74</f>
        <v>208669.818</v>
      </c>
      <c r="I4" s="18">
        <f>Reference!G74</f>
        <v>52.811</v>
      </c>
      <c r="J4" s="19">
        <f t="shared" ref="J4:J14" si="0">H4/3600</f>
        <v>57.963838333333335</v>
      </c>
      <c r="L4" s="17">
        <f>Test!B74</f>
        <v>6725.06</v>
      </c>
      <c r="M4" s="18">
        <f>Test!C74</f>
        <v>39.600700000000003</v>
      </c>
      <c r="N4" s="18">
        <f>Test!D74</f>
        <v>48.476599999999998</v>
      </c>
      <c r="O4" s="18">
        <f>Test!E74</f>
        <v>46.151200000000003</v>
      </c>
      <c r="P4" s="18">
        <f>Test!F74</f>
        <v>222397.18900000001</v>
      </c>
      <c r="Q4" s="18">
        <f>Test!G74</f>
        <v>55.048000000000002</v>
      </c>
      <c r="R4" s="19">
        <f t="shared" ref="R4:R14" si="1">P4/3600</f>
        <v>61.776996944444448</v>
      </c>
      <c r="S4" s="17">
        <f t="shared" ref="S4:T46" si="2">P4/H4</f>
        <v>1.0657851295006162</v>
      </c>
      <c r="T4" s="18">
        <f t="shared" si="2"/>
        <v>1.042358599534188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3648.0279999999998</v>
      </c>
      <c r="E5" s="18">
        <f>Reference!C75</f>
        <v>38.762599999999999</v>
      </c>
      <c r="F5" s="18">
        <f>Reference!D75</f>
        <v>47.644399999999997</v>
      </c>
      <c r="G5" s="18">
        <f>Reference!E75</f>
        <v>44.927399999999999</v>
      </c>
      <c r="H5" s="18">
        <f>Reference!F75</f>
        <v>102147.705</v>
      </c>
      <c r="I5" s="18">
        <f>Reference!G75</f>
        <v>46.564999999999998</v>
      </c>
      <c r="J5" s="19">
        <f t="shared" si="0"/>
        <v>28.3743625</v>
      </c>
      <c r="L5" s="17">
        <f>Test!B75</f>
        <v>3644.9879999999998</v>
      </c>
      <c r="M5" s="18">
        <f>Test!C75</f>
        <v>38.761099999999999</v>
      </c>
      <c r="N5" s="18">
        <f>Test!D75</f>
        <v>47.620399999999997</v>
      </c>
      <c r="O5" s="18">
        <f>Test!E75</f>
        <v>44.919499999999999</v>
      </c>
      <c r="P5" s="18">
        <f>Test!F75</f>
        <v>105890.306</v>
      </c>
      <c r="Q5" s="18">
        <f>Test!G75</f>
        <v>52.335999999999999</v>
      </c>
      <c r="R5" s="19">
        <f t="shared" si="1"/>
        <v>29.413973888888886</v>
      </c>
      <c r="S5" s="17">
        <f t="shared" si="2"/>
        <v>1.0366391100025203</v>
      </c>
      <c r="T5" s="18">
        <f t="shared" si="2"/>
        <v>1.123934285407495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Reference!B76</f>
        <v>1930.1559999999999</v>
      </c>
      <c r="E6" s="23">
        <f>Reference!C76</f>
        <v>37.271099999999997</v>
      </c>
      <c r="F6" s="23">
        <f>Reference!D76</f>
        <v>46.308399999999999</v>
      </c>
      <c r="G6" s="23">
        <f>Reference!E76</f>
        <v>43.182299999999998</v>
      </c>
      <c r="H6" s="23">
        <f>Reference!F76</f>
        <v>51018.601999999999</v>
      </c>
      <c r="I6" s="23">
        <f>Reference!G76</f>
        <v>42.23</v>
      </c>
      <c r="J6" s="24">
        <f t="shared" si="0"/>
        <v>14.171833888888889</v>
      </c>
      <c r="L6" s="22">
        <f>Test!B76</f>
        <v>1927.8879999999999</v>
      </c>
      <c r="M6" s="23">
        <f>Test!C76</f>
        <v>37.2684</v>
      </c>
      <c r="N6" s="23">
        <f>Test!D76</f>
        <v>46.284599999999998</v>
      </c>
      <c r="O6" s="23">
        <f>Test!E76</f>
        <v>43.169800000000002</v>
      </c>
      <c r="P6" s="23">
        <f>Test!F76</f>
        <v>51148.002</v>
      </c>
      <c r="Q6" s="23">
        <f>Test!G76</f>
        <v>44.822000000000003</v>
      </c>
      <c r="R6" s="24">
        <f t="shared" si="1"/>
        <v>14.207778333333334</v>
      </c>
      <c r="S6" s="17">
        <f t="shared" si="2"/>
        <v>1.0025363297881036</v>
      </c>
      <c r="T6" s="18">
        <f t="shared" si="2"/>
        <v>1.0613781671797302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75795.884000000005</v>
      </c>
      <c r="E7" s="13">
        <f>Reference!C77</f>
        <v>41.650100000000002</v>
      </c>
      <c r="F7" s="13">
        <f>Reference!D77</f>
        <v>36.473300000000002</v>
      </c>
      <c r="G7" s="13">
        <f>Reference!E77</f>
        <v>37.611699999999999</v>
      </c>
      <c r="H7" s="13">
        <f>Reference!F77</f>
        <v>707406.11499999999</v>
      </c>
      <c r="I7" s="13">
        <f>Reference!G77</f>
        <v>70.045000000000002</v>
      </c>
      <c r="J7" s="14">
        <f t="shared" si="0"/>
        <v>196.5016986111111</v>
      </c>
      <c r="L7" s="12">
        <f>Test!B77</f>
        <v>75802.452000000005</v>
      </c>
      <c r="M7" s="13">
        <f>Test!C77</f>
        <v>41.651400000000002</v>
      </c>
      <c r="N7" s="13">
        <f>Test!D77</f>
        <v>36.521000000000001</v>
      </c>
      <c r="O7" s="13">
        <f>Test!E77</f>
        <v>37.630600000000001</v>
      </c>
      <c r="P7" s="13">
        <f>Test!F77</f>
        <v>739547.33799999999</v>
      </c>
      <c r="Q7" s="13">
        <f>Test!G77</f>
        <v>68.747</v>
      </c>
      <c r="R7" s="14">
        <f t="shared" si="1"/>
        <v>205.42981611111111</v>
      </c>
      <c r="S7" s="17">
        <f t="shared" si="2"/>
        <v>1.0454353197102346</v>
      </c>
      <c r="T7" s="18">
        <f t="shared" si="2"/>
        <v>0.98146905560710973</v>
      </c>
      <c r="U7" s="91"/>
      <c r="V7" s="37">
        <f>bdrate($D7:$D10,E7:E10,$L7:$L10,M7:M10)</f>
        <v>-2.952069740618235E-4</v>
      </c>
      <c r="W7" s="42">
        <f>bdrate($D7:$D10,F7:F10,$L7:$L10,N7:N10)</f>
        <v>-1.1735535978843914E-2</v>
      </c>
      <c r="X7" s="42">
        <f>bdrate($D7:$D10,G7:G10,$L7:$L10,O7:O10)</f>
        <v>-3.9943772167325697E-3</v>
      </c>
      <c r="Y7" s="40">
        <f>bdrateOld($D7:$D10,E7:E10,$L7:$L10,M7:M10)</f>
        <v>-3.2180595058006745E-4</v>
      </c>
      <c r="Z7" s="44">
        <f>bdrateOld($D7:$D10,F7:F10,$L7:$L10,N7:N10)</f>
        <v>-1.1856615659223912E-2</v>
      </c>
      <c r="AA7" s="45">
        <f>bdrateOld($D7:$D10,G7:G10,$L7:$L10,O7:O10)</f>
        <v>-4.1206854081594635E-3</v>
      </c>
    </row>
    <row r="8" spans="1:27" x14ac:dyDescent="0.2">
      <c r="A8" s="16"/>
      <c r="B8" s="85"/>
      <c r="C8" s="16">
        <v>48</v>
      </c>
      <c r="D8" s="17">
        <f>Reference!B78</f>
        <v>39171.883999999998</v>
      </c>
      <c r="E8" s="18">
        <f>Reference!C78</f>
        <v>39.0503</v>
      </c>
      <c r="F8" s="18">
        <f>Reference!D78</f>
        <v>34.554200000000002</v>
      </c>
      <c r="G8" s="18">
        <f>Reference!E78</f>
        <v>35.963799999999999</v>
      </c>
      <c r="H8" s="18">
        <f>Reference!F78</f>
        <v>472539.66</v>
      </c>
      <c r="I8" s="18">
        <f>Reference!G78</f>
        <v>59.526000000000003</v>
      </c>
      <c r="J8" s="19">
        <f t="shared" si="0"/>
        <v>131.26101666666665</v>
      </c>
      <c r="L8" s="17">
        <f>Test!B78</f>
        <v>39161.288</v>
      </c>
      <c r="M8" s="18">
        <f>Test!C78</f>
        <v>39.049199999999999</v>
      </c>
      <c r="N8" s="18">
        <f>Test!D78</f>
        <v>34.595799999999997</v>
      </c>
      <c r="O8" s="18">
        <f>Test!E78</f>
        <v>35.9773</v>
      </c>
      <c r="P8" s="18">
        <f>Test!F78</f>
        <v>490052.97200000001</v>
      </c>
      <c r="Q8" s="18">
        <f>Test!G78</f>
        <v>59.765000000000001</v>
      </c>
      <c r="R8" s="19">
        <f t="shared" si="1"/>
        <v>136.12582555555556</v>
      </c>
      <c r="S8" s="17">
        <f t="shared" si="2"/>
        <v>1.0370620997187834</v>
      </c>
      <c r="T8" s="18">
        <f t="shared" si="2"/>
        <v>1.0040150522460773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18811.263999999999</v>
      </c>
      <c r="E9" s="18">
        <f>Reference!C79</f>
        <v>36.1462</v>
      </c>
      <c r="F9" s="18">
        <f>Reference!D79</f>
        <v>32.925699999999999</v>
      </c>
      <c r="G9" s="18">
        <f>Reference!E79</f>
        <v>34.590200000000003</v>
      </c>
      <c r="H9" s="18">
        <f>Reference!F79</f>
        <v>292824.29300000001</v>
      </c>
      <c r="I9" s="18">
        <f>Reference!G79</f>
        <v>52.408000000000001</v>
      </c>
      <c r="J9" s="19">
        <f t="shared" si="0"/>
        <v>81.340081388888891</v>
      </c>
      <c r="L9" s="17">
        <f>Test!B79</f>
        <v>18807.02</v>
      </c>
      <c r="M9" s="18">
        <f>Test!C79</f>
        <v>36.148200000000003</v>
      </c>
      <c r="N9" s="18">
        <f>Test!D79</f>
        <v>32.942500000000003</v>
      </c>
      <c r="O9" s="18">
        <f>Test!E79</f>
        <v>34.5901</v>
      </c>
      <c r="P9" s="18">
        <f>Test!F79</f>
        <v>305784.46399999998</v>
      </c>
      <c r="Q9" s="18">
        <f>Test!G79</f>
        <v>53.308999999999997</v>
      </c>
      <c r="R9" s="19">
        <f t="shared" si="1"/>
        <v>84.940128888888879</v>
      </c>
      <c r="S9" s="17">
        <f t="shared" si="2"/>
        <v>1.0442592070050689</v>
      </c>
      <c r="T9" s="18">
        <f t="shared" si="2"/>
        <v>1.0171920317508776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Reference!B80</f>
        <v>7757.32</v>
      </c>
      <c r="E10" s="23">
        <f>Reference!C80</f>
        <v>33.084699999999998</v>
      </c>
      <c r="F10" s="23">
        <f>Reference!D80</f>
        <v>31.264299999999999</v>
      </c>
      <c r="G10" s="23">
        <f>Reference!E80</f>
        <v>33.1648</v>
      </c>
      <c r="H10" s="23">
        <f>Reference!F80</f>
        <v>162273.21100000001</v>
      </c>
      <c r="I10" s="23">
        <f>Reference!G80</f>
        <v>47.722000000000001</v>
      </c>
      <c r="J10" s="24">
        <f t="shared" si="0"/>
        <v>45.07589194444445</v>
      </c>
      <c r="L10" s="22">
        <f>Test!B80</f>
        <v>7773.04</v>
      </c>
      <c r="M10" s="23">
        <f>Test!C80</f>
        <v>33.090400000000002</v>
      </c>
      <c r="N10" s="23">
        <f>Test!D80</f>
        <v>31.272600000000001</v>
      </c>
      <c r="O10" s="23">
        <f>Test!E80</f>
        <v>33.1736</v>
      </c>
      <c r="P10" s="23">
        <f>Test!F80</f>
        <v>170326.30300000001</v>
      </c>
      <c r="Q10" s="23">
        <f>Test!G80</f>
        <v>49.933999999999997</v>
      </c>
      <c r="R10" s="24">
        <f t="shared" si="1"/>
        <v>47.31286194444445</v>
      </c>
      <c r="S10" s="17">
        <f t="shared" si="2"/>
        <v>1.0496267495440144</v>
      </c>
      <c r="T10" s="18">
        <f t="shared" si="2"/>
        <v>1.0463517874355641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37756.784</v>
      </c>
      <c r="E11" s="13">
        <f>Reference!C81</f>
        <v>38.305500000000002</v>
      </c>
      <c r="F11" s="13">
        <f>Reference!D81</f>
        <v>40.467300000000002</v>
      </c>
      <c r="G11" s="13">
        <f>Reference!E81</f>
        <v>41.551699999999997</v>
      </c>
      <c r="H11" s="13">
        <f>Reference!F81</f>
        <v>411523.098</v>
      </c>
      <c r="I11" s="13">
        <f>Reference!G81</f>
        <v>38.543999999999997</v>
      </c>
      <c r="J11" s="14">
        <f t="shared" si="0"/>
        <v>114.31197166666666</v>
      </c>
      <c r="L11" s="12">
        <f>Test!B81</f>
        <v>37751.455999999998</v>
      </c>
      <c r="M11" s="13">
        <f>Test!C81</f>
        <v>38.305300000000003</v>
      </c>
      <c r="N11" s="13">
        <f>Test!D81</f>
        <v>40.466900000000003</v>
      </c>
      <c r="O11" s="13">
        <f>Test!E81</f>
        <v>41.553899999999999</v>
      </c>
      <c r="P11" s="13">
        <f>Test!F81</f>
        <v>427024.86300000001</v>
      </c>
      <c r="Q11" s="13">
        <f>Test!G81</f>
        <v>40.69</v>
      </c>
      <c r="R11" s="14">
        <f t="shared" si="1"/>
        <v>118.61801750000001</v>
      </c>
      <c r="S11" s="17">
        <f t="shared" si="2"/>
        <v>1.0376692464538164</v>
      </c>
      <c r="T11" s="18">
        <f t="shared" si="2"/>
        <v>1.0556766293067663</v>
      </c>
      <c r="U11" s="91"/>
      <c r="V11" s="37">
        <f>bdrate($D11:$D14,E11:E14,$L11:$L14,M11:M14)</f>
        <v>1.9819148287414379E-5</v>
      </c>
      <c r="W11" s="42">
        <f>bdrate($D11:$D14,F11:F14,$L11:$L14,N11:N14)</f>
        <v>3.6418151729078474E-4</v>
      </c>
      <c r="X11" s="42">
        <f>bdrate($D11:$D14,G11:G14,$L11:$L14,O11:O14)</f>
        <v>-2.3253851734383879E-4</v>
      </c>
      <c r="Y11" s="40">
        <f>bdrateOld($D11:$D14,E11:E14,$L11:$L14,M11:M14)</f>
        <v>4.8903505822206483E-5</v>
      </c>
      <c r="Z11" s="44">
        <f>bdrateOld($D11:$D14,F11:F14,$L11:$L14,N11:N14)</f>
        <v>3.8233351228900148E-4</v>
      </c>
      <c r="AA11" s="45">
        <f>bdrateOld($D11:$D14,G11:G14,$L11:$L14,O11:O14)</f>
        <v>-5.1347794978728878E-5</v>
      </c>
    </row>
    <row r="12" spans="1:27" x14ac:dyDescent="0.2">
      <c r="A12" s="34"/>
      <c r="B12" s="83"/>
      <c r="C12" s="16">
        <v>48</v>
      </c>
      <c r="D12" s="17">
        <f>Reference!B82</f>
        <v>18398.78</v>
      </c>
      <c r="E12" s="18">
        <f>Reference!C82</f>
        <v>37.1965</v>
      </c>
      <c r="F12" s="18">
        <f>Reference!D82</f>
        <v>37.920299999999997</v>
      </c>
      <c r="G12" s="18">
        <f>Reference!E82</f>
        <v>40.334400000000002</v>
      </c>
      <c r="H12" s="18">
        <f>Reference!F82</f>
        <v>244687.48800000001</v>
      </c>
      <c r="I12" s="18">
        <f>Reference!G82</f>
        <v>31.97</v>
      </c>
      <c r="J12" s="19">
        <f t="shared" si="0"/>
        <v>67.968746666666675</v>
      </c>
      <c r="L12" s="17">
        <f>Test!B82</f>
        <v>18411.38</v>
      </c>
      <c r="M12" s="18">
        <f>Test!C82</f>
        <v>37.198</v>
      </c>
      <c r="N12" s="18">
        <f>Test!D82</f>
        <v>37.918700000000001</v>
      </c>
      <c r="O12" s="18">
        <f>Test!E82</f>
        <v>40.335900000000002</v>
      </c>
      <c r="P12" s="18">
        <f>Test!F82</f>
        <v>260071.34700000001</v>
      </c>
      <c r="Q12" s="18">
        <f>Test!G82</f>
        <v>32.862000000000002</v>
      </c>
      <c r="R12" s="19">
        <f t="shared" si="1"/>
        <v>72.242040833333334</v>
      </c>
      <c r="S12" s="17">
        <f t="shared" si="2"/>
        <v>1.0628714574894815</v>
      </c>
      <c r="T12" s="18">
        <f t="shared" si="2"/>
        <v>1.0279011573350016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9141.5720000000001</v>
      </c>
      <c r="E13" s="18">
        <f>Reference!C83</f>
        <v>35.836300000000001</v>
      </c>
      <c r="F13" s="18">
        <f>Reference!D83</f>
        <v>35.705399999999997</v>
      </c>
      <c r="G13" s="18">
        <f>Reference!E83</f>
        <v>39.030099999999997</v>
      </c>
      <c r="H13" s="18">
        <f>Reference!F83</f>
        <v>147792.96100000001</v>
      </c>
      <c r="I13" s="18">
        <f>Reference!G83</f>
        <v>27.135999999999999</v>
      </c>
      <c r="J13" s="19">
        <f t="shared" si="0"/>
        <v>41.053600277777782</v>
      </c>
      <c r="L13" s="17">
        <f>Test!B83</f>
        <v>9155.44</v>
      </c>
      <c r="M13" s="18">
        <f>Test!C83</f>
        <v>35.839300000000001</v>
      </c>
      <c r="N13" s="18">
        <f>Test!D83</f>
        <v>35.709699999999998</v>
      </c>
      <c r="O13" s="18">
        <f>Test!E83</f>
        <v>39.028599999999997</v>
      </c>
      <c r="P13" s="18">
        <f>Test!F83</f>
        <v>154767.109</v>
      </c>
      <c r="Q13" s="18">
        <f>Test!G83</f>
        <v>29.024000000000001</v>
      </c>
      <c r="R13" s="19">
        <f t="shared" si="1"/>
        <v>42.990863611111109</v>
      </c>
      <c r="S13" s="17">
        <f t="shared" si="2"/>
        <v>1.0471886343761663</v>
      </c>
      <c r="T13" s="18">
        <f t="shared" si="2"/>
        <v>1.0695754716981132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Reference!B84</f>
        <v>4627.0879999999997</v>
      </c>
      <c r="E14" s="23">
        <f>Reference!C84</f>
        <v>34.002600000000001</v>
      </c>
      <c r="F14" s="23">
        <f>Reference!D84</f>
        <v>33.809199999999997</v>
      </c>
      <c r="G14" s="23">
        <f>Reference!E84</f>
        <v>37.461300000000001</v>
      </c>
      <c r="H14" s="23">
        <f>Reference!F84</f>
        <v>83840.362999999998</v>
      </c>
      <c r="I14" s="23">
        <f>Reference!G84</f>
        <v>24.41</v>
      </c>
      <c r="J14" s="24">
        <f t="shared" si="0"/>
        <v>23.288989722222222</v>
      </c>
      <c r="L14" s="22">
        <f>Test!B84</f>
        <v>4627.152</v>
      </c>
      <c r="M14" s="23">
        <f>Test!C84</f>
        <v>34.002699999999997</v>
      </c>
      <c r="N14" s="23">
        <f>Test!D84</f>
        <v>33.812800000000003</v>
      </c>
      <c r="O14" s="23">
        <f>Test!E84</f>
        <v>37.477899999999998</v>
      </c>
      <c r="P14" s="23">
        <f>Test!F84</f>
        <v>85259.698000000004</v>
      </c>
      <c r="Q14" s="23">
        <f>Test!G84</f>
        <v>26.408999999999999</v>
      </c>
      <c r="R14" s="24">
        <f t="shared" si="1"/>
        <v>23.683249444444446</v>
      </c>
      <c r="S14" s="17">
        <f t="shared" si="2"/>
        <v>1.0169290178287993</v>
      </c>
      <c r="T14" s="18">
        <f t="shared" si="2"/>
        <v>1.0818926669397788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26294.748</v>
      </c>
      <c r="E15" s="13">
        <f>Reference!C85</f>
        <v>37.6387</v>
      </c>
      <c r="F15" s="13">
        <f>Reference!D85</f>
        <v>45.343899999999998</v>
      </c>
      <c r="G15" s="13">
        <f>Reference!E85</f>
        <v>43.032699999999998</v>
      </c>
      <c r="H15" s="13">
        <f>Reference!F85</f>
        <v>540248.02099999995</v>
      </c>
      <c r="I15" s="13">
        <f>Reference!G85</f>
        <v>61.91</v>
      </c>
      <c r="J15" s="14">
        <f>H15/3600</f>
        <v>150.06889472222221</v>
      </c>
      <c r="L15" s="12">
        <f>Test!B85</f>
        <v>26307.016</v>
      </c>
      <c r="M15" s="13">
        <f>Test!C85</f>
        <v>37.6389</v>
      </c>
      <c r="N15" s="13">
        <f>Test!D85</f>
        <v>45.354100000000003</v>
      </c>
      <c r="O15" s="13">
        <f>Test!E85</f>
        <v>43.0563</v>
      </c>
      <c r="P15" s="13">
        <f>Test!F85</f>
        <v>562228.45499999996</v>
      </c>
      <c r="Q15" s="13">
        <f>Test!G85</f>
        <v>62.548000000000002</v>
      </c>
      <c r="R15" s="14">
        <f>P15/3600</f>
        <v>156.17457083333332</v>
      </c>
      <c r="S15" s="17">
        <f>P15/H15</f>
        <v>1.0406858204854026</v>
      </c>
      <c r="T15" s="18">
        <f>Q15/I15</f>
        <v>1.0103052818607656</v>
      </c>
      <c r="U15" s="91"/>
      <c r="V15" s="37">
        <f>bdrate($D15:$D18,E15:E18,$L15:$L18,M15:M18)</f>
        <v>-1.0213467684662136E-3</v>
      </c>
      <c r="W15" s="42">
        <f>bdrate($D15:$D18,F15:F18,$L15:$L18,N15:N18)</f>
        <v>-9.6785353290615994E-3</v>
      </c>
      <c r="X15" s="43">
        <f>bdrate($D15:$D18,G15:G18,$L15:$L18,O15:O18)</f>
        <v>-1.2396732370062336E-2</v>
      </c>
      <c r="Y15" s="37">
        <f>bdrateOld($D15:$D18,E15:E18,$L15:$L18,M15:M18)</f>
        <v>-1.0517919849426516E-3</v>
      </c>
      <c r="Z15" s="42">
        <f>bdrateOld($D15:$D18,F15:F18,$L15:$L18,N15:N18)</f>
        <v>-8.7808686749294429E-3</v>
      </c>
      <c r="AA15" s="43">
        <f>bdrateOld($D15:$D18,G15:G18,$L15:$L18,O15:O18)</f>
        <v>-1.176650127732104E-2</v>
      </c>
    </row>
    <row r="16" spans="1:27" x14ac:dyDescent="0.2">
      <c r="A16" s="16"/>
      <c r="B16" s="85"/>
      <c r="C16" s="16">
        <v>48</v>
      </c>
      <c r="D16" s="17">
        <f>Reference!B86</f>
        <v>9174.848</v>
      </c>
      <c r="E16" s="18">
        <f>Reference!C86</f>
        <v>37.099600000000002</v>
      </c>
      <c r="F16" s="18">
        <f>Reference!D86</f>
        <v>44.750399999999999</v>
      </c>
      <c r="G16" s="18">
        <f>Reference!E86</f>
        <v>42.412100000000002</v>
      </c>
      <c r="H16" s="18">
        <f>Reference!F86</f>
        <v>292233.179</v>
      </c>
      <c r="I16" s="18">
        <f>Reference!G86</f>
        <v>52.930999999999997</v>
      </c>
      <c r="J16" s="19">
        <f t="shared" ref="J16:J26" si="3">H16/3600</f>
        <v>81.175883055555559</v>
      </c>
      <c r="L16" s="17">
        <f>Test!B86</f>
        <v>9168.732</v>
      </c>
      <c r="M16" s="18">
        <f>Test!C86</f>
        <v>37.099699999999999</v>
      </c>
      <c r="N16" s="18">
        <f>Test!D86</f>
        <v>44.762599999999999</v>
      </c>
      <c r="O16" s="18">
        <f>Test!E86</f>
        <v>42.424700000000001</v>
      </c>
      <c r="P16" s="18">
        <f>Test!F86</f>
        <v>310752.37699999998</v>
      </c>
      <c r="Q16" s="18">
        <f>Test!G86</f>
        <v>58.387</v>
      </c>
      <c r="R16" s="19">
        <f t="shared" ref="R16:R26" si="4">P16/3600</f>
        <v>86.320104722222212</v>
      </c>
      <c r="S16" s="17">
        <f t="shared" ref="S16:S26" si="5">P16/H16</f>
        <v>1.0633713052822109</v>
      </c>
      <c r="T16" s="18">
        <f t="shared" ref="T16:T26" si="6">Q16/I16</f>
        <v>1.103077591581493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4518.46</v>
      </c>
      <c r="E17" s="18">
        <f>Reference!C87</f>
        <v>36.249000000000002</v>
      </c>
      <c r="F17" s="18">
        <f>Reference!D87</f>
        <v>43.9666</v>
      </c>
      <c r="G17" s="18">
        <f>Reference!E87</f>
        <v>41.622999999999998</v>
      </c>
      <c r="H17" s="18">
        <f>Reference!F87</f>
        <v>147220.24799999999</v>
      </c>
      <c r="I17" s="18">
        <f>Reference!G87</f>
        <v>45.581000000000003</v>
      </c>
      <c r="J17" s="19">
        <f t="shared" si="3"/>
        <v>40.894513333333329</v>
      </c>
      <c r="L17" s="17">
        <f>Test!B87</f>
        <v>4516.84</v>
      </c>
      <c r="M17" s="18">
        <f>Test!C87</f>
        <v>36.250500000000002</v>
      </c>
      <c r="N17" s="18">
        <f>Test!D87</f>
        <v>43.976199999999999</v>
      </c>
      <c r="O17" s="18">
        <f>Test!E87</f>
        <v>41.640999999999998</v>
      </c>
      <c r="P17" s="18">
        <f>Test!F87</f>
        <v>151409.20000000001</v>
      </c>
      <c r="Q17" s="18">
        <f>Test!G87</f>
        <v>46.94</v>
      </c>
      <c r="R17" s="19">
        <f t="shared" si="4"/>
        <v>42.058111111111117</v>
      </c>
      <c r="S17" s="17">
        <f t="shared" si="5"/>
        <v>1.0284536404258742</v>
      </c>
      <c r="T17" s="18">
        <f t="shared" si="6"/>
        <v>1.02981505451833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Reference!B88</f>
        <v>2182.9160000000002</v>
      </c>
      <c r="E18" s="23">
        <f>Reference!C88</f>
        <v>34.794899999999998</v>
      </c>
      <c r="F18" s="23">
        <f>Reference!D88</f>
        <v>42.652200000000001</v>
      </c>
      <c r="G18" s="23">
        <f>Reference!E88</f>
        <v>40.493899999999996</v>
      </c>
      <c r="H18" s="23">
        <f>Reference!F88</f>
        <v>69696.057000000001</v>
      </c>
      <c r="I18" s="23">
        <f>Reference!G88</f>
        <v>38.531999999999996</v>
      </c>
      <c r="J18" s="24">
        <f t="shared" si="3"/>
        <v>19.360015833333332</v>
      </c>
      <c r="L18" s="22">
        <f>Test!B88</f>
        <v>2183.0239999999999</v>
      </c>
      <c r="M18" s="23">
        <f>Test!C88</f>
        <v>34.7971</v>
      </c>
      <c r="N18" s="23">
        <f>Test!D88</f>
        <v>42.657699999999998</v>
      </c>
      <c r="O18" s="23">
        <f>Test!E88</f>
        <v>40.460700000000003</v>
      </c>
      <c r="P18" s="23">
        <f>Test!F88</f>
        <v>70285.614000000001</v>
      </c>
      <c r="Q18" s="23">
        <f>Test!G88</f>
        <v>41.652999999999999</v>
      </c>
      <c r="R18" s="24">
        <f t="shared" si="4"/>
        <v>19.523781666666668</v>
      </c>
      <c r="S18" s="17">
        <f t="shared" si="5"/>
        <v>1.0084589720764261</v>
      </c>
      <c r="T18" s="18">
        <f t="shared" si="6"/>
        <v>1.0809976123741307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9781.7520000000004</v>
      </c>
      <c r="E19" s="13">
        <f>Reference!C89</f>
        <v>38.012</v>
      </c>
      <c r="F19" s="13">
        <f>Reference!D89</f>
        <v>39.847999999999999</v>
      </c>
      <c r="G19" s="13">
        <f>Reference!E89</f>
        <v>43.3386</v>
      </c>
      <c r="H19" s="13">
        <f>Reference!F89</f>
        <v>124434.876</v>
      </c>
      <c r="I19" s="13">
        <f>Reference!G89</f>
        <v>13.763</v>
      </c>
      <c r="J19" s="14">
        <f t="shared" si="3"/>
        <v>34.565243333333335</v>
      </c>
      <c r="L19" s="12">
        <f>Test!B89</f>
        <v>9788.44</v>
      </c>
      <c r="M19" s="13">
        <f>Test!C89</f>
        <v>38.012300000000003</v>
      </c>
      <c r="N19" s="13">
        <f>Test!D89</f>
        <v>39.848999999999997</v>
      </c>
      <c r="O19" s="13">
        <f>Test!E89</f>
        <v>43.378700000000002</v>
      </c>
      <c r="P19" s="13">
        <f>Test!F89</f>
        <v>128782.948</v>
      </c>
      <c r="Q19" s="13">
        <f>Test!G89</f>
        <v>14.526999999999999</v>
      </c>
      <c r="R19" s="14">
        <f t="shared" si="4"/>
        <v>35.773041111111112</v>
      </c>
      <c r="S19" s="12">
        <f t="shared" si="5"/>
        <v>1.0349425509935013</v>
      </c>
      <c r="T19" s="13">
        <f t="shared" si="6"/>
        <v>1.0555111530916224</v>
      </c>
      <c r="U19" s="90"/>
      <c r="V19" s="37">
        <f>bdrate($D19:$D22,E19:E22,$L19:$L22,M19:M22)</f>
        <v>-5.4199240193131271E-4</v>
      </c>
      <c r="W19" s="42">
        <f>bdrate($D19:$D22,F19:F22,$L19:$L22,N19:N22)</f>
        <v>-3.2523160748684221E-3</v>
      </c>
      <c r="X19" s="42">
        <f>bdrate($D19:$D22,G19:G22,$L19:$L22,O19:O22)</f>
        <v>-1.4974258994705725E-2</v>
      </c>
      <c r="Y19" s="40">
        <f>bdrateOld($D19:$D22,E19:E22,$L19:$L22,M19:M22)</f>
        <v>-3.7443228101707859E-4</v>
      </c>
      <c r="Z19" s="44">
        <f>bdrateOld($D19:$D22,F19:F22,$L19:$L22,N19:N22)</f>
        <v>-2.2528427675579943E-3</v>
      </c>
      <c r="AA19" s="45">
        <f>bdrateOld($D19:$D22,G19:G22,$L19:$L22,O19:O22)</f>
        <v>-1.4459443129212213E-2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4532.1080000000002</v>
      </c>
      <c r="E20" s="18">
        <f>Reference!C90</f>
        <v>36.913499999999999</v>
      </c>
      <c r="F20" s="18">
        <f>Reference!D90</f>
        <v>39.338799999999999</v>
      </c>
      <c r="G20" s="18">
        <f>Reference!E90</f>
        <v>42.215899999999998</v>
      </c>
      <c r="H20" s="18">
        <f>Reference!F90</f>
        <v>74338.59</v>
      </c>
      <c r="I20" s="18">
        <f>Reference!G90</f>
        <v>11.417</v>
      </c>
      <c r="J20" s="19">
        <f t="shared" si="3"/>
        <v>20.649608333333333</v>
      </c>
      <c r="L20" s="17">
        <f>Test!B90</f>
        <v>4531.7160000000003</v>
      </c>
      <c r="M20" s="18">
        <f>Test!C90</f>
        <v>36.915100000000002</v>
      </c>
      <c r="N20" s="18">
        <f>Test!D90</f>
        <v>39.344799999999999</v>
      </c>
      <c r="O20" s="18">
        <f>Test!E90</f>
        <v>42.2547</v>
      </c>
      <c r="P20" s="18">
        <f>Test!F90</f>
        <v>76543.202999999994</v>
      </c>
      <c r="Q20" s="18">
        <f>Test!G90</f>
        <v>12.085000000000001</v>
      </c>
      <c r="R20" s="19">
        <f t="shared" si="4"/>
        <v>21.262000833333332</v>
      </c>
      <c r="S20" s="17">
        <f t="shared" si="5"/>
        <v>1.0296563736277484</v>
      </c>
      <c r="T20" s="18">
        <f t="shared" si="6"/>
        <v>1.0585092406061138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2304.56</v>
      </c>
      <c r="E21" s="18">
        <f>Reference!C91</f>
        <v>35.357700000000001</v>
      </c>
      <c r="F21" s="18">
        <f>Reference!D91</f>
        <v>38.730699999999999</v>
      </c>
      <c r="G21" s="18">
        <f>Reference!E91</f>
        <v>40.947899999999997</v>
      </c>
      <c r="H21" s="18">
        <f>Reference!F91</f>
        <v>41865.974000000002</v>
      </c>
      <c r="I21" s="18">
        <f>Reference!G91</f>
        <v>9.4420000000000002</v>
      </c>
      <c r="J21" s="19">
        <f t="shared" si="3"/>
        <v>11.629437222222222</v>
      </c>
      <c r="L21" s="17">
        <f>Test!B91</f>
        <v>2306.2040000000002</v>
      </c>
      <c r="M21" s="18">
        <f>Test!C91</f>
        <v>35.361400000000003</v>
      </c>
      <c r="N21" s="18">
        <f>Test!D91</f>
        <v>38.733499999999999</v>
      </c>
      <c r="O21" s="18">
        <f>Test!E91</f>
        <v>40.9666</v>
      </c>
      <c r="P21" s="18">
        <f>Test!F91</f>
        <v>42195.961000000003</v>
      </c>
      <c r="Q21" s="18">
        <f>Test!G91</f>
        <v>9.6470000000000002</v>
      </c>
      <c r="R21" s="19">
        <f t="shared" si="4"/>
        <v>11.721100277777779</v>
      </c>
      <c r="S21" s="17">
        <f t="shared" si="5"/>
        <v>1.0078819854997283</v>
      </c>
      <c r="T21" s="18">
        <f t="shared" si="6"/>
        <v>1.0217115018004661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Reference!B92</f>
        <v>1105.568</v>
      </c>
      <c r="E22" s="23">
        <f>Reference!C92</f>
        <v>33.171900000000001</v>
      </c>
      <c r="F22" s="23">
        <f>Reference!D92</f>
        <v>37.732700000000001</v>
      </c>
      <c r="G22" s="23">
        <f>Reference!E92</f>
        <v>39.2316</v>
      </c>
      <c r="H22" s="23">
        <f>Reference!F92</f>
        <v>22232.024000000001</v>
      </c>
      <c r="I22" s="23">
        <f>Reference!G92</f>
        <v>8.5180000000000007</v>
      </c>
      <c r="J22" s="24">
        <f t="shared" si="3"/>
        <v>6.1755622222222222</v>
      </c>
      <c r="L22" s="22">
        <f>Test!B92</f>
        <v>1105.5719999999999</v>
      </c>
      <c r="M22" s="23">
        <f>Test!C92</f>
        <v>33.171500000000002</v>
      </c>
      <c r="N22" s="23">
        <f>Test!D92</f>
        <v>37.735300000000002</v>
      </c>
      <c r="O22" s="23">
        <f>Test!E92</f>
        <v>39.255299999999998</v>
      </c>
      <c r="P22" s="23">
        <f>Test!F92</f>
        <v>22145.241000000002</v>
      </c>
      <c r="Q22" s="23">
        <f>Test!G92</f>
        <v>8.2769999999999992</v>
      </c>
      <c r="R22" s="24">
        <f t="shared" si="4"/>
        <v>6.1514558333333342</v>
      </c>
      <c r="S22" s="17">
        <f t="shared" si="5"/>
        <v>0.99609648676161922</v>
      </c>
      <c r="T22" s="18">
        <f t="shared" si="6"/>
        <v>0.9717069734679501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8565.348</v>
      </c>
      <c r="E23" s="13">
        <f>Reference!C93</f>
        <v>38.948999999999998</v>
      </c>
      <c r="F23" s="13">
        <f>Reference!D93</f>
        <v>44.053800000000003</v>
      </c>
      <c r="G23" s="13">
        <f>Reference!E93</f>
        <v>45.1997</v>
      </c>
      <c r="H23" s="13">
        <f>Reference!F93</f>
        <v>132363.36499999999</v>
      </c>
      <c r="I23" s="13">
        <f>Reference!G93</f>
        <v>14.393000000000001</v>
      </c>
      <c r="J23" s="14">
        <f t="shared" si="3"/>
        <v>36.767601388888885</v>
      </c>
      <c r="L23" s="12">
        <f>Test!B93</f>
        <v>8559.2960000000003</v>
      </c>
      <c r="M23" s="13">
        <f>Test!C93</f>
        <v>38.9482</v>
      </c>
      <c r="N23" s="13">
        <f>Test!D93</f>
        <v>44.065300000000001</v>
      </c>
      <c r="O23" s="13">
        <f>Test!E93</f>
        <v>45.2104</v>
      </c>
      <c r="P23" s="13">
        <f>Test!F93</f>
        <v>137517.29699999999</v>
      </c>
      <c r="Q23" s="13">
        <f>Test!G93</f>
        <v>15.548</v>
      </c>
      <c r="R23" s="14">
        <f t="shared" si="4"/>
        <v>38.199249166666661</v>
      </c>
      <c r="S23" s="17">
        <f t="shared" si="5"/>
        <v>1.0389377529046651</v>
      </c>
      <c r="T23" s="18">
        <f t="shared" si="6"/>
        <v>1.0802473424581394</v>
      </c>
      <c r="U23" s="91"/>
      <c r="V23" s="37">
        <f>bdrate($D23:$D26,E23:E26,$L23:$L26,M23:M26)</f>
        <v>4.0837264730919642E-5</v>
      </c>
      <c r="W23" s="42">
        <f>bdrate($D23:$D26,F23:F26,$L23:$L26,N23:N26)</f>
        <v>-2.8919985130825276E-3</v>
      </c>
      <c r="X23" s="42">
        <f>bdrate($D23:$D26,G23:G26,$L23:$L26,O23:O26)</f>
        <v>-9.6387197009106806E-5</v>
      </c>
      <c r="Y23" s="40">
        <f>bdrateOld($D23:$D26,E23:E26,$L23:$L26,M23:M26)</f>
        <v>-6.2658863044684487E-5</v>
      </c>
      <c r="Z23" s="44">
        <f>bdrateOld($D23:$D26,F23:F26,$L23:$L26,N23:N26)</f>
        <v>-3.5601416358563842E-3</v>
      </c>
      <c r="AA23" s="45">
        <f>bdrateOld($D23:$D26,G23:G26,$L23:$L26,O23:O26)</f>
        <v>2.6013298444005351E-4</v>
      </c>
    </row>
    <row r="24" spans="1:27" x14ac:dyDescent="0.2">
      <c r="A24" s="34"/>
      <c r="B24" s="85"/>
      <c r="C24" s="16">
        <v>32</v>
      </c>
      <c r="D24" s="17">
        <f>Reference!B94</f>
        <v>4284.38</v>
      </c>
      <c r="E24" s="18">
        <f>Reference!C94</f>
        <v>37.918300000000002</v>
      </c>
      <c r="F24" s="18">
        <f>Reference!D94</f>
        <v>43.215200000000003</v>
      </c>
      <c r="G24" s="18">
        <f>Reference!E94</f>
        <v>43.777099999999997</v>
      </c>
      <c r="H24" s="18">
        <f>Reference!F94</f>
        <v>79840.28</v>
      </c>
      <c r="I24" s="18">
        <f>Reference!G94</f>
        <v>12.301</v>
      </c>
      <c r="J24" s="19">
        <f t="shared" si="3"/>
        <v>22.177855555555556</v>
      </c>
      <c r="L24" s="17">
        <f>Test!B94</f>
        <v>4282.7280000000001</v>
      </c>
      <c r="M24" s="18">
        <f>Test!C94</f>
        <v>37.9163</v>
      </c>
      <c r="N24" s="18">
        <f>Test!D94</f>
        <v>43.212899999999998</v>
      </c>
      <c r="O24" s="18">
        <f>Test!E94</f>
        <v>43.786099999999998</v>
      </c>
      <c r="P24" s="18">
        <f>Test!F94</f>
        <v>81858.97</v>
      </c>
      <c r="Q24" s="18">
        <f>Test!G94</f>
        <v>12.869</v>
      </c>
      <c r="R24" s="19">
        <f t="shared" si="4"/>
        <v>22.738602777777778</v>
      </c>
      <c r="S24" s="17">
        <f t="shared" si="5"/>
        <v>1.0252841047150636</v>
      </c>
      <c r="T24" s="18">
        <f t="shared" si="6"/>
        <v>1.0461751077148198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2189.2640000000001</v>
      </c>
      <c r="E25" s="18">
        <f>Reference!C95</f>
        <v>36.4221</v>
      </c>
      <c r="F25" s="18">
        <f>Reference!D95</f>
        <v>42.198500000000003</v>
      </c>
      <c r="G25" s="18">
        <f>Reference!E95</f>
        <v>42.213500000000003</v>
      </c>
      <c r="H25" s="18">
        <f>Reference!F95</f>
        <v>44208.983999999997</v>
      </c>
      <c r="I25" s="18">
        <f>Reference!G95</f>
        <v>10.590999999999999</v>
      </c>
      <c r="J25" s="19">
        <f t="shared" si="3"/>
        <v>12.280273333333332</v>
      </c>
      <c r="L25" s="17">
        <f>Test!B95</f>
        <v>2188.0520000000001</v>
      </c>
      <c r="M25" s="18">
        <f>Test!C95</f>
        <v>36.422699999999999</v>
      </c>
      <c r="N25" s="18">
        <f>Test!D95</f>
        <v>42.204599999999999</v>
      </c>
      <c r="O25" s="18">
        <f>Test!E95</f>
        <v>42.197699999999998</v>
      </c>
      <c r="P25" s="18">
        <f>Test!F95</f>
        <v>44089.815000000002</v>
      </c>
      <c r="Q25" s="18">
        <f>Test!G95</f>
        <v>10.842000000000001</v>
      </c>
      <c r="R25" s="19">
        <f t="shared" si="4"/>
        <v>12.247170833333334</v>
      </c>
      <c r="S25" s="17">
        <f t="shared" si="5"/>
        <v>0.99730441667693615</v>
      </c>
      <c r="T25" s="18">
        <f t="shared" si="6"/>
        <v>1.0236993673874044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Reference!B96</f>
        <v>1081.1600000000001</v>
      </c>
      <c r="E26" s="23">
        <f>Reference!C96</f>
        <v>34.3611</v>
      </c>
      <c r="F26" s="23">
        <f>Reference!D96</f>
        <v>40.853900000000003</v>
      </c>
      <c r="G26" s="23">
        <f>Reference!E96</f>
        <v>40.288899999999998</v>
      </c>
      <c r="H26" s="23">
        <f>Reference!F96</f>
        <v>23332.31</v>
      </c>
      <c r="I26" s="23">
        <f>Reference!G96</f>
        <v>8.7729999999999997</v>
      </c>
      <c r="J26" s="24">
        <f t="shared" si="3"/>
        <v>6.4811972222222227</v>
      </c>
      <c r="L26" s="22">
        <f>Test!B96</f>
        <v>1080.712</v>
      </c>
      <c r="M26" s="23">
        <f>Test!C96</f>
        <v>34.3551</v>
      </c>
      <c r="N26" s="23">
        <f>Test!D96</f>
        <v>40.857999999999997</v>
      </c>
      <c r="O26" s="23">
        <f>Test!E96</f>
        <v>40.295299999999997</v>
      </c>
      <c r="P26" s="23">
        <f>Test!F96</f>
        <v>23288.387999999999</v>
      </c>
      <c r="Q26" s="23">
        <f>Test!G96</f>
        <v>8.8049999999999997</v>
      </c>
      <c r="R26" s="24">
        <f t="shared" si="4"/>
        <v>6.4689966666666665</v>
      </c>
      <c r="S26" s="17">
        <f t="shared" si="5"/>
        <v>0.99811754601237501</v>
      </c>
      <c r="T26" s="18">
        <f t="shared" si="6"/>
        <v>1.0036475549982902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6755.7120000000004</v>
      </c>
      <c r="E27" s="13">
        <f>Reference!C97</f>
        <v>39.703600000000002</v>
      </c>
      <c r="F27" s="13">
        <f>Reference!D97</f>
        <v>43.906799999999997</v>
      </c>
      <c r="G27" s="13">
        <f>Reference!E97</f>
        <v>45.051600000000001</v>
      </c>
      <c r="H27" s="13">
        <f>Reference!F97</f>
        <v>121321.927</v>
      </c>
      <c r="I27" s="13">
        <f>Reference!G97</f>
        <v>14.707000000000001</v>
      </c>
      <c r="J27" s="14">
        <f>H27/3600</f>
        <v>33.700535277777774</v>
      </c>
      <c r="L27" s="12">
        <f>Test!B97</f>
        <v>6758</v>
      </c>
      <c r="M27" s="13">
        <f>Test!C97</f>
        <v>39.703499999999998</v>
      </c>
      <c r="N27" s="13">
        <f>Test!D97</f>
        <v>43.9101</v>
      </c>
      <c r="O27" s="13">
        <f>Test!E97</f>
        <v>45.056800000000003</v>
      </c>
      <c r="P27" s="13">
        <f>Test!F97</f>
        <v>125111.507</v>
      </c>
      <c r="Q27" s="13">
        <f>Test!G97</f>
        <v>15.554</v>
      </c>
      <c r="R27" s="14">
        <f>P27/3600</f>
        <v>34.753196388888888</v>
      </c>
      <c r="S27" s="17">
        <f t="shared" si="2"/>
        <v>1.0312357386146693</v>
      </c>
      <c r="T27" s="18">
        <f t="shared" si="2"/>
        <v>1.0575916230366491</v>
      </c>
      <c r="U27" s="91"/>
      <c r="V27" s="37">
        <f>bdrate($D27:$D30,E27:E30,$L27:$L30,M27:M30)</f>
        <v>-3.1506934322800273E-4</v>
      </c>
      <c r="W27" s="42">
        <f>bdrate($D27:$D30,F27:F30,$L27:$L30,N27:N30)</f>
        <v>8.4587322373477214E-3</v>
      </c>
      <c r="X27" s="43">
        <f>bdrate($D27:$D30,G27:G30,$L27:$L30,O27:O30)</f>
        <v>-1.5138417597790887E-3</v>
      </c>
      <c r="Y27" s="37">
        <f>bdrateOld($D27:$D30,E27:E30,$L27:$L30,M27:M30)</f>
        <v>-3.1844485961385338E-4</v>
      </c>
      <c r="Z27" s="42">
        <f>bdrateOld($D27:$D30,F27:F30,$L27:$L30,N27:N30)</f>
        <v>8.0097260228833012E-3</v>
      </c>
      <c r="AA27" s="43">
        <f>bdrateOld($D27:$D30,G27:G30,$L27:$L30,O27:O30)</f>
        <v>-8.3923652124784365E-4</v>
      </c>
    </row>
    <row r="28" spans="1:27" x14ac:dyDescent="0.2">
      <c r="A28" s="16"/>
      <c r="B28" s="85"/>
      <c r="C28" s="16">
        <v>48</v>
      </c>
      <c r="D28" s="17">
        <f>Reference!B98</f>
        <v>3211.56</v>
      </c>
      <c r="E28" s="18">
        <f>Reference!C98</f>
        <v>38.563099999999999</v>
      </c>
      <c r="F28" s="18">
        <f>Reference!D98</f>
        <v>43.155700000000003</v>
      </c>
      <c r="G28" s="18">
        <f>Reference!E98</f>
        <v>44.366199999999999</v>
      </c>
      <c r="H28" s="18">
        <f>Reference!F98</f>
        <v>70784.543000000005</v>
      </c>
      <c r="I28" s="18">
        <f>Reference!G98</f>
        <v>12.127000000000001</v>
      </c>
      <c r="J28" s="19">
        <f t="shared" ref="J28:J46" si="7">H28/3600</f>
        <v>19.662373055555555</v>
      </c>
      <c r="L28" s="17">
        <f>Test!B98</f>
        <v>3216.38</v>
      </c>
      <c r="M28" s="18">
        <f>Test!C98</f>
        <v>38.565399999999997</v>
      </c>
      <c r="N28" s="18">
        <f>Test!D98</f>
        <v>43.149099999999997</v>
      </c>
      <c r="O28" s="18">
        <f>Test!E98</f>
        <v>44.365200000000002</v>
      </c>
      <c r="P28" s="18">
        <f>Test!F98</f>
        <v>71546.178</v>
      </c>
      <c r="Q28" s="18">
        <f>Test!G98</f>
        <v>12.847</v>
      </c>
      <c r="R28" s="19">
        <f t="shared" ref="R28:R46" si="8">P28/3600</f>
        <v>19.873938333333335</v>
      </c>
      <c r="S28" s="17">
        <f t="shared" si="2"/>
        <v>1.0107599055912531</v>
      </c>
      <c r="T28" s="18">
        <f t="shared" si="2"/>
        <v>1.0593716500371071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1547.5119999999999</v>
      </c>
      <c r="E29" s="18">
        <f>Reference!C99</f>
        <v>36.8949</v>
      </c>
      <c r="F29" s="18">
        <f>Reference!D99</f>
        <v>42.282600000000002</v>
      </c>
      <c r="G29" s="18">
        <f>Reference!E99</f>
        <v>43.517299999999999</v>
      </c>
      <c r="H29" s="18">
        <f>Reference!F99</f>
        <v>37250.368000000002</v>
      </c>
      <c r="I29" s="18">
        <f>Reference!G99</f>
        <v>10.609</v>
      </c>
      <c r="J29" s="19">
        <f t="shared" si="7"/>
        <v>10.347324444444444</v>
      </c>
      <c r="L29" s="17">
        <f>Test!B99</f>
        <v>1545.1559999999999</v>
      </c>
      <c r="M29" s="18">
        <f>Test!C99</f>
        <v>36.892400000000002</v>
      </c>
      <c r="N29" s="18">
        <f>Test!D99</f>
        <v>42.268500000000003</v>
      </c>
      <c r="O29" s="18">
        <f>Test!E99</f>
        <v>43.508200000000002</v>
      </c>
      <c r="P29" s="18">
        <f>Test!F99</f>
        <v>36942.964</v>
      </c>
      <c r="Q29" s="18">
        <f>Test!G99</f>
        <v>10.641999999999999</v>
      </c>
      <c r="R29" s="19">
        <f t="shared" si="8"/>
        <v>10.261934444444444</v>
      </c>
      <c r="S29" s="17">
        <f t="shared" si="2"/>
        <v>0.99174762515097836</v>
      </c>
      <c r="T29" s="18">
        <f t="shared" si="2"/>
        <v>1.0031105665001414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Reference!B100</f>
        <v>696.76800000000003</v>
      </c>
      <c r="E30" s="23">
        <f>Reference!C100</f>
        <v>34.6554</v>
      </c>
      <c r="F30" s="23">
        <f>Reference!D100</f>
        <v>41.0381</v>
      </c>
      <c r="G30" s="23">
        <f>Reference!E100</f>
        <v>42.122799999999998</v>
      </c>
      <c r="H30" s="23">
        <f>Reference!F100</f>
        <v>18563.206999999999</v>
      </c>
      <c r="I30" s="23">
        <f>Reference!G100</f>
        <v>9.07</v>
      </c>
      <c r="J30" s="24">
        <f t="shared" si="7"/>
        <v>5.1564463888888881</v>
      </c>
      <c r="L30" s="22">
        <f>Test!B100</f>
        <v>694.976</v>
      </c>
      <c r="M30" s="23">
        <f>Test!C100</f>
        <v>34.650100000000002</v>
      </c>
      <c r="N30" s="23">
        <f>Test!D100</f>
        <v>41.005299999999998</v>
      </c>
      <c r="O30" s="23">
        <f>Test!E100</f>
        <v>42.1678</v>
      </c>
      <c r="P30" s="23">
        <f>Test!F100</f>
        <v>18606.607</v>
      </c>
      <c r="Q30" s="23">
        <f>Test!G100</f>
        <v>9.1010000000000009</v>
      </c>
      <c r="R30" s="24">
        <f t="shared" si="8"/>
        <v>5.1685019444444444</v>
      </c>
      <c r="S30" s="17">
        <f t="shared" si="2"/>
        <v>1.0023379580909699</v>
      </c>
      <c r="T30" s="18">
        <f t="shared" si="2"/>
        <v>1.0034178610804851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5574.692</v>
      </c>
      <c r="E31" s="13">
        <f>Reference!C101</f>
        <v>44.89</v>
      </c>
      <c r="F31" s="13">
        <f>Reference!D101</f>
        <v>47.7117</v>
      </c>
      <c r="G31" s="13">
        <f>Reference!E101</f>
        <v>48.503399999999999</v>
      </c>
      <c r="H31" s="13">
        <f>Reference!F101</f>
        <v>90825.395000000004</v>
      </c>
      <c r="I31" s="13">
        <f>Reference!G101</f>
        <v>14.346</v>
      </c>
      <c r="J31" s="14">
        <f t="shared" si="7"/>
        <v>25.229276388888891</v>
      </c>
      <c r="L31" s="12">
        <f>Test!B101</f>
        <v>5578.9639999999999</v>
      </c>
      <c r="M31" s="13">
        <f>Test!C101</f>
        <v>44.893599999999999</v>
      </c>
      <c r="N31" s="13">
        <f>Test!D101</f>
        <v>47.720399999999998</v>
      </c>
      <c r="O31" s="13">
        <f>Test!E101</f>
        <v>48.498699999999999</v>
      </c>
      <c r="P31" s="13">
        <f>Test!F101</f>
        <v>92078.251000000004</v>
      </c>
      <c r="Q31" s="13">
        <f>Test!G101</f>
        <v>15.134</v>
      </c>
      <c r="R31" s="14">
        <f t="shared" si="8"/>
        <v>25.577291944444447</v>
      </c>
      <c r="S31" s="17">
        <f t="shared" si="2"/>
        <v>1.0137941156215176</v>
      </c>
      <c r="T31" s="18">
        <f t="shared" si="2"/>
        <v>1.0549282029834099</v>
      </c>
      <c r="U31" s="91"/>
      <c r="V31" s="37">
        <f>bdrate($D31:$D34,E31:E34,$L31:$L34,M31:M34)</f>
        <v>4.5230026468634499E-4</v>
      </c>
      <c r="W31" s="42">
        <f>bdrate($D31:$D34,F31:F34,$L31:$L34,N31:N34)</f>
        <v>1.3645876619428066E-3</v>
      </c>
      <c r="X31" s="42">
        <f>bdrate($D31:$D34,G31:G34,$L31:$L34,O31:O34)</f>
        <v>4.5643709176141911E-3</v>
      </c>
      <c r="Y31" s="40">
        <f>bdrateOld($D31:$D34,E31:E34,$L31:$L34,M31:M34)</f>
        <v>5.0803968494639307E-4</v>
      </c>
      <c r="Z31" s="44">
        <f>bdrateOld($D31:$D34,F31:F34,$L31:$L34,N31:N34)</f>
        <v>1.5509280364081057E-3</v>
      </c>
      <c r="AA31" s="45">
        <f>bdrateOld($D31:$D34,G31:G34,$L31:$L34,O31:O34)</f>
        <v>4.6595385214669438E-3</v>
      </c>
    </row>
    <row r="32" spans="1:27" x14ac:dyDescent="0.2">
      <c r="A32" s="16"/>
      <c r="B32" s="85"/>
      <c r="C32" s="16">
        <v>48</v>
      </c>
      <c r="D32" s="17">
        <f>Reference!B102</f>
        <v>3417.96</v>
      </c>
      <c r="E32" s="18">
        <f>Reference!C102</f>
        <v>42.640500000000003</v>
      </c>
      <c r="F32" s="18">
        <f>Reference!D102</f>
        <v>46.157200000000003</v>
      </c>
      <c r="G32" s="18">
        <f>Reference!E102</f>
        <v>46.734999999999999</v>
      </c>
      <c r="H32" s="18">
        <f>Reference!F102</f>
        <v>61710.362999999998</v>
      </c>
      <c r="I32" s="18">
        <f>Reference!G102</f>
        <v>13.250999999999999</v>
      </c>
      <c r="J32" s="19">
        <f t="shared" si="7"/>
        <v>17.1417675</v>
      </c>
      <c r="L32" s="17">
        <f>Test!B102</f>
        <v>3419.8040000000001</v>
      </c>
      <c r="M32" s="18">
        <f>Test!C102</f>
        <v>42.644300000000001</v>
      </c>
      <c r="N32" s="18">
        <f>Test!D102</f>
        <v>46.155700000000003</v>
      </c>
      <c r="O32" s="18">
        <f>Test!E102</f>
        <v>46.720700000000001</v>
      </c>
      <c r="P32" s="18">
        <f>Test!F102</f>
        <v>62011.788999999997</v>
      </c>
      <c r="Q32" s="18">
        <f>Test!G102</f>
        <v>13.676</v>
      </c>
      <c r="R32" s="19">
        <f t="shared" si="8"/>
        <v>17.225496944444444</v>
      </c>
      <c r="S32" s="17">
        <f t="shared" si="2"/>
        <v>1.0048845280654077</v>
      </c>
      <c r="T32" s="18">
        <f t="shared" si="2"/>
        <v>1.0320730510904839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1907.6959999999999</v>
      </c>
      <c r="E33" s="18">
        <f>Reference!C103</f>
        <v>39.826599999999999</v>
      </c>
      <c r="F33" s="18">
        <f>Reference!D103</f>
        <v>44.621600000000001</v>
      </c>
      <c r="G33" s="18">
        <f>Reference!E103</f>
        <v>44.933599999999998</v>
      </c>
      <c r="H33" s="18">
        <f>Reference!F103</f>
        <v>38024.245000000003</v>
      </c>
      <c r="I33" s="18">
        <f>Reference!G103</f>
        <v>11.409000000000001</v>
      </c>
      <c r="J33" s="19">
        <f t="shared" si="7"/>
        <v>10.562290277777779</v>
      </c>
      <c r="L33" s="17">
        <f>Test!B103</f>
        <v>1909.876</v>
      </c>
      <c r="M33" s="18">
        <f>Test!C103</f>
        <v>39.826700000000002</v>
      </c>
      <c r="N33" s="18">
        <f>Test!D103</f>
        <v>44.613399999999999</v>
      </c>
      <c r="O33" s="18">
        <f>Test!E103</f>
        <v>44.916699999999999</v>
      </c>
      <c r="P33" s="18">
        <f>Test!F103</f>
        <v>38185.578000000001</v>
      </c>
      <c r="Q33" s="18">
        <f>Test!G103</f>
        <v>11.49</v>
      </c>
      <c r="R33" s="19">
        <f t="shared" si="8"/>
        <v>10.607105000000001</v>
      </c>
      <c r="S33" s="150">
        <f t="shared" si="2"/>
        <v>1.0042428981824623</v>
      </c>
      <c r="T33" s="151">
        <f t="shared" si="2"/>
        <v>1.0070996581646068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Reference!B104</f>
        <v>973.41600000000005</v>
      </c>
      <c r="E34" s="23">
        <f>Reference!C104</f>
        <v>36.646099999999997</v>
      </c>
      <c r="F34" s="23">
        <f>Reference!D104</f>
        <v>42.764400000000002</v>
      </c>
      <c r="G34" s="23">
        <f>Reference!E104</f>
        <v>42.862400000000001</v>
      </c>
      <c r="H34" s="23">
        <f>Reference!F104</f>
        <v>21343.89</v>
      </c>
      <c r="I34" s="23">
        <f>Reference!G104</f>
        <v>9.5180000000000007</v>
      </c>
      <c r="J34" s="24">
        <f t="shared" si="7"/>
        <v>5.9288583333333333</v>
      </c>
      <c r="L34" s="22">
        <f>Test!B104</f>
        <v>972.35199999999998</v>
      </c>
      <c r="M34" s="23">
        <f>Test!C104</f>
        <v>36.639099999999999</v>
      </c>
      <c r="N34" s="23">
        <f>Test!D104</f>
        <v>42.770800000000001</v>
      </c>
      <c r="O34" s="23">
        <f>Test!E104</f>
        <v>42.859099999999998</v>
      </c>
      <c r="P34" s="23">
        <f>Test!F104</f>
        <v>21241.125</v>
      </c>
      <c r="Q34" s="23">
        <f>Test!G104</f>
        <v>9.5259999999999998</v>
      </c>
      <c r="R34" s="24">
        <f t="shared" si="8"/>
        <v>5.9003125000000001</v>
      </c>
      <c r="S34" s="17">
        <f t="shared" si="2"/>
        <v>0.99518527316248351</v>
      </c>
      <c r="T34" s="18">
        <f t="shared" si="2"/>
        <v>1.0008405127127546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4102.66</v>
      </c>
      <c r="E35" s="13">
        <f>Reference!C105</f>
        <v>38.6004</v>
      </c>
      <c r="F35" s="13">
        <f>Reference!D105</f>
        <v>46.257199999999997</v>
      </c>
      <c r="G35" s="13">
        <f>Reference!E105</f>
        <v>46.464500000000001</v>
      </c>
      <c r="H35" s="13">
        <f>Reference!F105</f>
        <v>58116.322</v>
      </c>
      <c r="I35" s="13">
        <f>Reference!G105</f>
        <v>6.0570000000000004</v>
      </c>
      <c r="J35" s="14">
        <f t="shared" si="7"/>
        <v>16.143422777777779</v>
      </c>
      <c r="L35" s="12">
        <f>Test!B105</f>
        <v>4098.5839999999998</v>
      </c>
      <c r="M35" s="13">
        <f>Test!C105</f>
        <v>38.601900000000001</v>
      </c>
      <c r="N35" s="13">
        <f>Test!D105</f>
        <v>46.251100000000001</v>
      </c>
      <c r="O35" s="13">
        <f>Test!E105</f>
        <v>46.4771</v>
      </c>
      <c r="P35" s="13">
        <f>Test!F105</f>
        <v>58070.048999999999</v>
      </c>
      <c r="Q35" s="13">
        <f>Test!G105</f>
        <v>7.5419999999999998</v>
      </c>
      <c r="R35" s="14">
        <f t="shared" si="8"/>
        <v>16.130569166666668</v>
      </c>
      <c r="S35" s="12">
        <f t="shared" si="2"/>
        <v>0.99920378650252506</v>
      </c>
      <c r="T35" s="13">
        <f t="shared" si="2"/>
        <v>1.2451708766716194</v>
      </c>
      <c r="U35" s="90"/>
      <c r="V35" s="37">
        <f>bdrate($D35:$D38,E35:E38,$L35:$L38,M35:M38)</f>
        <v>1.3641659599183953E-4</v>
      </c>
      <c r="W35" s="42">
        <f>bdrate($D35:$D38,F35:F38,$L35:$L38,N35:N38)</f>
        <v>-1.2269808345157784E-3</v>
      </c>
      <c r="X35" s="42">
        <f>bdrate($D35:$D38,G35:G38,$L35:$L38,O35:O38)</f>
        <v>8.3052236906944188E-4</v>
      </c>
      <c r="Y35" s="40">
        <f>bdrateOld($D35:$D38,E35:E38,$L35:$L38,M35:M38)</f>
        <v>3.3485686050771513E-4</v>
      </c>
      <c r="Z35" s="44">
        <f>bdrateOld($D35:$D38,F35:F38,$L35:$L38,N35:N38)</f>
        <v>-1.153079888399966E-3</v>
      </c>
      <c r="AA35" s="45">
        <f>bdrateOld($D35:$D38,G35:G38,$L35:$L38,O35:O38)</f>
        <v>-1.1581764897350411E-4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1789.0039999999999</v>
      </c>
      <c r="E36" s="18">
        <f>Reference!C106</f>
        <v>37.098399999999998</v>
      </c>
      <c r="F36" s="18">
        <f>Reference!D106</f>
        <v>45.177999999999997</v>
      </c>
      <c r="G36" s="18">
        <f>Reference!E106</f>
        <v>45.4056</v>
      </c>
      <c r="H36" s="18">
        <f>Reference!F106</f>
        <v>30956.228999999999</v>
      </c>
      <c r="I36" s="18">
        <f>Reference!G106</f>
        <v>4.649</v>
      </c>
      <c r="J36" s="19">
        <f t="shared" si="7"/>
        <v>8.5989524999999993</v>
      </c>
      <c r="L36" s="17">
        <f>Test!B106</f>
        <v>1786.4159999999999</v>
      </c>
      <c r="M36" s="18">
        <f>Test!C106</f>
        <v>37.098399999999998</v>
      </c>
      <c r="N36" s="18">
        <f>Test!D106</f>
        <v>45.173900000000003</v>
      </c>
      <c r="O36" s="18">
        <f>Test!E106</f>
        <v>45.401400000000002</v>
      </c>
      <c r="P36" s="18">
        <f>Test!F106</f>
        <v>31235.584999999999</v>
      </c>
      <c r="Q36" s="18">
        <f>Test!G106</f>
        <v>4.7430000000000003</v>
      </c>
      <c r="R36" s="19">
        <f t="shared" si="8"/>
        <v>8.676551388888889</v>
      </c>
      <c r="S36" s="17">
        <f t="shared" si="2"/>
        <v>1.0090242257866744</v>
      </c>
      <c r="T36" s="18">
        <f t="shared" si="2"/>
        <v>1.0202194020219402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843.17600000000004</v>
      </c>
      <c r="E37" s="18">
        <f>Reference!C107</f>
        <v>35.145099999999999</v>
      </c>
      <c r="F37" s="18">
        <f>Reference!D107</f>
        <v>43.882199999999997</v>
      </c>
      <c r="G37" s="18">
        <f>Reference!E107</f>
        <v>44.161299999999997</v>
      </c>
      <c r="H37" s="18">
        <f>Reference!F107</f>
        <v>16676.396000000001</v>
      </c>
      <c r="I37" s="18">
        <f>Reference!G107</f>
        <v>4.0309999999999997</v>
      </c>
      <c r="J37" s="19">
        <f t="shared" si="7"/>
        <v>4.6323322222222227</v>
      </c>
      <c r="L37" s="17">
        <f>Test!B107</f>
        <v>845.09199999999998</v>
      </c>
      <c r="M37" s="18">
        <f>Test!C107</f>
        <v>35.1477</v>
      </c>
      <c r="N37" s="18">
        <f>Test!D107</f>
        <v>43.887999999999998</v>
      </c>
      <c r="O37" s="18">
        <f>Test!E107</f>
        <v>44.170400000000001</v>
      </c>
      <c r="P37" s="18">
        <f>Test!F107</f>
        <v>16753.594000000001</v>
      </c>
      <c r="Q37" s="18">
        <f>Test!G107</f>
        <v>3.8540000000000001</v>
      </c>
      <c r="R37" s="19">
        <f t="shared" si="8"/>
        <v>4.6537761111111111</v>
      </c>
      <c r="S37" s="17">
        <f t="shared" si="2"/>
        <v>1.0046291776712426</v>
      </c>
      <c r="T37" s="18">
        <f t="shared" si="2"/>
        <v>0.95609030017365426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Reference!B108</f>
        <v>400.12400000000002</v>
      </c>
      <c r="E38" s="23">
        <f>Reference!C108</f>
        <v>32.464799999999997</v>
      </c>
      <c r="F38" s="23">
        <f>Reference!D108</f>
        <v>42.1798</v>
      </c>
      <c r="G38" s="23">
        <f>Reference!E108</f>
        <v>42.490299999999998</v>
      </c>
      <c r="H38" s="23">
        <f>Reference!F108</f>
        <v>8247.9560000000001</v>
      </c>
      <c r="I38" s="23">
        <f>Reference!G108</f>
        <v>3.4809999999999999</v>
      </c>
      <c r="J38" s="24">
        <f t="shared" si="7"/>
        <v>2.291098888888889</v>
      </c>
      <c r="L38" s="22">
        <f>Test!B108</f>
        <v>400.16399999999999</v>
      </c>
      <c r="M38" s="23">
        <f>Test!C108</f>
        <v>32.463700000000003</v>
      </c>
      <c r="N38" s="23">
        <f>Test!D108</f>
        <v>42.209000000000003</v>
      </c>
      <c r="O38" s="23">
        <f>Test!E108</f>
        <v>42.444499999999998</v>
      </c>
      <c r="P38" s="23">
        <f>Test!F108</f>
        <v>8354.9930000000004</v>
      </c>
      <c r="Q38" s="23">
        <f>Test!G108</f>
        <v>3.3250000000000002</v>
      </c>
      <c r="R38" s="24">
        <f t="shared" si="8"/>
        <v>2.3208313888888892</v>
      </c>
      <c r="S38" s="17">
        <f t="shared" si="2"/>
        <v>1.0129773970666187</v>
      </c>
      <c r="T38" s="18">
        <f t="shared" si="2"/>
        <v>0.95518529158287857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2431.5239999999999</v>
      </c>
      <c r="E39" s="13">
        <f>Reference!C109</f>
        <v>40.653500000000001</v>
      </c>
      <c r="F39" s="13">
        <f>Reference!D109</f>
        <v>46.150300000000001</v>
      </c>
      <c r="G39" s="13">
        <f>Reference!E109</f>
        <v>47.316299999999998</v>
      </c>
      <c r="H39" s="13">
        <f>Reference!F109</f>
        <v>45885.387000000002</v>
      </c>
      <c r="I39" s="13">
        <f>Reference!G109</f>
        <v>5.8810000000000002</v>
      </c>
      <c r="J39" s="14">
        <f t="shared" si="7"/>
        <v>12.745940833333334</v>
      </c>
      <c r="L39" s="12">
        <f>Test!B109</f>
        <v>2432.4079999999999</v>
      </c>
      <c r="M39" s="13">
        <f>Test!C109</f>
        <v>40.6524</v>
      </c>
      <c r="N39" s="13">
        <f>Test!D109</f>
        <v>46.141100000000002</v>
      </c>
      <c r="O39" s="13">
        <f>Test!E109</f>
        <v>47.3247</v>
      </c>
      <c r="P39" s="13">
        <f>Test!F109</f>
        <v>45586.758000000002</v>
      </c>
      <c r="Q39" s="13">
        <f>Test!G109</f>
        <v>5.9980000000000002</v>
      </c>
      <c r="R39" s="14">
        <f t="shared" si="8"/>
        <v>12.662988333333335</v>
      </c>
      <c r="S39" s="17">
        <f t="shared" si="2"/>
        <v>0.99349184959473047</v>
      </c>
      <c r="T39" s="18">
        <f t="shared" si="2"/>
        <v>1.0198945757524231</v>
      </c>
      <c r="U39" s="91"/>
      <c r="V39" s="37">
        <f>bdrate($D39:$D42,E39:E42,$L39:$L42,M39:M42)</f>
        <v>-1.8565465747255594E-4</v>
      </c>
      <c r="W39" s="42">
        <f>bdrate($D39:$D42,F39:F42,$L39:$L42,N39:N42)</f>
        <v>2.9033608210515816E-3</v>
      </c>
      <c r="X39" s="42">
        <f>bdrate($D39:$D42,G39:G42,$L39:$L42,O39:O42)</f>
        <v>2.3983757329890665E-3</v>
      </c>
      <c r="Y39" s="40">
        <f>bdrateOld($D39:$D42,E39:E42,$L39:$L42,M39:M42)</f>
        <v>4.6184586195874289E-5</v>
      </c>
      <c r="Z39" s="44">
        <f>bdrateOld($D39:$D42,F39:F42,$L39:$L42,N39:N42)</f>
        <v>7.8325373110321728E-3</v>
      </c>
      <c r="AA39" s="45">
        <f>bdrateOld($D39:$D42,G39:G42,$L39:$L42,O39:O42)</f>
        <v>3.5223822597028054E-3</v>
      </c>
    </row>
    <row r="40" spans="1:27" x14ac:dyDescent="0.2">
      <c r="A40" s="16"/>
      <c r="B40" s="85"/>
      <c r="C40" s="16">
        <v>32</v>
      </c>
      <c r="D40" s="17">
        <f>Reference!B110</f>
        <v>1091.7639999999999</v>
      </c>
      <c r="E40" s="18">
        <f>Reference!C110</f>
        <v>39.506399999999999</v>
      </c>
      <c r="F40" s="18">
        <f>Reference!D110</f>
        <v>45.546900000000001</v>
      </c>
      <c r="G40" s="18">
        <f>Reference!E110</f>
        <v>46.0319</v>
      </c>
      <c r="H40" s="18">
        <f>Reference!F110</f>
        <v>24934.482</v>
      </c>
      <c r="I40" s="18">
        <f>Reference!G110</f>
        <v>4.9219999999999997</v>
      </c>
      <c r="J40" s="19">
        <f t="shared" si="7"/>
        <v>6.9262449999999998</v>
      </c>
      <c r="L40" s="17">
        <f>Test!B110</f>
        <v>1092.876</v>
      </c>
      <c r="M40" s="18">
        <f>Test!C110</f>
        <v>39.510800000000003</v>
      </c>
      <c r="N40" s="18">
        <f>Test!D110</f>
        <v>45.561399999999999</v>
      </c>
      <c r="O40" s="18">
        <f>Test!E110</f>
        <v>46.054400000000001</v>
      </c>
      <c r="P40" s="18">
        <f>Test!F110</f>
        <v>24682.544000000002</v>
      </c>
      <c r="Q40" s="18">
        <f>Test!G110</f>
        <v>4.851</v>
      </c>
      <c r="R40" s="19">
        <f t="shared" si="8"/>
        <v>6.8562622222222229</v>
      </c>
      <c r="S40" s="17">
        <f t="shared" si="2"/>
        <v>0.98989600024576418</v>
      </c>
      <c r="T40" s="18">
        <f t="shared" si="2"/>
        <v>0.98557496952458357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515.68799999999999</v>
      </c>
      <c r="E41" s="18">
        <f>Reference!C111</f>
        <v>37.9527</v>
      </c>
      <c r="F41" s="18">
        <f>Reference!D111</f>
        <v>44.8063</v>
      </c>
      <c r="G41" s="18">
        <f>Reference!E111</f>
        <v>44.539099999999998</v>
      </c>
      <c r="H41" s="18">
        <f>Reference!F111</f>
        <v>12616.368</v>
      </c>
      <c r="I41" s="18">
        <f>Reference!G111</f>
        <v>4.181</v>
      </c>
      <c r="J41" s="19">
        <f t="shared" si="7"/>
        <v>3.5045466666666667</v>
      </c>
      <c r="L41" s="17">
        <f>Test!B111</f>
        <v>515.35199999999998</v>
      </c>
      <c r="M41" s="18">
        <f>Test!C111</f>
        <v>37.949800000000003</v>
      </c>
      <c r="N41" s="18">
        <f>Test!D111</f>
        <v>44.793900000000001</v>
      </c>
      <c r="O41" s="18">
        <f>Test!E111</f>
        <v>44.521599999999999</v>
      </c>
      <c r="P41" s="18">
        <f>Test!F111</f>
        <v>12652.05</v>
      </c>
      <c r="Q41" s="18">
        <f>Test!G111</f>
        <v>4.109</v>
      </c>
      <c r="R41" s="19">
        <f t="shared" si="8"/>
        <v>3.5144583333333332</v>
      </c>
      <c r="S41" s="17">
        <f t="shared" si="2"/>
        <v>1.0028282307554757</v>
      </c>
      <c r="T41" s="18">
        <f t="shared" si="2"/>
        <v>0.98277923941640755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Reference!B112</f>
        <v>234.34</v>
      </c>
      <c r="E42" s="23">
        <f>Reference!C112</f>
        <v>35.865200000000002</v>
      </c>
      <c r="F42" s="23">
        <f>Reference!D112</f>
        <v>43.575099999999999</v>
      </c>
      <c r="G42" s="23">
        <f>Reference!E112</f>
        <v>42.448300000000003</v>
      </c>
      <c r="H42" s="23">
        <f>Reference!F112</f>
        <v>6162.9949999999999</v>
      </c>
      <c r="I42" s="23">
        <f>Reference!G112</f>
        <v>3.7429999999999999</v>
      </c>
      <c r="J42" s="24">
        <f t="shared" si="7"/>
        <v>1.7119430555555555</v>
      </c>
      <c r="L42" s="22">
        <f>Test!B112</f>
        <v>234.13200000000001</v>
      </c>
      <c r="M42" s="23">
        <f>Test!C112</f>
        <v>35.864800000000002</v>
      </c>
      <c r="N42" s="23">
        <f>Test!D112</f>
        <v>43.563000000000002</v>
      </c>
      <c r="O42" s="23">
        <f>Test!E112</f>
        <v>42.3855</v>
      </c>
      <c r="P42" s="23">
        <f>Test!F112</f>
        <v>6133.3440000000001</v>
      </c>
      <c r="Q42" s="23">
        <f>Test!G112</f>
        <v>3.7480000000000002</v>
      </c>
      <c r="R42" s="24">
        <f t="shared" si="8"/>
        <v>1.7037066666666667</v>
      </c>
      <c r="S42" s="17">
        <f t="shared" si="2"/>
        <v>0.99518886515403637</v>
      </c>
      <c r="T42" s="18">
        <f t="shared" si="2"/>
        <v>1.0013358268768369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925.27599999999995</v>
      </c>
      <c r="E43" s="13">
        <f>Reference!C113</f>
        <v>43.534199999999998</v>
      </c>
      <c r="F43" s="13">
        <f>Reference!D113</f>
        <v>47.274299999999997</v>
      </c>
      <c r="G43" s="13">
        <f>Reference!E113</f>
        <v>48.295400000000001</v>
      </c>
      <c r="H43" s="13">
        <f>Reference!F113</f>
        <v>19776.57</v>
      </c>
      <c r="I43" s="13">
        <f>Reference!G113</f>
        <v>4.3220000000000001</v>
      </c>
      <c r="J43" s="14">
        <f t="shared" si="7"/>
        <v>5.4934916666666664</v>
      </c>
      <c r="L43" s="12">
        <f>Test!B113</f>
        <v>925.80399999999997</v>
      </c>
      <c r="M43" s="13">
        <f>Test!C113</f>
        <v>43.5396</v>
      </c>
      <c r="N43" s="13">
        <f>Test!D113</f>
        <v>47.276699999999998</v>
      </c>
      <c r="O43" s="13">
        <f>Test!E113</f>
        <v>48.326599999999999</v>
      </c>
      <c r="P43" s="13">
        <f>Test!F113</f>
        <v>19462.289000000001</v>
      </c>
      <c r="Q43" s="13">
        <f>Test!G113</f>
        <v>4.5149999999999997</v>
      </c>
      <c r="R43" s="14">
        <f t="shared" si="8"/>
        <v>5.4061913888888888</v>
      </c>
      <c r="S43" s="17">
        <f t="shared" si="2"/>
        <v>0.98410841718255493</v>
      </c>
      <c r="T43" s="18">
        <f t="shared" si="2"/>
        <v>1.0446552521980563</v>
      </c>
      <c r="U43" s="91"/>
      <c r="V43" s="37">
        <f>bdrate($D43:$D46,E43:E46,$L43:$L46,M43:M46)</f>
        <v>1.263165709495917E-3</v>
      </c>
      <c r="W43" s="42">
        <f>bdrate($D43:$D46,F43:F46,$L43:$L46,N43:N46)</f>
        <v>-3.6581260928696402E-3</v>
      </c>
      <c r="X43" s="42">
        <f>bdrate($D43:$D46,G43:G46,$L43:$L46,O43:O46)</f>
        <v>-1.0152918147976475E-4</v>
      </c>
      <c r="Y43" s="40">
        <f>bdrateOld($D43:$D46,E43:E46,$L43:$L46,M43:M46)</f>
        <v>9.1249641188539954E-4</v>
      </c>
      <c r="Z43" s="44">
        <f>bdrateOld($D43:$D46,F43:F46,$L43:$L46,N43:N46)</f>
        <v>-5.2549786485078798E-3</v>
      </c>
      <c r="AA43" s="45">
        <f>bdrateOld($D43:$D46,G43:G46,$L43:$L46,O43:O46)</f>
        <v>-1.6783755894179686E-3</v>
      </c>
    </row>
    <row r="44" spans="1:27" x14ac:dyDescent="0.2">
      <c r="A44" s="16"/>
      <c r="B44" s="85"/>
      <c r="C44" s="16">
        <v>32</v>
      </c>
      <c r="D44" s="17">
        <f>Reference!B114</f>
        <v>507.024</v>
      </c>
      <c r="E44" s="18">
        <f>Reference!C114</f>
        <v>42.257599999999996</v>
      </c>
      <c r="F44" s="18">
        <f>Reference!D114</f>
        <v>46.504600000000003</v>
      </c>
      <c r="G44" s="18">
        <f>Reference!E114</f>
        <v>47.311900000000001</v>
      </c>
      <c r="H44" s="18">
        <f>Reference!F114</f>
        <v>11039.333000000001</v>
      </c>
      <c r="I44" s="18">
        <f>Reference!G114</f>
        <v>3.9590000000000001</v>
      </c>
      <c r="J44" s="19">
        <f t="shared" si="7"/>
        <v>3.0664813888888891</v>
      </c>
      <c r="L44" s="17">
        <f>Test!B114</f>
        <v>508.072</v>
      </c>
      <c r="M44" s="18">
        <f>Test!C114</f>
        <v>42.2575</v>
      </c>
      <c r="N44" s="18">
        <f>Test!D114</f>
        <v>46.505099999999999</v>
      </c>
      <c r="O44" s="18">
        <f>Test!E114</f>
        <v>47.308799999999998</v>
      </c>
      <c r="P44" s="18">
        <f>Test!F114</f>
        <v>10828.406999999999</v>
      </c>
      <c r="Q44" s="18">
        <f>Test!G114</f>
        <v>3.8730000000000002</v>
      </c>
      <c r="R44" s="19">
        <f t="shared" si="8"/>
        <v>3.0078908333333332</v>
      </c>
      <c r="S44" s="150">
        <f t="shared" si="2"/>
        <v>0.980893229690598</v>
      </c>
      <c r="T44" s="151">
        <f t="shared" si="2"/>
        <v>0.97827734276332412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290.02800000000002</v>
      </c>
      <c r="E45" s="18">
        <f>Reference!C115</f>
        <v>40.481900000000003</v>
      </c>
      <c r="F45" s="18">
        <f>Reference!D115</f>
        <v>45.502699999999997</v>
      </c>
      <c r="G45" s="18">
        <f>Reference!E115</f>
        <v>46.062600000000003</v>
      </c>
      <c r="H45" s="18">
        <f>Reference!F115</f>
        <v>6112.7359999999999</v>
      </c>
      <c r="I45" s="18">
        <f>Reference!G115</f>
        <v>3.7120000000000002</v>
      </c>
      <c r="J45" s="19">
        <f t="shared" si="7"/>
        <v>1.6979822222222223</v>
      </c>
      <c r="L45" s="17">
        <f>Test!B115</f>
        <v>289.52800000000002</v>
      </c>
      <c r="M45" s="18">
        <f>Test!C115</f>
        <v>40.468600000000002</v>
      </c>
      <c r="N45" s="18">
        <f>Test!D115</f>
        <v>45.516100000000002</v>
      </c>
      <c r="O45" s="18">
        <f>Test!E115</f>
        <v>46.054400000000001</v>
      </c>
      <c r="P45" s="18">
        <f>Test!F115</f>
        <v>6105.16</v>
      </c>
      <c r="Q45" s="18">
        <f>Test!G115</f>
        <v>3.7320000000000002</v>
      </c>
      <c r="R45" s="19">
        <f t="shared" si="8"/>
        <v>1.6958777777777778</v>
      </c>
      <c r="S45" s="150">
        <f t="shared" si="2"/>
        <v>0.9987606204488465</v>
      </c>
      <c r="T45" s="151">
        <f t="shared" si="2"/>
        <v>1.0053879310344829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Reference!B116</f>
        <v>161.82</v>
      </c>
      <c r="E46" s="23">
        <f>Reference!C116</f>
        <v>37.918399999999998</v>
      </c>
      <c r="F46" s="23">
        <f>Reference!D116</f>
        <v>43.817799999999998</v>
      </c>
      <c r="G46" s="23">
        <f>Reference!E116</f>
        <v>44.095700000000001</v>
      </c>
      <c r="H46" s="23">
        <f>Reference!F116</f>
        <v>3500.0070000000001</v>
      </c>
      <c r="I46" s="23">
        <f>Reference!G116</f>
        <v>3.694</v>
      </c>
      <c r="J46" s="24">
        <f t="shared" si="7"/>
        <v>0.97222416666666667</v>
      </c>
      <c r="L46" s="22">
        <f>Test!B116</f>
        <v>161.82</v>
      </c>
      <c r="M46" s="23">
        <f>Test!C116</f>
        <v>37.918399999999998</v>
      </c>
      <c r="N46" s="23">
        <f>Test!D116</f>
        <v>43.817799999999998</v>
      </c>
      <c r="O46" s="23">
        <f>Test!E116</f>
        <v>44.095700000000001</v>
      </c>
      <c r="P46" s="23">
        <f>Test!F116</f>
        <v>3517.4960000000001</v>
      </c>
      <c r="Q46" s="23">
        <f>Test!G116</f>
        <v>3.6269999999999998</v>
      </c>
      <c r="R46" s="24">
        <f t="shared" si="8"/>
        <v>0.9770822222222223</v>
      </c>
      <c r="S46" s="17">
        <f t="shared" si="2"/>
        <v>1.0049968471491628</v>
      </c>
      <c r="T46" s="18">
        <f t="shared" si="2"/>
        <v>0.98186247969680562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1285.0360000000001</v>
      </c>
      <c r="E47" s="13">
        <f>Reference!C117</f>
        <v>42.910299999999999</v>
      </c>
      <c r="F47" s="13">
        <f>Reference!D117</f>
        <v>49.054900000000004</v>
      </c>
      <c r="G47" s="13">
        <f>Reference!E117</f>
        <v>48.744700000000002</v>
      </c>
      <c r="H47" s="13">
        <f>Reference!F117</f>
        <v>22763.26</v>
      </c>
      <c r="I47" s="13">
        <f>Reference!G117</f>
        <v>4.2350000000000003</v>
      </c>
      <c r="J47" s="14">
        <f>H47/3600</f>
        <v>6.3231277777777777</v>
      </c>
      <c r="L47" s="12">
        <f>Test!B117</f>
        <v>1287.376</v>
      </c>
      <c r="M47" s="13">
        <f>Test!C117</f>
        <v>42.913899999999998</v>
      </c>
      <c r="N47" s="13">
        <f>Test!D117</f>
        <v>49.038400000000003</v>
      </c>
      <c r="O47" s="13">
        <f>Test!E117</f>
        <v>48.731900000000003</v>
      </c>
      <c r="P47" s="13">
        <f>Test!F117</f>
        <v>22592.148000000001</v>
      </c>
      <c r="Q47" s="13">
        <f>Test!G117</f>
        <v>4.3419999999999996</v>
      </c>
      <c r="R47" s="14">
        <f>P47/3600</f>
        <v>6.2755966666666669</v>
      </c>
      <c r="S47" s="17">
        <f t="shared" ref="S47:T62" si="9">P47/H47</f>
        <v>0.9924829747584486</v>
      </c>
      <c r="T47" s="18">
        <f t="shared" si="9"/>
        <v>1.0252656434474614</v>
      </c>
      <c r="U47" s="91"/>
      <c r="V47" s="72">
        <f>bdrate($D47:$D50,E47:E50,$L47:$L50,M47:M50)</f>
        <v>-4.2231744411536098E-4</v>
      </c>
      <c r="W47" s="73">
        <f>bdrate($D47:$D50,F47:F50,$L47:$L50,N47:N50)</f>
        <v>4.0440153713898752E-3</v>
      </c>
      <c r="X47" s="74">
        <f>bdrate($D47:$D50,G47:G50,$L47:$L50,O47:O50)</f>
        <v>-1.6560380164911681E-3</v>
      </c>
      <c r="Y47" s="37">
        <f>bdrateOld($D47:$D50,E47:E50,$L47:$L50,M47:M50)</f>
        <v>-4.5268040802737275E-4</v>
      </c>
      <c r="Z47" s="42">
        <f>bdrateOld($D47:$D50,F47:F50,$L47:$L50,N47:N50)</f>
        <v>2.1803570100029646E-3</v>
      </c>
      <c r="AA47" s="43">
        <f>bdrateOld($D47:$D50,G47:G50,$L47:$L50,O47:O50)</f>
        <v>-3.0520228560004803E-4</v>
      </c>
    </row>
    <row r="48" spans="1:27" x14ac:dyDescent="0.2">
      <c r="A48" s="16"/>
      <c r="B48" s="85"/>
      <c r="C48" s="16">
        <v>32</v>
      </c>
      <c r="D48" s="17">
        <f>Reference!B118</f>
        <v>694.84400000000005</v>
      </c>
      <c r="E48" s="18">
        <f>Reference!C118</f>
        <v>41.6297</v>
      </c>
      <c r="F48" s="18">
        <f>Reference!D118</f>
        <v>48.230200000000004</v>
      </c>
      <c r="G48" s="18">
        <f>Reference!E118</f>
        <v>47.676299999999998</v>
      </c>
      <c r="H48" s="18">
        <f>Reference!F118</f>
        <v>13028.325000000001</v>
      </c>
      <c r="I48" s="18">
        <f>Reference!G118</f>
        <v>3.81</v>
      </c>
      <c r="J48" s="19">
        <f t="shared" ref="J48:J70" si="10">H48/3600</f>
        <v>3.6189791666666671</v>
      </c>
      <c r="L48" s="17">
        <f>Test!B118</f>
        <v>695.548</v>
      </c>
      <c r="M48" s="18">
        <f>Test!C118</f>
        <v>41.632800000000003</v>
      </c>
      <c r="N48" s="18">
        <f>Test!D118</f>
        <v>48.2074</v>
      </c>
      <c r="O48" s="18">
        <f>Test!E118</f>
        <v>47.688000000000002</v>
      </c>
      <c r="P48" s="18">
        <f>Test!F118</f>
        <v>12931.127</v>
      </c>
      <c r="Q48" s="18">
        <f>Test!G118</f>
        <v>3.8959999999999999</v>
      </c>
      <c r="R48" s="19">
        <f t="shared" ref="R48:R70" si="11">P48/3600</f>
        <v>3.5919797222222223</v>
      </c>
      <c r="S48" s="17">
        <f t="shared" si="9"/>
        <v>0.99253948608128828</v>
      </c>
      <c r="T48" s="18">
        <f t="shared" si="9"/>
        <v>1.0225721784776902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396.28</v>
      </c>
      <c r="E49" s="18">
        <f>Reference!C119</f>
        <v>39.761200000000002</v>
      </c>
      <c r="F49" s="18">
        <f>Reference!D119</f>
        <v>47.319600000000001</v>
      </c>
      <c r="G49" s="18">
        <f>Reference!E119</f>
        <v>46.289900000000003</v>
      </c>
      <c r="H49" s="18">
        <f>Reference!F119</f>
        <v>7529.0050000000001</v>
      </c>
      <c r="I49" s="18">
        <f>Reference!G119</f>
        <v>3.6179999999999999</v>
      </c>
      <c r="J49" s="19">
        <f t="shared" si="10"/>
        <v>2.0913902777777778</v>
      </c>
      <c r="L49" s="17">
        <f>Test!B119</f>
        <v>396.02</v>
      </c>
      <c r="M49" s="18">
        <f>Test!C119</f>
        <v>39.761299999999999</v>
      </c>
      <c r="N49" s="18">
        <f>Test!D119</f>
        <v>47.317700000000002</v>
      </c>
      <c r="O49" s="18">
        <f>Test!E119</f>
        <v>46.298499999999997</v>
      </c>
      <c r="P49" s="18">
        <f>Test!F119</f>
        <v>7534.8869999999997</v>
      </c>
      <c r="Q49" s="18">
        <f>Test!G119</f>
        <v>3.637</v>
      </c>
      <c r="R49" s="19">
        <f t="shared" si="11"/>
        <v>2.0930241666666665</v>
      </c>
      <c r="S49" s="17">
        <f t="shared" si="9"/>
        <v>1.0007812453305582</v>
      </c>
      <c r="T49" s="18">
        <f t="shared" si="9"/>
        <v>1.0052515201768935</v>
      </c>
      <c r="U49" s="91"/>
      <c r="V49" s="75"/>
      <c r="W49" s="76"/>
      <c r="X49" s="77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Reference!B120</f>
        <v>219.25200000000001</v>
      </c>
      <c r="E50" s="23">
        <f>Reference!C120</f>
        <v>37.047800000000002</v>
      </c>
      <c r="F50" s="23">
        <f>Reference!D120</f>
        <v>45.576500000000003</v>
      </c>
      <c r="G50" s="23">
        <f>Reference!E120</f>
        <v>43.939399999999999</v>
      </c>
      <c r="H50" s="23">
        <f>Reference!F120</f>
        <v>4265.7820000000002</v>
      </c>
      <c r="I50" s="23">
        <f>Reference!G120</f>
        <v>3.4889999999999999</v>
      </c>
      <c r="J50" s="24">
        <f t="shared" si="10"/>
        <v>1.1849394444444445</v>
      </c>
      <c r="L50" s="22">
        <f>Test!B120</f>
        <v>219.14400000000001</v>
      </c>
      <c r="M50" s="23">
        <f>Test!C120</f>
        <v>37.0456</v>
      </c>
      <c r="N50" s="23">
        <f>Test!D120</f>
        <v>45.600999999999999</v>
      </c>
      <c r="O50" s="23">
        <f>Test!E120</f>
        <v>43.924900000000001</v>
      </c>
      <c r="P50" s="23">
        <f>Test!F120</f>
        <v>4263.4880000000003</v>
      </c>
      <c r="Q50" s="23">
        <f>Test!G120</f>
        <v>3.496</v>
      </c>
      <c r="R50" s="24">
        <f t="shared" si="11"/>
        <v>1.1843022222222224</v>
      </c>
      <c r="S50" s="22">
        <f t="shared" si="9"/>
        <v>0.99946223224721753</v>
      </c>
      <c r="T50" s="23">
        <f t="shared" si="9"/>
        <v>1.002006305531671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45.076819545036535</v>
      </c>
      <c r="J75" s="15">
        <f>GEOMEAN(J3:J18)</f>
        <v>58.07597102104166</v>
      </c>
      <c r="Q75" s="15">
        <f>GEOMEAN(Q3:Q18)</f>
        <v>47.26378379424591</v>
      </c>
      <c r="R75" s="15">
        <f>GEOMEAN(R3:R18)</f>
        <v>60.412387532395847</v>
      </c>
      <c r="S75" s="15">
        <f>GEOMEAN(S3:S18)</f>
        <v>1.0402303477716743</v>
      </c>
      <c r="T75" s="15">
        <f>GEOMEAN(T3:T18)</f>
        <v>1.0485163831717179</v>
      </c>
      <c r="V75" s="37">
        <f>AVERAGE(V3:V18)</f>
        <v>-3.7488927611559197E-4</v>
      </c>
      <c r="W75" s="42">
        <f t="shared" ref="W75:AA75" si="16">AVERAGE(W3:W18)</f>
        <v>-3.6706225586342345E-3</v>
      </c>
      <c r="X75" s="42">
        <f t="shared" si="16"/>
        <v>-3.6829534672686848E-3</v>
      </c>
      <c r="Y75" s="37">
        <f>AVERAGE(Y3:Y18)</f>
        <v>-3.1895032405954149E-4</v>
      </c>
      <c r="Z75" s="42">
        <f t="shared" si="16"/>
        <v>-2.8933803932563451E-3</v>
      </c>
      <c r="AA75" s="43">
        <f t="shared" si="16"/>
        <v>-3.4661523928816718E-3</v>
      </c>
    </row>
    <row r="76" spans="1:27" x14ac:dyDescent="0.2">
      <c r="B76" s="89" t="s">
        <v>47</v>
      </c>
      <c r="I76" s="15">
        <f>GEOMEAN(I19:I34)</f>
        <v>11.32917986893527</v>
      </c>
      <c r="J76" s="15">
        <f>GEOMEAN(J19:J34)</f>
        <v>14.336676205804624</v>
      </c>
      <c r="Q76" s="15">
        <f>GEOMEAN(Q19:Q34)</f>
        <v>11.664143286227535</v>
      </c>
      <c r="R76" s="15">
        <f>GEOMEAN(R19:R34)</f>
        <v>14.498498408811033</v>
      </c>
      <c r="S76" s="15">
        <f>GEOMEAN(S19:S34)</f>
        <v>1.0112872886771964</v>
      </c>
      <c r="T76" s="15">
        <f>GEOMEAN(T19:T34)</f>
        <v>1.0295664312127957</v>
      </c>
      <c r="V76" s="40">
        <f>AVERAGE(V19:V34)</f>
        <v>-9.0981053935512701E-5</v>
      </c>
      <c r="W76" s="44">
        <f t="shared" ref="W76:AA76" si="17">AVERAGE(W19:W34)</f>
        <v>9.1975132783489455E-4</v>
      </c>
      <c r="X76" s="44">
        <f t="shared" si="17"/>
        <v>-3.0050292584699323E-3</v>
      </c>
      <c r="Y76" s="40">
        <f t="shared" si="17"/>
        <v>-6.1874079682305849E-5</v>
      </c>
      <c r="Z76" s="44">
        <f t="shared" si="17"/>
        <v>9.369174139692571E-4</v>
      </c>
      <c r="AA76" s="45">
        <f t="shared" si="17"/>
        <v>-2.5947520361382648E-3</v>
      </c>
    </row>
    <row r="77" spans="1:27" x14ac:dyDescent="0.2">
      <c r="B77" s="89" t="s">
        <v>51</v>
      </c>
      <c r="I77" s="15">
        <f>GEOMEAN(I35:I50)</f>
        <v>4.175989140446088</v>
      </c>
      <c r="J77" s="15">
        <f>GEOMEAN(J35:J50)</f>
        <v>3.6994066947561342</v>
      </c>
      <c r="Q77" s="15">
        <f>GEOMEAN(Q35:Q50)</f>
        <v>4.2287757023192256</v>
      </c>
      <c r="R77" s="15">
        <f>GEOMEAN(R35:R50)</f>
        <v>3.6903216791550237</v>
      </c>
      <c r="S77" s="15">
        <f>GEOMEAN(S35:S50)</f>
        <v>0.99754419658320126</v>
      </c>
      <c r="T77" s="15">
        <f>GEOMEAN(T35:T50)</f>
        <v>1.0126404930898598</v>
      </c>
      <c r="V77" s="40">
        <f>AVERAGE(V35:V50)</f>
        <v>1.979025509749599E-4</v>
      </c>
      <c r="W77" s="44">
        <f t="shared" ref="W77:AA77" si="18">AVERAGE(W35:W50)</f>
        <v>5.1556731626400953E-4</v>
      </c>
      <c r="X77" s="44">
        <f t="shared" si="18"/>
        <v>3.6783272602189387E-4</v>
      </c>
      <c r="Y77" s="40">
        <f t="shared" si="18"/>
        <v>2.1021436264040405E-4</v>
      </c>
      <c r="Z77" s="44">
        <f t="shared" si="18"/>
        <v>9.0120894603182289E-4</v>
      </c>
      <c r="AA77" s="45">
        <f t="shared" si="18"/>
        <v>3.5574668392782116E-4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12.871733307766821</v>
      </c>
      <c r="J80" s="54">
        <f xml:space="preserve"> GEOMEAN(J3:J50)</f>
        <v>14.549866602830848</v>
      </c>
      <c r="K80" s="4"/>
      <c r="L80" s="4"/>
      <c r="M80" s="4"/>
      <c r="N80" s="4"/>
      <c r="O80" s="4"/>
      <c r="P80" s="4"/>
      <c r="Q80" s="54">
        <f xml:space="preserve"> GEOMEAN(Q3:Q50)</f>
        <v>13.259647979968539</v>
      </c>
      <c r="R80" s="54">
        <f xml:space="preserve"> GEOMEAN(R3:R50)</f>
        <v>14.785559040396217</v>
      </c>
      <c r="S80" s="54">
        <f>GEOMEAN(S3:S50)</f>
        <v>1.0161989414747976</v>
      </c>
      <c r="T80" s="54">
        <f>GEOMEAN(T3:T50)</f>
        <v>1.030136941383617</v>
      </c>
      <c r="U80" s="4"/>
      <c r="V80" s="41">
        <f>AVERAGE(V3:V50)</f>
        <v>-8.9322593025381591E-5</v>
      </c>
      <c r="W80" s="46">
        <f t="shared" ref="W80:AA80" si="22">AVERAGE(W3:W50)</f>
        <v>-7.4510130484511017E-4</v>
      </c>
      <c r="X80" s="47">
        <f t="shared" si="22"/>
        <v>-2.1067166665722412E-3</v>
      </c>
      <c r="Y80" s="46">
        <f t="shared" si="22"/>
        <v>-5.6870013700481094E-5</v>
      </c>
      <c r="Z80" s="46">
        <f t="shared" si="22"/>
        <v>-3.5175134441842171E-4</v>
      </c>
      <c r="AA80" s="47">
        <f t="shared" si="22"/>
        <v>-1.9017192483640384E-3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topLeftCell="A13" zoomScale="85" zoomScaleNormal="85" workbookViewId="0">
      <selection activeCell="I44" sqref="I4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19" width="8.3984375" style="1" customWidth="1"/>
    <col min="20" max="20" width="8.5" style="1" customWidth="1"/>
    <col min="21" max="21" width="7.199218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17066.272000000001</v>
      </c>
      <c r="E3" s="13">
        <f>Reference!C145</f>
        <v>40.1706</v>
      </c>
      <c r="F3" s="13">
        <f>Reference!D145</f>
        <v>48.750999999999998</v>
      </c>
      <c r="G3" s="13">
        <f>Reference!E145</f>
        <v>46.678800000000003</v>
      </c>
      <c r="H3" s="13">
        <f>Reference!F145</f>
        <v>219807.17199999999</v>
      </c>
      <c r="I3" s="13">
        <f>Reference!G145</f>
        <v>28.867000000000001</v>
      </c>
      <c r="J3" s="14">
        <f>H3/3600</f>
        <v>61.057547777777778</v>
      </c>
      <c r="L3" s="12">
        <f>Test!B145</f>
        <v>17054.223999999998</v>
      </c>
      <c r="M3" s="13">
        <f>Test!C145</f>
        <v>40.171100000000003</v>
      </c>
      <c r="N3" s="13">
        <f>Test!D145</f>
        <v>48.7592</v>
      </c>
      <c r="O3" s="13">
        <f>Test!E145</f>
        <v>46.689100000000003</v>
      </c>
      <c r="P3" s="13">
        <f>Test!F145</f>
        <v>226946.15599999999</v>
      </c>
      <c r="Q3" s="13">
        <f>Test!G145</f>
        <v>29.356999999999999</v>
      </c>
      <c r="R3" s="14">
        <f>P3/3600</f>
        <v>63.040598888888887</v>
      </c>
      <c r="S3" s="12">
        <f t="shared" ref="S3:T3" si="0">P3/H3</f>
        <v>1.0324783942900644</v>
      </c>
      <c r="T3" s="13">
        <f t="shared" si="0"/>
        <v>1.0169743998337202</v>
      </c>
      <c r="U3" s="90"/>
      <c r="V3" s="37">
        <f>bdrate($D3:$D6,E3:E6,$L3:$L6,M3:M6)</f>
        <v>5.127281902337355E-4</v>
      </c>
      <c r="W3" s="42">
        <f>bdrate($D3:$D6,F3:F6,$L3:$L6,N3:N6)</f>
        <v>-7.6015405645089018E-3</v>
      </c>
      <c r="X3" s="43">
        <f>bdrate($D3:$D6,G3:G6,$L3:$L6,O3:O6)</f>
        <v>-4.9399243550738436E-3</v>
      </c>
      <c r="Y3" s="37">
        <f>bdrateOld($D3:$D6,E3:E6,$L3:$L6,M3:M6)</f>
        <v>1.7650472892571933E-4</v>
      </c>
      <c r="Z3" s="42">
        <f>bdrateOld($D3:$D6,F3:F6,$L3:$L6,N3:N6)</f>
        <v>-7.2865288828368735E-3</v>
      </c>
      <c r="AA3" s="43">
        <f>bdrateOld($D3:$D6,G3:G6,$L3:$L6,O3:O6)</f>
        <v>-4.5321946221997811E-3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8435.44</v>
      </c>
      <c r="E4" s="18">
        <f>Reference!C146</f>
        <v>39.564999999999998</v>
      </c>
      <c r="F4" s="18">
        <f>Reference!D146</f>
        <v>47.925800000000002</v>
      </c>
      <c r="G4" s="18">
        <f>Reference!E146</f>
        <v>45.540100000000002</v>
      </c>
      <c r="H4" s="18">
        <f>Reference!F146</f>
        <v>122695.367</v>
      </c>
      <c r="I4" s="18">
        <f>Reference!G146</f>
        <v>25.169</v>
      </c>
      <c r="J4" s="19">
        <f t="shared" ref="J4:J14" si="1">H4/3600</f>
        <v>34.082046388888891</v>
      </c>
      <c r="L4" s="17">
        <f>Test!B146</f>
        <v>8436.0640000000003</v>
      </c>
      <c r="M4" s="18">
        <f>Test!C146</f>
        <v>39.564</v>
      </c>
      <c r="N4" s="18">
        <f>Test!D146</f>
        <v>47.940199999999997</v>
      </c>
      <c r="O4" s="18">
        <f>Test!E146</f>
        <v>45.561999999999998</v>
      </c>
      <c r="P4" s="18">
        <f>Test!F146</f>
        <v>127965.211</v>
      </c>
      <c r="Q4" s="18">
        <f>Test!G146</f>
        <v>25.521999999999998</v>
      </c>
      <c r="R4" s="19">
        <f t="shared" ref="R4:R14" si="2">P4/3600</f>
        <v>35.545891944444442</v>
      </c>
      <c r="S4" s="17">
        <f t="shared" ref="S4:S26" si="3">P4/H4</f>
        <v>1.0429506356177247</v>
      </c>
      <c r="T4" s="18">
        <f t="shared" ref="T4:T26" si="4">Q4/I4</f>
        <v>1.0140251897175097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4599.2</v>
      </c>
      <c r="E5" s="18">
        <f>Reference!C147</f>
        <v>38.579000000000001</v>
      </c>
      <c r="F5" s="18">
        <f>Reference!D147</f>
        <v>46.931699999999999</v>
      </c>
      <c r="G5" s="18">
        <f>Reference!E147</f>
        <v>44.164299999999997</v>
      </c>
      <c r="H5" s="18">
        <f>Reference!F147</f>
        <v>63740.745999999999</v>
      </c>
      <c r="I5" s="18">
        <f>Reference!G147</f>
        <v>21.326000000000001</v>
      </c>
      <c r="J5" s="19">
        <f t="shared" si="1"/>
        <v>17.705762777777778</v>
      </c>
      <c r="L5" s="17">
        <f>Test!B147</f>
        <v>4599.4080000000004</v>
      </c>
      <c r="M5" s="18">
        <f>Test!C147</f>
        <v>38.5777</v>
      </c>
      <c r="N5" s="18">
        <f>Test!D147</f>
        <v>46.942399999999999</v>
      </c>
      <c r="O5" s="18">
        <f>Test!E147</f>
        <v>44.169699999999999</v>
      </c>
      <c r="P5" s="18">
        <f>Test!F147</f>
        <v>66794.726999999999</v>
      </c>
      <c r="Q5" s="18">
        <f>Test!G147</f>
        <v>23.448</v>
      </c>
      <c r="R5" s="19">
        <f t="shared" si="2"/>
        <v>18.554090833333333</v>
      </c>
      <c r="S5" s="17">
        <f t="shared" si="3"/>
        <v>1.047912539335514</v>
      </c>
      <c r="T5" s="18">
        <f t="shared" si="4"/>
        <v>1.0995029541404857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Reference!B148</f>
        <v>2498.08</v>
      </c>
      <c r="E6" s="23">
        <f>Reference!C148</f>
        <v>37.031599999999997</v>
      </c>
      <c r="F6" s="23">
        <f>Reference!D148</f>
        <v>45.539900000000003</v>
      </c>
      <c r="G6" s="23">
        <f>Reference!E148</f>
        <v>42.511000000000003</v>
      </c>
      <c r="H6" s="23">
        <f>Reference!F148</f>
        <v>32752.559000000001</v>
      </c>
      <c r="I6" s="23">
        <f>Reference!G148</f>
        <v>18.324999999999999</v>
      </c>
      <c r="J6" s="24">
        <f t="shared" si="1"/>
        <v>9.097933055555556</v>
      </c>
      <c r="L6" s="22">
        <f>Test!B148</f>
        <v>2498.768</v>
      </c>
      <c r="M6" s="23">
        <f>Test!C148</f>
        <v>37.031999999999996</v>
      </c>
      <c r="N6" s="23">
        <f>Test!D148</f>
        <v>45.562100000000001</v>
      </c>
      <c r="O6" s="23">
        <f>Test!E148</f>
        <v>42.505000000000003</v>
      </c>
      <c r="P6" s="23">
        <f>Test!F148</f>
        <v>32720.094000000001</v>
      </c>
      <c r="Q6" s="23">
        <f>Test!G148</f>
        <v>19.279</v>
      </c>
      <c r="R6" s="24">
        <f t="shared" si="2"/>
        <v>9.0889150000000001</v>
      </c>
      <c r="S6" s="17">
        <f t="shared" si="3"/>
        <v>0.99900877974145474</v>
      </c>
      <c r="T6" s="18">
        <f t="shared" si="4"/>
        <v>1.0520600272851297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91078.88</v>
      </c>
      <c r="E7" s="13">
        <f>Reference!C149</f>
        <v>41.734999999999999</v>
      </c>
      <c r="F7" s="13">
        <f>Reference!D149</f>
        <v>36.695</v>
      </c>
      <c r="G7" s="13">
        <f>Reference!E149</f>
        <v>37.710099999999997</v>
      </c>
      <c r="H7" s="13">
        <f>Reference!F149</f>
        <v>380118.75</v>
      </c>
      <c r="I7" s="13">
        <f>Reference!G149</f>
        <v>32.874000000000002</v>
      </c>
      <c r="J7" s="14">
        <f t="shared" si="1"/>
        <v>105.58854166666667</v>
      </c>
      <c r="L7" s="12">
        <f>Test!B149</f>
        <v>90943.623999999996</v>
      </c>
      <c r="M7" s="13">
        <f>Test!C149</f>
        <v>41.735399999999998</v>
      </c>
      <c r="N7" s="13">
        <f>Test!D149</f>
        <v>36.7301</v>
      </c>
      <c r="O7" s="13">
        <f>Test!E149</f>
        <v>37.7346</v>
      </c>
      <c r="P7" s="13">
        <f>Test!F149</f>
        <v>398332.375</v>
      </c>
      <c r="Q7" s="13">
        <f>Test!G149</f>
        <v>32.173000000000002</v>
      </c>
      <c r="R7" s="14">
        <f t="shared" si="2"/>
        <v>110.64788194444445</v>
      </c>
      <c r="S7" s="17">
        <f t="shared" si="3"/>
        <v>1.0479156184744898</v>
      </c>
      <c r="T7" s="18">
        <f t="shared" si="4"/>
        <v>0.9786761574496563</v>
      </c>
      <c r="U7" s="91"/>
      <c r="V7" s="37">
        <f>bdrate($D7:$D10,E7:E10,$L7:$L10,M7:M10)</f>
        <v>-2.0651432324245711E-3</v>
      </c>
      <c r="W7" s="42">
        <f>bdrate($D7:$D10,F7:F10,$L7:$L10,N7:N10)</f>
        <v>-1.2774320500336556E-2</v>
      </c>
      <c r="X7" s="43">
        <f>bdrate($D7:$D10,G7:G10,$L7:$L10,O7:O10)</f>
        <v>-1.1937707076096982E-2</v>
      </c>
      <c r="Y7" s="37">
        <f>bdrateOld($D7:$D10,E7:E10,$L7:$L10,M7:M10)</f>
        <v>-2.0763792282880722E-3</v>
      </c>
      <c r="Z7" s="42">
        <f>bdrateOld($D7:$D10,F7:F10,$L7:$L10,N7:N10)</f>
        <v>-1.2781000699719658E-2</v>
      </c>
      <c r="AA7" s="43">
        <f>bdrateOld($D7:$D10,G7:G10,$L7:$L10,O7:O10)</f>
        <v>-1.2265913105524606E-2</v>
      </c>
    </row>
    <row r="8" spans="1:27" x14ac:dyDescent="0.2">
      <c r="A8" s="16"/>
      <c r="B8" s="85"/>
      <c r="C8" s="16">
        <v>48</v>
      </c>
      <c r="D8" s="17">
        <f>Reference!B150</f>
        <v>46663.544000000002</v>
      </c>
      <c r="E8" s="18">
        <f>Reference!C150</f>
        <v>38.942300000000003</v>
      </c>
      <c r="F8" s="18">
        <f>Reference!D150</f>
        <v>34.412100000000002</v>
      </c>
      <c r="G8" s="18">
        <f>Reference!E150</f>
        <v>35.798699999999997</v>
      </c>
      <c r="H8" s="18">
        <f>Reference!F150</f>
        <v>260912.46900000001</v>
      </c>
      <c r="I8" s="18">
        <f>Reference!G150</f>
        <v>27.027000000000001</v>
      </c>
      <c r="J8" s="19">
        <f t="shared" si="1"/>
        <v>72.47568583333333</v>
      </c>
      <c r="L8" s="17">
        <f>Test!B150</f>
        <v>46537.392</v>
      </c>
      <c r="M8" s="18">
        <f>Test!C150</f>
        <v>38.939300000000003</v>
      </c>
      <c r="N8" s="18">
        <f>Test!D150</f>
        <v>34.454000000000001</v>
      </c>
      <c r="O8" s="18">
        <f>Test!E150</f>
        <v>35.835299999999997</v>
      </c>
      <c r="P8" s="18">
        <f>Test!F150</f>
        <v>275547.53100000002</v>
      </c>
      <c r="Q8" s="18">
        <f>Test!G150</f>
        <v>27.297000000000001</v>
      </c>
      <c r="R8" s="19">
        <f t="shared" si="2"/>
        <v>76.540980833333336</v>
      </c>
      <c r="S8" s="17">
        <f t="shared" si="3"/>
        <v>1.056091845882613</v>
      </c>
      <c r="T8" s="18">
        <f t="shared" si="4"/>
        <v>1.0099900099900099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21675.119999999999</v>
      </c>
      <c r="E9" s="18">
        <f>Reference!C151</f>
        <v>35.8399</v>
      </c>
      <c r="F9" s="18">
        <f>Reference!D151</f>
        <v>32.508899999999997</v>
      </c>
      <c r="G9" s="18">
        <f>Reference!E151</f>
        <v>34.209200000000003</v>
      </c>
      <c r="H9" s="18">
        <f>Reference!F151</f>
        <v>170783.15599999999</v>
      </c>
      <c r="I9" s="18">
        <f>Reference!G151</f>
        <v>22.614000000000001</v>
      </c>
      <c r="J9" s="19">
        <f t="shared" si="1"/>
        <v>47.439765555555553</v>
      </c>
      <c r="L9" s="17">
        <f>Test!B151</f>
        <v>21651.608</v>
      </c>
      <c r="M9" s="18">
        <f>Test!C151</f>
        <v>35.847099999999998</v>
      </c>
      <c r="N9" s="18">
        <f>Test!D151</f>
        <v>32.535200000000003</v>
      </c>
      <c r="O9" s="18">
        <f>Test!E151</f>
        <v>34.222200000000001</v>
      </c>
      <c r="P9" s="18">
        <f>Test!F151</f>
        <v>179185.45300000001</v>
      </c>
      <c r="Q9" s="18">
        <f>Test!G151</f>
        <v>25.045000000000002</v>
      </c>
      <c r="R9" s="19">
        <f t="shared" si="2"/>
        <v>49.773736944444444</v>
      </c>
      <c r="S9" s="17">
        <f t="shared" si="3"/>
        <v>1.0491986282300581</v>
      </c>
      <c r="T9" s="18">
        <f t="shared" si="4"/>
        <v>1.1074997788980279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Reference!B152</f>
        <v>9153.2479999999996</v>
      </c>
      <c r="E10" s="23">
        <f>Reference!C152</f>
        <v>32.827100000000002</v>
      </c>
      <c r="F10" s="23">
        <f>Reference!D152</f>
        <v>30.812899999999999</v>
      </c>
      <c r="G10" s="23">
        <f>Reference!E152</f>
        <v>32.811500000000002</v>
      </c>
      <c r="H10" s="23">
        <f>Reference!F152</f>
        <v>98439.875</v>
      </c>
      <c r="I10" s="23">
        <f>Reference!G152</f>
        <v>19.466999999999999</v>
      </c>
      <c r="J10" s="24">
        <f t="shared" si="1"/>
        <v>27.344409722222224</v>
      </c>
      <c r="L10" s="22">
        <f>Test!B152</f>
        <v>9157.6239999999998</v>
      </c>
      <c r="M10" s="23">
        <f>Test!C152</f>
        <v>32.828400000000002</v>
      </c>
      <c r="N10" s="23">
        <f>Test!D152</f>
        <v>30.811800000000002</v>
      </c>
      <c r="O10" s="23">
        <f>Test!E152</f>
        <v>32.819200000000002</v>
      </c>
      <c r="P10" s="23">
        <f>Test!F152</f>
        <v>100762.086</v>
      </c>
      <c r="Q10" s="23">
        <f>Test!G152</f>
        <v>20.088000000000001</v>
      </c>
      <c r="R10" s="24">
        <f t="shared" si="2"/>
        <v>27.989468333333331</v>
      </c>
      <c r="S10" s="17">
        <f t="shared" si="3"/>
        <v>1.0235901457615626</v>
      </c>
      <c r="T10" s="18">
        <f t="shared" si="4"/>
        <v>1.0319001386962554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45096.160000000003</v>
      </c>
      <c r="E11" s="13">
        <f>Reference!C153</f>
        <v>38.881100000000004</v>
      </c>
      <c r="F11" s="13">
        <f>Reference!D153</f>
        <v>41.216299999999997</v>
      </c>
      <c r="G11" s="13">
        <f>Reference!E153</f>
        <v>41.488700000000001</v>
      </c>
      <c r="H11" s="13">
        <f>Reference!F153</f>
        <v>205716.625</v>
      </c>
      <c r="I11" s="13">
        <f>Reference!G153</f>
        <v>18.876999999999999</v>
      </c>
      <c r="J11" s="14">
        <f t="shared" si="1"/>
        <v>57.143506944444447</v>
      </c>
      <c r="L11" s="12">
        <f>Test!B153</f>
        <v>45120.856</v>
      </c>
      <c r="M11" s="13">
        <f>Test!C153</f>
        <v>38.880800000000001</v>
      </c>
      <c r="N11" s="13">
        <f>Test!D153</f>
        <v>41.214300000000001</v>
      </c>
      <c r="O11" s="13">
        <f>Test!E153</f>
        <v>41.491</v>
      </c>
      <c r="P11" s="13">
        <f>Test!F153</f>
        <v>214660.09400000001</v>
      </c>
      <c r="Q11" s="13">
        <f>Test!G153</f>
        <v>19.306000000000001</v>
      </c>
      <c r="R11" s="14">
        <f t="shared" si="2"/>
        <v>59.627803888888891</v>
      </c>
      <c r="S11" s="17">
        <f t="shared" si="3"/>
        <v>1.0434747021539947</v>
      </c>
      <c r="T11" s="18">
        <f t="shared" si="4"/>
        <v>1.0227260687609261</v>
      </c>
      <c r="U11" s="91"/>
      <c r="V11" s="37">
        <f>bdrate($D11:$D14,E11:E14,$L11:$L14,M11:M14)</f>
        <v>-4.7592361882742296E-4</v>
      </c>
      <c r="W11" s="42">
        <f>bdrate($D11:$D14,F11:F14,$L11:$L14,N11:N14)</f>
        <v>1.5288995360496216E-4</v>
      </c>
      <c r="X11" s="43">
        <f>bdrate($D11:$D14,G11:G14,$L11:$L14,O11:O14)</f>
        <v>4.0467938813071314E-5</v>
      </c>
      <c r="Y11" s="37">
        <f>bdrateOld($D11:$D14,E11:E14,$L11:$L14,M11:M14)</f>
        <v>-4.797290882648797E-4</v>
      </c>
      <c r="Z11" s="42">
        <f>bdrateOld($D11:$D14,F11:F14,$L11:$L14,N11:N14)</f>
        <v>1.2041831873332853E-4</v>
      </c>
      <c r="AA11" s="43">
        <f>bdrateOld($D11:$D14,G11:G14,$L11:$L14,O11:O14)</f>
        <v>7.5451661957881555E-5</v>
      </c>
    </row>
    <row r="12" spans="1:27" x14ac:dyDescent="0.2">
      <c r="A12" s="34"/>
      <c r="B12" s="83"/>
      <c r="C12" s="16">
        <v>48</v>
      </c>
      <c r="D12" s="17">
        <f>Reference!B154</f>
        <v>22137.824000000001</v>
      </c>
      <c r="E12" s="18">
        <f>Reference!C154</f>
        <v>37.520099999999999</v>
      </c>
      <c r="F12" s="18">
        <f>Reference!D154</f>
        <v>38.650799999999997</v>
      </c>
      <c r="G12" s="18">
        <f>Reference!E154</f>
        <v>40.112499999999997</v>
      </c>
      <c r="H12" s="18">
        <f>Reference!F154</f>
        <v>123765.484</v>
      </c>
      <c r="I12" s="18">
        <f>Reference!G154</f>
        <v>15.032999999999999</v>
      </c>
      <c r="J12" s="19">
        <f t="shared" si="1"/>
        <v>34.379301111111111</v>
      </c>
      <c r="L12" s="17">
        <f>Test!B154</f>
        <v>22117.887999999999</v>
      </c>
      <c r="M12" s="18">
        <f>Test!C154</f>
        <v>37.518599999999999</v>
      </c>
      <c r="N12" s="18">
        <f>Test!D154</f>
        <v>38.653599999999997</v>
      </c>
      <c r="O12" s="18">
        <f>Test!E154</f>
        <v>40.11</v>
      </c>
      <c r="P12" s="18">
        <f>Test!F154</f>
        <v>132272.82800000001</v>
      </c>
      <c r="Q12" s="18">
        <f>Test!G154</f>
        <v>15.175000000000001</v>
      </c>
      <c r="R12" s="19">
        <f t="shared" si="2"/>
        <v>36.742452222222227</v>
      </c>
      <c r="S12" s="17">
        <f t="shared" si="3"/>
        <v>1.0687376134690347</v>
      </c>
      <c r="T12" s="18">
        <f t="shared" si="4"/>
        <v>1.009445885718087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11575.008</v>
      </c>
      <c r="E13" s="18">
        <f>Reference!C155</f>
        <v>35.967500000000001</v>
      </c>
      <c r="F13" s="18">
        <f>Reference!D155</f>
        <v>36.419899999999998</v>
      </c>
      <c r="G13" s="18">
        <f>Reference!E155</f>
        <v>38.676600000000001</v>
      </c>
      <c r="H13" s="18">
        <f>Reference!F155</f>
        <v>79216.523000000001</v>
      </c>
      <c r="I13" s="18">
        <f>Reference!G155</f>
        <v>12.89</v>
      </c>
      <c r="J13" s="19">
        <f t="shared" si="1"/>
        <v>22.004589722222221</v>
      </c>
      <c r="L13" s="17">
        <f>Test!B155</f>
        <v>11567.103999999999</v>
      </c>
      <c r="M13" s="18">
        <f>Test!C155</f>
        <v>35.968000000000004</v>
      </c>
      <c r="N13" s="18">
        <f>Test!D155</f>
        <v>36.411200000000001</v>
      </c>
      <c r="O13" s="18">
        <f>Test!E155</f>
        <v>38.6723</v>
      </c>
      <c r="P13" s="18">
        <f>Test!F155</f>
        <v>81367.914000000004</v>
      </c>
      <c r="Q13" s="18">
        <f>Test!G155</f>
        <v>13.852</v>
      </c>
      <c r="R13" s="19">
        <f t="shared" si="2"/>
        <v>22.602198333333334</v>
      </c>
      <c r="S13" s="17">
        <f t="shared" si="3"/>
        <v>1.0271583618988176</v>
      </c>
      <c r="T13" s="18">
        <f t="shared" si="4"/>
        <v>1.0746314972847169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Reference!B156</f>
        <v>5679.5119999999997</v>
      </c>
      <c r="E14" s="23">
        <f>Reference!C156</f>
        <v>34.055300000000003</v>
      </c>
      <c r="F14" s="23">
        <f>Reference!D156</f>
        <v>33.984299999999998</v>
      </c>
      <c r="G14" s="23">
        <f>Reference!E156</f>
        <v>36.912599999999998</v>
      </c>
      <c r="H14" s="23">
        <f>Reference!F156</f>
        <v>45781.311999999998</v>
      </c>
      <c r="I14" s="23">
        <f>Reference!G156</f>
        <v>11.42</v>
      </c>
      <c r="J14" s="24">
        <f t="shared" si="1"/>
        <v>12.71703111111111</v>
      </c>
      <c r="L14" s="22">
        <f>Test!B156</f>
        <v>5674.5519999999997</v>
      </c>
      <c r="M14" s="23">
        <f>Test!C156</f>
        <v>34.054900000000004</v>
      </c>
      <c r="N14" s="23">
        <f>Test!D156</f>
        <v>33.981900000000003</v>
      </c>
      <c r="O14" s="23">
        <f>Test!E156</f>
        <v>36.918399999999998</v>
      </c>
      <c r="P14" s="23">
        <f>Test!F156</f>
        <v>48315.105000000003</v>
      </c>
      <c r="Q14" s="23">
        <f>Test!G156</f>
        <v>12.473000000000001</v>
      </c>
      <c r="R14" s="24">
        <f t="shared" si="2"/>
        <v>13.4208625</v>
      </c>
      <c r="S14" s="17">
        <f t="shared" si="3"/>
        <v>1.0553455741941167</v>
      </c>
      <c r="T14" s="18">
        <f t="shared" si="4"/>
        <v>1.0922066549912435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24491.887999999999</v>
      </c>
      <c r="E15" s="13">
        <f>Reference!C157</f>
        <v>37.539700000000003</v>
      </c>
      <c r="F15" s="13">
        <f>Reference!D157</f>
        <v>45.034599999999998</v>
      </c>
      <c r="G15" s="13">
        <f>Reference!E157</f>
        <v>42.796900000000001</v>
      </c>
      <c r="H15" s="13">
        <f>Reference!F157</f>
        <v>296548.06199999998</v>
      </c>
      <c r="I15" s="13">
        <f>Reference!G157</f>
        <v>28.196000000000002</v>
      </c>
      <c r="J15" s="14">
        <f>H15/3600</f>
        <v>82.374461666666662</v>
      </c>
      <c r="L15" s="12">
        <f>Test!B157</f>
        <v>24482.495999999999</v>
      </c>
      <c r="M15" s="13">
        <f>Test!C157</f>
        <v>37.539900000000003</v>
      </c>
      <c r="N15" s="13">
        <f>Test!D157</f>
        <v>45.044400000000003</v>
      </c>
      <c r="O15" s="13">
        <f>Test!E157</f>
        <v>42.811199999999999</v>
      </c>
      <c r="P15" s="13">
        <f>Test!F157</f>
        <v>302665.875</v>
      </c>
      <c r="Q15" s="13">
        <f>Test!G157</f>
        <v>28.939</v>
      </c>
      <c r="R15" s="14">
        <f>P15/3600</f>
        <v>84.073854166666663</v>
      </c>
      <c r="S15" s="17">
        <f t="shared" si="3"/>
        <v>1.0206300892972959</v>
      </c>
      <c r="T15" s="18">
        <f t="shared" si="4"/>
        <v>1.0263512554972336</v>
      </c>
      <c r="U15" s="91"/>
      <c r="V15" s="37">
        <f>bdrate($D15:$D18,E15:E18,$L15:$L18,M15:M18)</f>
        <v>-1.8960509298271422E-4</v>
      </c>
      <c r="W15" s="42">
        <f>bdrate($D15:$D18,F15:F18,$L15:$L18,N15:N18)</f>
        <v>-1.1828149461214355E-2</v>
      </c>
      <c r="X15" s="43">
        <f>bdrate($D15:$D18,G15:G18,$L15:$L18,O15:O18)</f>
        <v>-8.5219755132549535E-3</v>
      </c>
      <c r="Y15" s="37">
        <f>bdrateOld($D15:$D18,E15:E18,$L15:$L18,M15:M18)</f>
        <v>-8.0741220723901108E-4</v>
      </c>
      <c r="Z15" s="42">
        <f>bdrateOld($D15:$D18,F15:F18,$L15:$L18,N15:N18)</f>
        <v>-1.1091433482881996E-2</v>
      </c>
      <c r="AA15" s="43">
        <f>bdrateOld($D15:$D18,G15:G18,$L15:$L18,O15:O18)</f>
        <v>-8.5337858141821821E-3</v>
      </c>
    </row>
    <row r="16" spans="1:27" x14ac:dyDescent="0.2">
      <c r="A16" s="16"/>
      <c r="B16" s="85"/>
      <c r="C16" s="16">
        <v>48</v>
      </c>
      <c r="D16" s="17">
        <f>Reference!B158</f>
        <v>10317.072</v>
      </c>
      <c r="E16" s="18">
        <f>Reference!C158</f>
        <v>36.917900000000003</v>
      </c>
      <c r="F16" s="18">
        <f>Reference!D158</f>
        <v>44.380600000000001</v>
      </c>
      <c r="G16" s="18">
        <f>Reference!E158</f>
        <v>42.086399999999998</v>
      </c>
      <c r="H16" s="18">
        <f>Reference!F158</f>
        <v>160247.984</v>
      </c>
      <c r="I16" s="18">
        <f>Reference!G158</f>
        <v>23.282</v>
      </c>
      <c r="J16" s="19">
        <f t="shared" ref="J16:J26" si="5">H16/3600</f>
        <v>44.513328888888886</v>
      </c>
      <c r="L16" s="17">
        <f>Test!B158</f>
        <v>10313.799999999999</v>
      </c>
      <c r="M16" s="18">
        <f>Test!C158</f>
        <v>36.917000000000002</v>
      </c>
      <c r="N16" s="18">
        <f>Test!D158</f>
        <v>44.398200000000003</v>
      </c>
      <c r="O16" s="18">
        <f>Test!E158</f>
        <v>42.092500000000001</v>
      </c>
      <c r="P16" s="18">
        <f>Test!F158</f>
        <v>167024.641</v>
      </c>
      <c r="Q16" s="18">
        <f>Test!G158</f>
        <v>24.602</v>
      </c>
      <c r="R16" s="19">
        <f t="shared" ref="R16:R26" si="6">P16/3600</f>
        <v>46.395733611111112</v>
      </c>
      <c r="S16" s="17">
        <f t="shared" si="3"/>
        <v>1.0422885632058871</v>
      </c>
      <c r="T16" s="18">
        <f t="shared" si="4"/>
        <v>1.0566961601237008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5160.4719999999998</v>
      </c>
      <c r="E17" s="18">
        <f>Reference!C159</f>
        <v>35.905700000000003</v>
      </c>
      <c r="F17" s="18">
        <f>Reference!D159</f>
        <v>43.4495</v>
      </c>
      <c r="G17" s="18">
        <f>Reference!E159</f>
        <v>41.128900000000002</v>
      </c>
      <c r="H17" s="18">
        <f>Reference!F159</f>
        <v>86284.766000000003</v>
      </c>
      <c r="I17" s="18">
        <f>Reference!G159</f>
        <v>20.172999999999998</v>
      </c>
      <c r="J17" s="19">
        <f t="shared" si="5"/>
        <v>23.967990555555556</v>
      </c>
      <c r="L17" s="17">
        <f>Test!B159</f>
        <v>5156.6559999999999</v>
      </c>
      <c r="M17" s="18">
        <f>Test!C159</f>
        <v>35.9054</v>
      </c>
      <c r="N17" s="18">
        <f>Test!D159</f>
        <v>43.4649</v>
      </c>
      <c r="O17" s="18">
        <f>Test!E159</f>
        <v>41.1492</v>
      </c>
      <c r="P17" s="18">
        <f>Test!F159</f>
        <v>95014.726999999999</v>
      </c>
      <c r="Q17" s="18">
        <f>Test!G159</f>
        <v>20.742999999999999</v>
      </c>
      <c r="R17" s="19">
        <f t="shared" si="6"/>
        <v>26.392979722222222</v>
      </c>
      <c r="S17" s="17">
        <f t="shared" si="3"/>
        <v>1.1011761566346485</v>
      </c>
      <c r="T17" s="18">
        <f t="shared" si="4"/>
        <v>1.0282555891538194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Reference!B160</f>
        <v>2560.8879999999999</v>
      </c>
      <c r="E18" s="23">
        <f>Reference!C160</f>
        <v>34.327800000000003</v>
      </c>
      <c r="F18" s="23">
        <f>Reference!D160</f>
        <v>42.134700000000002</v>
      </c>
      <c r="G18" s="23">
        <f>Reference!E160</f>
        <v>39.988799999999998</v>
      </c>
      <c r="H18" s="23">
        <f>Reference!F160</f>
        <v>43056.940999999999</v>
      </c>
      <c r="I18" s="23">
        <f>Reference!G160</f>
        <v>15.316000000000001</v>
      </c>
      <c r="J18" s="24">
        <f t="shared" si="5"/>
        <v>11.960261388888888</v>
      </c>
      <c r="L18" s="22">
        <f>Test!B160</f>
        <v>2565.2719999999999</v>
      </c>
      <c r="M18" s="23">
        <f>Test!C160</f>
        <v>34.332799999999999</v>
      </c>
      <c r="N18" s="23">
        <f>Test!D160</f>
        <v>42.148499999999999</v>
      </c>
      <c r="O18" s="23">
        <f>Test!E160</f>
        <v>39.973700000000001</v>
      </c>
      <c r="P18" s="23">
        <f>Test!F160</f>
        <v>43656.875</v>
      </c>
      <c r="Q18" s="23">
        <f>Test!G160</f>
        <v>16.404</v>
      </c>
      <c r="R18" s="24">
        <f t="shared" si="6"/>
        <v>12.126909722222223</v>
      </c>
      <c r="S18" s="17">
        <f t="shared" si="3"/>
        <v>1.0139335026145959</v>
      </c>
      <c r="T18" s="18">
        <f t="shared" si="4"/>
        <v>1.0710368242360928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7973.1711999999998</v>
      </c>
      <c r="E19" s="13">
        <f>Reference!C161</f>
        <v>38.024099999999997</v>
      </c>
      <c r="F19" s="13">
        <f>Reference!D161</f>
        <v>39.740600000000001</v>
      </c>
      <c r="G19" s="13">
        <f>Reference!E161</f>
        <v>42.838200000000001</v>
      </c>
      <c r="H19" s="13">
        <f>Reference!F161</f>
        <v>339227.18800000002</v>
      </c>
      <c r="I19" s="13">
        <f>Reference!G161</f>
        <v>28.157</v>
      </c>
      <c r="J19" s="14">
        <f t="shared" si="5"/>
        <v>94.229774444444445</v>
      </c>
      <c r="L19" s="12">
        <f>Test!B161</f>
        <v>7964.6639999999998</v>
      </c>
      <c r="M19" s="13">
        <f>Test!C161</f>
        <v>38.025100000000002</v>
      </c>
      <c r="N19" s="13">
        <f>Test!D161</f>
        <v>39.744700000000002</v>
      </c>
      <c r="O19" s="13">
        <f>Test!E161</f>
        <v>42.863900000000001</v>
      </c>
      <c r="P19" s="13">
        <f>Test!F161</f>
        <v>348455.21899999998</v>
      </c>
      <c r="Q19" s="13">
        <f>Test!G161</f>
        <v>27.364999999999998</v>
      </c>
      <c r="R19" s="14">
        <f t="shared" si="6"/>
        <v>96.79311638888889</v>
      </c>
      <c r="S19" s="12">
        <f t="shared" si="3"/>
        <v>1.0272030996524959</v>
      </c>
      <c r="T19" s="13">
        <f t="shared" si="4"/>
        <v>0.97187200340945412</v>
      </c>
      <c r="U19" s="90"/>
      <c r="V19" s="37">
        <f>bdrate($D19:$D22,E19:E22,$L19:$L22,M19:M22)</f>
        <v>7.4761991098037939E-4</v>
      </c>
      <c r="W19" s="42">
        <f>bdrate($D19:$D22,F19:F22,$L19:$L22,N19:N22)</f>
        <v>-4.6044303569501288E-3</v>
      </c>
      <c r="X19" s="43">
        <f>bdrate($D19:$D22,G19:G22,$L19:$L22,O19:O22)</f>
        <v>-1.2165209937869848E-2</v>
      </c>
      <c r="Y19" s="37">
        <f>bdrateOld($D19:$D22,E19:E22,$L19:$L22,M19:M22)</f>
        <v>8.6521292715291409E-4</v>
      </c>
      <c r="Z19" s="42">
        <f>bdrateOld($D19:$D22,F19:F22,$L19:$L22,N19:N22)</f>
        <v>-4.2247895837977945E-3</v>
      </c>
      <c r="AA19" s="43">
        <f>bdrateOld($D19:$D22,G19:G22,$L19:$L22,O19:O22)</f>
        <v>-1.1510916953354489E-2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3763.0832</v>
      </c>
      <c r="E20" s="18">
        <f>Reference!C162</f>
        <v>36.685299999999998</v>
      </c>
      <c r="F20" s="18">
        <f>Reference!D162</f>
        <v>39.101100000000002</v>
      </c>
      <c r="G20" s="18">
        <f>Reference!E162</f>
        <v>41.638399999999997</v>
      </c>
      <c r="H20" s="18">
        <f>Reference!F162</f>
        <v>205646.04699999999</v>
      </c>
      <c r="I20" s="18">
        <f>Reference!G162</f>
        <v>21.867000000000001</v>
      </c>
      <c r="J20" s="19">
        <f t="shared" si="5"/>
        <v>57.123901944444441</v>
      </c>
      <c r="L20" s="17">
        <f>Test!B162</f>
        <v>3757.5311999999999</v>
      </c>
      <c r="M20" s="18">
        <f>Test!C162</f>
        <v>36.683399999999999</v>
      </c>
      <c r="N20" s="18">
        <f>Test!D162</f>
        <v>39.108600000000003</v>
      </c>
      <c r="O20" s="18">
        <f>Test!E162</f>
        <v>41.680700000000002</v>
      </c>
      <c r="P20" s="18">
        <f>Test!F162</f>
        <v>213102.95300000001</v>
      </c>
      <c r="Q20" s="18">
        <f>Test!G162</f>
        <v>22.367999999999999</v>
      </c>
      <c r="R20" s="19">
        <f t="shared" si="6"/>
        <v>59.195264722222227</v>
      </c>
      <c r="S20" s="17">
        <f t="shared" si="3"/>
        <v>1.0362608769231534</v>
      </c>
      <c r="T20" s="18">
        <f t="shared" si="4"/>
        <v>1.0229112361092056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1842.904</v>
      </c>
      <c r="E21" s="18">
        <f>Reference!C163</f>
        <v>34.816499999999998</v>
      </c>
      <c r="F21" s="18">
        <f>Reference!D163</f>
        <v>38.272100000000002</v>
      </c>
      <c r="G21" s="18">
        <f>Reference!E163</f>
        <v>40.174300000000002</v>
      </c>
      <c r="H21" s="18">
        <f>Reference!F163</f>
        <v>124462.117</v>
      </c>
      <c r="I21" s="18">
        <f>Reference!G163</f>
        <v>17.356000000000002</v>
      </c>
      <c r="J21" s="19">
        <f t="shared" si="5"/>
        <v>34.572810277777776</v>
      </c>
      <c r="L21" s="17">
        <f>Test!B163</f>
        <v>1844.3616</v>
      </c>
      <c r="M21" s="18">
        <f>Test!C163</f>
        <v>34.813099999999999</v>
      </c>
      <c r="N21" s="18">
        <f>Test!D163</f>
        <v>38.272799999999997</v>
      </c>
      <c r="O21" s="18">
        <f>Test!E163</f>
        <v>40.177500000000002</v>
      </c>
      <c r="P21" s="18">
        <f>Test!F163</f>
        <v>135778.06200000001</v>
      </c>
      <c r="Q21" s="18">
        <f>Test!G163</f>
        <v>18.399000000000001</v>
      </c>
      <c r="R21" s="19">
        <f t="shared" si="6"/>
        <v>37.716128333333337</v>
      </c>
      <c r="S21" s="17">
        <f t="shared" si="3"/>
        <v>1.0909187893694594</v>
      </c>
      <c r="T21" s="18">
        <f t="shared" si="4"/>
        <v>1.0600944918183912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Reference!B164</f>
        <v>882.42560000000003</v>
      </c>
      <c r="E22" s="23">
        <f>Reference!C164</f>
        <v>32.506999999999998</v>
      </c>
      <c r="F22" s="23">
        <f>Reference!D164</f>
        <v>37.261400000000002</v>
      </c>
      <c r="G22" s="23">
        <f>Reference!E164</f>
        <v>38.492199999999997</v>
      </c>
      <c r="H22" s="23">
        <f>Reference!F164</f>
        <v>70037.718999999997</v>
      </c>
      <c r="I22" s="23">
        <f>Reference!G164</f>
        <v>14.446999999999999</v>
      </c>
      <c r="J22" s="24">
        <f t="shared" si="5"/>
        <v>19.454921944444443</v>
      </c>
      <c r="L22" s="22">
        <f>Test!B164</f>
        <v>881.45439999999996</v>
      </c>
      <c r="M22" s="23">
        <f>Test!C164</f>
        <v>32.499699999999997</v>
      </c>
      <c r="N22" s="23">
        <f>Test!D164</f>
        <v>37.2727</v>
      </c>
      <c r="O22" s="23">
        <f>Test!E164</f>
        <v>38.522199999999998</v>
      </c>
      <c r="P22" s="23">
        <f>Test!F164</f>
        <v>75299.781000000003</v>
      </c>
      <c r="Q22" s="23">
        <f>Test!G164</f>
        <v>15.907</v>
      </c>
      <c r="R22" s="24">
        <f t="shared" si="6"/>
        <v>20.916605833333335</v>
      </c>
      <c r="S22" s="17">
        <f t="shared" si="3"/>
        <v>1.0751318300357555</v>
      </c>
      <c r="T22" s="18">
        <f t="shared" si="4"/>
        <v>1.1010590434000138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9103.7952000000005</v>
      </c>
      <c r="E23" s="13">
        <f>Reference!C165</f>
        <v>38.740499999999997</v>
      </c>
      <c r="F23" s="13">
        <f>Reference!D165</f>
        <v>43.692599999999999</v>
      </c>
      <c r="G23" s="13">
        <f>Reference!E165</f>
        <v>44.6235</v>
      </c>
      <c r="H23" s="13">
        <f>Reference!F165</f>
        <v>364681.06199999998</v>
      </c>
      <c r="I23" s="13">
        <f>Reference!G165</f>
        <v>33.786000000000001</v>
      </c>
      <c r="J23" s="14">
        <f t="shared" si="5"/>
        <v>101.30029499999999</v>
      </c>
      <c r="L23" s="12">
        <f>Test!B165</f>
        <v>9101.0864000000001</v>
      </c>
      <c r="M23" s="13">
        <f>Test!C165</f>
        <v>38.741100000000003</v>
      </c>
      <c r="N23" s="13">
        <f>Test!D165</f>
        <v>43.687100000000001</v>
      </c>
      <c r="O23" s="13">
        <f>Test!E165</f>
        <v>44.628700000000002</v>
      </c>
      <c r="P23" s="13">
        <f>Test!F165</f>
        <v>374169.65600000002</v>
      </c>
      <c r="Q23" s="13">
        <f>Test!G165</f>
        <v>32.999000000000002</v>
      </c>
      <c r="R23" s="14">
        <f t="shared" si="6"/>
        <v>103.93601555555556</v>
      </c>
      <c r="S23" s="17">
        <f t="shared" si="3"/>
        <v>1.0260188833167323</v>
      </c>
      <c r="T23" s="18">
        <f t="shared" si="4"/>
        <v>0.976706328064879</v>
      </c>
      <c r="U23" s="91"/>
      <c r="V23" s="37">
        <f>bdrate($D23:$D26,E23:E26,$L23:$L26,M23:M26)</f>
        <v>-3.3509273396614692E-4</v>
      </c>
      <c r="W23" s="42">
        <f>bdrate($D23:$D26,F23:F26,$L23:$L26,N23:N26)</f>
        <v>-3.5133619150067297E-3</v>
      </c>
      <c r="X23" s="43">
        <f>bdrate($D23:$D26,G23:G26,$L23:$L26,O23:O26)</f>
        <v>-1.884540446939198E-4</v>
      </c>
      <c r="Y23" s="37">
        <f>bdrateOld($D23:$D26,E23:E26,$L23:$L26,M23:M26)</f>
        <v>-2.9035354078910114E-4</v>
      </c>
      <c r="Z23" s="42">
        <f>bdrateOld($D23:$D26,F23:F26,$L23:$L26,N23:N26)</f>
        <v>-3.642393765707741E-3</v>
      </c>
      <c r="AA23" s="43">
        <f>bdrateOld($D23:$D26,G23:G26,$L23:$L26,O23:O26)</f>
        <v>-2.9940090012192666E-4</v>
      </c>
    </row>
    <row r="24" spans="1:27" x14ac:dyDescent="0.2">
      <c r="A24" s="34"/>
      <c r="B24" s="85"/>
      <c r="C24" s="16">
        <v>32</v>
      </c>
      <c r="D24" s="17">
        <f>Reference!B166</f>
        <v>4702.6463999999996</v>
      </c>
      <c r="E24" s="18">
        <f>Reference!C166</f>
        <v>37.533999999999999</v>
      </c>
      <c r="F24" s="18">
        <f>Reference!D166</f>
        <v>42.716700000000003</v>
      </c>
      <c r="G24" s="18">
        <f>Reference!E166</f>
        <v>43.120100000000001</v>
      </c>
      <c r="H24" s="18">
        <f>Reference!F166</f>
        <v>229839.68799999999</v>
      </c>
      <c r="I24" s="18">
        <f>Reference!G166</f>
        <v>27.620999999999999</v>
      </c>
      <c r="J24" s="19">
        <f t="shared" si="5"/>
        <v>63.844357777777773</v>
      </c>
      <c r="L24" s="17">
        <f>Test!B166</f>
        <v>4702.0511999999999</v>
      </c>
      <c r="M24" s="18">
        <f>Test!C166</f>
        <v>37.5351</v>
      </c>
      <c r="N24" s="18">
        <f>Test!D166</f>
        <v>42.715600000000002</v>
      </c>
      <c r="O24" s="18">
        <f>Test!E166</f>
        <v>43.120600000000003</v>
      </c>
      <c r="P24" s="18">
        <f>Test!F166</f>
        <v>238094.766</v>
      </c>
      <c r="Q24" s="18">
        <f>Test!G166</f>
        <v>28.452999999999999</v>
      </c>
      <c r="R24" s="19">
        <f t="shared" si="6"/>
        <v>66.137434999999996</v>
      </c>
      <c r="S24" s="17">
        <f t="shared" si="3"/>
        <v>1.0359166777149471</v>
      </c>
      <c r="T24" s="18">
        <f t="shared" si="4"/>
        <v>1.0301220086166323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2396.8175999999999</v>
      </c>
      <c r="E25" s="18">
        <f>Reference!C167</f>
        <v>35.859200000000001</v>
      </c>
      <c r="F25" s="18">
        <f>Reference!D167</f>
        <v>41.477699999999999</v>
      </c>
      <c r="G25" s="18">
        <f>Reference!E167</f>
        <v>41.391399999999997</v>
      </c>
      <c r="H25" s="18">
        <f>Reference!F167</f>
        <v>134931.516</v>
      </c>
      <c r="I25" s="18">
        <f>Reference!G167</f>
        <v>22.521999999999998</v>
      </c>
      <c r="J25" s="19">
        <f t="shared" si="5"/>
        <v>37.48097666666667</v>
      </c>
      <c r="L25" s="17">
        <f>Test!B167</f>
        <v>2397.5392000000002</v>
      </c>
      <c r="M25" s="18">
        <f>Test!C167</f>
        <v>35.859299999999998</v>
      </c>
      <c r="N25" s="18">
        <f>Test!D167</f>
        <v>41.494900000000001</v>
      </c>
      <c r="O25" s="18">
        <f>Test!E167</f>
        <v>41.397199999999998</v>
      </c>
      <c r="P25" s="18">
        <f>Test!F167</f>
        <v>140041.43799999999</v>
      </c>
      <c r="Q25" s="18">
        <f>Test!G167</f>
        <v>23.666</v>
      </c>
      <c r="R25" s="19">
        <f t="shared" si="6"/>
        <v>38.900399444444446</v>
      </c>
      <c r="S25" s="17">
        <f t="shared" si="3"/>
        <v>1.0378704853505092</v>
      </c>
      <c r="T25" s="18">
        <f t="shared" si="4"/>
        <v>1.0507947784388598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Reference!B168</f>
        <v>1187.9616000000001</v>
      </c>
      <c r="E26" s="23">
        <f>Reference!C168</f>
        <v>33.761200000000002</v>
      </c>
      <c r="F26" s="23">
        <f>Reference!D168</f>
        <v>40.123199999999997</v>
      </c>
      <c r="G26" s="23">
        <f>Reference!E168</f>
        <v>39.4696</v>
      </c>
      <c r="H26" s="23">
        <f>Reference!F168</f>
        <v>76297.710999999996</v>
      </c>
      <c r="I26" s="23">
        <f>Reference!G168</f>
        <v>19.201000000000001</v>
      </c>
      <c r="J26" s="24">
        <f t="shared" si="5"/>
        <v>21.193808611111109</v>
      </c>
      <c r="L26" s="22">
        <f>Test!B168</f>
        <v>1187.68</v>
      </c>
      <c r="M26" s="23">
        <f>Test!C168</f>
        <v>33.764699999999998</v>
      </c>
      <c r="N26" s="23">
        <f>Test!D168</f>
        <v>40.126899999999999</v>
      </c>
      <c r="O26" s="23">
        <f>Test!E168</f>
        <v>39.448799999999999</v>
      </c>
      <c r="P26" s="23">
        <f>Test!F168</f>
        <v>77811.601999999999</v>
      </c>
      <c r="Q26" s="23">
        <f>Test!G168</f>
        <v>19.79</v>
      </c>
      <c r="R26" s="24">
        <f t="shared" si="6"/>
        <v>21.61433388888889</v>
      </c>
      <c r="S26" s="17">
        <f t="shared" si="3"/>
        <v>1.0198418927666126</v>
      </c>
      <c r="T26" s="18">
        <f t="shared" si="4"/>
        <v>1.0306754856517888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6358.9056</v>
      </c>
      <c r="E27" s="13">
        <f>Reference!C169</f>
        <v>39.8339</v>
      </c>
      <c r="F27" s="13">
        <f>Reference!D169</f>
        <v>43.8033</v>
      </c>
      <c r="G27" s="13">
        <f>Reference!E169</f>
        <v>44.5047</v>
      </c>
      <c r="H27" s="13">
        <f>Reference!F169</f>
        <v>331292.875</v>
      </c>
      <c r="I27" s="13">
        <f>Reference!G169</f>
        <v>34.350999999999999</v>
      </c>
      <c r="J27" s="14">
        <f>H27/3600</f>
        <v>92.025798611111114</v>
      </c>
      <c r="L27" s="12">
        <f>Test!B169</f>
        <v>6352.44</v>
      </c>
      <c r="M27" s="13">
        <f>Test!C169</f>
        <v>39.834499999999998</v>
      </c>
      <c r="N27" s="13">
        <f>Test!D169</f>
        <v>43.810099999999998</v>
      </c>
      <c r="O27" s="13">
        <f>Test!E169</f>
        <v>44.555199999999999</v>
      </c>
      <c r="P27" s="13">
        <f>Test!F169</f>
        <v>343620.96899999998</v>
      </c>
      <c r="Q27" s="13">
        <f>Test!G169</f>
        <v>33.289000000000001</v>
      </c>
      <c r="R27" s="14">
        <f>P27/3600</f>
        <v>95.450269166666658</v>
      </c>
      <c r="S27" s="17">
        <f t="shared" ref="S27:T46" si="7">P27/H27</f>
        <v>1.0372120710413708</v>
      </c>
      <c r="T27" s="18">
        <f t="shared" si="7"/>
        <v>0.96908386946522673</v>
      </c>
      <c r="U27" s="91"/>
      <c r="V27" s="37">
        <f>bdrate($D27:$D30,E27:E30,$L27:$L30,M27:M30)</f>
        <v>6.5239338060241181E-4</v>
      </c>
      <c r="W27" s="42">
        <f>bdrate($D27:$D30,F27:F30,$L27:$L30,N27:N30)</f>
        <v>-1.135096916283973E-2</v>
      </c>
      <c r="X27" s="43">
        <f>bdrate($D27:$D30,G27:G30,$L27:$L30,O27:O30)</f>
        <v>-4.0706793668240371E-3</v>
      </c>
      <c r="Y27" s="37">
        <f>bdrateOld($D27:$D30,E27:E30,$L27:$L30,M27:M30)</f>
        <v>6.5234414284587317E-4</v>
      </c>
      <c r="Z27" s="42">
        <f>bdrateOld($D27:$D30,F27:F30,$L27:$L30,N27:N30)</f>
        <v>-1.1282349350180243E-2</v>
      </c>
      <c r="AA27" s="43">
        <f>bdrateOld($D27:$D30,G27:G30,$L27:$L30,O27:O30)</f>
        <v>-5.6911475594503269E-3</v>
      </c>
    </row>
    <row r="28" spans="1:27" x14ac:dyDescent="0.2">
      <c r="A28" s="16"/>
      <c r="B28" s="85"/>
      <c r="C28" s="16">
        <v>48</v>
      </c>
      <c r="D28" s="17">
        <f>Reference!B170</f>
        <v>3030.3216000000002</v>
      </c>
      <c r="E28" s="18">
        <f>Reference!C170</f>
        <v>38.535800000000002</v>
      </c>
      <c r="F28" s="18">
        <f>Reference!D170</f>
        <v>42.926499999999997</v>
      </c>
      <c r="G28" s="18">
        <f>Reference!E170</f>
        <v>43.664999999999999</v>
      </c>
      <c r="H28" s="18">
        <f>Reference!F170</f>
        <v>193023.03099999999</v>
      </c>
      <c r="I28" s="18">
        <f>Reference!G170</f>
        <v>26.494</v>
      </c>
      <c r="J28" s="19">
        <f t="shared" ref="J28:J46" si="8">H28/3600</f>
        <v>53.617508611111106</v>
      </c>
      <c r="L28" s="17">
        <f>Test!B170</f>
        <v>3030.6</v>
      </c>
      <c r="M28" s="18">
        <f>Test!C170</f>
        <v>38.536299999999997</v>
      </c>
      <c r="N28" s="18">
        <f>Test!D170</f>
        <v>42.941499999999998</v>
      </c>
      <c r="O28" s="18">
        <f>Test!E170</f>
        <v>43.6556</v>
      </c>
      <c r="P28" s="18">
        <f>Test!F170</f>
        <v>197553.109</v>
      </c>
      <c r="Q28" s="18">
        <f>Test!G170</f>
        <v>27.292999999999999</v>
      </c>
      <c r="R28" s="19">
        <f t="shared" ref="R28:R46" si="9">P28/3600</f>
        <v>54.875863611111107</v>
      </c>
      <c r="S28" s="17">
        <f t="shared" si="7"/>
        <v>1.0234691061296204</v>
      </c>
      <c r="T28" s="18">
        <f t="shared" si="7"/>
        <v>1.0301577715709218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1460.0319999999999</v>
      </c>
      <c r="E29" s="18">
        <f>Reference!C171</f>
        <v>36.723399999999998</v>
      </c>
      <c r="F29" s="18">
        <f>Reference!D171</f>
        <v>41.835099999999997</v>
      </c>
      <c r="G29" s="18">
        <f>Reference!E171</f>
        <v>42.414499999999997</v>
      </c>
      <c r="H29" s="18">
        <f>Reference!F171</f>
        <v>106688.82799999999</v>
      </c>
      <c r="I29" s="18">
        <f>Reference!G171</f>
        <v>21.416</v>
      </c>
      <c r="J29" s="19">
        <f t="shared" si="8"/>
        <v>29.635785555555554</v>
      </c>
      <c r="L29" s="17">
        <f>Test!B171</f>
        <v>1461.616</v>
      </c>
      <c r="M29" s="18">
        <f>Test!C171</f>
        <v>36.724899999999998</v>
      </c>
      <c r="N29" s="18">
        <f>Test!D171</f>
        <v>41.852499999999999</v>
      </c>
      <c r="O29" s="18">
        <f>Test!E171</f>
        <v>42.420999999999999</v>
      </c>
      <c r="P29" s="18">
        <f>Test!F171</f>
        <v>109713.523</v>
      </c>
      <c r="Q29" s="18">
        <f>Test!G171</f>
        <v>22.93</v>
      </c>
      <c r="R29" s="19">
        <f t="shared" si="9"/>
        <v>30.47597861111111</v>
      </c>
      <c r="S29" s="17">
        <f t="shared" si="7"/>
        <v>1.0283506254281845</v>
      </c>
      <c r="T29" s="18">
        <f t="shared" si="7"/>
        <v>1.0706948076204705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Reference!B172</f>
        <v>686.01599999999996</v>
      </c>
      <c r="E30" s="23">
        <f>Reference!C172</f>
        <v>34.429900000000004</v>
      </c>
      <c r="F30" s="23">
        <f>Reference!D172</f>
        <v>40.660400000000003</v>
      </c>
      <c r="G30" s="23">
        <f>Reference!E172</f>
        <v>41.048699999999997</v>
      </c>
      <c r="H30" s="23">
        <f>Reference!F172</f>
        <v>55638.038999999997</v>
      </c>
      <c r="I30" s="23">
        <f>Reference!G172</f>
        <v>17.800999999999998</v>
      </c>
      <c r="J30" s="24">
        <f t="shared" si="8"/>
        <v>15.455010833333333</v>
      </c>
      <c r="L30" s="22">
        <f>Test!B172</f>
        <v>687.23360000000002</v>
      </c>
      <c r="M30" s="23">
        <f>Test!C172</f>
        <v>34.424199999999999</v>
      </c>
      <c r="N30" s="23">
        <f>Test!D172</f>
        <v>40.692500000000003</v>
      </c>
      <c r="O30" s="23">
        <f>Test!E172</f>
        <v>41.063600000000001</v>
      </c>
      <c r="P30" s="23">
        <f>Test!F172</f>
        <v>57966.832000000002</v>
      </c>
      <c r="Q30" s="23">
        <f>Test!G172</f>
        <v>19.760999999999999</v>
      </c>
      <c r="R30" s="24">
        <f t="shared" si="9"/>
        <v>16.101897777777779</v>
      </c>
      <c r="S30" s="17">
        <f t="shared" si="7"/>
        <v>1.0418561301198987</v>
      </c>
      <c r="T30" s="18">
        <f t="shared" si="7"/>
        <v>1.1101061738104601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6708.3231999999998</v>
      </c>
      <c r="E31" s="13">
        <f>Reference!C173</f>
        <v>43.388300000000001</v>
      </c>
      <c r="F31" s="13">
        <f>Reference!D173</f>
        <v>46.711799999999997</v>
      </c>
      <c r="G31" s="13">
        <f>Reference!E173</f>
        <v>47.307699999999997</v>
      </c>
      <c r="H31" s="13">
        <f>Reference!F173</f>
        <v>278995.78100000002</v>
      </c>
      <c r="I31" s="13">
        <f>Reference!G173</f>
        <v>34.289000000000001</v>
      </c>
      <c r="J31" s="14">
        <f t="shared" si="8"/>
        <v>77.498828055555563</v>
      </c>
      <c r="L31" s="12">
        <f>Test!B173</f>
        <v>6705.5519999999997</v>
      </c>
      <c r="M31" s="13">
        <f>Test!C173</f>
        <v>43.387</v>
      </c>
      <c r="N31" s="13">
        <f>Test!D173</f>
        <v>46.732199999999999</v>
      </c>
      <c r="O31" s="13">
        <f>Test!E173</f>
        <v>47.313099999999999</v>
      </c>
      <c r="P31" s="13">
        <f>Test!F173</f>
        <v>286908.53100000002</v>
      </c>
      <c r="Q31" s="13">
        <f>Test!G173</f>
        <v>35.347999999999999</v>
      </c>
      <c r="R31" s="14">
        <f t="shared" si="9"/>
        <v>79.69681416666667</v>
      </c>
      <c r="S31" s="17">
        <f t="shared" si="7"/>
        <v>1.028361539990456</v>
      </c>
      <c r="T31" s="18">
        <f t="shared" si="7"/>
        <v>1.0308845402315612</v>
      </c>
      <c r="U31" s="91"/>
      <c r="V31" s="37">
        <f>bdrate($D31:$D34,E31:E34,$L31:$L34,M31:M34)</f>
        <v>-5.5792169726232022E-4</v>
      </c>
      <c r="W31" s="42">
        <f>bdrate($D31:$D34,F31:F34,$L31:$L34,N31:N34)</f>
        <v>-2.7045337534666869E-3</v>
      </c>
      <c r="X31" s="42">
        <f>bdrate($D31:$D34,G31:G34,$L31:$L34,O31:O34)</f>
        <v>1.5785637555820742E-4</v>
      </c>
      <c r="Y31" s="40">
        <f>bdrateOld($D31:$D34,E31:E34,$L31:$L34,M31:M34)</f>
        <v>-5.4896212200838956E-4</v>
      </c>
      <c r="Z31" s="44">
        <f>bdrateOld($D31:$D34,F31:F34,$L31:$L34,N31:N34)</f>
        <v>-2.7549634833090586E-3</v>
      </c>
      <c r="AA31" s="45">
        <f>bdrateOld($D31:$D34,G31:G34,$L31:$L34,O31:O34)</f>
        <v>1.2341717833597166E-4</v>
      </c>
    </row>
    <row r="32" spans="1:27" x14ac:dyDescent="0.2">
      <c r="A32" s="16"/>
      <c r="B32" s="85"/>
      <c r="C32" s="16">
        <v>48</v>
      </c>
      <c r="D32" s="17">
        <f>Reference!B174</f>
        <v>4083.68</v>
      </c>
      <c r="E32" s="18">
        <f>Reference!C174</f>
        <v>41.071399999999997</v>
      </c>
      <c r="F32" s="18">
        <f>Reference!D174</f>
        <v>45.270800000000001</v>
      </c>
      <c r="G32" s="18">
        <f>Reference!E174</f>
        <v>45.639299999999999</v>
      </c>
      <c r="H32" s="18">
        <f>Reference!F174</f>
        <v>192126.45300000001</v>
      </c>
      <c r="I32" s="18">
        <f>Reference!G174</f>
        <v>30.056999999999999</v>
      </c>
      <c r="J32" s="19">
        <f t="shared" si="8"/>
        <v>53.368459166666668</v>
      </c>
      <c r="L32" s="17">
        <f>Test!B174</f>
        <v>4084.2080000000001</v>
      </c>
      <c r="M32" s="18">
        <f>Test!C174</f>
        <v>41.075699999999998</v>
      </c>
      <c r="N32" s="18">
        <f>Test!D174</f>
        <v>45.279600000000002</v>
      </c>
      <c r="O32" s="18">
        <f>Test!E174</f>
        <v>45.630499999999998</v>
      </c>
      <c r="P32" s="18">
        <f>Test!F174</f>
        <v>205060.59400000001</v>
      </c>
      <c r="Q32" s="18">
        <f>Test!G174</f>
        <v>31.247</v>
      </c>
      <c r="R32" s="19">
        <f t="shared" si="9"/>
        <v>56.961276111111111</v>
      </c>
      <c r="S32" s="17">
        <f t="shared" si="7"/>
        <v>1.0673209794801135</v>
      </c>
      <c r="T32" s="18">
        <f t="shared" si="7"/>
        <v>1.039591442925109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2256.8256000000001</v>
      </c>
      <c r="E33" s="18">
        <f>Reference!C175</f>
        <v>38.265500000000003</v>
      </c>
      <c r="F33" s="18">
        <f>Reference!D175</f>
        <v>43.596299999999999</v>
      </c>
      <c r="G33" s="18">
        <f>Reference!E175</f>
        <v>43.768599999999999</v>
      </c>
      <c r="H33" s="18">
        <f>Reference!F175</f>
        <v>121896.008</v>
      </c>
      <c r="I33" s="18">
        <f>Reference!G175</f>
        <v>25.123000000000001</v>
      </c>
      <c r="J33" s="19">
        <f t="shared" si="8"/>
        <v>33.860002222222221</v>
      </c>
      <c r="L33" s="17">
        <f>Test!B175</f>
        <v>2258.1536000000001</v>
      </c>
      <c r="M33" s="18">
        <f>Test!C175</f>
        <v>38.271599999999999</v>
      </c>
      <c r="N33" s="18">
        <f>Test!D175</f>
        <v>43.611800000000002</v>
      </c>
      <c r="O33" s="18">
        <f>Test!E175</f>
        <v>43.770099999999999</v>
      </c>
      <c r="P33" s="18">
        <f>Test!F175</f>
        <v>123653.156</v>
      </c>
      <c r="Q33" s="18">
        <f>Test!G175</f>
        <v>26.111999999999998</v>
      </c>
      <c r="R33" s="19">
        <f t="shared" si="9"/>
        <v>34.348098888888892</v>
      </c>
      <c r="S33" s="17">
        <f t="shared" si="7"/>
        <v>1.0144151398296817</v>
      </c>
      <c r="T33" s="18">
        <f t="shared" si="7"/>
        <v>1.0393663177168331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Reference!B176</f>
        <v>1173.7696000000001</v>
      </c>
      <c r="E34" s="23">
        <f>Reference!C176</f>
        <v>35.31</v>
      </c>
      <c r="F34" s="23">
        <f>Reference!D176</f>
        <v>42.013100000000001</v>
      </c>
      <c r="G34" s="23">
        <f>Reference!E176</f>
        <v>41.904200000000003</v>
      </c>
      <c r="H34" s="23">
        <f>Reference!F176</f>
        <v>70702.141000000003</v>
      </c>
      <c r="I34" s="23">
        <f>Reference!G176</f>
        <v>20.672000000000001</v>
      </c>
      <c r="J34" s="24">
        <f t="shared" si="8"/>
        <v>19.63948361111111</v>
      </c>
      <c r="L34" s="22">
        <f>Test!B176</f>
        <v>1173.192</v>
      </c>
      <c r="M34" s="23">
        <f>Test!C176</f>
        <v>35.307000000000002</v>
      </c>
      <c r="N34" s="23">
        <f>Test!D176</f>
        <v>41.988700000000001</v>
      </c>
      <c r="O34" s="23">
        <f>Test!E176</f>
        <v>41.917299999999997</v>
      </c>
      <c r="P34" s="23">
        <f>Test!F176</f>
        <v>74634.351999999999</v>
      </c>
      <c r="Q34" s="23">
        <f>Test!G176</f>
        <v>21.866</v>
      </c>
      <c r="R34" s="24">
        <f t="shared" si="9"/>
        <v>20.731764444444444</v>
      </c>
      <c r="S34" s="17">
        <f t="shared" si="7"/>
        <v>1.0556165760241969</v>
      </c>
      <c r="T34" s="18">
        <f t="shared" si="7"/>
        <v>1.0577592879256965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4680.1472000000003</v>
      </c>
      <c r="E35" s="13">
        <f>Reference!C177</f>
        <v>38.454799999999999</v>
      </c>
      <c r="F35" s="13">
        <f>Reference!D177</f>
        <v>45.521700000000003</v>
      </c>
      <c r="G35" s="13">
        <f>Reference!E177</f>
        <v>45.7318</v>
      </c>
      <c r="H35" s="13">
        <f>Reference!F177</f>
        <v>190105.84400000001</v>
      </c>
      <c r="I35" s="13">
        <f>Reference!G177</f>
        <v>15.61</v>
      </c>
      <c r="J35" s="14">
        <f t="shared" si="8"/>
        <v>52.807178888888892</v>
      </c>
      <c r="L35" s="12">
        <f>Test!B177</f>
        <v>4672.1440000000002</v>
      </c>
      <c r="M35" s="13">
        <f>Test!C177</f>
        <v>38.4557</v>
      </c>
      <c r="N35" s="13">
        <f>Test!D177</f>
        <v>45.524000000000001</v>
      </c>
      <c r="O35" s="13">
        <f>Test!E177</f>
        <v>45.743400000000001</v>
      </c>
      <c r="P35" s="13">
        <f>Test!F177</f>
        <v>207769.40599999999</v>
      </c>
      <c r="Q35" s="13">
        <f>Test!G177</f>
        <v>16.324000000000002</v>
      </c>
      <c r="R35" s="14">
        <f t="shared" si="9"/>
        <v>57.713723888888886</v>
      </c>
      <c r="S35" s="12">
        <f t="shared" si="7"/>
        <v>1.0929143556470573</v>
      </c>
      <c r="T35" s="13">
        <f t="shared" si="7"/>
        <v>1.0457399103139016</v>
      </c>
      <c r="U35" s="90"/>
      <c r="V35" s="37">
        <f>bdrate($D35:$D38,E35:E38,$L35:$L38,M35:M38)</f>
        <v>-6.7899046916819472E-4</v>
      </c>
      <c r="W35" s="42">
        <f>bdrate($D35:$D38,F35:F38,$L35:$L38,N35:N38)</f>
        <v>7.6964720069061521E-3</v>
      </c>
      <c r="X35" s="42">
        <f>bdrate($D35:$D38,G35:G38,$L35:$L38,O35:O38)</f>
        <v>-1.366758155270742E-2</v>
      </c>
      <c r="Y35" s="40">
        <f>bdrateOld($D35:$D38,E35:E38,$L35:$L38,M35:M38)</f>
        <v>-6.7669320478547235E-4</v>
      </c>
      <c r="Z35" s="44">
        <f>bdrateOld($D35:$D38,F35:F38,$L35:$L38,N35:N38)</f>
        <v>7.4133647362490951E-3</v>
      </c>
      <c r="AA35" s="45">
        <f>bdrateOld($D35:$D38,G35:G38,$L35:$L38,O35:O38)</f>
        <v>-1.3614369232419321E-2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1634.7488000000001</v>
      </c>
      <c r="E36" s="18">
        <f>Reference!C178</f>
        <v>36.460500000000003</v>
      </c>
      <c r="F36" s="18">
        <f>Reference!D178</f>
        <v>44.541800000000002</v>
      </c>
      <c r="G36" s="18">
        <f>Reference!E178</f>
        <v>44.745199999999997</v>
      </c>
      <c r="H36" s="18">
        <f>Reference!F178</f>
        <v>97640.906000000003</v>
      </c>
      <c r="I36" s="18">
        <f>Reference!G178</f>
        <v>11.167</v>
      </c>
      <c r="J36" s="19">
        <f t="shared" si="8"/>
        <v>27.122473888888891</v>
      </c>
      <c r="L36" s="17">
        <f>Test!B178</f>
        <v>1631.9408000000001</v>
      </c>
      <c r="M36" s="18">
        <f>Test!C178</f>
        <v>36.459699999999998</v>
      </c>
      <c r="N36" s="18">
        <f>Test!D178</f>
        <v>44.551900000000003</v>
      </c>
      <c r="O36" s="18">
        <f>Test!E178</f>
        <v>44.767099999999999</v>
      </c>
      <c r="P36" s="18">
        <f>Test!F178</f>
        <v>101901.69500000001</v>
      </c>
      <c r="Q36" s="18">
        <f>Test!G178</f>
        <v>11.981</v>
      </c>
      <c r="R36" s="19">
        <f t="shared" si="9"/>
        <v>28.306026388888892</v>
      </c>
      <c r="S36" s="17">
        <f t="shared" si="7"/>
        <v>1.0436373357699078</v>
      </c>
      <c r="T36" s="18">
        <f t="shared" si="7"/>
        <v>1.0728933464672696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652.97280000000001</v>
      </c>
      <c r="E37" s="18">
        <f>Reference!C179</f>
        <v>34.034999999999997</v>
      </c>
      <c r="F37" s="18">
        <f>Reference!D179</f>
        <v>43.231000000000002</v>
      </c>
      <c r="G37" s="18">
        <f>Reference!E179</f>
        <v>43.376300000000001</v>
      </c>
      <c r="H37" s="18">
        <f>Reference!F179</f>
        <v>54701.175999999999</v>
      </c>
      <c r="I37" s="18">
        <f>Reference!G179</f>
        <v>8.1240000000000006</v>
      </c>
      <c r="J37" s="19">
        <f t="shared" si="8"/>
        <v>15.194771111111111</v>
      </c>
      <c r="L37" s="17">
        <f>Test!B179</f>
        <v>651.6848</v>
      </c>
      <c r="M37" s="18">
        <f>Test!C179</f>
        <v>34.029800000000002</v>
      </c>
      <c r="N37" s="18">
        <f>Test!D179</f>
        <v>43.190100000000001</v>
      </c>
      <c r="O37" s="18">
        <f>Test!E179</f>
        <v>43.385800000000003</v>
      </c>
      <c r="P37" s="18">
        <f>Test!F179</f>
        <v>57546.811999999998</v>
      </c>
      <c r="Q37" s="18">
        <f>Test!G179</f>
        <v>8.8970000000000002</v>
      </c>
      <c r="R37" s="19">
        <f t="shared" si="9"/>
        <v>15.985225555555555</v>
      </c>
      <c r="S37" s="17">
        <f t="shared" si="7"/>
        <v>1.0520214775638461</v>
      </c>
      <c r="T37" s="18">
        <f t="shared" si="7"/>
        <v>1.0951501723289019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Reference!B180</f>
        <v>274.57760000000002</v>
      </c>
      <c r="E38" s="23">
        <f>Reference!C180</f>
        <v>31.018000000000001</v>
      </c>
      <c r="F38" s="23">
        <f>Reference!D180</f>
        <v>41.9559</v>
      </c>
      <c r="G38" s="23">
        <f>Reference!E180</f>
        <v>41.966099999999997</v>
      </c>
      <c r="H38" s="23">
        <f>Reference!F180</f>
        <v>30588.766</v>
      </c>
      <c r="I38" s="23">
        <f>Reference!G180</f>
        <v>6.4610000000000003</v>
      </c>
      <c r="J38" s="24">
        <f t="shared" si="8"/>
        <v>8.4968794444444438</v>
      </c>
      <c r="L38" s="22">
        <f>Test!B180</f>
        <v>274.36799999999999</v>
      </c>
      <c r="M38" s="23">
        <f>Test!C180</f>
        <v>31.013100000000001</v>
      </c>
      <c r="N38" s="23">
        <f>Test!D180</f>
        <v>41.9437</v>
      </c>
      <c r="O38" s="23">
        <f>Test!E180</f>
        <v>41.99</v>
      </c>
      <c r="P38" s="23">
        <f>Test!F180</f>
        <v>30535.576000000001</v>
      </c>
      <c r="Q38" s="23">
        <f>Test!G180</f>
        <v>6.6959999999999997</v>
      </c>
      <c r="R38" s="24">
        <f t="shared" si="9"/>
        <v>8.4821044444444453</v>
      </c>
      <c r="S38" s="17">
        <f t="shared" si="7"/>
        <v>0.99826112632330444</v>
      </c>
      <c r="T38" s="18">
        <f t="shared" si="7"/>
        <v>1.0363720786255997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3766.6127999999999</v>
      </c>
      <c r="E39" s="13">
        <f>Reference!C181</f>
        <v>40.5306</v>
      </c>
      <c r="F39" s="13">
        <f>Reference!D181</f>
        <v>45.262999999999998</v>
      </c>
      <c r="G39" s="13">
        <f>Reference!E181</f>
        <v>46.066200000000002</v>
      </c>
      <c r="H39" s="13">
        <f>Reference!F181</f>
        <v>163149.734</v>
      </c>
      <c r="I39" s="13">
        <f>Reference!G181</f>
        <v>16.081</v>
      </c>
      <c r="J39" s="14">
        <f t="shared" si="8"/>
        <v>45.319370555555558</v>
      </c>
      <c r="L39" s="12">
        <f>Test!B181</f>
        <v>3773.6559999999999</v>
      </c>
      <c r="M39" s="13">
        <f>Test!C181</f>
        <v>40.530999999999999</v>
      </c>
      <c r="N39" s="13">
        <f>Test!D181</f>
        <v>45.259099999999997</v>
      </c>
      <c r="O39" s="13">
        <f>Test!E181</f>
        <v>46.052300000000002</v>
      </c>
      <c r="P39" s="13">
        <f>Test!F181</f>
        <v>170259.875</v>
      </c>
      <c r="Q39" s="13">
        <f>Test!G181</f>
        <v>17.338000000000001</v>
      </c>
      <c r="R39" s="14">
        <f t="shared" si="9"/>
        <v>47.29440972222222</v>
      </c>
      <c r="S39" s="17">
        <f t="shared" si="7"/>
        <v>1.0435804633306973</v>
      </c>
      <c r="T39" s="18">
        <f t="shared" si="7"/>
        <v>1.0781667806728439</v>
      </c>
      <c r="U39" s="91"/>
      <c r="V39" s="37">
        <f>bdrate($D39:$D42,E39:E42,$L39:$L42,M39:M42)</f>
        <v>-2.7464005151867088E-4</v>
      </c>
      <c r="W39" s="42">
        <f>bdrate($D39:$D42,F39:F42,$L39:$L42,N39:N42)</f>
        <v>7.0766891333207127E-4</v>
      </c>
      <c r="X39" s="42">
        <f>bdrate($D39:$D42,G39:G42,$L39:$L42,O39:O42)</f>
        <v>3.5621384699433545E-3</v>
      </c>
      <c r="Y39" s="40">
        <f>bdrateOld($D39:$D42,E39:E42,$L39:$L42,M39:M42)</f>
        <v>-2.8511066451653022E-4</v>
      </c>
      <c r="Z39" s="44">
        <f>bdrateOld($D39:$D42,F39:F42,$L39:$L42,N39:N42)</f>
        <v>-7.9546697235688413E-4</v>
      </c>
      <c r="AA39" s="45">
        <f>bdrateOld($D39:$D42,G39:G42,$L39:$L42,O39:O42)</f>
        <v>3.5113097437740048E-3</v>
      </c>
    </row>
    <row r="40" spans="1:27" x14ac:dyDescent="0.2">
      <c r="A40" s="16"/>
      <c r="B40" s="85"/>
      <c r="C40" s="16">
        <v>32</v>
      </c>
      <c r="D40" s="17">
        <f>Reference!B182</f>
        <v>1701.7424000000001</v>
      </c>
      <c r="E40" s="18">
        <f>Reference!C182</f>
        <v>38.877400000000002</v>
      </c>
      <c r="F40" s="18">
        <f>Reference!D182</f>
        <v>44.443399999999997</v>
      </c>
      <c r="G40" s="18">
        <f>Reference!E182</f>
        <v>44.512300000000003</v>
      </c>
      <c r="H40" s="18">
        <f>Reference!F182</f>
        <v>96694.07</v>
      </c>
      <c r="I40" s="18">
        <f>Reference!G182</f>
        <v>12.891999999999999</v>
      </c>
      <c r="J40" s="19">
        <f t="shared" si="8"/>
        <v>26.859463888888889</v>
      </c>
      <c r="L40" s="17">
        <f>Test!B182</f>
        <v>1702.9359999999999</v>
      </c>
      <c r="M40" s="18">
        <f>Test!C182</f>
        <v>38.876300000000001</v>
      </c>
      <c r="N40" s="18">
        <f>Test!D182</f>
        <v>44.429400000000001</v>
      </c>
      <c r="O40" s="18">
        <f>Test!E182</f>
        <v>44.501300000000001</v>
      </c>
      <c r="P40" s="18">
        <f>Test!F182</f>
        <v>100823.94500000001</v>
      </c>
      <c r="Q40" s="18">
        <f>Test!G182</f>
        <v>14.473000000000001</v>
      </c>
      <c r="R40" s="19">
        <f t="shared" si="9"/>
        <v>28.006651388888891</v>
      </c>
      <c r="S40" s="17">
        <f t="shared" si="7"/>
        <v>1.0427107370700188</v>
      </c>
      <c r="T40" s="18">
        <f t="shared" si="7"/>
        <v>1.1226341917468199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814.06560000000002</v>
      </c>
      <c r="E41" s="18">
        <f>Reference!C183</f>
        <v>36.909100000000002</v>
      </c>
      <c r="F41" s="18">
        <f>Reference!D183</f>
        <v>43.403100000000002</v>
      </c>
      <c r="G41" s="18">
        <f>Reference!E183</f>
        <v>42.695900000000002</v>
      </c>
      <c r="H41" s="18">
        <f>Reference!F183</f>
        <v>53012.241999999998</v>
      </c>
      <c r="I41" s="18">
        <f>Reference!G183</f>
        <v>10.257</v>
      </c>
      <c r="J41" s="19">
        <f t="shared" si="8"/>
        <v>14.725622777777778</v>
      </c>
      <c r="L41" s="17">
        <f>Test!B183</f>
        <v>813.53120000000001</v>
      </c>
      <c r="M41" s="18">
        <f>Test!C183</f>
        <v>36.907600000000002</v>
      </c>
      <c r="N41" s="18">
        <f>Test!D183</f>
        <v>43.428400000000003</v>
      </c>
      <c r="O41" s="18">
        <f>Test!E183</f>
        <v>42.6982</v>
      </c>
      <c r="P41" s="18">
        <f>Test!F183</f>
        <v>54267.163999999997</v>
      </c>
      <c r="Q41" s="18">
        <f>Test!G183</f>
        <v>11.393000000000001</v>
      </c>
      <c r="R41" s="19">
        <f t="shared" si="9"/>
        <v>15.074212222222222</v>
      </c>
      <c r="S41" s="17">
        <f t="shared" si="7"/>
        <v>1.0236723057289294</v>
      </c>
      <c r="T41" s="18">
        <f t="shared" si="7"/>
        <v>1.1107536316661792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Reference!B184</f>
        <v>381.79199999999997</v>
      </c>
      <c r="E42" s="23">
        <f>Reference!C184</f>
        <v>34.6661</v>
      </c>
      <c r="F42" s="23">
        <f>Reference!D184</f>
        <v>42.139600000000002</v>
      </c>
      <c r="G42" s="23">
        <f>Reference!E184</f>
        <v>40.678699999999999</v>
      </c>
      <c r="H42" s="23">
        <f>Reference!F184</f>
        <v>27608.379000000001</v>
      </c>
      <c r="I42" s="23">
        <f>Reference!G184</f>
        <v>8.0220000000000002</v>
      </c>
      <c r="J42" s="24">
        <f t="shared" si="8"/>
        <v>7.6689941666666668</v>
      </c>
      <c r="L42" s="22">
        <f>Test!B184</f>
        <v>380.66559999999998</v>
      </c>
      <c r="M42" s="23">
        <f>Test!C184</f>
        <v>34.673499999999997</v>
      </c>
      <c r="N42" s="23">
        <f>Test!D184</f>
        <v>42.082299999999996</v>
      </c>
      <c r="O42" s="23">
        <f>Test!E184</f>
        <v>40.645000000000003</v>
      </c>
      <c r="P42" s="23">
        <f>Test!F184</f>
        <v>27446.955000000002</v>
      </c>
      <c r="Q42" s="23">
        <f>Test!G184</f>
        <v>8.5640000000000001</v>
      </c>
      <c r="R42" s="24">
        <f t="shared" si="9"/>
        <v>7.624154166666667</v>
      </c>
      <c r="S42" s="17">
        <f t="shared" si="7"/>
        <v>0.99415307939665709</v>
      </c>
      <c r="T42" s="18">
        <f t="shared" si="7"/>
        <v>1.0675641984542508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916.38879999999995</v>
      </c>
      <c r="E43" s="13">
        <f>Reference!C185</f>
        <v>42.970599999999997</v>
      </c>
      <c r="F43" s="13">
        <f>Reference!D185</f>
        <v>46.773299999999999</v>
      </c>
      <c r="G43" s="13">
        <f>Reference!E185</f>
        <v>47.555300000000003</v>
      </c>
      <c r="H43" s="13">
        <f>Reference!F185</f>
        <v>63792.5</v>
      </c>
      <c r="I43" s="13">
        <f>Reference!G185</f>
        <v>8.6460000000000008</v>
      </c>
      <c r="J43" s="14">
        <f t="shared" si="8"/>
        <v>17.72013888888889</v>
      </c>
      <c r="L43" s="12">
        <f>Test!B185</f>
        <v>917.32799999999997</v>
      </c>
      <c r="M43" s="13">
        <f>Test!C185</f>
        <v>42.968200000000003</v>
      </c>
      <c r="N43" s="13">
        <f>Test!D185</f>
        <v>46.770400000000002</v>
      </c>
      <c r="O43" s="13">
        <f>Test!E185</f>
        <v>47.599200000000003</v>
      </c>
      <c r="P43" s="13">
        <f>Test!F185</f>
        <v>66432.062000000005</v>
      </c>
      <c r="Q43" s="13">
        <f>Test!G185</f>
        <v>9.5779999999999994</v>
      </c>
      <c r="R43" s="14">
        <f t="shared" si="9"/>
        <v>18.453350555555556</v>
      </c>
      <c r="S43" s="17">
        <f t="shared" si="7"/>
        <v>1.0413773092448173</v>
      </c>
      <c r="T43" s="18">
        <f t="shared" si="7"/>
        <v>1.1077955123756649</v>
      </c>
      <c r="U43" s="91"/>
      <c r="V43" s="37">
        <f>bdrate($D43:$D46,E43:E46,$L43:$L46,M43:M46)</f>
        <v>-9.5456649224967549E-4</v>
      </c>
      <c r="W43" s="42">
        <f>bdrate($D43:$D46,F43:F46,$L43:$L46,N43:N46)</f>
        <v>-8.580224865140984E-3</v>
      </c>
      <c r="X43" s="42">
        <f>bdrate($D43:$D46,G43:G46,$L43:$L46,O43:O46)</f>
        <v>4.8993945484037127E-3</v>
      </c>
      <c r="Y43" s="40">
        <f>bdrateOld($D43:$D46,E43:E46,$L43:$L46,M43:M46)</f>
        <v>-9.0669208515292699E-4</v>
      </c>
      <c r="Z43" s="44">
        <f>bdrateOld($D43:$D46,F43:F46,$L43:$L46,N43:N46)</f>
        <v>-6.5538688502424503E-3</v>
      </c>
      <c r="AA43" s="45">
        <f>bdrateOld($D43:$D46,G43:G46,$L43:$L46,O43:O46)</f>
        <v>-1.3656227823874989E-3</v>
      </c>
    </row>
    <row r="44" spans="1:27" x14ac:dyDescent="0.2">
      <c r="A44" s="16"/>
      <c r="B44" s="85"/>
      <c r="C44" s="16">
        <v>32</v>
      </c>
      <c r="D44" s="17">
        <f>Reference!B186</f>
        <v>468.62560000000002</v>
      </c>
      <c r="E44" s="18">
        <f>Reference!C186</f>
        <v>41.298699999999997</v>
      </c>
      <c r="F44" s="18">
        <f>Reference!D186</f>
        <v>45.931699999999999</v>
      </c>
      <c r="G44" s="18">
        <f>Reference!E186</f>
        <v>46.604399999999998</v>
      </c>
      <c r="H44" s="18">
        <f>Reference!F186</f>
        <v>37212.616999999998</v>
      </c>
      <c r="I44" s="18">
        <f>Reference!G186</f>
        <v>6.6120000000000001</v>
      </c>
      <c r="J44" s="19">
        <f t="shared" si="8"/>
        <v>10.336838055555555</v>
      </c>
      <c r="L44" s="17">
        <f>Test!B186</f>
        <v>467.37279999999998</v>
      </c>
      <c r="M44" s="18">
        <f>Test!C186</f>
        <v>41.298999999999999</v>
      </c>
      <c r="N44" s="18">
        <f>Test!D186</f>
        <v>45.967700000000001</v>
      </c>
      <c r="O44" s="18">
        <f>Test!E186</f>
        <v>46.529699999999998</v>
      </c>
      <c r="P44" s="18">
        <f>Test!F186</f>
        <v>37224.141000000003</v>
      </c>
      <c r="Q44" s="18">
        <f>Test!G186</f>
        <v>7.0449999999999999</v>
      </c>
      <c r="R44" s="19">
        <f t="shared" si="9"/>
        <v>10.340039166666667</v>
      </c>
      <c r="S44" s="17">
        <f t="shared" si="7"/>
        <v>1.0003096799131328</v>
      </c>
      <c r="T44" s="18">
        <f t="shared" si="7"/>
        <v>1.0654869933454325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250.0736</v>
      </c>
      <c r="E45" s="18">
        <f>Reference!C187</f>
        <v>39.083599999999997</v>
      </c>
      <c r="F45" s="18">
        <f>Reference!D187</f>
        <v>44.650599999999997</v>
      </c>
      <c r="G45" s="18">
        <f>Reference!E187</f>
        <v>45.158000000000001</v>
      </c>
      <c r="H45" s="18">
        <f>Reference!F187</f>
        <v>21214.240000000002</v>
      </c>
      <c r="I45" s="18">
        <f>Reference!G187</f>
        <v>5.4450000000000003</v>
      </c>
      <c r="J45" s="19">
        <f t="shared" si="8"/>
        <v>5.892844444444445</v>
      </c>
      <c r="L45" s="17">
        <f>Test!B187</f>
        <v>249.62559999999999</v>
      </c>
      <c r="M45" s="18">
        <f>Test!C187</f>
        <v>39.087000000000003</v>
      </c>
      <c r="N45" s="18">
        <f>Test!D187</f>
        <v>44.664999999999999</v>
      </c>
      <c r="O45" s="18">
        <f>Test!E187</f>
        <v>45.186199999999999</v>
      </c>
      <c r="P45" s="18">
        <f>Test!F187</f>
        <v>21086.516</v>
      </c>
      <c r="Q45" s="18">
        <f>Test!G187</f>
        <v>5.4729999999999999</v>
      </c>
      <c r="R45" s="19">
        <f t="shared" si="9"/>
        <v>5.857365555555555</v>
      </c>
      <c r="S45" s="17">
        <f t="shared" si="7"/>
        <v>0.99397932709349934</v>
      </c>
      <c r="T45" s="18">
        <f t="shared" si="7"/>
        <v>1.0051423324150597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Reference!B188</f>
        <v>135.38239999999999</v>
      </c>
      <c r="E46" s="23">
        <f>Reference!C188</f>
        <v>36.301099999999998</v>
      </c>
      <c r="F46" s="23">
        <f>Reference!D188</f>
        <v>43.189300000000003</v>
      </c>
      <c r="G46" s="23">
        <f>Reference!E188</f>
        <v>43.301200000000001</v>
      </c>
      <c r="H46" s="23">
        <f>Reference!F188</f>
        <v>11936.421</v>
      </c>
      <c r="I46" s="23">
        <f>Reference!G188</f>
        <v>4.71</v>
      </c>
      <c r="J46" s="24">
        <f t="shared" si="8"/>
        <v>3.3156725000000002</v>
      </c>
      <c r="L46" s="22">
        <f>Test!B188</f>
        <v>136.04</v>
      </c>
      <c r="M46" s="23">
        <f>Test!C188</f>
        <v>36.298299999999998</v>
      </c>
      <c r="N46" s="23">
        <f>Test!D188</f>
        <v>43.158999999999999</v>
      </c>
      <c r="O46" s="23">
        <f>Test!E188</f>
        <v>43.259</v>
      </c>
      <c r="P46" s="23">
        <f>Test!F188</f>
        <v>12006.023999999999</v>
      </c>
      <c r="Q46" s="23">
        <f>Test!G188</f>
        <v>4.7709999999999999</v>
      </c>
      <c r="R46" s="24">
        <f t="shared" si="9"/>
        <v>3.3350066666666667</v>
      </c>
      <c r="S46" s="17">
        <f t="shared" si="7"/>
        <v>1.0058311448632717</v>
      </c>
      <c r="T46" s="18">
        <f t="shared" si="7"/>
        <v>1.0129511677282377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1257.7583999999999</v>
      </c>
      <c r="E47" s="13">
        <f>Reference!C189</f>
        <v>42.678800000000003</v>
      </c>
      <c r="F47" s="13">
        <f>Reference!D189</f>
        <v>48.569000000000003</v>
      </c>
      <c r="G47" s="13">
        <f>Reference!E189</f>
        <v>47.631500000000003</v>
      </c>
      <c r="H47" s="13">
        <f>Reference!F189</f>
        <v>70468.148000000001</v>
      </c>
      <c r="I47" s="13">
        <f>Reference!G189</f>
        <v>9.5489999999999995</v>
      </c>
      <c r="J47" s="14">
        <f>H47/3600</f>
        <v>19.574485555555555</v>
      </c>
      <c r="L47" s="12">
        <f>Test!B189</f>
        <v>1243.248</v>
      </c>
      <c r="M47" s="13">
        <f>Test!C189</f>
        <v>42.6721</v>
      </c>
      <c r="N47" s="13">
        <f>Test!D189</f>
        <v>48.561399999999999</v>
      </c>
      <c r="O47" s="13">
        <f>Test!E189</f>
        <v>48.117800000000003</v>
      </c>
      <c r="P47" s="13">
        <f>Test!F189</f>
        <v>72111.320000000007</v>
      </c>
      <c r="Q47" s="13">
        <f>Test!G189</f>
        <v>9.8369999999999997</v>
      </c>
      <c r="R47" s="14">
        <f>P47/3600</f>
        <v>20.030922222222223</v>
      </c>
      <c r="S47" s="17">
        <f t="shared" ref="S47:T62" si="10">P47/H47</f>
        <v>1.0233179393333851</v>
      </c>
      <c r="T47" s="18">
        <f t="shared" si="10"/>
        <v>1.0301602262016964</v>
      </c>
      <c r="U47" s="91"/>
      <c r="V47" s="37">
        <f>bdrate($D47:$D50,E47:E50,$L47:$L50,M47:M50)</f>
        <v>-2.554745160175842E-3</v>
      </c>
      <c r="W47" s="42">
        <f>bdrate($D47:$D50,F47:F50,$L47:$L50,N47:N50)</f>
        <v>-2.1590518670566716E-5</v>
      </c>
      <c r="X47" s="43">
        <f>bdrate($D47:$D50,G47:G50,$L47:$L50,O47:O50)</f>
        <v>-5.3152937107994402E-2</v>
      </c>
      <c r="Y47" s="37">
        <f>bdrateOld($D47:$D50,E47:E50,$L47:$L50,M47:M50)</f>
        <v>-2.4319347180329354E-3</v>
      </c>
      <c r="Z47" s="42">
        <f>bdrateOld($D47:$D50,F47:F50,$L47:$L50,N47:N50)</f>
        <v>-7.9677108867475255E-3</v>
      </c>
      <c r="AA47" s="43">
        <f>bdrateOld($D47:$D50,G47:G50,$L47:$L50,O47:O50)</f>
        <v>-7.7567228959064316E-2</v>
      </c>
    </row>
    <row r="48" spans="1:27" x14ac:dyDescent="0.2">
      <c r="A48" s="16"/>
      <c r="B48" s="85"/>
      <c r="C48" s="16">
        <v>32</v>
      </c>
      <c r="D48" s="17">
        <f>Reference!B190</f>
        <v>605.78560000000004</v>
      </c>
      <c r="E48" s="18">
        <f>Reference!C190</f>
        <v>40.898600000000002</v>
      </c>
      <c r="F48" s="18">
        <f>Reference!D190</f>
        <v>47.811500000000002</v>
      </c>
      <c r="G48" s="18">
        <f>Reference!E190</f>
        <v>46.884799999999998</v>
      </c>
      <c r="H48" s="18">
        <f>Reference!F190</f>
        <v>40594.226999999999</v>
      </c>
      <c r="I48" s="18">
        <f>Reference!G190</f>
        <v>6.8890000000000002</v>
      </c>
      <c r="J48" s="19">
        <f t="shared" ref="J48:J70" si="11">H48/3600</f>
        <v>11.276174166666665</v>
      </c>
      <c r="L48" s="17">
        <f>Test!B190</f>
        <v>605.25919999999996</v>
      </c>
      <c r="M48" s="18">
        <f>Test!C190</f>
        <v>40.910200000000003</v>
      </c>
      <c r="N48" s="18">
        <f>Test!D190</f>
        <v>47.753300000000003</v>
      </c>
      <c r="O48" s="18">
        <f>Test!E190</f>
        <v>47.0124</v>
      </c>
      <c r="P48" s="18">
        <f>Test!F190</f>
        <v>42017.175999999999</v>
      </c>
      <c r="Q48" s="18">
        <f>Test!G190</f>
        <v>7.8920000000000003</v>
      </c>
      <c r="R48" s="19">
        <f t="shared" ref="R48:R70" si="12">P48/3600</f>
        <v>11.671437777777777</v>
      </c>
      <c r="S48" s="17">
        <f t="shared" si="10"/>
        <v>1.0350529891848907</v>
      </c>
      <c r="T48" s="18">
        <f t="shared" si="10"/>
        <v>1.1455944258963566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322.96960000000001</v>
      </c>
      <c r="E49" s="18">
        <f>Reference!C191</f>
        <v>38.531199999999998</v>
      </c>
      <c r="F49" s="18">
        <f>Reference!D191</f>
        <v>46.651600000000002</v>
      </c>
      <c r="G49" s="18">
        <f>Reference!E191</f>
        <v>45.368600000000001</v>
      </c>
      <c r="H49" s="18">
        <f>Reference!F191</f>
        <v>23010.73</v>
      </c>
      <c r="I49" s="18">
        <f>Reference!G191</f>
        <v>5.718</v>
      </c>
      <c r="J49" s="19">
        <f t="shared" si="11"/>
        <v>6.3918694444444446</v>
      </c>
      <c r="L49" s="17">
        <f>Test!B191</f>
        <v>322.8048</v>
      </c>
      <c r="M49" s="18">
        <f>Test!C191</f>
        <v>38.5319</v>
      </c>
      <c r="N49" s="18">
        <f>Test!D191</f>
        <v>46.682600000000001</v>
      </c>
      <c r="O49" s="18">
        <f>Test!E191</f>
        <v>45.478999999999999</v>
      </c>
      <c r="P49" s="18">
        <f>Test!F191</f>
        <v>23219.848000000002</v>
      </c>
      <c r="Q49" s="18">
        <f>Test!G191</f>
        <v>5.7539999999999996</v>
      </c>
      <c r="R49" s="19">
        <f t="shared" si="12"/>
        <v>6.4499577777777786</v>
      </c>
      <c r="S49" s="17">
        <f t="shared" si="10"/>
        <v>1.0090878472782046</v>
      </c>
      <c r="T49" s="18">
        <f t="shared" si="10"/>
        <v>1.0062959076600209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Reference!B192</f>
        <v>176.16640000000001</v>
      </c>
      <c r="E50" s="23">
        <f>Reference!C192</f>
        <v>35.4544</v>
      </c>
      <c r="F50" s="23">
        <f>Reference!D192</f>
        <v>44.977200000000003</v>
      </c>
      <c r="G50" s="23">
        <f>Reference!E192</f>
        <v>43.193899999999999</v>
      </c>
      <c r="H50" s="23">
        <f>Reference!F192</f>
        <v>14049.816000000001</v>
      </c>
      <c r="I50" s="23">
        <f>Reference!G192</f>
        <v>5.1159999999999997</v>
      </c>
      <c r="J50" s="24">
        <f t="shared" si="11"/>
        <v>3.9027266666666667</v>
      </c>
      <c r="L50" s="22">
        <f>Test!B192</f>
        <v>175.9248</v>
      </c>
      <c r="M50" s="23">
        <f>Test!C192</f>
        <v>35.451599999999999</v>
      </c>
      <c r="N50" s="23">
        <f>Test!D192</f>
        <v>45.037599999999998</v>
      </c>
      <c r="O50" s="23">
        <f>Test!E192</f>
        <v>43.192799999999998</v>
      </c>
      <c r="P50" s="23">
        <f>Test!F192</f>
        <v>13985.602999999999</v>
      </c>
      <c r="Q50" s="23">
        <f>Test!G192</f>
        <v>5.1859999999999999</v>
      </c>
      <c r="R50" s="24">
        <f t="shared" si="12"/>
        <v>3.8848897222222218</v>
      </c>
      <c r="S50" s="22">
        <f t="shared" si="10"/>
        <v>0.9954296198612137</v>
      </c>
      <c r="T50" s="23">
        <f t="shared" si="10"/>
        <v>1.0136825645035183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20.457288441027615</v>
      </c>
      <c r="J75" s="15">
        <f>GEOMEAN(J3:J18)</f>
        <v>32.941815624601162</v>
      </c>
      <c r="Q75" s="15">
        <f>GEOMEAN(Q3:Q18)</f>
        <v>21.329407206533869</v>
      </c>
      <c r="R75" s="15">
        <f>GEOMEAN(R3:R18)</f>
        <v>34.316852285334058</v>
      </c>
      <c r="S75" s="15">
        <f>GEOMEAN(S3:S18)</f>
        <v>1.0417413744403941</v>
      </c>
      <c r="T75" s="15">
        <f>GEOMEAN(T3:T18)</f>
        <v>1.0426312005141989</v>
      </c>
      <c r="V75" s="37">
        <f>AVERAGE(V3:V18)</f>
        <v>-5.5448593850024319E-4</v>
      </c>
      <c r="W75" s="42">
        <f t="shared" ref="W75:AA75" si="17">AVERAGE(W3:W18)</f>
        <v>-8.0127801431137124E-3</v>
      </c>
      <c r="X75" s="42">
        <f t="shared" si="17"/>
        <v>-6.3397847514031769E-3</v>
      </c>
      <c r="Y75" s="37">
        <f>AVERAGE(Y3:Y18)</f>
        <v>-7.9675394871656091E-4</v>
      </c>
      <c r="Z75" s="42">
        <f t="shared" si="17"/>
        <v>-7.7596361866762997E-3</v>
      </c>
      <c r="AA75" s="43">
        <f t="shared" si="17"/>
        <v>-6.314110469987172E-3</v>
      </c>
    </row>
    <row r="76" spans="1:27" x14ac:dyDescent="0.2">
      <c r="B76" s="89" t="s">
        <v>47</v>
      </c>
      <c r="I76" s="15">
        <f>GEOMEAN(I19:I34)</f>
        <v>23.930863790187598</v>
      </c>
      <c r="J76" s="15">
        <f>GEOMEAN(J19:J34)</f>
        <v>42.55385261344265</v>
      </c>
      <c r="Q76" s="15">
        <f>GEOMEAN(Q19:Q34)</f>
        <v>24.798306075598969</v>
      </c>
      <c r="R76" s="15">
        <f>GEOMEAN(R19:R34)</f>
        <v>44.262735314560892</v>
      </c>
      <c r="S76" s="15">
        <f>GEOMEAN(S19:S34)</f>
        <v>1.0401581195630312</v>
      </c>
      <c r="T76" s="15">
        <f>GEOMEAN(T19:T34)</f>
        <v>1.0362478468398224</v>
      </c>
      <c r="V76" s="38">
        <f>AVERAGE(V19:V34)</f>
        <v>1.2674971508858102E-4</v>
      </c>
      <c r="W76" s="25">
        <f t="shared" ref="W76:AA76" si="18">AVERAGE(W19:W34)</f>
        <v>-5.5433237970658189E-3</v>
      </c>
      <c r="X76" s="25">
        <f t="shared" si="18"/>
        <v>-4.0666217434573992E-3</v>
      </c>
      <c r="Y76" s="38">
        <f t="shared" si="18"/>
        <v>1.6956035180032414E-4</v>
      </c>
      <c r="Z76" s="25">
        <f t="shared" si="18"/>
        <v>-5.4761240457487093E-3</v>
      </c>
      <c r="AA76" s="50">
        <f t="shared" si="18"/>
        <v>-4.3445120586476926E-3</v>
      </c>
    </row>
    <row r="77" spans="1:27" x14ac:dyDescent="0.2">
      <c r="B77" s="89" t="s">
        <v>51</v>
      </c>
      <c r="I77" s="15">
        <f>GEOMEAN(I35:I50)</f>
        <v>8.2269255437286102</v>
      </c>
      <c r="J77" s="15">
        <f>GEOMEAN(J35:J50)</f>
        <v>12.7713129916532</v>
      </c>
      <c r="Q77" s="15">
        <f>GEOMEAN(Q35:Q50)</f>
        <v>8.7424038323807718</v>
      </c>
      <c r="R77" s="15">
        <f>GEOMEAN(R35:R50)</f>
        <v>13.0824681937102</v>
      </c>
      <c r="S77" s="15">
        <f>GEOMEAN(S35:S50)</f>
        <v>1.0243636031988534</v>
      </c>
      <c r="T77" s="15">
        <f>GEOMEAN(T35:T50)</f>
        <v>1.0626574637040578</v>
      </c>
      <c r="V77" s="38">
        <f>AVERAGE(V35:V50)</f>
        <v>-1.1157355432780958E-3</v>
      </c>
      <c r="W77" s="25">
        <f t="shared" ref="W77:AA77" si="19">AVERAGE(W35:W50)</f>
        <v>-4.9418615893331852E-5</v>
      </c>
      <c r="X77" s="25">
        <f t="shared" si="19"/>
        <v>-1.4589746410588689E-2</v>
      </c>
      <c r="Y77" s="38">
        <f t="shared" si="19"/>
        <v>-1.0751076681219662E-3</v>
      </c>
      <c r="Z77" s="25">
        <f t="shared" si="19"/>
        <v>-1.9759204932744412E-3</v>
      </c>
      <c r="AA77" s="50">
        <f t="shared" si="19"/>
        <v>-2.2258977807524283E-2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15.910408736586817</v>
      </c>
      <c r="J80" s="54">
        <f xml:space="preserve"> GEOMEAN(J3:J50)</f>
        <v>26.160175620930101</v>
      </c>
      <c r="K80" s="4"/>
      <c r="L80" s="4"/>
      <c r="M80" s="4"/>
      <c r="N80" s="4"/>
      <c r="O80" s="4"/>
      <c r="P80" s="4"/>
      <c r="Q80" s="54">
        <f xml:space="preserve"> GEOMEAN(Q3:Q50)</f>
        <v>16.660085341962482</v>
      </c>
      <c r="R80" s="54">
        <f xml:space="preserve"> GEOMEAN(R3:R50)</f>
        <v>27.086015781246296</v>
      </c>
      <c r="S80" s="54">
        <f>GEOMEAN(S3:S50)</f>
        <v>1.0353912058440256</v>
      </c>
      <c r="T80" s="54">
        <f>GEOMEAN(T3:T50)</f>
        <v>1.0471186264154071</v>
      </c>
      <c r="U80" s="4"/>
      <c r="V80" s="41">
        <f>AVERAGE(V3:V50)</f>
        <v>-5.1449058889658594E-4</v>
      </c>
      <c r="W80" s="46">
        <f t="shared" ref="W80:AA80" si="23">AVERAGE(W3:W50)</f>
        <v>-4.5351741853576211E-3</v>
      </c>
      <c r="X80" s="47">
        <f t="shared" si="23"/>
        <v>-8.3320509684830877E-3</v>
      </c>
      <c r="Y80" s="46">
        <f t="shared" si="23"/>
        <v>-5.674337550127343E-4</v>
      </c>
      <c r="Z80" s="46">
        <f t="shared" si="23"/>
        <v>-5.070560241899817E-3</v>
      </c>
      <c r="AA80" s="47">
        <f t="shared" si="23"/>
        <v>-1.0972533445386382E-2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288"/>
  <sheetViews>
    <sheetView topLeftCell="A64" workbookViewId="0">
      <selection activeCell="B73" sqref="B73:J120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76108.410799999998</v>
      </c>
      <c r="C1">
        <v>40.809800000000003</v>
      </c>
      <c r="D1">
        <v>49.245100000000001</v>
      </c>
      <c r="E1">
        <v>47.749699999999997</v>
      </c>
      <c r="F1">
        <v>127914.648</v>
      </c>
      <c r="G1">
        <v>26.254999999999999</v>
      </c>
      <c r="H1">
        <v>0</v>
      </c>
      <c r="I1" t="s">
        <v>560</v>
      </c>
      <c r="J1" t="s">
        <v>561</v>
      </c>
    </row>
    <row r="2" spans="1:10" x14ac:dyDescent="0.25">
      <c r="A2" s="141" t="s">
        <v>191</v>
      </c>
      <c r="B2">
        <v>41138.075700000001</v>
      </c>
      <c r="C2">
        <v>40.157800000000002</v>
      </c>
      <c r="D2">
        <v>48.552900000000001</v>
      </c>
      <c r="E2">
        <v>46.664700000000003</v>
      </c>
      <c r="F2">
        <v>70068.406000000003</v>
      </c>
      <c r="G2">
        <v>22.991</v>
      </c>
      <c r="H2">
        <v>0</v>
      </c>
      <c r="I2" t="s">
        <v>562</v>
      </c>
      <c r="J2" t="s">
        <v>563</v>
      </c>
    </row>
    <row r="3" spans="1:10" x14ac:dyDescent="0.25">
      <c r="A3" s="141" t="s">
        <v>192</v>
      </c>
      <c r="B3">
        <v>24681.1849</v>
      </c>
      <c r="C3">
        <v>39.432499999999997</v>
      </c>
      <c r="D3">
        <v>47.6188</v>
      </c>
      <c r="E3">
        <v>45.377800000000001</v>
      </c>
      <c r="F3">
        <v>42459.703000000001</v>
      </c>
      <c r="G3">
        <v>21.045999999999999</v>
      </c>
      <c r="H3">
        <v>0</v>
      </c>
      <c r="I3" t="s">
        <v>564</v>
      </c>
      <c r="J3" t="s">
        <v>565</v>
      </c>
    </row>
    <row r="4" spans="1:10" x14ac:dyDescent="0.25">
      <c r="A4" s="141" t="s">
        <v>193</v>
      </c>
      <c r="B4">
        <v>14111.481100000001</v>
      </c>
      <c r="C4">
        <v>38.220999999999997</v>
      </c>
      <c r="D4">
        <v>46.124299999999998</v>
      </c>
      <c r="E4">
        <v>43.599600000000002</v>
      </c>
      <c r="F4">
        <v>23729.91</v>
      </c>
      <c r="G4">
        <v>19.149000000000001</v>
      </c>
      <c r="H4">
        <v>0</v>
      </c>
      <c r="I4" t="s">
        <v>566</v>
      </c>
      <c r="J4" t="s">
        <v>567</v>
      </c>
    </row>
    <row r="5" spans="1:10" x14ac:dyDescent="0.25">
      <c r="A5" s="141" t="s">
        <v>194</v>
      </c>
      <c r="B5">
        <v>322497.61050000001</v>
      </c>
      <c r="C5">
        <v>44.759700000000002</v>
      </c>
      <c r="D5">
        <v>39.129199999999997</v>
      </c>
      <c r="E5">
        <v>39.623100000000001</v>
      </c>
      <c r="F5">
        <v>197218.71900000001</v>
      </c>
      <c r="G5">
        <v>39.981000000000002</v>
      </c>
      <c r="H5">
        <v>0</v>
      </c>
      <c r="I5" t="s">
        <v>576</v>
      </c>
      <c r="J5" t="s">
        <v>577</v>
      </c>
    </row>
    <row r="6" spans="1:10" x14ac:dyDescent="0.25">
      <c r="A6" s="141" t="s">
        <v>195</v>
      </c>
      <c r="B6">
        <v>205611.31580000001</v>
      </c>
      <c r="C6">
        <v>41.968299999999999</v>
      </c>
      <c r="D6">
        <v>36.6325</v>
      </c>
      <c r="E6">
        <v>37.441699999999997</v>
      </c>
      <c r="F6">
        <v>160831.641</v>
      </c>
      <c r="G6">
        <v>34.985999999999997</v>
      </c>
      <c r="H6">
        <v>0</v>
      </c>
      <c r="I6" t="s">
        <v>578</v>
      </c>
      <c r="J6" t="s">
        <v>579</v>
      </c>
    </row>
    <row r="7" spans="1:10" x14ac:dyDescent="0.25">
      <c r="A7" s="141" t="s">
        <v>196</v>
      </c>
      <c r="B7">
        <v>117452.6421</v>
      </c>
      <c r="C7">
        <v>38.709200000000003</v>
      </c>
      <c r="D7">
        <v>34.360500000000002</v>
      </c>
      <c r="E7">
        <v>35.528399999999998</v>
      </c>
      <c r="F7">
        <v>119122.17200000001</v>
      </c>
      <c r="G7">
        <v>30.157</v>
      </c>
      <c r="H7">
        <v>0</v>
      </c>
      <c r="I7" t="s">
        <v>580</v>
      </c>
      <c r="J7" t="s">
        <v>581</v>
      </c>
    </row>
    <row r="8" spans="1:10" x14ac:dyDescent="0.25">
      <c r="A8" s="141" t="s">
        <v>197</v>
      </c>
      <c r="B8">
        <v>55572.484199999999</v>
      </c>
      <c r="C8">
        <v>35.227800000000002</v>
      </c>
      <c r="D8">
        <v>32.005800000000001</v>
      </c>
      <c r="E8">
        <v>33.699800000000003</v>
      </c>
      <c r="F8">
        <v>78566.266000000003</v>
      </c>
      <c r="G8">
        <v>24.956</v>
      </c>
      <c r="H8">
        <v>0</v>
      </c>
      <c r="I8" t="s">
        <v>582</v>
      </c>
      <c r="J8" t="s">
        <v>583</v>
      </c>
    </row>
    <row r="9" spans="1:10" x14ac:dyDescent="0.25">
      <c r="A9" s="141" t="s">
        <v>198</v>
      </c>
      <c r="B9">
        <v>124786.2758</v>
      </c>
      <c r="C9">
        <v>41.574599999999997</v>
      </c>
      <c r="D9">
        <v>44.012599999999999</v>
      </c>
      <c r="E9">
        <v>42.909700000000001</v>
      </c>
      <c r="F9">
        <v>166211.95300000001</v>
      </c>
      <c r="G9">
        <v>35.692999999999998</v>
      </c>
      <c r="H9">
        <v>0</v>
      </c>
      <c r="I9" t="s">
        <v>568</v>
      </c>
      <c r="J9" t="s">
        <v>569</v>
      </c>
    </row>
    <row r="10" spans="1:10" x14ac:dyDescent="0.25">
      <c r="A10" s="141" t="s">
        <v>199</v>
      </c>
      <c r="B10">
        <v>55896.726300000002</v>
      </c>
      <c r="C10">
        <v>38.880200000000002</v>
      </c>
      <c r="D10">
        <v>41.390099999999997</v>
      </c>
      <c r="E10">
        <v>41.786299999999997</v>
      </c>
      <c r="F10">
        <v>115937.008</v>
      </c>
      <c r="G10">
        <v>26.85</v>
      </c>
      <c r="H10">
        <v>0</v>
      </c>
      <c r="I10" t="s">
        <v>570</v>
      </c>
      <c r="J10" t="s">
        <v>571</v>
      </c>
    </row>
    <row r="11" spans="1:10" x14ac:dyDescent="0.25">
      <c r="A11" s="141" t="s">
        <v>200</v>
      </c>
      <c r="B11">
        <v>25289.968400000002</v>
      </c>
      <c r="C11">
        <v>37.308700000000002</v>
      </c>
      <c r="D11">
        <v>39.061500000000002</v>
      </c>
      <c r="E11">
        <v>40.706800000000001</v>
      </c>
      <c r="F11">
        <v>66375.304999999993</v>
      </c>
      <c r="G11">
        <v>20.861000000000001</v>
      </c>
      <c r="H11">
        <v>0</v>
      </c>
      <c r="I11" t="s">
        <v>572</v>
      </c>
      <c r="J11" t="s">
        <v>573</v>
      </c>
    </row>
    <row r="12" spans="1:10" x14ac:dyDescent="0.25">
      <c r="A12" s="141" t="s">
        <v>201</v>
      </c>
      <c r="B12">
        <v>12251.709500000001</v>
      </c>
      <c r="C12">
        <v>35.925800000000002</v>
      </c>
      <c r="D12">
        <v>36.340899999999998</v>
      </c>
      <c r="E12">
        <v>39.218400000000003</v>
      </c>
      <c r="F12">
        <v>37623.546999999999</v>
      </c>
      <c r="G12">
        <v>18.364000000000001</v>
      </c>
      <c r="H12">
        <v>0</v>
      </c>
      <c r="I12" t="s">
        <v>574</v>
      </c>
      <c r="J12" t="s">
        <v>575</v>
      </c>
    </row>
    <row r="13" spans="1:10" x14ac:dyDescent="0.25">
      <c r="A13" s="141" t="s">
        <v>202</v>
      </c>
      <c r="B13">
        <v>177227.53260000001</v>
      </c>
      <c r="C13">
        <v>38.622599999999998</v>
      </c>
      <c r="D13">
        <v>45.664700000000003</v>
      </c>
      <c r="E13">
        <v>43.477400000000003</v>
      </c>
      <c r="F13">
        <v>201959.28099999999</v>
      </c>
      <c r="G13">
        <v>36.557000000000002</v>
      </c>
      <c r="H13">
        <v>0</v>
      </c>
      <c r="I13" t="s">
        <v>584</v>
      </c>
      <c r="J13" t="s">
        <v>585</v>
      </c>
    </row>
    <row r="14" spans="1:10" x14ac:dyDescent="0.25">
      <c r="A14" s="141" t="s">
        <v>203</v>
      </c>
      <c r="B14">
        <v>86177.166299999997</v>
      </c>
      <c r="C14">
        <v>37.677999999999997</v>
      </c>
      <c r="D14">
        <v>44.801000000000002</v>
      </c>
      <c r="E14">
        <v>42.488999999999997</v>
      </c>
      <c r="F14">
        <v>122163.82799999999</v>
      </c>
      <c r="G14">
        <v>27.545999999999999</v>
      </c>
      <c r="H14">
        <v>0</v>
      </c>
      <c r="I14" t="s">
        <v>586</v>
      </c>
      <c r="J14" t="s">
        <v>587</v>
      </c>
    </row>
    <row r="15" spans="1:10" x14ac:dyDescent="0.25">
      <c r="A15" s="141" t="s">
        <v>204</v>
      </c>
      <c r="B15">
        <v>49746.997900000002</v>
      </c>
      <c r="C15">
        <v>36.759300000000003</v>
      </c>
      <c r="D15">
        <v>43.834400000000002</v>
      </c>
      <c r="E15">
        <v>41.474899999999998</v>
      </c>
      <c r="F15">
        <v>80409.625</v>
      </c>
      <c r="G15">
        <v>23.861999999999998</v>
      </c>
      <c r="H15">
        <v>0</v>
      </c>
      <c r="I15" t="s">
        <v>588</v>
      </c>
      <c r="J15" t="s">
        <v>589</v>
      </c>
    </row>
    <row r="16" spans="1:10" x14ac:dyDescent="0.25">
      <c r="A16" s="141" t="s">
        <v>205</v>
      </c>
      <c r="B16">
        <v>26292.265299999999</v>
      </c>
      <c r="C16">
        <v>35.259599999999999</v>
      </c>
      <c r="D16">
        <v>42.452500000000001</v>
      </c>
      <c r="E16">
        <v>40.209099999999999</v>
      </c>
      <c r="F16">
        <v>48473.258000000002</v>
      </c>
      <c r="G16">
        <v>20.483000000000001</v>
      </c>
      <c r="H16">
        <v>0</v>
      </c>
      <c r="I16" t="s">
        <v>590</v>
      </c>
      <c r="J16" t="s">
        <v>591</v>
      </c>
    </row>
    <row r="17" spans="1:10" x14ac:dyDescent="0.25">
      <c r="A17" s="141" t="s">
        <v>94</v>
      </c>
      <c r="B17">
        <v>67513.092099999994</v>
      </c>
      <c r="C17">
        <v>39.564399999999999</v>
      </c>
      <c r="D17">
        <v>40.5364</v>
      </c>
      <c r="E17">
        <v>43.534500000000001</v>
      </c>
      <c r="F17">
        <v>84838.702999999994</v>
      </c>
      <c r="G17">
        <v>17.992000000000001</v>
      </c>
      <c r="H17">
        <v>0</v>
      </c>
      <c r="I17" t="s">
        <v>536</v>
      </c>
      <c r="J17" t="s">
        <v>537</v>
      </c>
    </row>
    <row r="18" spans="1:10" x14ac:dyDescent="0.25">
      <c r="A18" s="141" t="s">
        <v>95</v>
      </c>
      <c r="B18">
        <v>40263.168299999998</v>
      </c>
      <c r="C18">
        <v>37.929200000000002</v>
      </c>
      <c r="D18">
        <v>39.565899999999999</v>
      </c>
      <c r="E18">
        <v>42.150599999999997</v>
      </c>
      <c r="F18">
        <v>65362.722999999998</v>
      </c>
      <c r="G18">
        <v>15.147</v>
      </c>
      <c r="H18">
        <v>0</v>
      </c>
      <c r="I18" t="s">
        <v>538</v>
      </c>
      <c r="J18" t="s">
        <v>539</v>
      </c>
    </row>
    <row r="19" spans="1:10" x14ac:dyDescent="0.25">
      <c r="A19" s="141" t="s">
        <v>96</v>
      </c>
      <c r="B19">
        <v>23221.384099999999</v>
      </c>
      <c r="C19">
        <v>36.016100000000002</v>
      </c>
      <c r="D19">
        <v>38.714799999999997</v>
      </c>
      <c r="E19">
        <v>40.759300000000003</v>
      </c>
      <c r="F19">
        <v>48284.800999999999</v>
      </c>
      <c r="G19">
        <v>12.585000000000001</v>
      </c>
      <c r="H19">
        <v>0</v>
      </c>
      <c r="I19" t="s">
        <v>540</v>
      </c>
      <c r="J19" t="s">
        <v>541</v>
      </c>
    </row>
    <row r="20" spans="1:10" x14ac:dyDescent="0.25">
      <c r="A20" s="141" t="s">
        <v>97</v>
      </c>
      <c r="B20">
        <v>11838.127</v>
      </c>
      <c r="C20">
        <v>33.5398</v>
      </c>
      <c r="D20">
        <v>37.531100000000002</v>
      </c>
      <c r="E20">
        <v>38.919199999999996</v>
      </c>
      <c r="F20">
        <v>31942.440999999999</v>
      </c>
      <c r="G20">
        <v>10.301</v>
      </c>
      <c r="H20">
        <v>0</v>
      </c>
      <c r="I20" t="s">
        <v>542</v>
      </c>
      <c r="J20" t="s">
        <v>543</v>
      </c>
    </row>
    <row r="21" spans="1:10" x14ac:dyDescent="0.25">
      <c r="A21" s="141" t="s">
        <v>98</v>
      </c>
      <c r="B21">
        <v>42273.879399999998</v>
      </c>
      <c r="C21">
        <v>40.197200000000002</v>
      </c>
      <c r="D21">
        <v>44.212699999999998</v>
      </c>
      <c r="E21">
        <v>45.685499999999998</v>
      </c>
      <c r="F21">
        <v>73357.976999999999</v>
      </c>
      <c r="G21">
        <v>15.326000000000001</v>
      </c>
      <c r="H21">
        <v>0</v>
      </c>
      <c r="I21" t="s">
        <v>528</v>
      </c>
      <c r="J21" t="s">
        <v>529</v>
      </c>
    </row>
    <row r="22" spans="1:10" x14ac:dyDescent="0.25">
      <c r="A22" s="141" t="s">
        <v>99</v>
      </c>
      <c r="B22">
        <v>22915.866699999999</v>
      </c>
      <c r="C22">
        <v>38.721699999999998</v>
      </c>
      <c r="D22">
        <v>43.264099999999999</v>
      </c>
      <c r="E22">
        <v>44.241599999999998</v>
      </c>
      <c r="F22">
        <v>53191.438000000002</v>
      </c>
      <c r="G22">
        <v>12.451000000000001</v>
      </c>
      <c r="H22">
        <v>0</v>
      </c>
      <c r="I22" t="s">
        <v>530</v>
      </c>
      <c r="J22" t="s">
        <v>531</v>
      </c>
    </row>
    <row r="23" spans="1:10" x14ac:dyDescent="0.25">
      <c r="A23" s="141" t="s">
        <v>100</v>
      </c>
      <c r="B23">
        <v>12958.736500000001</v>
      </c>
      <c r="C23">
        <v>37.281799999999997</v>
      </c>
      <c r="D23">
        <v>42.192900000000002</v>
      </c>
      <c r="E23">
        <v>42.6877</v>
      </c>
      <c r="F23">
        <v>35128.156000000003</v>
      </c>
      <c r="G23">
        <v>10.611000000000001</v>
      </c>
      <c r="H23">
        <v>0</v>
      </c>
      <c r="I23" t="s">
        <v>532</v>
      </c>
      <c r="J23" t="s">
        <v>533</v>
      </c>
    </row>
    <row r="24" spans="1:10" x14ac:dyDescent="0.25">
      <c r="A24" s="141" t="s">
        <v>101</v>
      </c>
      <c r="B24">
        <v>6928.8</v>
      </c>
      <c r="C24">
        <v>35.359400000000001</v>
      </c>
      <c r="D24">
        <v>40.697499999999998</v>
      </c>
      <c r="E24">
        <v>40.6751</v>
      </c>
      <c r="F24">
        <v>21969.553</v>
      </c>
      <c r="G24">
        <v>9.1950000000000003</v>
      </c>
      <c r="H24">
        <v>0</v>
      </c>
      <c r="I24" t="s">
        <v>534</v>
      </c>
      <c r="J24" t="s">
        <v>535</v>
      </c>
    </row>
    <row r="25" spans="1:10" x14ac:dyDescent="0.25">
      <c r="A25" s="141" t="s">
        <v>206</v>
      </c>
      <c r="B25">
        <v>64679.993600000002</v>
      </c>
      <c r="C25">
        <v>41.7378</v>
      </c>
      <c r="D25">
        <v>44.443800000000003</v>
      </c>
      <c r="E25">
        <v>45.162199999999999</v>
      </c>
      <c r="F25">
        <v>92521.054999999993</v>
      </c>
      <c r="G25">
        <v>18.591000000000001</v>
      </c>
      <c r="H25">
        <v>0</v>
      </c>
      <c r="I25" t="s">
        <v>544</v>
      </c>
      <c r="J25" t="s">
        <v>545</v>
      </c>
    </row>
    <row r="26" spans="1:10" x14ac:dyDescent="0.25">
      <c r="A26" s="141" t="s">
        <v>207</v>
      </c>
      <c r="B26">
        <v>41704.480000000003</v>
      </c>
      <c r="C26">
        <v>39.930599999999998</v>
      </c>
      <c r="D26">
        <v>43.034500000000001</v>
      </c>
      <c r="E26">
        <v>43.923900000000003</v>
      </c>
      <c r="F26">
        <v>68878.125</v>
      </c>
      <c r="G26">
        <v>15.962</v>
      </c>
      <c r="H26">
        <v>0</v>
      </c>
      <c r="I26" t="s">
        <v>546</v>
      </c>
      <c r="J26" t="s">
        <v>547</v>
      </c>
    </row>
    <row r="27" spans="1:10" x14ac:dyDescent="0.25">
      <c r="A27" s="141" t="s">
        <v>208</v>
      </c>
      <c r="B27">
        <v>24529.068800000001</v>
      </c>
      <c r="C27">
        <v>37.703499999999998</v>
      </c>
      <c r="D27">
        <v>41.736899999999999</v>
      </c>
      <c r="E27">
        <v>42.634399999999999</v>
      </c>
      <c r="F27">
        <v>48357.129000000001</v>
      </c>
      <c r="G27">
        <v>13.147</v>
      </c>
      <c r="H27">
        <v>0</v>
      </c>
      <c r="I27" t="s">
        <v>548</v>
      </c>
      <c r="J27" t="s">
        <v>549</v>
      </c>
    </row>
    <row r="28" spans="1:10" x14ac:dyDescent="0.25">
      <c r="A28" s="141" t="s">
        <v>209</v>
      </c>
      <c r="B28">
        <v>12366.822399999999</v>
      </c>
      <c r="C28">
        <v>35.007100000000001</v>
      </c>
      <c r="D28">
        <v>40.1569</v>
      </c>
      <c r="E28">
        <v>41.013199999999998</v>
      </c>
      <c r="F28">
        <v>31238.201000000001</v>
      </c>
      <c r="G28">
        <v>11.281000000000001</v>
      </c>
      <c r="H28">
        <v>0</v>
      </c>
      <c r="I28" t="s">
        <v>550</v>
      </c>
      <c r="J28" t="s">
        <v>551</v>
      </c>
    </row>
    <row r="29" spans="1:10" x14ac:dyDescent="0.25">
      <c r="A29" s="141" t="s">
        <v>210</v>
      </c>
      <c r="B29">
        <v>39540.396800000002</v>
      </c>
      <c r="C29">
        <v>44.935899999999997</v>
      </c>
      <c r="D29">
        <v>47.599899999999998</v>
      </c>
      <c r="E29">
        <v>48.3399</v>
      </c>
      <c r="F29">
        <v>61641.913999999997</v>
      </c>
      <c r="G29">
        <v>16.427</v>
      </c>
      <c r="H29">
        <v>0</v>
      </c>
      <c r="I29" t="s">
        <v>552</v>
      </c>
      <c r="J29" t="s">
        <v>553</v>
      </c>
    </row>
    <row r="30" spans="1:10" x14ac:dyDescent="0.25">
      <c r="A30" s="141" t="s">
        <v>211</v>
      </c>
      <c r="B30">
        <v>26062.713599999999</v>
      </c>
      <c r="C30">
        <v>42.768099999999997</v>
      </c>
      <c r="D30">
        <v>46.012700000000002</v>
      </c>
      <c r="E30">
        <v>46.5458</v>
      </c>
      <c r="F30">
        <v>48269.188000000002</v>
      </c>
      <c r="G30">
        <v>14.069000000000001</v>
      </c>
      <c r="H30">
        <v>0</v>
      </c>
      <c r="I30" t="s">
        <v>554</v>
      </c>
      <c r="J30" t="s">
        <v>555</v>
      </c>
    </row>
    <row r="31" spans="1:10" x14ac:dyDescent="0.25">
      <c r="A31" s="141" t="s">
        <v>212</v>
      </c>
      <c r="B31">
        <v>15445.3056</v>
      </c>
      <c r="C31">
        <v>40.083399999999997</v>
      </c>
      <c r="D31">
        <v>44.475900000000003</v>
      </c>
      <c r="E31">
        <v>44.7119</v>
      </c>
      <c r="F31">
        <v>36872.968999999997</v>
      </c>
      <c r="G31">
        <v>12.239000000000001</v>
      </c>
      <c r="H31">
        <v>0</v>
      </c>
      <c r="I31" t="s">
        <v>556</v>
      </c>
      <c r="J31" t="s">
        <v>557</v>
      </c>
    </row>
    <row r="32" spans="1:10" x14ac:dyDescent="0.25">
      <c r="A32" s="141" t="s">
        <v>213</v>
      </c>
      <c r="B32">
        <v>8057.0816000000004</v>
      </c>
      <c r="C32">
        <v>37.007100000000001</v>
      </c>
      <c r="D32">
        <v>42.447699999999998</v>
      </c>
      <c r="E32">
        <v>42.496699999999997</v>
      </c>
      <c r="F32">
        <v>24000.932000000001</v>
      </c>
      <c r="G32">
        <v>10.397</v>
      </c>
      <c r="H32">
        <v>0</v>
      </c>
      <c r="I32" t="s">
        <v>558</v>
      </c>
      <c r="J32" t="s">
        <v>559</v>
      </c>
    </row>
    <row r="33" spans="1:10" x14ac:dyDescent="0.25">
      <c r="A33" s="141" t="s">
        <v>102</v>
      </c>
      <c r="B33">
        <v>53882.239999999998</v>
      </c>
      <c r="C33">
        <v>41.744599999999998</v>
      </c>
      <c r="D33">
        <v>46.064700000000002</v>
      </c>
      <c r="E33">
        <v>46.381</v>
      </c>
      <c r="F33">
        <v>51052.663999999997</v>
      </c>
      <c r="G33">
        <v>11.083</v>
      </c>
      <c r="H33">
        <v>0</v>
      </c>
      <c r="I33" t="s">
        <v>496</v>
      </c>
      <c r="J33" t="s">
        <v>497</v>
      </c>
    </row>
    <row r="34" spans="1:10" x14ac:dyDescent="0.25">
      <c r="A34" s="141" t="s">
        <v>103</v>
      </c>
      <c r="B34">
        <v>36767.455999999998</v>
      </c>
      <c r="C34">
        <v>38.811399999999999</v>
      </c>
      <c r="D34">
        <v>44.329599999999999</v>
      </c>
      <c r="E34">
        <v>44.672699999999999</v>
      </c>
      <c r="F34">
        <v>44549.684000000001</v>
      </c>
      <c r="G34">
        <v>9.8179999999999996</v>
      </c>
      <c r="H34">
        <v>0</v>
      </c>
      <c r="I34" t="s">
        <v>498</v>
      </c>
      <c r="J34" t="s">
        <v>499</v>
      </c>
    </row>
    <row r="35" spans="1:10" x14ac:dyDescent="0.25">
      <c r="A35" s="141" t="s">
        <v>104</v>
      </c>
      <c r="B35">
        <v>21839.423999999999</v>
      </c>
      <c r="C35">
        <v>35.425699999999999</v>
      </c>
      <c r="D35">
        <v>42.876600000000003</v>
      </c>
      <c r="E35">
        <v>43.221800000000002</v>
      </c>
      <c r="F35">
        <v>36373.898000000001</v>
      </c>
      <c r="G35">
        <v>8.2479999999999993</v>
      </c>
      <c r="H35">
        <v>0</v>
      </c>
      <c r="I35" t="s">
        <v>500</v>
      </c>
      <c r="J35" t="s">
        <v>501</v>
      </c>
    </row>
    <row r="36" spans="1:10" x14ac:dyDescent="0.25">
      <c r="A36" s="141" t="s">
        <v>105</v>
      </c>
      <c r="B36">
        <v>10754.432000000001</v>
      </c>
      <c r="C36">
        <v>31.796500000000002</v>
      </c>
      <c r="D36">
        <v>41.522199999999998</v>
      </c>
      <c r="E36">
        <v>41.688099999999999</v>
      </c>
      <c r="F36">
        <v>25832.776999999998</v>
      </c>
      <c r="G36">
        <v>6.5359999999999996</v>
      </c>
      <c r="H36">
        <v>0</v>
      </c>
      <c r="I36" t="s">
        <v>502</v>
      </c>
      <c r="J36" t="s">
        <v>503</v>
      </c>
    </row>
    <row r="37" spans="1:10" x14ac:dyDescent="0.25">
      <c r="A37" s="141" t="s">
        <v>106</v>
      </c>
      <c r="B37">
        <v>20107.5072</v>
      </c>
      <c r="C37">
        <v>42.688499999999998</v>
      </c>
      <c r="D37">
        <v>45.483199999999997</v>
      </c>
      <c r="E37">
        <v>47.035299999999999</v>
      </c>
      <c r="F37">
        <v>33930.605000000003</v>
      </c>
      <c r="G37">
        <v>7.3479999999999999</v>
      </c>
      <c r="H37">
        <v>0</v>
      </c>
      <c r="I37" t="s">
        <v>504</v>
      </c>
      <c r="J37" t="s">
        <v>505</v>
      </c>
    </row>
    <row r="38" spans="1:10" x14ac:dyDescent="0.25">
      <c r="A38" s="141" t="s">
        <v>107</v>
      </c>
      <c r="B38">
        <v>11427.756799999999</v>
      </c>
      <c r="C38">
        <v>40.669400000000003</v>
      </c>
      <c r="D38">
        <v>44.565600000000003</v>
      </c>
      <c r="E38">
        <v>45.408200000000001</v>
      </c>
      <c r="F38">
        <v>24922.773000000001</v>
      </c>
      <c r="G38">
        <v>6.1660000000000004</v>
      </c>
      <c r="H38">
        <v>0</v>
      </c>
      <c r="I38" t="s">
        <v>506</v>
      </c>
      <c r="J38" t="s">
        <v>507</v>
      </c>
    </row>
    <row r="39" spans="1:10" x14ac:dyDescent="0.25">
      <c r="A39" s="141" t="s">
        <v>108</v>
      </c>
      <c r="B39">
        <v>6327.9552000000003</v>
      </c>
      <c r="C39">
        <v>38.6616</v>
      </c>
      <c r="D39">
        <v>43.612099999999998</v>
      </c>
      <c r="E39">
        <v>43.630699999999997</v>
      </c>
      <c r="F39">
        <v>17219.398000000001</v>
      </c>
      <c r="G39">
        <v>5.2759999999999998</v>
      </c>
      <c r="H39">
        <v>0</v>
      </c>
      <c r="I39" t="s">
        <v>508</v>
      </c>
      <c r="J39" t="s">
        <v>509</v>
      </c>
    </row>
    <row r="40" spans="1:10" x14ac:dyDescent="0.25">
      <c r="A40" s="141" t="s">
        <v>109</v>
      </c>
      <c r="B40">
        <v>3227.5136000000002</v>
      </c>
      <c r="C40">
        <v>36.2881</v>
      </c>
      <c r="D40">
        <v>42.325299999999999</v>
      </c>
      <c r="E40">
        <v>41.4589</v>
      </c>
      <c r="F40">
        <v>10628.911</v>
      </c>
      <c r="G40">
        <v>4.4359999999999999</v>
      </c>
      <c r="H40">
        <v>0</v>
      </c>
      <c r="I40" t="s">
        <v>510</v>
      </c>
      <c r="J40" t="s">
        <v>511</v>
      </c>
    </row>
    <row r="41" spans="1:10" x14ac:dyDescent="0.25">
      <c r="A41" s="141" t="s">
        <v>110</v>
      </c>
      <c r="B41">
        <v>15113.5296</v>
      </c>
      <c r="C41">
        <v>44.225099999999998</v>
      </c>
      <c r="D41">
        <v>47.079799999999999</v>
      </c>
      <c r="E41">
        <v>47.964500000000001</v>
      </c>
      <c r="F41">
        <v>26870.421999999999</v>
      </c>
      <c r="G41">
        <v>6.9260000000000002</v>
      </c>
      <c r="H41">
        <v>0</v>
      </c>
      <c r="I41" t="s">
        <v>512</v>
      </c>
      <c r="J41" t="s">
        <v>513</v>
      </c>
    </row>
    <row r="42" spans="1:10" x14ac:dyDescent="0.25">
      <c r="A42" s="141" t="s">
        <v>111</v>
      </c>
      <c r="B42">
        <v>10258.656000000001</v>
      </c>
      <c r="C42">
        <v>42.497900000000001</v>
      </c>
      <c r="D42">
        <v>45.939500000000002</v>
      </c>
      <c r="E42">
        <v>46.627299999999998</v>
      </c>
      <c r="F42">
        <v>21295.58</v>
      </c>
      <c r="G42">
        <v>6.1050000000000004</v>
      </c>
      <c r="H42">
        <v>0</v>
      </c>
      <c r="I42" t="s">
        <v>514</v>
      </c>
      <c r="J42" t="s">
        <v>515</v>
      </c>
    </row>
    <row r="43" spans="1:10" x14ac:dyDescent="0.25">
      <c r="A43" s="141" t="s">
        <v>112</v>
      </c>
      <c r="B43">
        <v>6479.5968000000003</v>
      </c>
      <c r="C43">
        <v>40.1614</v>
      </c>
      <c r="D43">
        <v>44.615299999999998</v>
      </c>
      <c r="E43">
        <v>45.103999999999999</v>
      </c>
      <c r="F43">
        <v>15399.914000000001</v>
      </c>
      <c r="G43">
        <v>5.3849999999999998</v>
      </c>
      <c r="H43">
        <v>0</v>
      </c>
      <c r="I43" t="s">
        <v>516</v>
      </c>
      <c r="J43" t="s">
        <v>517</v>
      </c>
    </row>
    <row r="44" spans="1:10" x14ac:dyDescent="0.25">
      <c r="A44" s="141" t="s">
        <v>113</v>
      </c>
      <c r="B44">
        <v>3755.3984</v>
      </c>
      <c r="C44">
        <v>37.178699999999999</v>
      </c>
      <c r="D44">
        <v>42.8752</v>
      </c>
      <c r="E44">
        <v>43.073399999999999</v>
      </c>
      <c r="F44">
        <v>10686.903</v>
      </c>
      <c r="G44">
        <v>4.6520000000000001</v>
      </c>
      <c r="H44">
        <v>0</v>
      </c>
      <c r="I44" t="s">
        <v>518</v>
      </c>
      <c r="J44" t="s">
        <v>519</v>
      </c>
    </row>
    <row r="45" spans="1:10" x14ac:dyDescent="0.25">
      <c r="A45" s="141" t="s">
        <v>114</v>
      </c>
      <c r="B45">
        <v>16391.392</v>
      </c>
      <c r="C45">
        <v>44.168399999999998</v>
      </c>
      <c r="D45">
        <v>48.8063</v>
      </c>
      <c r="E45">
        <v>48.466299999999997</v>
      </c>
      <c r="F45">
        <v>27108.615000000002</v>
      </c>
      <c r="G45">
        <v>6.71</v>
      </c>
      <c r="H45">
        <v>0</v>
      </c>
      <c r="I45" t="s">
        <v>520</v>
      </c>
      <c r="J45" t="s">
        <v>521</v>
      </c>
    </row>
    <row r="46" spans="1:10" x14ac:dyDescent="0.25">
      <c r="A46" s="141" t="s">
        <v>115</v>
      </c>
      <c r="B46">
        <v>11401.9264</v>
      </c>
      <c r="C46">
        <v>42.434600000000003</v>
      </c>
      <c r="D46">
        <v>47.810200000000002</v>
      </c>
      <c r="E46">
        <v>46.992199999999997</v>
      </c>
      <c r="F46">
        <v>21560.967000000001</v>
      </c>
      <c r="G46">
        <v>5.91</v>
      </c>
      <c r="H46">
        <v>0</v>
      </c>
      <c r="I46" t="s">
        <v>522</v>
      </c>
      <c r="J46" t="s">
        <v>523</v>
      </c>
    </row>
    <row r="47" spans="1:10" x14ac:dyDescent="0.25">
      <c r="A47" s="141" t="s">
        <v>116</v>
      </c>
      <c r="B47">
        <v>7416.576</v>
      </c>
      <c r="C47">
        <v>40.051600000000001</v>
      </c>
      <c r="D47">
        <v>46.611699999999999</v>
      </c>
      <c r="E47">
        <v>45.317700000000002</v>
      </c>
      <c r="F47">
        <v>16207.735000000001</v>
      </c>
      <c r="G47">
        <v>5.0940000000000003</v>
      </c>
      <c r="H47">
        <v>0</v>
      </c>
      <c r="I47" t="s">
        <v>524</v>
      </c>
      <c r="J47" t="s">
        <v>525</v>
      </c>
    </row>
    <row r="48" spans="1:10" x14ac:dyDescent="0.25">
      <c r="A48" s="141" t="s">
        <v>117</v>
      </c>
      <c r="B48">
        <v>4306.9376000000002</v>
      </c>
      <c r="C48">
        <v>36.828899999999997</v>
      </c>
      <c r="D48">
        <v>44.761200000000002</v>
      </c>
      <c r="E48">
        <v>43.084000000000003</v>
      </c>
      <c r="F48">
        <v>11189.258</v>
      </c>
      <c r="G48">
        <v>4.359</v>
      </c>
      <c r="H48">
        <v>0</v>
      </c>
      <c r="I48" t="s">
        <v>526</v>
      </c>
      <c r="J48" t="s">
        <v>527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14761.092000000001</v>
      </c>
      <c r="C73">
        <v>40.090499999999999</v>
      </c>
      <c r="D73">
        <v>49.066200000000002</v>
      </c>
      <c r="E73">
        <v>47.056100000000001</v>
      </c>
      <c r="F73">
        <v>381763.61800000002</v>
      </c>
      <c r="G73">
        <v>57.116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6726.18</v>
      </c>
      <c r="C74">
        <v>39.600299999999997</v>
      </c>
      <c r="D74">
        <v>48.469700000000003</v>
      </c>
      <c r="E74">
        <v>46.1524</v>
      </c>
      <c r="F74">
        <v>208669.818</v>
      </c>
      <c r="G74">
        <v>52.811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3648.0279999999998</v>
      </c>
      <c r="C75">
        <v>38.762599999999999</v>
      </c>
      <c r="D75">
        <v>47.644399999999997</v>
      </c>
      <c r="E75">
        <v>44.927399999999999</v>
      </c>
      <c r="F75">
        <v>102147.705</v>
      </c>
      <c r="G75">
        <v>46.564999999999998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1930.1559999999999</v>
      </c>
      <c r="C76">
        <v>37.271099999999997</v>
      </c>
      <c r="D76">
        <v>46.308399999999999</v>
      </c>
      <c r="E76">
        <v>43.182299999999998</v>
      </c>
      <c r="F76">
        <v>51018.601999999999</v>
      </c>
      <c r="G76">
        <v>42.23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75795.884000000005</v>
      </c>
      <c r="C77">
        <v>41.650100000000002</v>
      </c>
      <c r="D77">
        <v>36.473300000000002</v>
      </c>
      <c r="E77">
        <v>37.611699999999999</v>
      </c>
      <c r="F77">
        <v>707406.11499999999</v>
      </c>
      <c r="G77">
        <v>70.045000000000002</v>
      </c>
      <c r="H77">
        <v>0</v>
      </c>
      <c r="I77" t="s">
        <v>688</v>
      </c>
      <c r="J77" t="s">
        <v>689</v>
      </c>
    </row>
    <row r="78" spans="1:10" x14ac:dyDescent="0.25">
      <c r="A78" s="141" t="s">
        <v>227</v>
      </c>
      <c r="B78">
        <v>39171.883999999998</v>
      </c>
      <c r="C78">
        <v>39.0503</v>
      </c>
      <c r="D78">
        <v>34.554200000000002</v>
      </c>
      <c r="E78">
        <v>35.963799999999999</v>
      </c>
      <c r="F78">
        <v>472539.66</v>
      </c>
      <c r="G78">
        <v>59.526000000000003</v>
      </c>
      <c r="H78">
        <v>0</v>
      </c>
      <c r="I78" t="s">
        <v>690</v>
      </c>
      <c r="J78" t="s">
        <v>691</v>
      </c>
    </row>
    <row r="79" spans="1:10" x14ac:dyDescent="0.25">
      <c r="A79" s="141" t="s">
        <v>228</v>
      </c>
      <c r="B79">
        <v>18811.263999999999</v>
      </c>
      <c r="C79">
        <v>36.1462</v>
      </c>
      <c r="D79">
        <v>32.925699999999999</v>
      </c>
      <c r="E79">
        <v>34.590200000000003</v>
      </c>
      <c r="F79">
        <v>292824.29300000001</v>
      </c>
      <c r="G79">
        <v>52.408000000000001</v>
      </c>
      <c r="H79">
        <v>0</v>
      </c>
      <c r="I79" t="s">
        <v>486</v>
      </c>
      <c r="J79" t="s">
        <v>487</v>
      </c>
    </row>
    <row r="80" spans="1:10" x14ac:dyDescent="0.25">
      <c r="A80" s="141" t="s">
        <v>229</v>
      </c>
      <c r="B80">
        <v>7757.32</v>
      </c>
      <c r="C80">
        <v>33.084699999999998</v>
      </c>
      <c r="D80">
        <v>31.264299999999999</v>
      </c>
      <c r="E80">
        <v>33.1648</v>
      </c>
      <c r="F80">
        <v>162273.21100000001</v>
      </c>
      <c r="G80">
        <v>47.722000000000001</v>
      </c>
      <c r="H80">
        <v>0</v>
      </c>
      <c r="I80" t="s">
        <v>488</v>
      </c>
      <c r="J80" t="s">
        <v>489</v>
      </c>
    </row>
    <row r="81" spans="1:10" x14ac:dyDescent="0.25">
      <c r="A81" s="141" t="s">
        <v>230</v>
      </c>
      <c r="B81">
        <v>37756.784</v>
      </c>
      <c r="C81">
        <v>38.305500000000002</v>
      </c>
      <c r="D81">
        <v>40.467300000000002</v>
      </c>
      <c r="E81">
        <v>41.551699999999997</v>
      </c>
      <c r="F81">
        <v>411523.098</v>
      </c>
      <c r="G81">
        <v>38.543999999999997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18398.78</v>
      </c>
      <c r="C82">
        <v>37.1965</v>
      </c>
      <c r="D82">
        <v>37.920299999999997</v>
      </c>
      <c r="E82">
        <v>40.334400000000002</v>
      </c>
      <c r="F82">
        <v>244687.48800000001</v>
      </c>
      <c r="G82">
        <v>31.97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9141.5720000000001</v>
      </c>
      <c r="C83">
        <v>35.836300000000001</v>
      </c>
      <c r="D83">
        <v>35.705399999999997</v>
      </c>
      <c r="E83">
        <v>39.030099999999997</v>
      </c>
      <c r="F83">
        <v>147792.96100000001</v>
      </c>
      <c r="G83">
        <v>27.135999999999999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4627.0879999999997</v>
      </c>
      <c r="C84">
        <v>34.002600000000001</v>
      </c>
      <c r="D84">
        <v>33.809199999999997</v>
      </c>
      <c r="E84">
        <v>37.461300000000001</v>
      </c>
      <c r="F84">
        <v>83840.362999999998</v>
      </c>
      <c r="G84">
        <v>24.41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26294.748</v>
      </c>
      <c r="C85">
        <v>37.6387</v>
      </c>
      <c r="D85">
        <v>45.343899999999998</v>
      </c>
      <c r="E85">
        <v>43.032699999999998</v>
      </c>
      <c r="F85">
        <v>540248.02099999995</v>
      </c>
      <c r="G85">
        <v>61.91</v>
      </c>
      <c r="H85">
        <v>0</v>
      </c>
      <c r="I85" t="s">
        <v>692</v>
      </c>
      <c r="J85" t="s">
        <v>693</v>
      </c>
    </row>
    <row r="86" spans="1:10" x14ac:dyDescent="0.25">
      <c r="A86" s="141" t="s">
        <v>235</v>
      </c>
      <c r="B86">
        <v>9174.848</v>
      </c>
      <c r="C86">
        <v>37.099600000000002</v>
      </c>
      <c r="D86">
        <v>44.750399999999999</v>
      </c>
      <c r="E86">
        <v>42.412100000000002</v>
      </c>
      <c r="F86">
        <v>292233.179</v>
      </c>
      <c r="G86">
        <v>52.930999999999997</v>
      </c>
      <c r="H86">
        <v>0</v>
      </c>
      <c r="I86" t="s">
        <v>490</v>
      </c>
      <c r="J86" t="s">
        <v>491</v>
      </c>
    </row>
    <row r="87" spans="1:10" x14ac:dyDescent="0.25">
      <c r="A87" s="141" t="s">
        <v>236</v>
      </c>
      <c r="B87">
        <v>4518.46</v>
      </c>
      <c r="C87">
        <v>36.249000000000002</v>
      </c>
      <c r="D87">
        <v>43.9666</v>
      </c>
      <c r="E87">
        <v>41.622999999999998</v>
      </c>
      <c r="F87">
        <v>147220.24799999999</v>
      </c>
      <c r="G87">
        <v>45.581000000000003</v>
      </c>
      <c r="H87">
        <v>0</v>
      </c>
      <c r="I87" t="s">
        <v>492</v>
      </c>
      <c r="J87" t="s">
        <v>493</v>
      </c>
    </row>
    <row r="88" spans="1:10" x14ac:dyDescent="0.25">
      <c r="A88" s="141" t="s">
        <v>237</v>
      </c>
      <c r="B88">
        <v>2182.9160000000002</v>
      </c>
      <c r="C88">
        <v>34.794899999999998</v>
      </c>
      <c r="D88">
        <v>42.652200000000001</v>
      </c>
      <c r="E88">
        <v>40.493899999999996</v>
      </c>
      <c r="F88">
        <v>69696.057000000001</v>
      </c>
      <c r="G88">
        <v>38.531999999999996</v>
      </c>
      <c r="H88">
        <v>0</v>
      </c>
      <c r="I88" t="s">
        <v>494</v>
      </c>
      <c r="J88" t="s">
        <v>495</v>
      </c>
    </row>
    <row r="89" spans="1:10" x14ac:dyDescent="0.25">
      <c r="A89" s="141" t="s">
        <v>118</v>
      </c>
      <c r="B89">
        <v>9781.7520000000004</v>
      </c>
      <c r="C89">
        <v>38.012</v>
      </c>
      <c r="D89">
        <v>39.847999999999999</v>
      </c>
      <c r="E89">
        <v>43.3386</v>
      </c>
      <c r="F89">
        <v>124434.876</v>
      </c>
      <c r="G89">
        <v>13.763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4532.1080000000002</v>
      </c>
      <c r="C90">
        <v>36.913499999999999</v>
      </c>
      <c r="D90">
        <v>39.338799999999999</v>
      </c>
      <c r="E90">
        <v>42.215899999999998</v>
      </c>
      <c r="F90">
        <v>74338.59</v>
      </c>
      <c r="G90">
        <v>11.417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2304.56</v>
      </c>
      <c r="C91">
        <v>35.357700000000001</v>
      </c>
      <c r="D91">
        <v>38.730699999999999</v>
      </c>
      <c r="E91">
        <v>40.947899999999997</v>
      </c>
      <c r="F91">
        <v>41865.974000000002</v>
      </c>
      <c r="G91">
        <v>9.4420000000000002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1105.568</v>
      </c>
      <c r="C92">
        <v>33.171900000000001</v>
      </c>
      <c r="D92">
        <v>37.732700000000001</v>
      </c>
      <c r="E92">
        <v>39.2316</v>
      </c>
      <c r="F92">
        <v>22232.024000000001</v>
      </c>
      <c r="G92">
        <v>8.5180000000000007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8565.348</v>
      </c>
      <c r="C93">
        <v>38.948999999999998</v>
      </c>
      <c r="D93">
        <v>44.053800000000003</v>
      </c>
      <c r="E93">
        <v>45.1997</v>
      </c>
      <c r="F93">
        <v>132363.36499999999</v>
      </c>
      <c r="G93">
        <v>14.393000000000001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4284.38</v>
      </c>
      <c r="C94">
        <v>37.918300000000002</v>
      </c>
      <c r="D94">
        <v>43.215200000000003</v>
      </c>
      <c r="E94">
        <v>43.777099999999997</v>
      </c>
      <c r="F94">
        <v>79840.28</v>
      </c>
      <c r="G94">
        <v>12.301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2189.2640000000001</v>
      </c>
      <c r="C95">
        <v>36.4221</v>
      </c>
      <c r="D95">
        <v>42.198500000000003</v>
      </c>
      <c r="E95">
        <v>42.213500000000003</v>
      </c>
      <c r="F95">
        <v>44208.983999999997</v>
      </c>
      <c r="G95">
        <v>10.590999999999999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1081.1600000000001</v>
      </c>
      <c r="C96">
        <v>34.3611</v>
      </c>
      <c r="D96">
        <v>40.853900000000003</v>
      </c>
      <c r="E96">
        <v>40.288899999999998</v>
      </c>
      <c r="F96">
        <v>23332.31</v>
      </c>
      <c r="G96">
        <v>8.7729999999999997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6755.7120000000004</v>
      </c>
      <c r="C97">
        <v>39.703600000000002</v>
      </c>
      <c r="D97">
        <v>43.906799999999997</v>
      </c>
      <c r="E97">
        <v>45.051600000000001</v>
      </c>
      <c r="F97">
        <v>121321.927</v>
      </c>
      <c r="G97">
        <v>14.707000000000001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3211.56</v>
      </c>
      <c r="C98">
        <v>38.563099999999999</v>
      </c>
      <c r="D98">
        <v>43.155700000000003</v>
      </c>
      <c r="E98">
        <v>44.366199999999999</v>
      </c>
      <c r="F98">
        <v>70784.543000000005</v>
      </c>
      <c r="G98">
        <v>12.127000000000001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1547.5119999999999</v>
      </c>
      <c r="C99">
        <v>36.8949</v>
      </c>
      <c r="D99">
        <v>42.282600000000002</v>
      </c>
      <c r="E99">
        <v>43.517299999999999</v>
      </c>
      <c r="F99">
        <v>37250.368000000002</v>
      </c>
      <c r="G99">
        <v>10.609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696.76800000000003</v>
      </c>
      <c r="C100">
        <v>34.6554</v>
      </c>
      <c r="D100">
        <v>41.0381</v>
      </c>
      <c r="E100">
        <v>42.122799999999998</v>
      </c>
      <c r="F100">
        <v>18563.206999999999</v>
      </c>
      <c r="G100">
        <v>9.07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5574.692</v>
      </c>
      <c r="C101">
        <v>44.89</v>
      </c>
      <c r="D101">
        <v>47.7117</v>
      </c>
      <c r="E101">
        <v>48.503399999999999</v>
      </c>
      <c r="F101">
        <v>90825.395000000004</v>
      </c>
      <c r="G101">
        <v>14.346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3417.96</v>
      </c>
      <c r="C102">
        <v>42.640500000000003</v>
      </c>
      <c r="D102">
        <v>46.157200000000003</v>
      </c>
      <c r="E102">
        <v>46.734999999999999</v>
      </c>
      <c r="F102">
        <v>61710.362999999998</v>
      </c>
      <c r="G102">
        <v>13.250999999999999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1907.6959999999999</v>
      </c>
      <c r="C103">
        <v>39.826599999999999</v>
      </c>
      <c r="D103">
        <v>44.621600000000001</v>
      </c>
      <c r="E103">
        <v>44.933599999999998</v>
      </c>
      <c r="F103">
        <v>38024.245000000003</v>
      </c>
      <c r="G103">
        <v>11.409000000000001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973.41600000000005</v>
      </c>
      <c r="C104">
        <v>36.646099999999997</v>
      </c>
      <c r="D104">
        <v>42.764400000000002</v>
      </c>
      <c r="E104">
        <v>42.862400000000001</v>
      </c>
      <c r="F104">
        <v>21343.89</v>
      </c>
      <c r="G104">
        <v>9.5180000000000007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4102.66</v>
      </c>
      <c r="C105">
        <v>38.6004</v>
      </c>
      <c r="D105">
        <v>46.257199999999997</v>
      </c>
      <c r="E105">
        <v>46.464500000000001</v>
      </c>
      <c r="F105">
        <v>58116.322</v>
      </c>
      <c r="G105">
        <v>6.0570000000000004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1789.0039999999999</v>
      </c>
      <c r="C106">
        <v>37.098399999999998</v>
      </c>
      <c r="D106">
        <v>45.177999999999997</v>
      </c>
      <c r="E106">
        <v>45.4056</v>
      </c>
      <c r="F106">
        <v>30956.228999999999</v>
      </c>
      <c r="G106">
        <v>4.649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843.17600000000004</v>
      </c>
      <c r="C107">
        <v>35.145099999999999</v>
      </c>
      <c r="D107">
        <v>43.882199999999997</v>
      </c>
      <c r="E107">
        <v>44.161299999999997</v>
      </c>
      <c r="F107">
        <v>16676.396000000001</v>
      </c>
      <c r="G107">
        <v>4.0309999999999997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400.12400000000002</v>
      </c>
      <c r="C108">
        <v>32.464799999999997</v>
      </c>
      <c r="D108">
        <v>42.1798</v>
      </c>
      <c r="E108">
        <v>42.490299999999998</v>
      </c>
      <c r="F108">
        <v>8247.9560000000001</v>
      </c>
      <c r="G108">
        <v>3.4809999999999999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2431.5239999999999</v>
      </c>
      <c r="C109">
        <v>40.653500000000001</v>
      </c>
      <c r="D109">
        <v>46.150300000000001</v>
      </c>
      <c r="E109">
        <v>47.316299999999998</v>
      </c>
      <c r="F109">
        <v>45885.387000000002</v>
      </c>
      <c r="G109">
        <v>5.8810000000000002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1091.7639999999999</v>
      </c>
      <c r="C110">
        <v>39.506399999999999</v>
      </c>
      <c r="D110">
        <v>45.546900000000001</v>
      </c>
      <c r="E110">
        <v>46.0319</v>
      </c>
      <c r="F110">
        <v>24934.482</v>
      </c>
      <c r="G110">
        <v>4.9219999999999997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515.68799999999999</v>
      </c>
      <c r="C111">
        <v>37.9527</v>
      </c>
      <c r="D111">
        <v>44.8063</v>
      </c>
      <c r="E111">
        <v>44.539099999999998</v>
      </c>
      <c r="F111">
        <v>12616.368</v>
      </c>
      <c r="G111">
        <v>4.181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234.34</v>
      </c>
      <c r="C112">
        <v>35.865200000000002</v>
      </c>
      <c r="D112">
        <v>43.575099999999999</v>
      </c>
      <c r="E112">
        <v>42.448300000000003</v>
      </c>
      <c r="F112">
        <v>6162.9949999999999</v>
      </c>
      <c r="G112">
        <v>3.7429999999999999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925.27599999999995</v>
      </c>
      <c r="C113">
        <v>43.534199999999998</v>
      </c>
      <c r="D113">
        <v>47.274299999999997</v>
      </c>
      <c r="E113">
        <v>48.295400000000001</v>
      </c>
      <c r="F113">
        <v>19776.57</v>
      </c>
      <c r="G113">
        <v>4.3220000000000001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507.024</v>
      </c>
      <c r="C114">
        <v>42.257599999999996</v>
      </c>
      <c r="D114">
        <v>46.504600000000003</v>
      </c>
      <c r="E114">
        <v>47.311900000000001</v>
      </c>
      <c r="F114">
        <v>11039.333000000001</v>
      </c>
      <c r="G114">
        <v>3.9590000000000001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290.02800000000002</v>
      </c>
      <c r="C115">
        <v>40.481900000000003</v>
      </c>
      <c r="D115">
        <v>45.502699999999997</v>
      </c>
      <c r="E115">
        <v>46.062600000000003</v>
      </c>
      <c r="F115">
        <v>6112.7359999999999</v>
      </c>
      <c r="G115">
        <v>3.7120000000000002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161.82</v>
      </c>
      <c r="C116">
        <v>37.918399999999998</v>
      </c>
      <c r="D116">
        <v>43.817799999999998</v>
      </c>
      <c r="E116">
        <v>44.095700000000001</v>
      </c>
      <c r="F116">
        <v>3500.0070000000001</v>
      </c>
      <c r="G116">
        <v>3.694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1285.0360000000001</v>
      </c>
      <c r="C117">
        <v>42.910299999999999</v>
      </c>
      <c r="D117">
        <v>49.054900000000004</v>
      </c>
      <c r="E117">
        <v>48.744700000000002</v>
      </c>
      <c r="F117">
        <v>22763.26</v>
      </c>
      <c r="G117">
        <v>4.2350000000000003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694.84400000000005</v>
      </c>
      <c r="C118">
        <v>41.6297</v>
      </c>
      <c r="D118">
        <v>48.230200000000004</v>
      </c>
      <c r="E118">
        <v>47.676299999999998</v>
      </c>
      <c r="F118">
        <v>13028.325000000001</v>
      </c>
      <c r="G118">
        <v>3.81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396.28</v>
      </c>
      <c r="C119">
        <v>39.761200000000002</v>
      </c>
      <c r="D119">
        <v>47.319600000000001</v>
      </c>
      <c r="E119">
        <v>46.289900000000003</v>
      </c>
      <c r="F119">
        <v>7529.0050000000001</v>
      </c>
      <c r="G119">
        <v>3.6179999999999999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219.25200000000001</v>
      </c>
      <c r="C120">
        <v>37.047800000000002</v>
      </c>
      <c r="D120">
        <v>45.576500000000003</v>
      </c>
      <c r="E120">
        <v>43.939399999999999</v>
      </c>
      <c r="F120">
        <v>4265.7820000000002</v>
      </c>
      <c r="G120">
        <v>3.4889999999999999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17066.272000000001</v>
      </c>
      <c r="C145">
        <v>40.1706</v>
      </c>
      <c r="D145">
        <v>48.750999999999998</v>
      </c>
      <c r="E145">
        <v>46.678800000000003</v>
      </c>
      <c r="F145">
        <v>219807.17199999999</v>
      </c>
      <c r="G145">
        <v>28.867000000000001</v>
      </c>
      <c r="H145">
        <v>0</v>
      </c>
      <c r="I145" t="s">
        <v>592</v>
      </c>
      <c r="J145" t="s">
        <v>593</v>
      </c>
    </row>
    <row r="146" spans="1:10" x14ac:dyDescent="0.25">
      <c r="A146" s="141" t="s">
        <v>255</v>
      </c>
      <c r="B146">
        <v>8435.44</v>
      </c>
      <c r="C146">
        <v>39.564999999999998</v>
      </c>
      <c r="D146">
        <v>47.925800000000002</v>
      </c>
      <c r="E146">
        <v>45.540100000000002</v>
      </c>
      <c r="F146">
        <v>122695.367</v>
      </c>
      <c r="G146">
        <v>25.169</v>
      </c>
      <c r="H146">
        <v>0</v>
      </c>
      <c r="I146" t="s">
        <v>594</v>
      </c>
      <c r="J146" t="s">
        <v>595</v>
      </c>
    </row>
    <row r="147" spans="1:10" x14ac:dyDescent="0.25">
      <c r="A147" s="141" t="s">
        <v>256</v>
      </c>
      <c r="B147">
        <v>4599.2</v>
      </c>
      <c r="C147">
        <v>38.579000000000001</v>
      </c>
      <c r="D147">
        <v>46.931699999999999</v>
      </c>
      <c r="E147">
        <v>44.164299999999997</v>
      </c>
      <c r="F147">
        <v>63740.745999999999</v>
      </c>
      <c r="G147">
        <v>21.326000000000001</v>
      </c>
      <c r="H147">
        <v>0</v>
      </c>
      <c r="I147" t="s">
        <v>596</v>
      </c>
      <c r="J147" t="s">
        <v>597</v>
      </c>
    </row>
    <row r="148" spans="1:10" x14ac:dyDescent="0.25">
      <c r="A148" s="141" t="s">
        <v>257</v>
      </c>
      <c r="B148">
        <v>2498.08</v>
      </c>
      <c r="C148">
        <v>37.031599999999997</v>
      </c>
      <c r="D148">
        <v>45.539900000000003</v>
      </c>
      <c r="E148">
        <v>42.511000000000003</v>
      </c>
      <c r="F148">
        <v>32752.559000000001</v>
      </c>
      <c r="G148">
        <v>18.324999999999999</v>
      </c>
      <c r="H148">
        <v>0</v>
      </c>
      <c r="I148" t="s">
        <v>598</v>
      </c>
      <c r="J148" t="s">
        <v>599</v>
      </c>
    </row>
    <row r="149" spans="1:10" x14ac:dyDescent="0.25">
      <c r="A149" s="141" t="s">
        <v>258</v>
      </c>
      <c r="B149">
        <v>91078.88</v>
      </c>
      <c r="C149">
        <v>41.734999999999999</v>
      </c>
      <c r="D149">
        <v>36.695</v>
      </c>
      <c r="E149">
        <v>37.710099999999997</v>
      </c>
      <c r="F149">
        <v>380118.75</v>
      </c>
      <c r="G149">
        <v>32.874000000000002</v>
      </c>
      <c r="H149">
        <v>0</v>
      </c>
      <c r="I149" t="s">
        <v>600</v>
      </c>
      <c r="J149" t="s">
        <v>601</v>
      </c>
    </row>
    <row r="150" spans="1:10" x14ac:dyDescent="0.25">
      <c r="A150" s="141" t="s">
        <v>259</v>
      </c>
      <c r="B150">
        <v>46663.544000000002</v>
      </c>
      <c r="C150">
        <v>38.942300000000003</v>
      </c>
      <c r="D150">
        <v>34.412100000000002</v>
      </c>
      <c r="E150">
        <v>35.798699999999997</v>
      </c>
      <c r="F150">
        <v>260912.46900000001</v>
      </c>
      <c r="G150">
        <v>27.027000000000001</v>
      </c>
      <c r="H150">
        <v>0</v>
      </c>
      <c r="I150" t="s">
        <v>602</v>
      </c>
      <c r="J150" t="s">
        <v>603</v>
      </c>
    </row>
    <row r="151" spans="1:10" x14ac:dyDescent="0.25">
      <c r="A151" s="141" t="s">
        <v>260</v>
      </c>
      <c r="B151">
        <v>21675.119999999999</v>
      </c>
      <c r="C151">
        <v>35.8399</v>
      </c>
      <c r="D151">
        <v>32.508899999999997</v>
      </c>
      <c r="E151">
        <v>34.209200000000003</v>
      </c>
      <c r="F151">
        <v>170783.15599999999</v>
      </c>
      <c r="G151">
        <v>22.614000000000001</v>
      </c>
      <c r="H151">
        <v>0</v>
      </c>
      <c r="I151" t="s">
        <v>604</v>
      </c>
      <c r="J151" t="s">
        <v>605</v>
      </c>
    </row>
    <row r="152" spans="1:10" x14ac:dyDescent="0.25">
      <c r="A152" s="141" t="s">
        <v>261</v>
      </c>
      <c r="B152">
        <v>9153.2479999999996</v>
      </c>
      <c r="C152">
        <v>32.827100000000002</v>
      </c>
      <c r="D152">
        <v>30.812899999999999</v>
      </c>
      <c r="E152">
        <v>32.811500000000002</v>
      </c>
      <c r="F152">
        <v>98439.875</v>
      </c>
      <c r="G152">
        <v>19.466999999999999</v>
      </c>
      <c r="H152">
        <v>0</v>
      </c>
      <c r="I152" t="s">
        <v>606</v>
      </c>
      <c r="J152" t="s">
        <v>607</v>
      </c>
    </row>
    <row r="153" spans="1:10" x14ac:dyDescent="0.25">
      <c r="A153" s="141" t="s">
        <v>262</v>
      </c>
      <c r="B153">
        <v>45096.160000000003</v>
      </c>
      <c r="C153">
        <v>38.881100000000004</v>
      </c>
      <c r="D153">
        <v>41.216299999999997</v>
      </c>
      <c r="E153">
        <v>41.488700000000001</v>
      </c>
      <c r="F153">
        <v>205716.625</v>
      </c>
      <c r="G153">
        <v>18.876999999999999</v>
      </c>
      <c r="H153">
        <v>0</v>
      </c>
      <c r="I153" t="s">
        <v>608</v>
      </c>
      <c r="J153" t="s">
        <v>609</v>
      </c>
    </row>
    <row r="154" spans="1:10" x14ac:dyDescent="0.25">
      <c r="A154" s="141" t="s">
        <v>263</v>
      </c>
      <c r="B154">
        <v>22137.824000000001</v>
      </c>
      <c r="C154">
        <v>37.520099999999999</v>
      </c>
      <c r="D154">
        <v>38.650799999999997</v>
      </c>
      <c r="E154">
        <v>40.112499999999997</v>
      </c>
      <c r="F154">
        <v>123765.484</v>
      </c>
      <c r="G154">
        <v>15.032999999999999</v>
      </c>
      <c r="H154">
        <v>0</v>
      </c>
      <c r="I154" t="s">
        <v>610</v>
      </c>
      <c r="J154" t="s">
        <v>611</v>
      </c>
    </row>
    <row r="155" spans="1:10" x14ac:dyDescent="0.25">
      <c r="A155" s="141" t="s">
        <v>264</v>
      </c>
      <c r="B155">
        <v>11575.008</v>
      </c>
      <c r="C155">
        <v>35.967500000000001</v>
      </c>
      <c r="D155">
        <v>36.419899999999998</v>
      </c>
      <c r="E155">
        <v>38.676600000000001</v>
      </c>
      <c r="F155">
        <v>79216.523000000001</v>
      </c>
      <c r="G155">
        <v>12.89</v>
      </c>
      <c r="H155">
        <v>0</v>
      </c>
      <c r="I155" t="s">
        <v>612</v>
      </c>
      <c r="J155" t="s">
        <v>613</v>
      </c>
    </row>
    <row r="156" spans="1:10" x14ac:dyDescent="0.25">
      <c r="A156" s="141" t="s">
        <v>265</v>
      </c>
      <c r="B156">
        <v>5679.5119999999997</v>
      </c>
      <c r="C156">
        <v>34.055300000000003</v>
      </c>
      <c r="D156">
        <v>33.984299999999998</v>
      </c>
      <c r="E156">
        <v>36.912599999999998</v>
      </c>
      <c r="F156">
        <v>45781.311999999998</v>
      </c>
      <c r="G156">
        <v>11.42</v>
      </c>
      <c r="H156">
        <v>0</v>
      </c>
      <c r="I156" t="s">
        <v>614</v>
      </c>
      <c r="J156" t="s">
        <v>615</v>
      </c>
    </row>
    <row r="157" spans="1:10" x14ac:dyDescent="0.25">
      <c r="A157" s="141" t="s">
        <v>266</v>
      </c>
      <c r="B157">
        <v>24491.887999999999</v>
      </c>
      <c r="C157">
        <v>37.539700000000003</v>
      </c>
      <c r="D157">
        <v>45.034599999999998</v>
      </c>
      <c r="E157">
        <v>42.796900000000001</v>
      </c>
      <c r="F157">
        <v>296548.06199999998</v>
      </c>
      <c r="G157">
        <v>28.196000000000002</v>
      </c>
      <c r="H157">
        <v>0</v>
      </c>
      <c r="I157" t="s">
        <v>616</v>
      </c>
      <c r="J157" t="s">
        <v>617</v>
      </c>
    </row>
    <row r="158" spans="1:10" x14ac:dyDescent="0.25">
      <c r="A158" s="141" t="s">
        <v>267</v>
      </c>
      <c r="B158">
        <v>10317.072</v>
      </c>
      <c r="C158">
        <v>36.917900000000003</v>
      </c>
      <c r="D158">
        <v>44.380600000000001</v>
      </c>
      <c r="E158">
        <v>42.086399999999998</v>
      </c>
      <c r="F158">
        <v>160247.984</v>
      </c>
      <c r="G158">
        <v>23.282</v>
      </c>
      <c r="H158">
        <v>0</v>
      </c>
      <c r="I158" t="s">
        <v>618</v>
      </c>
      <c r="J158" t="s">
        <v>619</v>
      </c>
    </row>
    <row r="159" spans="1:10" x14ac:dyDescent="0.25">
      <c r="A159" s="141" t="s">
        <v>268</v>
      </c>
      <c r="B159">
        <v>5160.4719999999998</v>
      </c>
      <c r="C159">
        <v>35.905700000000003</v>
      </c>
      <c r="D159">
        <v>43.4495</v>
      </c>
      <c r="E159">
        <v>41.128900000000002</v>
      </c>
      <c r="F159">
        <v>86284.766000000003</v>
      </c>
      <c r="G159">
        <v>20.172999999999998</v>
      </c>
      <c r="H159">
        <v>0</v>
      </c>
      <c r="I159" t="s">
        <v>620</v>
      </c>
      <c r="J159" t="s">
        <v>621</v>
      </c>
    </row>
    <row r="160" spans="1:10" x14ac:dyDescent="0.25">
      <c r="A160" s="141" t="s">
        <v>269</v>
      </c>
      <c r="B160">
        <v>2560.8879999999999</v>
      </c>
      <c r="C160">
        <v>34.327800000000003</v>
      </c>
      <c r="D160">
        <v>42.134700000000002</v>
      </c>
      <c r="E160">
        <v>39.988799999999998</v>
      </c>
      <c r="F160">
        <v>43056.940999999999</v>
      </c>
      <c r="G160">
        <v>15.316000000000001</v>
      </c>
      <c r="H160">
        <v>0</v>
      </c>
      <c r="I160" t="s">
        <v>622</v>
      </c>
      <c r="J160" t="s">
        <v>623</v>
      </c>
    </row>
    <row r="161" spans="1:10" x14ac:dyDescent="0.25">
      <c r="A161" s="141" t="s">
        <v>142</v>
      </c>
      <c r="B161">
        <v>7973.1711999999998</v>
      </c>
      <c r="C161">
        <v>38.024099999999997</v>
      </c>
      <c r="D161">
        <v>39.740600000000001</v>
      </c>
      <c r="E161">
        <v>42.838200000000001</v>
      </c>
      <c r="F161">
        <v>339227.18800000002</v>
      </c>
      <c r="G161">
        <v>28.157</v>
      </c>
      <c r="H161">
        <v>0</v>
      </c>
      <c r="I161" t="s">
        <v>624</v>
      </c>
      <c r="J161" t="s">
        <v>625</v>
      </c>
    </row>
    <row r="162" spans="1:10" x14ac:dyDescent="0.25">
      <c r="A162" s="141" t="s">
        <v>143</v>
      </c>
      <c r="B162">
        <v>3763.0832</v>
      </c>
      <c r="C162">
        <v>36.685299999999998</v>
      </c>
      <c r="D162">
        <v>39.101100000000002</v>
      </c>
      <c r="E162">
        <v>41.638399999999997</v>
      </c>
      <c r="F162">
        <v>205646.04699999999</v>
      </c>
      <c r="G162">
        <v>21.867000000000001</v>
      </c>
      <c r="H162">
        <v>0</v>
      </c>
      <c r="I162" t="s">
        <v>626</v>
      </c>
      <c r="J162" t="s">
        <v>627</v>
      </c>
    </row>
    <row r="163" spans="1:10" x14ac:dyDescent="0.25">
      <c r="A163" s="141" t="s">
        <v>144</v>
      </c>
      <c r="B163">
        <v>1842.904</v>
      </c>
      <c r="C163">
        <v>34.816499999999998</v>
      </c>
      <c r="D163">
        <v>38.272100000000002</v>
      </c>
      <c r="E163">
        <v>40.174300000000002</v>
      </c>
      <c r="F163">
        <v>124462.117</v>
      </c>
      <c r="G163">
        <v>17.356000000000002</v>
      </c>
      <c r="H163">
        <v>0</v>
      </c>
      <c r="I163" t="s">
        <v>628</v>
      </c>
      <c r="J163" t="s">
        <v>629</v>
      </c>
    </row>
    <row r="164" spans="1:10" x14ac:dyDescent="0.25">
      <c r="A164" s="141" t="s">
        <v>145</v>
      </c>
      <c r="B164">
        <v>882.42560000000003</v>
      </c>
      <c r="C164">
        <v>32.506999999999998</v>
      </c>
      <c r="D164">
        <v>37.261400000000002</v>
      </c>
      <c r="E164">
        <v>38.492199999999997</v>
      </c>
      <c r="F164">
        <v>70037.718999999997</v>
      </c>
      <c r="G164">
        <v>14.446999999999999</v>
      </c>
      <c r="H164">
        <v>0</v>
      </c>
      <c r="I164" t="s">
        <v>630</v>
      </c>
      <c r="J164" t="s">
        <v>631</v>
      </c>
    </row>
    <row r="165" spans="1:10" x14ac:dyDescent="0.25">
      <c r="A165" s="141" t="s">
        <v>146</v>
      </c>
      <c r="B165">
        <v>9103.7952000000005</v>
      </c>
      <c r="C165">
        <v>38.740499999999997</v>
      </c>
      <c r="D165">
        <v>43.692599999999999</v>
      </c>
      <c r="E165">
        <v>44.6235</v>
      </c>
      <c r="F165">
        <v>364681.06199999998</v>
      </c>
      <c r="G165">
        <v>33.786000000000001</v>
      </c>
      <c r="H165">
        <v>0</v>
      </c>
      <c r="I165" t="s">
        <v>632</v>
      </c>
      <c r="J165" t="s">
        <v>633</v>
      </c>
    </row>
    <row r="166" spans="1:10" x14ac:dyDescent="0.25">
      <c r="A166" s="141" t="s">
        <v>147</v>
      </c>
      <c r="B166">
        <v>4702.6463999999996</v>
      </c>
      <c r="C166">
        <v>37.533999999999999</v>
      </c>
      <c r="D166">
        <v>42.716700000000003</v>
      </c>
      <c r="E166">
        <v>43.120100000000001</v>
      </c>
      <c r="F166">
        <v>229839.68799999999</v>
      </c>
      <c r="G166">
        <v>27.620999999999999</v>
      </c>
      <c r="H166">
        <v>0</v>
      </c>
      <c r="I166" t="s">
        <v>634</v>
      </c>
      <c r="J166" t="s">
        <v>635</v>
      </c>
    </row>
    <row r="167" spans="1:10" x14ac:dyDescent="0.25">
      <c r="A167" s="141" t="s">
        <v>148</v>
      </c>
      <c r="B167">
        <v>2396.8175999999999</v>
      </c>
      <c r="C167">
        <v>35.859200000000001</v>
      </c>
      <c r="D167">
        <v>41.477699999999999</v>
      </c>
      <c r="E167">
        <v>41.391399999999997</v>
      </c>
      <c r="F167">
        <v>134931.516</v>
      </c>
      <c r="G167">
        <v>22.521999999999998</v>
      </c>
      <c r="H167">
        <v>0</v>
      </c>
      <c r="I167" t="s">
        <v>636</v>
      </c>
      <c r="J167" t="s">
        <v>637</v>
      </c>
    </row>
    <row r="168" spans="1:10" x14ac:dyDescent="0.25">
      <c r="A168" s="141" t="s">
        <v>149</v>
      </c>
      <c r="B168">
        <v>1187.9616000000001</v>
      </c>
      <c r="C168">
        <v>33.761200000000002</v>
      </c>
      <c r="D168">
        <v>40.123199999999997</v>
      </c>
      <c r="E168">
        <v>39.4696</v>
      </c>
      <c r="F168">
        <v>76297.710999999996</v>
      </c>
      <c r="G168">
        <v>19.201000000000001</v>
      </c>
      <c r="H168">
        <v>0</v>
      </c>
      <c r="I168" t="s">
        <v>638</v>
      </c>
      <c r="J168" t="s">
        <v>639</v>
      </c>
    </row>
    <row r="169" spans="1:10" x14ac:dyDescent="0.25">
      <c r="A169" s="141" t="s">
        <v>270</v>
      </c>
      <c r="B169">
        <v>6358.9056</v>
      </c>
      <c r="C169">
        <v>39.8339</v>
      </c>
      <c r="D169">
        <v>43.8033</v>
      </c>
      <c r="E169">
        <v>44.5047</v>
      </c>
      <c r="F169">
        <v>331292.875</v>
      </c>
      <c r="G169">
        <v>34.350999999999999</v>
      </c>
      <c r="H169">
        <v>0</v>
      </c>
      <c r="I169" t="s">
        <v>640</v>
      </c>
      <c r="J169" t="s">
        <v>641</v>
      </c>
    </row>
    <row r="170" spans="1:10" x14ac:dyDescent="0.25">
      <c r="A170" s="141" t="s">
        <v>271</v>
      </c>
      <c r="B170">
        <v>3030.3216000000002</v>
      </c>
      <c r="C170">
        <v>38.535800000000002</v>
      </c>
      <c r="D170">
        <v>42.926499999999997</v>
      </c>
      <c r="E170">
        <v>43.664999999999999</v>
      </c>
      <c r="F170">
        <v>193023.03099999999</v>
      </c>
      <c r="G170">
        <v>26.494</v>
      </c>
      <c r="H170">
        <v>0</v>
      </c>
      <c r="I170" t="s">
        <v>642</v>
      </c>
      <c r="J170" t="s">
        <v>643</v>
      </c>
    </row>
    <row r="171" spans="1:10" x14ac:dyDescent="0.25">
      <c r="A171" s="141" t="s">
        <v>272</v>
      </c>
      <c r="B171">
        <v>1460.0319999999999</v>
      </c>
      <c r="C171">
        <v>36.723399999999998</v>
      </c>
      <c r="D171">
        <v>41.835099999999997</v>
      </c>
      <c r="E171">
        <v>42.414499999999997</v>
      </c>
      <c r="F171">
        <v>106688.82799999999</v>
      </c>
      <c r="G171">
        <v>21.416</v>
      </c>
      <c r="H171">
        <v>0</v>
      </c>
      <c r="I171" t="s">
        <v>644</v>
      </c>
      <c r="J171" t="s">
        <v>645</v>
      </c>
    </row>
    <row r="172" spans="1:10" x14ac:dyDescent="0.25">
      <c r="A172" s="141" t="s">
        <v>273</v>
      </c>
      <c r="B172">
        <v>686.01599999999996</v>
      </c>
      <c r="C172">
        <v>34.429900000000004</v>
      </c>
      <c r="D172">
        <v>40.660400000000003</v>
      </c>
      <c r="E172">
        <v>41.048699999999997</v>
      </c>
      <c r="F172">
        <v>55638.038999999997</v>
      </c>
      <c r="G172">
        <v>17.800999999999998</v>
      </c>
      <c r="H172">
        <v>0</v>
      </c>
      <c r="I172" t="s">
        <v>646</v>
      </c>
      <c r="J172" t="s">
        <v>647</v>
      </c>
    </row>
    <row r="173" spans="1:10" x14ac:dyDescent="0.25">
      <c r="A173" s="141" t="s">
        <v>274</v>
      </c>
      <c r="B173">
        <v>6708.3231999999998</v>
      </c>
      <c r="C173">
        <v>43.388300000000001</v>
      </c>
      <c r="D173">
        <v>46.711799999999997</v>
      </c>
      <c r="E173">
        <v>47.307699999999997</v>
      </c>
      <c r="F173">
        <v>278995.78100000002</v>
      </c>
      <c r="G173">
        <v>34.289000000000001</v>
      </c>
      <c r="H173">
        <v>0</v>
      </c>
      <c r="I173" t="s">
        <v>648</v>
      </c>
      <c r="J173" t="s">
        <v>649</v>
      </c>
    </row>
    <row r="174" spans="1:10" x14ac:dyDescent="0.25">
      <c r="A174" s="141" t="s">
        <v>275</v>
      </c>
      <c r="B174">
        <v>4083.68</v>
      </c>
      <c r="C174">
        <v>41.071399999999997</v>
      </c>
      <c r="D174">
        <v>45.270800000000001</v>
      </c>
      <c r="E174">
        <v>45.639299999999999</v>
      </c>
      <c r="F174">
        <v>192126.45300000001</v>
      </c>
      <c r="G174">
        <v>30.056999999999999</v>
      </c>
      <c r="H174">
        <v>0</v>
      </c>
      <c r="I174" t="s">
        <v>650</v>
      </c>
      <c r="J174" t="s">
        <v>651</v>
      </c>
    </row>
    <row r="175" spans="1:10" x14ac:dyDescent="0.25">
      <c r="A175" s="141" t="s">
        <v>276</v>
      </c>
      <c r="B175">
        <v>2256.8256000000001</v>
      </c>
      <c r="C175">
        <v>38.265500000000003</v>
      </c>
      <c r="D175">
        <v>43.596299999999999</v>
      </c>
      <c r="E175">
        <v>43.768599999999999</v>
      </c>
      <c r="F175">
        <v>121896.008</v>
      </c>
      <c r="G175">
        <v>25.123000000000001</v>
      </c>
      <c r="H175">
        <v>0</v>
      </c>
      <c r="I175" t="s">
        <v>652</v>
      </c>
      <c r="J175" t="s">
        <v>653</v>
      </c>
    </row>
    <row r="176" spans="1:10" x14ac:dyDescent="0.25">
      <c r="A176" s="141" t="s">
        <v>277</v>
      </c>
      <c r="B176">
        <v>1173.7696000000001</v>
      </c>
      <c r="C176">
        <v>35.31</v>
      </c>
      <c r="D176">
        <v>42.013100000000001</v>
      </c>
      <c r="E176">
        <v>41.904200000000003</v>
      </c>
      <c r="F176">
        <v>70702.141000000003</v>
      </c>
      <c r="G176">
        <v>20.672000000000001</v>
      </c>
      <c r="H176">
        <v>0</v>
      </c>
      <c r="I176" t="s">
        <v>654</v>
      </c>
      <c r="J176" t="s">
        <v>655</v>
      </c>
    </row>
    <row r="177" spans="1:10" x14ac:dyDescent="0.25">
      <c r="A177" s="141" t="s">
        <v>150</v>
      </c>
      <c r="B177" s="71">
        <v>4680.1472000000003</v>
      </c>
      <c r="C177" s="71">
        <v>38.454799999999999</v>
      </c>
      <c r="D177" s="71">
        <v>45.521700000000003</v>
      </c>
      <c r="E177" s="71">
        <v>45.7318</v>
      </c>
      <c r="F177" s="71">
        <v>190105.84400000001</v>
      </c>
      <c r="G177" s="71">
        <v>15.61</v>
      </c>
      <c r="H177">
        <v>0</v>
      </c>
      <c r="I177" t="s">
        <v>656</v>
      </c>
      <c r="J177" t="s">
        <v>657</v>
      </c>
    </row>
    <row r="178" spans="1:10" x14ac:dyDescent="0.25">
      <c r="A178" s="141" t="s">
        <v>151</v>
      </c>
      <c r="B178" s="71">
        <v>1634.7488000000001</v>
      </c>
      <c r="C178" s="71">
        <v>36.460500000000003</v>
      </c>
      <c r="D178" s="71">
        <v>44.541800000000002</v>
      </c>
      <c r="E178" s="71">
        <v>44.745199999999997</v>
      </c>
      <c r="F178" s="71">
        <v>97640.906000000003</v>
      </c>
      <c r="G178" s="71">
        <v>11.167</v>
      </c>
      <c r="H178">
        <v>0</v>
      </c>
      <c r="I178" t="s">
        <v>658</v>
      </c>
      <c r="J178" t="s">
        <v>659</v>
      </c>
    </row>
    <row r="179" spans="1:10" x14ac:dyDescent="0.25">
      <c r="A179" s="141" t="s">
        <v>152</v>
      </c>
      <c r="B179" s="71">
        <v>652.97280000000001</v>
      </c>
      <c r="C179" s="71">
        <v>34.034999999999997</v>
      </c>
      <c r="D179" s="71">
        <v>43.231000000000002</v>
      </c>
      <c r="E179" s="71">
        <v>43.376300000000001</v>
      </c>
      <c r="F179" s="71">
        <v>54701.175999999999</v>
      </c>
      <c r="G179" s="71">
        <v>8.1240000000000006</v>
      </c>
      <c r="H179">
        <v>0</v>
      </c>
      <c r="I179" t="s">
        <v>660</v>
      </c>
      <c r="J179" t="s">
        <v>661</v>
      </c>
    </row>
    <row r="180" spans="1:10" x14ac:dyDescent="0.25">
      <c r="A180" s="141" t="s">
        <v>153</v>
      </c>
      <c r="B180" s="71">
        <v>274.57760000000002</v>
      </c>
      <c r="C180" s="71">
        <v>31.018000000000001</v>
      </c>
      <c r="D180" s="71">
        <v>41.9559</v>
      </c>
      <c r="E180" s="71">
        <v>41.966099999999997</v>
      </c>
      <c r="F180" s="71">
        <v>30588.766</v>
      </c>
      <c r="G180" s="71">
        <v>6.4610000000000003</v>
      </c>
      <c r="H180">
        <v>0</v>
      </c>
      <c r="I180" t="s">
        <v>662</v>
      </c>
      <c r="J180" t="s">
        <v>663</v>
      </c>
    </row>
    <row r="181" spans="1:10" x14ac:dyDescent="0.25">
      <c r="A181" s="141" t="s">
        <v>154</v>
      </c>
      <c r="B181" s="71">
        <v>3766.6127999999999</v>
      </c>
      <c r="C181" s="71">
        <v>40.5306</v>
      </c>
      <c r="D181" s="71">
        <v>45.262999999999998</v>
      </c>
      <c r="E181" s="71">
        <v>46.066200000000002</v>
      </c>
      <c r="F181" s="71">
        <v>163149.734</v>
      </c>
      <c r="G181" s="71">
        <v>16.081</v>
      </c>
      <c r="H181">
        <v>0</v>
      </c>
      <c r="I181" t="s">
        <v>664</v>
      </c>
      <c r="J181" t="s">
        <v>665</v>
      </c>
    </row>
    <row r="182" spans="1:10" x14ac:dyDescent="0.25">
      <c r="A182" s="141" t="s">
        <v>155</v>
      </c>
      <c r="B182" s="71">
        <v>1701.7424000000001</v>
      </c>
      <c r="C182" s="71">
        <v>38.877400000000002</v>
      </c>
      <c r="D182" s="71">
        <v>44.443399999999997</v>
      </c>
      <c r="E182" s="71">
        <v>44.512300000000003</v>
      </c>
      <c r="F182" s="71">
        <v>96694.07</v>
      </c>
      <c r="G182" s="71">
        <v>12.891999999999999</v>
      </c>
      <c r="H182">
        <v>0</v>
      </c>
      <c r="I182" t="s">
        <v>666</v>
      </c>
      <c r="J182" t="s">
        <v>667</v>
      </c>
    </row>
    <row r="183" spans="1:10" x14ac:dyDescent="0.25">
      <c r="A183" s="141" t="s">
        <v>156</v>
      </c>
      <c r="B183" s="71">
        <v>814.06560000000002</v>
      </c>
      <c r="C183" s="71">
        <v>36.909100000000002</v>
      </c>
      <c r="D183" s="71">
        <v>43.403100000000002</v>
      </c>
      <c r="E183" s="71">
        <v>42.695900000000002</v>
      </c>
      <c r="F183" s="71">
        <v>53012.241999999998</v>
      </c>
      <c r="G183" s="71">
        <v>10.257</v>
      </c>
      <c r="H183">
        <v>0</v>
      </c>
      <c r="I183" t="s">
        <v>668</v>
      </c>
      <c r="J183" t="s">
        <v>669</v>
      </c>
    </row>
    <row r="184" spans="1:10" x14ac:dyDescent="0.25">
      <c r="A184" s="141" t="s">
        <v>157</v>
      </c>
      <c r="B184" s="71">
        <v>381.79199999999997</v>
      </c>
      <c r="C184" s="71">
        <v>34.6661</v>
      </c>
      <c r="D184" s="71">
        <v>42.139600000000002</v>
      </c>
      <c r="E184" s="71">
        <v>40.678699999999999</v>
      </c>
      <c r="F184" s="71">
        <v>27608.379000000001</v>
      </c>
      <c r="G184" s="71">
        <v>8.0220000000000002</v>
      </c>
      <c r="H184">
        <v>0</v>
      </c>
      <c r="I184" t="s">
        <v>670</v>
      </c>
      <c r="J184" t="s">
        <v>671</v>
      </c>
    </row>
    <row r="185" spans="1:10" x14ac:dyDescent="0.25">
      <c r="A185" s="141" t="s">
        <v>158</v>
      </c>
      <c r="B185" s="71">
        <v>916.38879999999995</v>
      </c>
      <c r="C185" s="71">
        <v>42.970599999999997</v>
      </c>
      <c r="D185" s="71">
        <v>46.773299999999999</v>
      </c>
      <c r="E185" s="71">
        <v>47.555300000000003</v>
      </c>
      <c r="F185" s="71">
        <v>63792.5</v>
      </c>
      <c r="G185" s="71">
        <v>8.6460000000000008</v>
      </c>
      <c r="H185">
        <v>0</v>
      </c>
      <c r="I185" t="s">
        <v>672</v>
      </c>
      <c r="J185" t="s">
        <v>673</v>
      </c>
    </row>
    <row r="186" spans="1:10" x14ac:dyDescent="0.25">
      <c r="A186" s="141" t="s">
        <v>159</v>
      </c>
      <c r="B186" s="71">
        <v>468.62560000000002</v>
      </c>
      <c r="C186" s="71">
        <v>41.298699999999997</v>
      </c>
      <c r="D186" s="71">
        <v>45.931699999999999</v>
      </c>
      <c r="E186" s="71">
        <v>46.604399999999998</v>
      </c>
      <c r="F186" s="71">
        <v>37212.616999999998</v>
      </c>
      <c r="G186" s="71">
        <v>6.6120000000000001</v>
      </c>
      <c r="H186">
        <v>0</v>
      </c>
      <c r="I186" t="s">
        <v>674</v>
      </c>
      <c r="J186" t="s">
        <v>675</v>
      </c>
    </row>
    <row r="187" spans="1:10" x14ac:dyDescent="0.25">
      <c r="A187" s="141" t="s">
        <v>160</v>
      </c>
      <c r="B187" s="71">
        <v>250.0736</v>
      </c>
      <c r="C187" s="71">
        <v>39.083599999999997</v>
      </c>
      <c r="D187" s="71">
        <v>44.650599999999997</v>
      </c>
      <c r="E187" s="71">
        <v>45.158000000000001</v>
      </c>
      <c r="F187" s="71">
        <v>21214.240000000002</v>
      </c>
      <c r="G187" s="71">
        <v>5.4450000000000003</v>
      </c>
      <c r="H187">
        <v>0</v>
      </c>
      <c r="I187" t="s">
        <v>676</v>
      </c>
      <c r="J187" t="s">
        <v>677</v>
      </c>
    </row>
    <row r="188" spans="1:10" x14ac:dyDescent="0.25">
      <c r="A188" s="141" t="s">
        <v>161</v>
      </c>
      <c r="B188" s="71">
        <v>135.38239999999999</v>
      </c>
      <c r="C188" s="71">
        <v>36.301099999999998</v>
      </c>
      <c r="D188" s="71">
        <v>43.189300000000003</v>
      </c>
      <c r="E188" s="71">
        <v>43.301200000000001</v>
      </c>
      <c r="F188" s="71">
        <v>11936.421</v>
      </c>
      <c r="G188" s="71">
        <v>4.71</v>
      </c>
      <c r="H188">
        <v>0</v>
      </c>
      <c r="I188" t="s">
        <v>678</v>
      </c>
      <c r="J188" t="s">
        <v>679</v>
      </c>
    </row>
    <row r="189" spans="1:10" x14ac:dyDescent="0.25">
      <c r="A189" s="141" t="s">
        <v>162</v>
      </c>
      <c r="B189" s="71">
        <v>1257.7583999999999</v>
      </c>
      <c r="C189" s="71">
        <v>42.678800000000003</v>
      </c>
      <c r="D189" s="71">
        <v>48.569000000000003</v>
      </c>
      <c r="E189" s="71">
        <v>47.631500000000003</v>
      </c>
      <c r="F189" s="71">
        <v>70468.148000000001</v>
      </c>
      <c r="G189" s="71">
        <v>9.5489999999999995</v>
      </c>
      <c r="H189">
        <v>0</v>
      </c>
      <c r="I189" t="s">
        <v>680</v>
      </c>
      <c r="J189" t="s">
        <v>681</v>
      </c>
    </row>
    <row r="190" spans="1:10" x14ac:dyDescent="0.25">
      <c r="A190" s="141" t="s">
        <v>163</v>
      </c>
      <c r="B190" s="71">
        <v>605.78560000000004</v>
      </c>
      <c r="C190" s="71">
        <v>40.898600000000002</v>
      </c>
      <c r="D190" s="71">
        <v>47.811500000000002</v>
      </c>
      <c r="E190" s="71">
        <v>46.884799999999998</v>
      </c>
      <c r="F190" s="71">
        <v>40594.226999999999</v>
      </c>
      <c r="G190" s="71">
        <v>6.8890000000000002</v>
      </c>
      <c r="H190">
        <v>0</v>
      </c>
      <c r="I190" t="s">
        <v>682</v>
      </c>
      <c r="J190" t="s">
        <v>683</v>
      </c>
    </row>
    <row r="191" spans="1:10" x14ac:dyDescent="0.25">
      <c r="A191" s="141" t="s">
        <v>164</v>
      </c>
      <c r="B191" s="71">
        <v>322.96960000000001</v>
      </c>
      <c r="C191" s="71">
        <v>38.531199999999998</v>
      </c>
      <c r="D191" s="71">
        <v>46.651600000000002</v>
      </c>
      <c r="E191" s="71">
        <v>45.368600000000001</v>
      </c>
      <c r="F191" s="71">
        <v>23010.73</v>
      </c>
      <c r="G191" s="71">
        <v>5.718</v>
      </c>
      <c r="H191">
        <v>0</v>
      </c>
      <c r="I191" t="s">
        <v>684</v>
      </c>
      <c r="J191" t="s">
        <v>685</v>
      </c>
    </row>
    <row r="192" spans="1:10" x14ac:dyDescent="0.25">
      <c r="A192" s="141" t="s">
        <v>165</v>
      </c>
      <c r="B192" s="71">
        <v>176.16640000000001</v>
      </c>
      <c r="C192" s="71">
        <v>35.4544</v>
      </c>
      <c r="D192" s="71">
        <v>44.977200000000003</v>
      </c>
      <c r="E192" s="71">
        <v>43.193899999999999</v>
      </c>
      <c r="F192" s="71">
        <v>14049.816000000001</v>
      </c>
      <c r="G192" s="71">
        <v>5.1159999999999997</v>
      </c>
      <c r="H192">
        <v>0</v>
      </c>
      <c r="I192" t="s">
        <v>686</v>
      </c>
      <c r="J192" t="s">
        <v>687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374</v>
      </c>
    </row>
    <row r="274" spans="1:1" x14ac:dyDescent="0.25">
      <c r="A274" s="141" t="s">
        <v>375</v>
      </c>
    </row>
    <row r="275" spans="1:1" x14ac:dyDescent="0.25">
      <c r="A275" s="141" t="s">
        <v>376</v>
      </c>
    </row>
    <row r="276" spans="1:1" x14ac:dyDescent="0.25">
      <c r="A276" s="141" t="s">
        <v>377</v>
      </c>
    </row>
    <row r="277" spans="1:1" x14ac:dyDescent="0.25">
      <c r="A277" s="141" t="s">
        <v>378</v>
      </c>
    </row>
    <row r="278" spans="1:1" x14ac:dyDescent="0.25">
      <c r="A278" s="141" t="s">
        <v>379</v>
      </c>
    </row>
    <row r="279" spans="1:1" x14ac:dyDescent="0.25">
      <c r="A279" s="141" t="s">
        <v>380</v>
      </c>
    </row>
    <row r="280" spans="1:1" x14ac:dyDescent="0.25">
      <c r="A280" s="141" t="s">
        <v>381</v>
      </c>
    </row>
    <row r="281" spans="1:1" x14ac:dyDescent="0.25">
      <c r="A281" s="141" t="s">
        <v>382</v>
      </c>
    </row>
    <row r="282" spans="1:1" x14ac:dyDescent="0.25">
      <c r="A282" s="141" t="s">
        <v>383</v>
      </c>
    </row>
    <row r="283" spans="1:1" x14ac:dyDescent="0.25">
      <c r="A283" s="141" t="s">
        <v>384</v>
      </c>
    </row>
    <row r="284" spans="1:1" x14ac:dyDescent="0.25">
      <c r="A284" s="141" t="s">
        <v>385</v>
      </c>
    </row>
    <row r="285" spans="1:1" x14ac:dyDescent="0.25">
      <c r="A285" s="141" t="s">
        <v>386</v>
      </c>
    </row>
    <row r="286" spans="1:1" x14ac:dyDescent="0.25">
      <c r="A286" s="141" t="s">
        <v>387</v>
      </c>
    </row>
    <row r="287" spans="1:1" x14ac:dyDescent="0.25">
      <c r="A287" s="141" t="s">
        <v>388</v>
      </c>
    </row>
    <row r="288" spans="1:1" x14ac:dyDescent="0.2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288"/>
  <sheetViews>
    <sheetView topLeftCell="A184" zoomScaleNormal="100" workbookViewId="0">
      <selection activeCell="B145" sqref="B145:J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76132.358900000007</v>
      </c>
      <c r="C1">
        <v>40.81</v>
      </c>
      <c r="D1">
        <v>49.247500000000002</v>
      </c>
      <c r="E1">
        <v>47.755499999999998</v>
      </c>
      <c r="F1">
        <v>131763.141</v>
      </c>
      <c r="G1">
        <v>26.702999999999999</v>
      </c>
      <c r="H1">
        <v>0</v>
      </c>
      <c r="I1" t="s">
        <v>560</v>
      </c>
      <c r="J1" t="s">
        <v>561</v>
      </c>
    </row>
    <row r="2" spans="1:10" x14ac:dyDescent="0.25">
      <c r="A2" s="141" t="s">
        <v>191</v>
      </c>
      <c r="B2">
        <v>41139.243199999997</v>
      </c>
      <c r="C2">
        <v>40.157800000000002</v>
      </c>
      <c r="D2">
        <v>48.549500000000002</v>
      </c>
      <c r="E2">
        <v>46.668199999999999</v>
      </c>
      <c r="F2">
        <v>70499.883000000002</v>
      </c>
      <c r="G2">
        <v>23.626000000000001</v>
      </c>
      <c r="H2">
        <v>0</v>
      </c>
      <c r="I2" t="s">
        <v>562</v>
      </c>
      <c r="J2" t="s">
        <v>563</v>
      </c>
    </row>
    <row r="3" spans="1:10" x14ac:dyDescent="0.25">
      <c r="A3" s="141" t="s">
        <v>192</v>
      </c>
      <c r="B3">
        <v>24678.045399999999</v>
      </c>
      <c r="C3">
        <v>39.432400000000001</v>
      </c>
      <c r="D3">
        <v>47.614400000000003</v>
      </c>
      <c r="E3">
        <v>45.377000000000002</v>
      </c>
      <c r="F3">
        <v>44015.811999999998</v>
      </c>
      <c r="G3">
        <v>21.071000000000002</v>
      </c>
      <c r="H3">
        <v>0</v>
      </c>
      <c r="I3" t="s">
        <v>564</v>
      </c>
      <c r="J3" t="s">
        <v>565</v>
      </c>
    </row>
    <row r="4" spans="1:10" x14ac:dyDescent="0.25">
      <c r="A4" s="141" t="s">
        <v>193</v>
      </c>
      <c r="B4">
        <v>14111.4941</v>
      </c>
      <c r="C4">
        <v>38.220999999999997</v>
      </c>
      <c r="D4">
        <v>46.13</v>
      </c>
      <c r="E4">
        <v>43.600099999999998</v>
      </c>
      <c r="F4">
        <v>23939.525000000001</v>
      </c>
      <c r="G4">
        <v>20.401</v>
      </c>
      <c r="H4">
        <v>0</v>
      </c>
      <c r="I4" t="s">
        <v>566</v>
      </c>
      <c r="J4" t="s">
        <v>567</v>
      </c>
    </row>
    <row r="5" spans="1:10" x14ac:dyDescent="0.25">
      <c r="A5" s="141" t="s">
        <v>194</v>
      </c>
      <c r="B5">
        <v>322468.1789</v>
      </c>
      <c r="C5">
        <v>44.758800000000001</v>
      </c>
      <c r="D5">
        <v>39.171599999999998</v>
      </c>
      <c r="E5">
        <v>39.639600000000002</v>
      </c>
      <c r="F5">
        <v>201295.84400000001</v>
      </c>
      <c r="G5">
        <v>40.515999999999998</v>
      </c>
      <c r="H5">
        <v>0</v>
      </c>
      <c r="I5" t="s">
        <v>576</v>
      </c>
      <c r="J5" t="s">
        <v>577</v>
      </c>
    </row>
    <row r="6" spans="1:10" x14ac:dyDescent="0.25">
      <c r="A6" s="141" t="s">
        <v>195</v>
      </c>
      <c r="B6">
        <v>205573.25260000001</v>
      </c>
      <c r="C6">
        <v>41.968699999999998</v>
      </c>
      <c r="D6">
        <v>36.68</v>
      </c>
      <c r="E6">
        <v>37.465600000000002</v>
      </c>
      <c r="F6">
        <v>161691.68799999999</v>
      </c>
      <c r="G6">
        <v>35.427999999999997</v>
      </c>
      <c r="H6">
        <v>0</v>
      </c>
      <c r="I6" t="s">
        <v>578</v>
      </c>
      <c r="J6" t="s">
        <v>579</v>
      </c>
    </row>
    <row r="7" spans="1:10" x14ac:dyDescent="0.25">
      <c r="A7" s="141" t="s">
        <v>196</v>
      </c>
      <c r="B7">
        <v>117425.3158</v>
      </c>
      <c r="C7">
        <v>38.707900000000002</v>
      </c>
      <c r="D7">
        <v>34.389200000000002</v>
      </c>
      <c r="E7">
        <v>35.543399999999998</v>
      </c>
      <c r="F7">
        <v>121943.211</v>
      </c>
      <c r="G7">
        <v>31.524999999999999</v>
      </c>
      <c r="H7">
        <v>0</v>
      </c>
      <c r="I7" t="s">
        <v>580</v>
      </c>
      <c r="J7" t="s">
        <v>581</v>
      </c>
    </row>
    <row r="8" spans="1:10" x14ac:dyDescent="0.25">
      <c r="A8" s="141" t="s">
        <v>197</v>
      </c>
      <c r="B8">
        <v>55574.6</v>
      </c>
      <c r="C8">
        <v>35.227899999999998</v>
      </c>
      <c r="D8">
        <v>32.031500000000001</v>
      </c>
      <c r="E8">
        <v>33.7044</v>
      </c>
      <c r="F8">
        <v>79177.266000000003</v>
      </c>
      <c r="G8">
        <v>25.739000000000001</v>
      </c>
      <c r="H8">
        <v>0</v>
      </c>
      <c r="I8" t="s">
        <v>582</v>
      </c>
      <c r="J8" t="s">
        <v>583</v>
      </c>
    </row>
    <row r="9" spans="1:10" x14ac:dyDescent="0.25">
      <c r="A9" s="141" t="s">
        <v>198</v>
      </c>
      <c r="B9">
        <v>124781.4632</v>
      </c>
      <c r="C9">
        <v>41.574599999999997</v>
      </c>
      <c r="D9">
        <v>44.011099999999999</v>
      </c>
      <c r="E9">
        <v>42.914900000000003</v>
      </c>
      <c r="F9">
        <v>165520.609</v>
      </c>
      <c r="G9">
        <v>35.540999999999997</v>
      </c>
      <c r="H9">
        <v>0</v>
      </c>
      <c r="I9" t="s">
        <v>568</v>
      </c>
      <c r="J9" t="s">
        <v>569</v>
      </c>
    </row>
    <row r="10" spans="1:10" x14ac:dyDescent="0.25">
      <c r="A10" s="141" t="s">
        <v>199</v>
      </c>
      <c r="B10">
        <v>55911.890500000001</v>
      </c>
      <c r="C10">
        <v>38.881799999999998</v>
      </c>
      <c r="D10">
        <v>41.389200000000002</v>
      </c>
      <c r="E10">
        <v>41.788600000000002</v>
      </c>
      <c r="F10">
        <v>118011.29700000001</v>
      </c>
      <c r="G10">
        <v>27.117999999999999</v>
      </c>
      <c r="H10">
        <v>0</v>
      </c>
      <c r="I10" t="s">
        <v>570</v>
      </c>
      <c r="J10" t="s">
        <v>571</v>
      </c>
    </row>
    <row r="11" spans="1:10" x14ac:dyDescent="0.25">
      <c r="A11" s="141" t="s">
        <v>200</v>
      </c>
      <c r="B11">
        <v>25279.4653</v>
      </c>
      <c r="C11">
        <v>37.308100000000003</v>
      </c>
      <c r="D11">
        <v>39.061300000000003</v>
      </c>
      <c r="E11">
        <v>40.706600000000002</v>
      </c>
      <c r="F11">
        <v>67762.156000000003</v>
      </c>
      <c r="G11">
        <v>22.385999999999999</v>
      </c>
      <c r="H11">
        <v>0</v>
      </c>
      <c r="I11" t="s">
        <v>572</v>
      </c>
      <c r="J11" t="s">
        <v>573</v>
      </c>
    </row>
    <row r="12" spans="1:10" x14ac:dyDescent="0.25">
      <c r="A12" s="141" t="s">
        <v>201</v>
      </c>
      <c r="B12">
        <v>12246.3789</v>
      </c>
      <c r="C12">
        <v>35.924999999999997</v>
      </c>
      <c r="D12">
        <v>36.337499999999999</v>
      </c>
      <c r="E12">
        <v>39.221600000000002</v>
      </c>
      <c r="F12">
        <v>38451.565999999999</v>
      </c>
      <c r="G12">
        <v>18.581</v>
      </c>
      <c r="H12">
        <v>0</v>
      </c>
      <c r="I12" t="s">
        <v>574</v>
      </c>
      <c r="J12" t="s">
        <v>575</v>
      </c>
    </row>
    <row r="13" spans="1:10" x14ac:dyDescent="0.25">
      <c r="A13" s="141" t="s">
        <v>202</v>
      </c>
      <c r="B13">
        <v>177359.97469999999</v>
      </c>
      <c r="C13">
        <v>38.623800000000003</v>
      </c>
      <c r="D13">
        <v>45.669899999999998</v>
      </c>
      <c r="E13">
        <v>43.4878</v>
      </c>
      <c r="F13">
        <v>198571.28099999999</v>
      </c>
      <c r="G13">
        <v>35.424999999999997</v>
      </c>
      <c r="H13">
        <v>0</v>
      </c>
      <c r="I13" t="s">
        <v>584</v>
      </c>
      <c r="J13" t="s">
        <v>585</v>
      </c>
    </row>
    <row r="14" spans="1:10" x14ac:dyDescent="0.25">
      <c r="A14" s="141" t="s">
        <v>203</v>
      </c>
      <c r="B14">
        <v>86191.743199999997</v>
      </c>
      <c r="C14">
        <v>37.677599999999998</v>
      </c>
      <c r="D14">
        <v>44.8095</v>
      </c>
      <c r="E14">
        <v>42.5075</v>
      </c>
      <c r="F14">
        <v>124702.734</v>
      </c>
      <c r="G14">
        <v>28.01</v>
      </c>
      <c r="H14">
        <v>0</v>
      </c>
      <c r="I14" t="s">
        <v>586</v>
      </c>
      <c r="J14" t="s">
        <v>587</v>
      </c>
    </row>
    <row r="15" spans="1:10" x14ac:dyDescent="0.25">
      <c r="A15" s="141" t="s">
        <v>204</v>
      </c>
      <c r="B15">
        <v>49730.046300000002</v>
      </c>
      <c r="C15">
        <v>36.7592</v>
      </c>
      <c r="D15">
        <v>43.838500000000003</v>
      </c>
      <c r="E15">
        <v>41.489100000000001</v>
      </c>
      <c r="F15">
        <v>80142.577999999994</v>
      </c>
      <c r="G15">
        <v>25.082999999999998</v>
      </c>
      <c r="H15">
        <v>0</v>
      </c>
      <c r="I15" t="s">
        <v>588</v>
      </c>
      <c r="J15" t="s">
        <v>589</v>
      </c>
    </row>
    <row r="16" spans="1:10" x14ac:dyDescent="0.25">
      <c r="A16" s="141" t="s">
        <v>205</v>
      </c>
      <c r="B16">
        <v>26284.0674</v>
      </c>
      <c r="C16">
        <v>35.259</v>
      </c>
      <c r="D16">
        <v>42.436</v>
      </c>
      <c r="E16">
        <v>40.221699999999998</v>
      </c>
      <c r="F16">
        <v>49450.82</v>
      </c>
      <c r="G16">
        <v>20.343</v>
      </c>
      <c r="H16">
        <v>0</v>
      </c>
      <c r="I16" t="s">
        <v>590</v>
      </c>
      <c r="J16" t="s">
        <v>591</v>
      </c>
    </row>
    <row r="17" spans="1:10" x14ac:dyDescent="0.25">
      <c r="A17" s="141" t="s">
        <v>94</v>
      </c>
      <c r="B17">
        <v>67507.472999999998</v>
      </c>
      <c r="C17">
        <v>39.563000000000002</v>
      </c>
      <c r="D17">
        <v>40.538200000000003</v>
      </c>
      <c r="E17">
        <v>43.602899999999998</v>
      </c>
      <c r="F17">
        <v>89451.335999999996</v>
      </c>
      <c r="G17">
        <v>19.350000000000001</v>
      </c>
      <c r="H17">
        <v>0</v>
      </c>
      <c r="I17" t="s">
        <v>536</v>
      </c>
      <c r="J17" t="s">
        <v>537</v>
      </c>
    </row>
    <row r="18" spans="1:10" x14ac:dyDescent="0.25">
      <c r="A18" s="141" t="s">
        <v>95</v>
      </c>
      <c r="B18">
        <v>40260.7048</v>
      </c>
      <c r="C18">
        <v>37.927999999999997</v>
      </c>
      <c r="D18">
        <v>39.564799999999998</v>
      </c>
      <c r="E18">
        <v>42.206200000000003</v>
      </c>
      <c r="F18">
        <v>67813.945000000007</v>
      </c>
      <c r="G18">
        <v>15.840999999999999</v>
      </c>
      <c r="H18">
        <v>0</v>
      </c>
      <c r="I18" t="s">
        <v>538</v>
      </c>
      <c r="J18" t="s">
        <v>539</v>
      </c>
    </row>
    <row r="19" spans="1:10" x14ac:dyDescent="0.25">
      <c r="A19" s="141" t="s">
        <v>96</v>
      </c>
      <c r="B19">
        <v>23226.279399999999</v>
      </c>
      <c r="C19">
        <v>36.016399999999997</v>
      </c>
      <c r="D19">
        <v>38.7166</v>
      </c>
      <c r="E19">
        <v>40.7639</v>
      </c>
      <c r="F19">
        <v>47972.84</v>
      </c>
      <c r="G19">
        <v>12.502000000000001</v>
      </c>
      <c r="H19">
        <v>0</v>
      </c>
      <c r="I19" t="s">
        <v>540</v>
      </c>
      <c r="J19" t="s">
        <v>541</v>
      </c>
    </row>
    <row r="20" spans="1:10" x14ac:dyDescent="0.25">
      <c r="A20" s="141" t="s">
        <v>97</v>
      </c>
      <c r="B20">
        <v>11836.1841</v>
      </c>
      <c r="C20">
        <v>33.539299999999997</v>
      </c>
      <c r="D20">
        <v>37.528199999999998</v>
      </c>
      <c r="E20">
        <v>38.914700000000003</v>
      </c>
      <c r="F20">
        <v>32200.738000000001</v>
      </c>
      <c r="G20">
        <v>10.294</v>
      </c>
      <c r="H20">
        <v>0</v>
      </c>
      <c r="I20" t="s">
        <v>542</v>
      </c>
      <c r="J20" t="s">
        <v>543</v>
      </c>
    </row>
    <row r="21" spans="1:10" x14ac:dyDescent="0.25">
      <c r="A21" s="141" t="s">
        <v>98</v>
      </c>
      <c r="B21">
        <v>42275.371400000004</v>
      </c>
      <c r="C21">
        <v>40.197600000000001</v>
      </c>
      <c r="D21">
        <v>44.213799999999999</v>
      </c>
      <c r="E21">
        <v>45.688499999999998</v>
      </c>
      <c r="F21">
        <v>75298.491999999998</v>
      </c>
      <c r="G21">
        <v>16.082000000000001</v>
      </c>
      <c r="H21">
        <v>0</v>
      </c>
      <c r="I21" t="s">
        <v>528</v>
      </c>
      <c r="J21" t="s">
        <v>529</v>
      </c>
    </row>
    <row r="22" spans="1:10" x14ac:dyDescent="0.25">
      <c r="A22" s="141" t="s">
        <v>99</v>
      </c>
      <c r="B22">
        <v>22914.438099999999</v>
      </c>
      <c r="C22">
        <v>38.720999999999997</v>
      </c>
      <c r="D22">
        <v>43.268700000000003</v>
      </c>
      <c r="E22">
        <v>44.243000000000002</v>
      </c>
      <c r="F22">
        <v>54890.195</v>
      </c>
      <c r="G22">
        <v>12.701000000000001</v>
      </c>
      <c r="H22">
        <v>0</v>
      </c>
      <c r="I22" t="s">
        <v>530</v>
      </c>
      <c r="J22" t="s">
        <v>531</v>
      </c>
    </row>
    <row r="23" spans="1:10" x14ac:dyDescent="0.25">
      <c r="A23" s="141" t="s">
        <v>100</v>
      </c>
      <c r="B23">
        <v>12956.3683</v>
      </c>
      <c r="C23">
        <v>37.281399999999998</v>
      </c>
      <c r="D23">
        <v>42.192</v>
      </c>
      <c r="E23">
        <v>42.683500000000002</v>
      </c>
      <c r="F23">
        <v>35934.589999999997</v>
      </c>
      <c r="G23">
        <v>10.907</v>
      </c>
      <c r="H23">
        <v>0</v>
      </c>
      <c r="I23" t="s">
        <v>532</v>
      </c>
      <c r="J23" t="s">
        <v>533</v>
      </c>
    </row>
    <row r="24" spans="1:10" x14ac:dyDescent="0.25">
      <c r="A24" s="141" t="s">
        <v>101</v>
      </c>
      <c r="B24">
        <v>6928.6031999999996</v>
      </c>
      <c r="C24">
        <v>35.360100000000003</v>
      </c>
      <c r="D24">
        <v>40.700400000000002</v>
      </c>
      <c r="E24">
        <v>40.672600000000003</v>
      </c>
      <c r="F24">
        <v>23192.030999999999</v>
      </c>
      <c r="G24">
        <v>9.3680000000000003</v>
      </c>
      <c r="H24">
        <v>0</v>
      </c>
      <c r="I24" t="s">
        <v>534</v>
      </c>
      <c r="J24" t="s">
        <v>535</v>
      </c>
    </row>
    <row r="25" spans="1:10" x14ac:dyDescent="0.25">
      <c r="A25" s="141" t="s">
        <v>206</v>
      </c>
      <c r="B25">
        <v>64684.959999999999</v>
      </c>
      <c r="C25">
        <v>41.738100000000003</v>
      </c>
      <c r="D25">
        <v>44.445300000000003</v>
      </c>
      <c r="E25">
        <v>45.165100000000002</v>
      </c>
      <c r="F25">
        <v>90936.273000000001</v>
      </c>
      <c r="G25">
        <v>18.617000000000001</v>
      </c>
      <c r="H25">
        <v>0</v>
      </c>
      <c r="I25" t="s">
        <v>544</v>
      </c>
      <c r="J25" t="s">
        <v>545</v>
      </c>
    </row>
    <row r="26" spans="1:10" x14ac:dyDescent="0.25">
      <c r="A26" s="141" t="s">
        <v>207</v>
      </c>
      <c r="B26">
        <v>41704.102400000003</v>
      </c>
      <c r="C26">
        <v>39.930500000000002</v>
      </c>
      <c r="D26">
        <v>43.036799999999999</v>
      </c>
      <c r="E26">
        <v>43.930199999999999</v>
      </c>
      <c r="F26">
        <v>71043.718999999997</v>
      </c>
      <c r="G26">
        <v>16.867999999999999</v>
      </c>
      <c r="H26">
        <v>0</v>
      </c>
      <c r="I26" t="s">
        <v>546</v>
      </c>
      <c r="J26" t="s">
        <v>547</v>
      </c>
    </row>
    <row r="27" spans="1:10" x14ac:dyDescent="0.25">
      <c r="A27" s="141" t="s">
        <v>208</v>
      </c>
      <c r="B27">
        <v>24524.928</v>
      </c>
      <c r="C27">
        <v>37.702800000000003</v>
      </c>
      <c r="D27">
        <v>41.739800000000002</v>
      </c>
      <c r="E27">
        <v>42.634099999999997</v>
      </c>
      <c r="F27">
        <v>50828.434000000001</v>
      </c>
      <c r="G27">
        <v>13.635999999999999</v>
      </c>
      <c r="H27">
        <v>0</v>
      </c>
      <c r="I27" t="s">
        <v>548</v>
      </c>
      <c r="J27" t="s">
        <v>549</v>
      </c>
    </row>
    <row r="28" spans="1:10" x14ac:dyDescent="0.25">
      <c r="A28" s="141" t="s">
        <v>209</v>
      </c>
      <c r="B28">
        <v>12368.48</v>
      </c>
      <c r="C28">
        <v>35.007399999999997</v>
      </c>
      <c r="D28">
        <v>40.157400000000003</v>
      </c>
      <c r="E28">
        <v>41.011099999999999</v>
      </c>
      <c r="F28">
        <v>31743.761999999999</v>
      </c>
      <c r="G28">
        <v>12.015000000000001</v>
      </c>
      <c r="H28">
        <v>0</v>
      </c>
      <c r="I28" t="s">
        <v>550</v>
      </c>
      <c r="J28" t="s">
        <v>551</v>
      </c>
    </row>
    <row r="29" spans="1:10" x14ac:dyDescent="0.25">
      <c r="A29" s="141" t="s">
        <v>210</v>
      </c>
      <c r="B29">
        <v>39536.371200000001</v>
      </c>
      <c r="C29">
        <v>44.935200000000002</v>
      </c>
      <c r="D29">
        <v>47.6053</v>
      </c>
      <c r="E29">
        <v>48.342300000000002</v>
      </c>
      <c r="F29">
        <v>61618.277000000002</v>
      </c>
      <c r="G29">
        <v>16.52</v>
      </c>
      <c r="H29">
        <v>0</v>
      </c>
      <c r="I29" t="s">
        <v>552</v>
      </c>
      <c r="J29" t="s">
        <v>553</v>
      </c>
    </row>
    <row r="30" spans="1:10" x14ac:dyDescent="0.25">
      <c r="A30" s="141" t="s">
        <v>211</v>
      </c>
      <c r="B30">
        <v>26056.9728</v>
      </c>
      <c r="C30">
        <v>42.767600000000002</v>
      </c>
      <c r="D30">
        <v>46.010100000000001</v>
      </c>
      <c r="E30">
        <v>46.542400000000001</v>
      </c>
      <c r="F30">
        <v>49161.171999999999</v>
      </c>
      <c r="G30">
        <v>14.204000000000001</v>
      </c>
      <c r="H30">
        <v>0</v>
      </c>
      <c r="I30" t="s">
        <v>554</v>
      </c>
      <c r="J30" t="s">
        <v>555</v>
      </c>
    </row>
    <row r="31" spans="1:10" x14ac:dyDescent="0.25">
      <c r="A31" s="141" t="s">
        <v>212</v>
      </c>
      <c r="B31">
        <v>15442.3104</v>
      </c>
      <c r="C31">
        <v>40.082900000000002</v>
      </c>
      <c r="D31">
        <v>44.476799999999997</v>
      </c>
      <c r="E31">
        <v>44.715400000000002</v>
      </c>
      <c r="F31">
        <v>37714.266000000003</v>
      </c>
      <c r="G31">
        <v>12.616</v>
      </c>
      <c r="H31">
        <v>0</v>
      </c>
      <c r="I31" t="s">
        <v>556</v>
      </c>
      <c r="J31" t="s">
        <v>557</v>
      </c>
    </row>
    <row r="32" spans="1:10" x14ac:dyDescent="0.25">
      <c r="A32" s="141" t="s">
        <v>213</v>
      </c>
      <c r="B32">
        <v>8059.3472000000002</v>
      </c>
      <c r="C32">
        <v>37.007599999999996</v>
      </c>
      <c r="D32">
        <v>42.452599999999997</v>
      </c>
      <c r="E32">
        <v>42.498600000000003</v>
      </c>
      <c r="F32">
        <v>24669.748</v>
      </c>
      <c r="G32">
        <v>10.694000000000001</v>
      </c>
      <c r="H32">
        <v>0</v>
      </c>
      <c r="I32" t="s">
        <v>558</v>
      </c>
      <c r="J32" t="s">
        <v>559</v>
      </c>
    </row>
    <row r="33" spans="1:10" x14ac:dyDescent="0.25">
      <c r="A33" s="141" t="s">
        <v>102</v>
      </c>
      <c r="B33">
        <v>53884.396800000002</v>
      </c>
      <c r="C33">
        <v>41.745100000000001</v>
      </c>
      <c r="D33">
        <v>46.068300000000001</v>
      </c>
      <c r="E33">
        <v>46.391300000000001</v>
      </c>
      <c r="F33">
        <v>50508.425999999999</v>
      </c>
      <c r="G33">
        <v>10.942</v>
      </c>
      <c r="H33">
        <v>0</v>
      </c>
      <c r="I33" t="s">
        <v>496</v>
      </c>
      <c r="J33" t="s">
        <v>497</v>
      </c>
    </row>
    <row r="34" spans="1:10" x14ac:dyDescent="0.25">
      <c r="A34" s="141" t="s">
        <v>103</v>
      </c>
      <c r="B34">
        <v>36763.462399999997</v>
      </c>
      <c r="C34">
        <v>38.810699999999997</v>
      </c>
      <c r="D34">
        <v>44.3279</v>
      </c>
      <c r="E34">
        <v>44.675899999999999</v>
      </c>
      <c r="F34">
        <v>45651.391000000003</v>
      </c>
      <c r="G34">
        <v>9.8049999999999997</v>
      </c>
      <c r="H34">
        <v>0</v>
      </c>
      <c r="I34" t="s">
        <v>498</v>
      </c>
      <c r="J34" t="s">
        <v>499</v>
      </c>
    </row>
    <row r="35" spans="1:10" x14ac:dyDescent="0.25">
      <c r="A35" s="141" t="s">
        <v>104</v>
      </c>
      <c r="B35">
        <v>21841.4912</v>
      </c>
      <c r="C35">
        <v>35.426200000000001</v>
      </c>
      <c r="D35">
        <v>42.8767</v>
      </c>
      <c r="E35">
        <v>43.213200000000001</v>
      </c>
      <c r="F35">
        <v>35905.402000000002</v>
      </c>
      <c r="G35">
        <v>8.2319999999999993</v>
      </c>
      <c r="H35">
        <v>0</v>
      </c>
      <c r="I35" t="s">
        <v>500</v>
      </c>
      <c r="J35" t="s">
        <v>501</v>
      </c>
    </row>
    <row r="36" spans="1:10" x14ac:dyDescent="0.25">
      <c r="A36" s="141" t="s">
        <v>105</v>
      </c>
      <c r="B36">
        <v>10751.3472</v>
      </c>
      <c r="C36">
        <v>31.7958</v>
      </c>
      <c r="D36">
        <v>41.514099999999999</v>
      </c>
      <c r="E36">
        <v>41.691800000000001</v>
      </c>
      <c r="F36">
        <v>27120.322</v>
      </c>
      <c r="G36">
        <v>6.9039999999999999</v>
      </c>
      <c r="H36">
        <v>0</v>
      </c>
      <c r="I36" t="s">
        <v>502</v>
      </c>
      <c r="J36" t="s">
        <v>503</v>
      </c>
    </row>
    <row r="37" spans="1:10" x14ac:dyDescent="0.25">
      <c r="A37" s="141" t="s">
        <v>106</v>
      </c>
      <c r="B37">
        <v>20103.168000000001</v>
      </c>
      <c r="C37">
        <v>42.687399999999997</v>
      </c>
      <c r="D37">
        <v>45.478999999999999</v>
      </c>
      <c r="E37">
        <v>47.0383</v>
      </c>
      <c r="F37">
        <v>34534.309000000001</v>
      </c>
      <c r="G37">
        <v>7.4459999999999997</v>
      </c>
      <c r="H37">
        <v>0</v>
      </c>
      <c r="I37" t="s">
        <v>504</v>
      </c>
      <c r="J37" t="s">
        <v>505</v>
      </c>
    </row>
    <row r="38" spans="1:10" x14ac:dyDescent="0.25">
      <c r="A38" s="141" t="s">
        <v>107</v>
      </c>
      <c r="B38">
        <v>11426.284799999999</v>
      </c>
      <c r="C38">
        <v>40.669699999999999</v>
      </c>
      <c r="D38">
        <v>44.567500000000003</v>
      </c>
      <c r="E38">
        <v>45.402000000000001</v>
      </c>
      <c r="F38">
        <v>27957.705000000002</v>
      </c>
      <c r="G38">
        <v>6.37</v>
      </c>
      <c r="H38">
        <v>0</v>
      </c>
      <c r="I38" t="s">
        <v>506</v>
      </c>
      <c r="J38" t="s">
        <v>507</v>
      </c>
    </row>
    <row r="39" spans="1:10" x14ac:dyDescent="0.25">
      <c r="A39" s="141" t="s">
        <v>108</v>
      </c>
      <c r="B39">
        <v>6328.9664000000002</v>
      </c>
      <c r="C39">
        <v>38.662500000000001</v>
      </c>
      <c r="D39">
        <v>43.615099999999998</v>
      </c>
      <c r="E39">
        <v>43.636600000000001</v>
      </c>
      <c r="F39">
        <v>17914.405999999999</v>
      </c>
      <c r="G39">
        <v>5.7679999999999998</v>
      </c>
      <c r="H39">
        <v>0</v>
      </c>
      <c r="I39" t="s">
        <v>508</v>
      </c>
      <c r="J39" t="s">
        <v>509</v>
      </c>
    </row>
    <row r="40" spans="1:10" x14ac:dyDescent="0.25">
      <c r="A40" s="141" t="s">
        <v>109</v>
      </c>
      <c r="B40">
        <v>3227.3791999999999</v>
      </c>
      <c r="C40">
        <v>36.288499999999999</v>
      </c>
      <c r="D40">
        <v>42.322899999999997</v>
      </c>
      <c r="E40">
        <v>41.456499999999998</v>
      </c>
      <c r="F40">
        <v>10695.989</v>
      </c>
      <c r="G40">
        <v>4.6929999999999996</v>
      </c>
      <c r="H40">
        <v>0</v>
      </c>
      <c r="I40" t="s">
        <v>510</v>
      </c>
      <c r="J40" t="s">
        <v>511</v>
      </c>
    </row>
    <row r="41" spans="1:10" x14ac:dyDescent="0.25">
      <c r="A41" s="141" t="s">
        <v>110</v>
      </c>
      <c r="B41">
        <v>15115.36</v>
      </c>
      <c r="C41">
        <v>44.226100000000002</v>
      </c>
      <c r="D41">
        <v>47.075699999999998</v>
      </c>
      <c r="E41">
        <v>47.98</v>
      </c>
      <c r="F41">
        <v>27398.495999999999</v>
      </c>
      <c r="G41">
        <v>7.1109999999999998</v>
      </c>
      <c r="H41">
        <v>0</v>
      </c>
      <c r="I41" t="s">
        <v>512</v>
      </c>
      <c r="J41" t="s">
        <v>513</v>
      </c>
    </row>
    <row r="42" spans="1:10" x14ac:dyDescent="0.25">
      <c r="A42" s="141" t="s">
        <v>111</v>
      </c>
      <c r="B42">
        <v>10261.3184</v>
      </c>
      <c r="C42">
        <v>42.498100000000001</v>
      </c>
      <c r="D42">
        <v>45.938499999999998</v>
      </c>
      <c r="E42">
        <v>46.6325</v>
      </c>
      <c r="F42">
        <v>21050.521000000001</v>
      </c>
      <c r="G42">
        <v>6.4379999999999997</v>
      </c>
      <c r="H42">
        <v>0</v>
      </c>
      <c r="I42" t="s">
        <v>514</v>
      </c>
      <c r="J42" t="s">
        <v>515</v>
      </c>
    </row>
    <row r="43" spans="1:10" x14ac:dyDescent="0.25">
      <c r="A43" s="141" t="s">
        <v>112</v>
      </c>
      <c r="B43">
        <v>6479.4751999999999</v>
      </c>
      <c r="C43">
        <v>40.1616</v>
      </c>
      <c r="D43">
        <v>44.616700000000002</v>
      </c>
      <c r="E43">
        <v>45.099200000000003</v>
      </c>
      <c r="F43">
        <v>16927.766</v>
      </c>
      <c r="G43">
        <v>6.2050000000000001</v>
      </c>
      <c r="H43">
        <v>0</v>
      </c>
      <c r="I43" t="s">
        <v>516</v>
      </c>
      <c r="J43" t="s">
        <v>517</v>
      </c>
    </row>
    <row r="44" spans="1:10" x14ac:dyDescent="0.25">
      <c r="A44" s="141" t="s">
        <v>113</v>
      </c>
      <c r="B44">
        <v>3755.0655999999999</v>
      </c>
      <c r="C44">
        <v>37.1785</v>
      </c>
      <c r="D44">
        <v>42.869700000000002</v>
      </c>
      <c r="E44">
        <v>43.0717</v>
      </c>
      <c r="F44">
        <v>11463.647000000001</v>
      </c>
      <c r="G44">
        <v>5.1029999999999998</v>
      </c>
      <c r="H44">
        <v>0</v>
      </c>
      <c r="I44" t="s">
        <v>518</v>
      </c>
      <c r="J44" t="s">
        <v>519</v>
      </c>
    </row>
    <row r="45" spans="1:10" x14ac:dyDescent="0.25">
      <c r="A45" s="141" t="s">
        <v>114</v>
      </c>
      <c r="B45">
        <v>16384.876799999998</v>
      </c>
      <c r="C45">
        <v>44.167999999999999</v>
      </c>
      <c r="D45">
        <v>48.803899999999999</v>
      </c>
      <c r="E45">
        <v>48.4664</v>
      </c>
      <c r="F45">
        <v>27828.719000000001</v>
      </c>
      <c r="G45">
        <v>7.1059999999999999</v>
      </c>
      <c r="H45">
        <v>0</v>
      </c>
      <c r="I45" t="s">
        <v>520</v>
      </c>
      <c r="J45" t="s">
        <v>521</v>
      </c>
    </row>
    <row r="46" spans="1:10" x14ac:dyDescent="0.25">
      <c r="A46" s="141" t="s">
        <v>115</v>
      </c>
      <c r="B46">
        <v>11399.8272</v>
      </c>
      <c r="C46">
        <v>42.432899999999997</v>
      </c>
      <c r="D46">
        <v>47.811</v>
      </c>
      <c r="E46">
        <v>47.002000000000002</v>
      </c>
      <c r="F46">
        <v>21814.445</v>
      </c>
      <c r="G46">
        <v>5.8330000000000002</v>
      </c>
      <c r="H46">
        <v>0</v>
      </c>
      <c r="I46" t="s">
        <v>522</v>
      </c>
      <c r="J46" t="s">
        <v>523</v>
      </c>
    </row>
    <row r="47" spans="1:10" x14ac:dyDescent="0.25">
      <c r="A47" s="141" t="s">
        <v>116</v>
      </c>
      <c r="B47">
        <v>7415.2128000000002</v>
      </c>
      <c r="C47">
        <v>40.051900000000003</v>
      </c>
      <c r="D47">
        <v>46.609200000000001</v>
      </c>
      <c r="E47">
        <v>45.324199999999998</v>
      </c>
      <c r="F47">
        <v>16525.543000000001</v>
      </c>
      <c r="G47">
        <v>5.3630000000000004</v>
      </c>
      <c r="H47">
        <v>0</v>
      </c>
      <c r="I47" t="s">
        <v>524</v>
      </c>
      <c r="J47" t="s">
        <v>525</v>
      </c>
    </row>
    <row r="48" spans="1:10" x14ac:dyDescent="0.25">
      <c r="A48" s="141" t="s">
        <v>117</v>
      </c>
      <c r="B48">
        <v>4305.2608</v>
      </c>
      <c r="C48">
        <v>36.828099999999999</v>
      </c>
      <c r="D48">
        <v>44.733899999999998</v>
      </c>
      <c r="E48">
        <v>43.087699999999998</v>
      </c>
      <c r="F48">
        <v>11764.751</v>
      </c>
      <c r="G48">
        <v>4.6470000000000002</v>
      </c>
      <c r="H48">
        <v>0</v>
      </c>
      <c r="I48" t="s">
        <v>526</v>
      </c>
      <c r="J48" t="s">
        <v>527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14754.62</v>
      </c>
      <c r="C73">
        <v>40.090400000000002</v>
      </c>
      <c r="D73">
        <v>49.067300000000003</v>
      </c>
      <c r="E73">
        <v>47.055100000000003</v>
      </c>
      <c r="F73">
        <v>404409.71100000001</v>
      </c>
      <c r="G73">
        <v>59.994999999999997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6725.06</v>
      </c>
      <c r="C74">
        <v>39.600700000000003</v>
      </c>
      <c r="D74">
        <v>48.476599999999998</v>
      </c>
      <c r="E74">
        <v>46.151200000000003</v>
      </c>
      <c r="F74">
        <v>222397.18900000001</v>
      </c>
      <c r="G74">
        <v>55.048000000000002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3644.9879999999998</v>
      </c>
      <c r="C75">
        <v>38.761099999999999</v>
      </c>
      <c r="D75">
        <v>47.620399999999997</v>
      </c>
      <c r="E75">
        <v>44.919499999999999</v>
      </c>
      <c r="F75">
        <v>105890.306</v>
      </c>
      <c r="G75">
        <v>52.335999999999999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1927.8879999999999</v>
      </c>
      <c r="C76">
        <v>37.2684</v>
      </c>
      <c r="D76">
        <v>46.284599999999998</v>
      </c>
      <c r="E76">
        <v>43.169800000000002</v>
      </c>
      <c r="F76">
        <v>51148.002</v>
      </c>
      <c r="G76">
        <v>44.822000000000003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75802.452000000005</v>
      </c>
      <c r="C77">
        <v>41.651400000000002</v>
      </c>
      <c r="D77">
        <v>36.521000000000001</v>
      </c>
      <c r="E77">
        <v>37.630600000000001</v>
      </c>
      <c r="F77">
        <v>739547.33799999999</v>
      </c>
      <c r="G77">
        <v>68.747</v>
      </c>
      <c r="H77">
        <v>0</v>
      </c>
      <c r="I77" t="s">
        <v>688</v>
      </c>
      <c r="J77" t="s">
        <v>689</v>
      </c>
    </row>
    <row r="78" spans="1:10" x14ac:dyDescent="0.25">
      <c r="A78" s="141" t="s">
        <v>227</v>
      </c>
      <c r="B78">
        <v>39161.288</v>
      </c>
      <c r="C78">
        <v>39.049199999999999</v>
      </c>
      <c r="D78">
        <v>34.595799999999997</v>
      </c>
      <c r="E78">
        <v>35.9773</v>
      </c>
      <c r="F78">
        <v>490052.97200000001</v>
      </c>
      <c r="G78">
        <v>59.765000000000001</v>
      </c>
      <c r="H78">
        <v>0</v>
      </c>
      <c r="I78" t="s">
        <v>690</v>
      </c>
      <c r="J78" t="s">
        <v>691</v>
      </c>
    </row>
    <row r="79" spans="1:10" x14ac:dyDescent="0.25">
      <c r="A79" s="141" t="s">
        <v>228</v>
      </c>
      <c r="B79">
        <v>18807.02</v>
      </c>
      <c r="C79">
        <v>36.148200000000003</v>
      </c>
      <c r="D79">
        <v>32.942500000000003</v>
      </c>
      <c r="E79">
        <v>34.5901</v>
      </c>
      <c r="F79">
        <v>305784.46399999998</v>
      </c>
      <c r="G79">
        <v>53.308999999999997</v>
      </c>
      <c r="H79">
        <v>0</v>
      </c>
      <c r="I79" t="s">
        <v>486</v>
      </c>
      <c r="J79" t="s">
        <v>487</v>
      </c>
    </row>
    <row r="80" spans="1:10" x14ac:dyDescent="0.25">
      <c r="A80" s="141" t="s">
        <v>229</v>
      </c>
      <c r="B80">
        <v>7773.04</v>
      </c>
      <c r="C80">
        <v>33.090400000000002</v>
      </c>
      <c r="D80">
        <v>31.272600000000001</v>
      </c>
      <c r="E80">
        <v>33.1736</v>
      </c>
      <c r="F80">
        <v>170326.30300000001</v>
      </c>
      <c r="G80">
        <v>49.933999999999997</v>
      </c>
      <c r="H80">
        <v>0</v>
      </c>
      <c r="I80" t="s">
        <v>488</v>
      </c>
      <c r="J80" t="s">
        <v>489</v>
      </c>
    </row>
    <row r="81" spans="1:10" x14ac:dyDescent="0.25">
      <c r="A81" s="141" t="s">
        <v>230</v>
      </c>
      <c r="B81">
        <v>37751.455999999998</v>
      </c>
      <c r="C81">
        <v>38.305300000000003</v>
      </c>
      <c r="D81">
        <v>40.466900000000003</v>
      </c>
      <c r="E81">
        <v>41.553899999999999</v>
      </c>
      <c r="F81">
        <v>427024.86300000001</v>
      </c>
      <c r="G81">
        <v>40.69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18411.38</v>
      </c>
      <c r="C82">
        <v>37.198</v>
      </c>
      <c r="D82">
        <v>37.918700000000001</v>
      </c>
      <c r="E82">
        <v>40.335900000000002</v>
      </c>
      <c r="F82">
        <v>260071.34700000001</v>
      </c>
      <c r="G82">
        <v>32.862000000000002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9155.44</v>
      </c>
      <c r="C83">
        <v>35.839300000000001</v>
      </c>
      <c r="D83">
        <v>35.709699999999998</v>
      </c>
      <c r="E83">
        <v>39.028599999999997</v>
      </c>
      <c r="F83">
        <v>154767.109</v>
      </c>
      <c r="G83">
        <v>29.024000000000001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4627.152</v>
      </c>
      <c r="C84">
        <v>34.002699999999997</v>
      </c>
      <c r="D84">
        <v>33.812800000000003</v>
      </c>
      <c r="E84">
        <v>37.477899999999998</v>
      </c>
      <c r="F84">
        <v>85259.698000000004</v>
      </c>
      <c r="G84">
        <v>26.408999999999999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26307.016</v>
      </c>
      <c r="C85">
        <v>37.6389</v>
      </c>
      <c r="D85">
        <v>45.354100000000003</v>
      </c>
      <c r="E85">
        <v>43.0563</v>
      </c>
      <c r="F85">
        <v>562228.45499999996</v>
      </c>
      <c r="G85">
        <v>62.548000000000002</v>
      </c>
      <c r="H85">
        <v>0</v>
      </c>
      <c r="I85" t="s">
        <v>692</v>
      </c>
      <c r="J85" t="s">
        <v>693</v>
      </c>
    </row>
    <row r="86" spans="1:10" x14ac:dyDescent="0.25">
      <c r="A86" s="141" t="s">
        <v>235</v>
      </c>
      <c r="B86">
        <v>9168.732</v>
      </c>
      <c r="C86">
        <v>37.099699999999999</v>
      </c>
      <c r="D86">
        <v>44.762599999999999</v>
      </c>
      <c r="E86">
        <v>42.424700000000001</v>
      </c>
      <c r="F86">
        <v>310752.37699999998</v>
      </c>
      <c r="G86">
        <v>58.387</v>
      </c>
      <c r="H86">
        <v>0</v>
      </c>
      <c r="I86" t="s">
        <v>490</v>
      </c>
      <c r="J86" t="s">
        <v>491</v>
      </c>
    </row>
    <row r="87" spans="1:10" x14ac:dyDescent="0.25">
      <c r="A87" s="141" t="s">
        <v>236</v>
      </c>
      <c r="B87">
        <v>4516.84</v>
      </c>
      <c r="C87">
        <v>36.250500000000002</v>
      </c>
      <c r="D87">
        <v>43.976199999999999</v>
      </c>
      <c r="E87">
        <v>41.640999999999998</v>
      </c>
      <c r="F87">
        <v>151409.20000000001</v>
      </c>
      <c r="G87">
        <v>46.94</v>
      </c>
      <c r="H87">
        <v>0</v>
      </c>
      <c r="I87" t="s">
        <v>492</v>
      </c>
      <c r="J87" t="s">
        <v>493</v>
      </c>
    </row>
    <row r="88" spans="1:10" x14ac:dyDescent="0.25">
      <c r="A88" s="141" t="s">
        <v>237</v>
      </c>
      <c r="B88">
        <v>2183.0239999999999</v>
      </c>
      <c r="C88">
        <v>34.7971</v>
      </c>
      <c r="D88">
        <v>42.657699999999998</v>
      </c>
      <c r="E88">
        <v>40.460700000000003</v>
      </c>
      <c r="F88">
        <v>70285.614000000001</v>
      </c>
      <c r="G88">
        <v>41.652999999999999</v>
      </c>
      <c r="H88">
        <v>0</v>
      </c>
      <c r="I88" t="s">
        <v>494</v>
      </c>
      <c r="J88" t="s">
        <v>495</v>
      </c>
    </row>
    <row r="89" spans="1:10" x14ac:dyDescent="0.25">
      <c r="A89" s="141" t="s">
        <v>118</v>
      </c>
      <c r="B89">
        <v>9788.44</v>
      </c>
      <c r="C89">
        <v>38.012300000000003</v>
      </c>
      <c r="D89">
        <v>39.848999999999997</v>
      </c>
      <c r="E89">
        <v>43.378700000000002</v>
      </c>
      <c r="F89">
        <v>128782.948</v>
      </c>
      <c r="G89">
        <v>14.526999999999999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4531.7160000000003</v>
      </c>
      <c r="C90">
        <v>36.915100000000002</v>
      </c>
      <c r="D90">
        <v>39.344799999999999</v>
      </c>
      <c r="E90">
        <v>42.2547</v>
      </c>
      <c r="F90">
        <v>76543.202999999994</v>
      </c>
      <c r="G90">
        <v>12.085000000000001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2306.2040000000002</v>
      </c>
      <c r="C91">
        <v>35.361400000000003</v>
      </c>
      <c r="D91">
        <v>38.733499999999999</v>
      </c>
      <c r="E91">
        <v>40.9666</v>
      </c>
      <c r="F91">
        <v>42195.961000000003</v>
      </c>
      <c r="G91">
        <v>9.6470000000000002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1105.5719999999999</v>
      </c>
      <c r="C92">
        <v>33.171500000000002</v>
      </c>
      <c r="D92">
        <v>37.735300000000002</v>
      </c>
      <c r="E92">
        <v>39.255299999999998</v>
      </c>
      <c r="F92">
        <v>22145.241000000002</v>
      </c>
      <c r="G92">
        <v>8.2769999999999992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8559.2960000000003</v>
      </c>
      <c r="C93">
        <v>38.9482</v>
      </c>
      <c r="D93">
        <v>44.065300000000001</v>
      </c>
      <c r="E93">
        <v>45.2104</v>
      </c>
      <c r="F93">
        <v>137517.29699999999</v>
      </c>
      <c r="G93">
        <v>15.548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4282.7280000000001</v>
      </c>
      <c r="C94">
        <v>37.9163</v>
      </c>
      <c r="D94">
        <v>43.212899999999998</v>
      </c>
      <c r="E94">
        <v>43.786099999999998</v>
      </c>
      <c r="F94">
        <v>81858.97</v>
      </c>
      <c r="G94">
        <v>12.869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2188.0520000000001</v>
      </c>
      <c r="C95">
        <v>36.422699999999999</v>
      </c>
      <c r="D95">
        <v>42.204599999999999</v>
      </c>
      <c r="E95">
        <v>42.197699999999998</v>
      </c>
      <c r="F95">
        <v>44089.815000000002</v>
      </c>
      <c r="G95">
        <v>10.842000000000001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1080.712</v>
      </c>
      <c r="C96">
        <v>34.3551</v>
      </c>
      <c r="D96">
        <v>40.857999999999997</v>
      </c>
      <c r="E96">
        <v>40.295299999999997</v>
      </c>
      <c r="F96">
        <v>23288.387999999999</v>
      </c>
      <c r="G96">
        <v>8.8049999999999997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6758</v>
      </c>
      <c r="C97">
        <v>39.703499999999998</v>
      </c>
      <c r="D97">
        <v>43.9101</v>
      </c>
      <c r="E97">
        <v>45.056800000000003</v>
      </c>
      <c r="F97">
        <v>125111.507</v>
      </c>
      <c r="G97">
        <v>15.554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3216.38</v>
      </c>
      <c r="C98">
        <v>38.565399999999997</v>
      </c>
      <c r="D98">
        <v>43.149099999999997</v>
      </c>
      <c r="E98">
        <v>44.365200000000002</v>
      </c>
      <c r="F98">
        <v>71546.178</v>
      </c>
      <c r="G98">
        <v>12.847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1545.1559999999999</v>
      </c>
      <c r="C99">
        <v>36.892400000000002</v>
      </c>
      <c r="D99">
        <v>42.268500000000003</v>
      </c>
      <c r="E99">
        <v>43.508200000000002</v>
      </c>
      <c r="F99">
        <v>36942.964</v>
      </c>
      <c r="G99">
        <v>10.641999999999999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694.976</v>
      </c>
      <c r="C100">
        <v>34.650100000000002</v>
      </c>
      <c r="D100">
        <v>41.005299999999998</v>
      </c>
      <c r="E100">
        <v>42.1678</v>
      </c>
      <c r="F100">
        <v>18606.607</v>
      </c>
      <c r="G100">
        <v>9.1010000000000009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5578.9639999999999</v>
      </c>
      <c r="C101">
        <v>44.893599999999999</v>
      </c>
      <c r="D101">
        <v>47.720399999999998</v>
      </c>
      <c r="E101">
        <v>48.498699999999999</v>
      </c>
      <c r="F101">
        <v>92078.251000000004</v>
      </c>
      <c r="G101">
        <v>15.134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3419.8040000000001</v>
      </c>
      <c r="C102">
        <v>42.644300000000001</v>
      </c>
      <c r="D102">
        <v>46.155700000000003</v>
      </c>
      <c r="E102">
        <v>46.720700000000001</v>
      </c>
      <c r="F102">
        <v>62011.788999999997</v>
      </c>
      <c r="G102">
        <v>13.676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1909.876</v>
      </c>
      <c r="C103">
        <v>39.826700000000002</v>
      </c>
      <c r="D103">
        <v>44.613399999999999</v>
      </c>
      <c r="E103">
        <v>44.916699999999999</v>
      </c>
      <c r="F103">
        <v>38185.578000000001</v>
      </c>
      <c r="G103">
        <v>11.49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972.35199999999998</v>
      </c>
      <c r="C104">
        <v>36.639099999999999</v>
      </c>
      <c r="D104">
        <v>42.770800000000001</v>
      </c>
      <c r="E104">
        <v>42.859099999999998</v>
      </c>
      <c r="F104">
        <v>21241.125</v>
      </c>
      <c r="G104">
        <v>9.5259999999999998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4098.5839999999998</v>
      </c>
      <c r="C105">
        <v>38.601900000000001</v>
      </c>
      <c r="D105">
        <v>46.251100000000001</v>
      </c>
      <c r="E105">
        <v>46.4771</v>
      </c>
      <c r="F105">
        <v>58070.048999999999</v>
      </c>
      <c r="G105">
        <v>7.5419999999999998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1786.4159999999999</v>
      </c>
      <c r="C106">
        <v>37.098399999999998</v>
      </c>
      <c r="D106">
        <v>45.173900000000003</v>
      </c>
      <c r="E106">
        <v>45.401400000000002</v>
      </c>
      <c r="F106">
        <v>31235.584999999999</v>
      </c>
      <c r="G106">
        <v>4.7430000000000003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845.09199999999998</v>
      </c>
      <c r="C107">
        <v>35.1477</v>
      </c>
      <c r="D107">
        <v>43.887999999999998</v>
      </c>
      <c r="E107">
        <v>44.170400000000001</v>
      </c>
      <c r="F107">
        <v>16753.594000000001</v>
      </c>
      <c r="G107">
        <v>3.8540000000000001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400.16399999999999</v>
      </c>
      <c r="C108">
        <v>32.463700000000003</v>
      </c>
      <c r="D108">
        <v>42.209000000000003</v>
      </c>
      <c r="E108">
        <v>42.444499999999998</v>
      </c>
      <c r="F108">
        <v>8354.9930000000004</v>
      </c>
      <c r="G108">
        <v>3.3250000000000002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2432.4079999999999</v>
      </c>
      <c r="C109">
        <v>40.6524</v>
      </c>
      <c r="D109">
        <v>46.141100000000002</v>
      </c>
      <c r="E109">
        <v>47.3247</v>
      </c>
      <c r="F109">
        <v>45586.758000000002</v>
      </c>
      <c r="G109">
        <v>5.9980000000000002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1092.876</v>
      </c>
      <c r="C110">
        <v>39.510800000000003</v>
      </c>
      <c r="D110">
        <v>45.561399999999999</v>
      </c>
      <c r="E110">
        <v>46.054400000000001</v>
      </c>
      <c r="F110">
        <v>24682.544000000002</v>
      </c>
      <c r="G110">
        <v>4.851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515.35199999999998</v>
      </c>
      <c r="C111">
        <v>37.949800000000003</v>
      </c>
      <c r="D111">
        <v>44.793900000000001</v>
      </c>
      <c r="E111">
        <v>44.521599999999999</v>
      </c>
      <c r="F111">
        <v>12652.05</v>
      </c>
      <c r="G111">
        <v>4.109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234.13200000000001</v>
      </c>
      <c r="C112">
        <v>35.864800000000002</v>
      </c>
      <c r="D112">
        <v>43.563000000000002</v>
      </c>
      <c r="E112">
        <v>42.3855</v>
      </c>
      <c r="F112">
        <v>6133.3440000000001</v>
      </c>
      <c r="G112">
        <v>3.7480000000000002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925.80399999999997</v>
      </c>
      <c r="C113">
        <v>43.5396</v>
      </c>
      <c r="D113">
        <v>47.276699999999998</v>
      </c>
      <c r="E113">
        <v>48.326599999999999</v>
      </c>
      <c r="F113">
        <v>19462.289000000001</v>
      </c>
      <c r="G113">
        <v>4.5149999999999997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508.072</v>
      </c>
      <c r="C114">
        <v>42.2575</v>
      </c>
      <c r="D114">
        <v>46.505099999999999</v>
      </c>
      <c r="E114">
        <v>47.308799999999998</v>
      </c>
      <c r="F114">
        <v>10828.406999999999</v>
      </c>
      <c r="G114">
        <v>3.8730000000000002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289.52800000000002</v>
      </c>
      <c r="C115">
        <v>40.468600000000002</v>
      </c>
      <c r="D115">
        <v>45.516100000000002</v>
      </c>
      <c r="E115">
        <v>46.054400000000001</v>
      </c>
      <c r="F115">
        <v>6105.16</v>
      </c>
      <c r="G115">
        <v>3.7320000000000002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161.82</v>
      </c>
      <c r="C116">
        <v>37.918399999999998</v>
      </c>
      <c r="D116">
        <v>43.817799999999998</v>
      </c>
      <c r="E116">
        <v>44.095700000000001</v>
      </c>
      <c r="F116">
        <v>3517.4960000000001</v>
      </c>
      <c r="G116">
        <v>3.6269999999999998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1287.376</v>
      </c>
      <c r="C117">
        <v>42.913899999999998</v>
      </c>
      <c r="D117">
        <v>49.038400000000003</v>
      </c>
      <c r="E117">
        <v>48.731900000000003</v>
      </c>
      <c r="F117">
        <v>22592.148000000001</v>
      </c>
      <c r="G117">
        <v>4.3419999999999996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695.548</v>
      </c>
      <c r="C118">
        <v>41.632800000000003</v>
      </c>
      <c r="D118">
        <v>48.2074</v>
      </c>
      <c r="E118">
        <v>47.688000000000002</v>
      </c>
      <c r="F118">
        <v>12931.127</v>
      </c>
      <c r="G118">
        <v>3.8959999999999999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396.02</v>
      </c>
      <c r="C119">
        <v>39.761299999999999</v>
      </c>
      <c r="D119">
        <v>47.317700000000002</v>
      </c>
      <c r="E119">
        <v>46.298499999999997</v>
      </c>
      <c r="F119">
        <v>7534.8869999999997</v>
      </c>
      <c r="G119">
        <v>3.637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219.14400000000001</v>
      </c>
      <c r="C120">
        <v>37.0456</v>
      </c>
      <c r="D120">
        <v>45.600999999999999</v>
      </c>
      <c r="E120">
        <v>43.924900000000001</v>
      </c>
      <c r="F120">
        <v>4263.4880000000003</v>
      </c>
      <c r="G120">
        <v>3.496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17054.223999999998</v>
      </c>
      <c r="C145">
        <v>40.171100000000003</v>
      </c>
      <c r="D145">
        <v>48.7592</v>
      </c>
      <c r="E145">
        <v>46.689100000000003</v>
      </c>
      <c r="F145">
        <v>226946.15599999999</v>
      </c>
      <c r="G145">
        <v>29.356999999999999</v>
      </c>
      <c r="H145">
        <v>0</v>
      </c>
      <c r="I145" t="s">
        <v>592</v>
      </c>
      <c r="J145" t="s">
        <v>593</v>
      </c>
    </row>
    <row r="146" spans="1:10" x14ac:dyDescent="0.25">
      <c r="A146" s="141" t="s">
        <v>255</v>
      </c>
      <c r="B146">
        <v>8436.0640000000003</v>
      </c>
      <c r="C146">
        <v>39.564</v>
      </c>
      <c r="D146">
        <v>47.940199999999997</v>
      </c>
      <c r="E146">
        <v>45.561999999999998</v>
      </c>
      <c r="F146">
        <v>127965.211</v>
      </c>
      <c r="G146">
        <v>25.521999999999998</v>
      </c>
      <c r="H146">
        <v>0</v>
      </c>
      <c r="I146" t="s">
        <v>594</v>
      </c>
      <c r="J146" t="s">
        <v>595</v>
      </c>
    </row>
    <row r="147" spans="1:10" x14ac:dyDescent="0.25">
      <c r="A147" s="141" t="s">
        <v>256</v>
      </c>
      <c r="B147">
        <v>4599.4080000000004</v>
      </c>
      <c r="C147">
        <v>38.5777</v>
      </c>
      <c r="D147">
        <v>46.942399999999999</v>
      </c>
      <c r="E147">
        <v>44.169699999999999</v>
      </c>
      <c r="F147">
        <v>66794.726999999999</v>
      </c>
      <c r="G147">
        <v>23.448</v>
      </c>
      <c r="H147">
        <v>0</v>
      </c>
      <c r="I147" t="s">
        <v>596</v>
      </c>
      <c r="J147" t="s">
        <v>597</v>
      </c>
    </row>
    <row r="148" spans="1:10" x14ac:dyDescent="0.25">
      <c r="A148" s="141" t="s">
        <v>257</v>
      </c>
      <c r="B148">
        <v>2498.768</v>
      </c>
      <c r="C148">
        <v>37.031999999999996</v>
      </c>
      <c r="D148">
        <v>45.562100000000001</v>
      </c>
      <c r="E148">
        <v>42.505000000000003</v>
      </c>
      <c r="F148">
        <v>32720.094000000001</v>
      </c>
      <c r="G148">
        <v>19.279</v>
      </c>
      <c r="H148">
        <v>0</v>
      </c>
      <c r="I148" t="s">
        <v>598</v>
      </c>
      <c r="J148" t="s">
        <v>599</v>
      </c>
    </row>
    <row r="149" spans="1:10" x14ac:dyDescent="0.25">
      <c r="A149" s="141" t="s">
        <v>258</v>
      </c>
      <c r="B149">
        <v>90943.623999999996</v>
      </c>
      <c r="C149">
        <v>41.735399999999998</v>
      </c>
      <c r="D149">
        <v>36.7301</v>
      </c>
      <c r="E149">
        <v>37.7346</v>
      </c>
      <c r="F149">
        <v>398332.375</v>
      </c>
      <c r="G149">
        <v>32.173000000000002</v>
      </c>
      <c r="H149">
        <v>0</v>
      </c>
      <c r="I149" t="s">
        <v>600</v>
      </c>
      <c r="J149" t="s">
        <v>601</v>
      </c>
    </row>
    <row r="150" spans="1:10" x14ac:dyDescent="0.25">
      <c r="A150" s="141" t="s">
        <v>259</v>
      </c>
      <c r="B150">
        <v>46537.392</v>
      </c>
      <c r="C150">
        <v>38.939300000000003</v>
      </c>
      <c r="D150">
        <v>34.454000000000001</v>
      </c>
      <c r="E150">
        <v>35.835299999999997</v>
      </c>
      <c r="F150">
        <v>275547.53100000002</v>
      </c>
      <c r="G150">
        <v>27.297000000000001</v>
      </c>
      <c r="H150">
        <v>0</v>
      </c>
      <c r="I150" t="s">
        <v>602</v>
      </c>
      <c r="J150" t="s">
        <v>603</v>
      </c>
    </row>
    <row r="151" spans="1:10" x14ac:dyDescent="0.25">
      <c r="A151" s="141" t="s">
        <v>260</v>
      </c>
      <c r="B151">
        <v>21651.608</v>
      </c>
      <c r="C151">
        <v>35.847099999999998</v>
      </c>
      <c r="D151">
        <v>32.535200000000003</v>
      </c>
      <c r="E151">
        <v>34.222200000000001</v>
      </c>
      <c r="F151">
        <v>179185.45300000001</v>
      </c>
      <c r="G151">
        <v>25.045000000000002</v>
      </c>
      <c r="H151">
        <v>0</v>
      </c>
      <c r="I151" t="s">
        <v>604</v>
      </c>
      <c r="J151" t="s">
        <v>605</v>
      </c>
    </row>
    <row r="152" spans="1:10" x14ac:dyDescent="0.25">
      <c r="A152" s="141" t="s">
        <v>261</v>
      </c>
      <c r="B152">
        <v>9157.6239999999998</v>
      </c>
      <c r="C152">
        <v>32.828400000000002</v>
      </c>
      <c r="D152">
        <v>30.811800000000002</v>
      </c>
      <c r="E152">
        <v>32.819200000000002</v>
      </c>
      <c r="F152">
        <v>100762.086</v>
      </c>
      <c r="G152">
        <v>20.088000000000001</v>
      </c>
      <c r="H152">
        <v>0</v>
      </c>
      <c r="I152" t="s">
        <v>606</v>
      </c>
      <c r="J152" t="s">
        <v>607</v>
      </c>
    </row>
    <row r="153" spans="1:10" x14ac:dyDescent="0.25">
      <c r="A153" s="141" t="s">
        <v>262</v>
      </c>
      <c r="B153">
        <v>45120.856</v>
      </c>
      <c r="C153">
        <v>38.880800000000001</v>
      </c>
      <c r="D153">
        <v>41.214300000000001</v>
      </c>
      <c r="E153">
        <v>41.491</v>
      </c>
      <c r="F153">
        <v>214660.09400000001</v>
      </c>
      <c r="G153">
        <v>19.306000000000001</v>
      </c>
      <c r="H153">
        <v>0</v>
      </c>
      <c r="I153" t="s">
        <v>608</v>
      </c>
      <c r="J153" t="s">
        <v>609</v>
      </c>
    </row>
    <row r="154" spans="1:10" x14ac:dyDescent="0.25">
      <c r="A154" s="141" t="s">
        <v>263</v>
      </c>
      <c r="B154">
        <v>22117.887999999999</v>
      </c>
      <c r="C154">
        <v>37.518599999999999</v>
      </c>
      <c r="D154">
        <v>38.653599999999997</v>
      </c>
      <c r="E154">
        <v>40.11</v>
      </c>
      <c r="F154">
        <v>132272.82800000001</v>
      </c>
      <c r="G154">
        <v>15.175000000000001</v>
      </c>
      <c r="H154">
        <v>0</v>
      </c>
      <c r="I154" t="s">
        <v>610</v>
      </c>
      <c r="J154" t="s">
        <v>611</v>
      </c>
    </row>
    <row r="155" spans="1:10" x14ac:dyDescent="0.25">
      <c r="A155" s="141" t="s">
        <v>264</v>
      </c>
      <c r="B155">
        <v>11567.103999999999</v>
      </c>
      <c r="C155">
        <v>35.968000000000004</v>
      </c>
      <c r="D155">
        <v>36.411200000000001</v>
      </c>
      <c r="E155">
        <v>38.6723</v>
      </c>
      <c r="F155">
        <v>81367.914000000004</v>
      </c>
      <c r="G155">
        <v>13.852</v>
      </c>
      <c r="H155">
        <v>0</v>
      </c>
      <c r="I155" t="s">
        <v>612</v>
      </c>
      <c r="J155" t="s">
        <v>613</v>
      </c>
    </row>
    <row r="156" spans="1:10" x14ac:dyDescent="0.25">
      <c r="A156" s="141" t="s">
        <v>265</v>
      </c>
      <c r="B156">
        <v>5674.5519999999997</v>
      </c>
      <c r="C156">
        <v>34.054900000000004</v>
      </c>
      <c r="D156">
        <v>33.981900000000003</v>
      </c>
      <c r="E156">
        <v>36.918399999999998</v>
      </c>
      <c r="F156">
        <v>48315.105000000003</v>
      </c>
      <c r="G156">
        <v>12.473000000000001</v>
      </c>
      <c r="H156">
        <v>0</v>
      </c>
      <c r="I156" t="s">
        <v>614</v>
      </c>
      <c r="J156" t="s">
        <v>615</v>
      </c>
    </row>
    <row r="157" spans="1:10" x14ac:dyDescent="0.25">
      <c r="A157" s="141" t="s">
        <v>266</v>
      </c>
      <c r="B157">
        <v>24482.495999999999</v>
      </c>
      <c r="C157">
        <v>37.539900000000003</v>
      </c>
      <c r="D157">
        <v>45.044400000000003</v>
      </c>
      <c r="E157">
        <v>42.811199999999999</v>
      </c>
      <c r="F157">
        <v>302665.875</v>
      </c>
      <c r="G157">
        <v>28.939</v>
      </c>
      <c r="H157">
        <v>0</v>
      </c>
      <c r="I157" t="s">
        <v>616</v>
      </c>
      <c r="J157" t="s">
        <v>617</v>
      </c>
    </row>
    <row r="158" spans="1:10" x14ac:dyDescent="0.25">
      <c r="A158" s="141" t="s">
        <v>267</v>
      </c>
      <c r="B158">
        <v>10313.799999999999</v>
      </c>
      <c r="C158">
        <v>36.917000000000002</v>
      </c>
      <c r="D158">
        <v>44.398200000000003</v>
      </c>
      <c r="E158">
        <v>42.092500000000001</v>
      </c>
      <c r="F158">
        <v>167024.641</v>
      </c>
      <c r="G158">
        <v>24.602</v>
      </c>
      <c r="H158">
        <v>0</v>
      </c>
      <c r="I158" t="s">
        <v>618</v>
      </c>
      <c r="J158" t="s">
        <v>619</v>
      </c>
    </row>
    <row r="159" spans="1:10" x14ac:dyDescent="0.25">
      <c r="A159" s="141" t="s">
        <v>268</v>
      </c>
      <c r="B159">
        <v>5156.6559999999999</v>
      </c>
      <c r="C159">
        <v>35.9054</v>
      </c>
      <c r="D159">
        <v>43.4649</v>
      </c>
      <c r="E159">
        <v>41.1492</v>
      </c>
      <c r="F159">
        <v>95014.726999999999</v>
      </c>
      <c r="G159">
        <v>20.742999999999999</v>
      </c>
      <c r="H159">
        <v>0</v>
      </c>
      <c r="I159" t="s">
        <v>620</v>
      </c>
      <c r="J159" t="s">
        <v>621</v>
      </c>
    </row>
    <row r="160" spans="1:10" x14ac:dyDescent="0.25">
      <c r="A160" s="141" t="s">
        <v>269</v>
      </c>
      <c r="B160">
        <v>2565.2719999999999</v>
      </c>
      <c r="C160">
        <v>34.332799999999999</v>
      </c>
      <c r="D160">
        <v>42.148499999999999</v>
      </c>
      <c r="E160">
        <v>39.973700000000001</v>
      </c>
      <c r="F160">
        <v>43656.875</v>
      </c>
      <c r="G160">
        <v>16.404</v>
      </c>
      <c r="H160">
        <v>0</v>
      </c>
      <c r="I160" t="s">
        <v>622</v>
      </c>
      <c r="J160" t="s">
        <v>623</v>
      </c>
    </row>
    <row r="161" spans="1:10" x14ac:dyDescent="0.25">
      <c r="A161" s="141" t="s">
        <v>142</v>
      </c>
      <c r="B161">
        <v>7964.6639999999998</v>
      </c>
      <c r="C161">
        <v>38.025100000000002</v>
      </c>
      <c r="D161">
        <v>39.744700000000002</v>
      </c>
      <c r="E161">
        <v>42.863900000000001</v>
      </c>
      <c r="F161">
        <v>348455.21899999998</v>
      </c>
      <c r="G161">
        <v>27.364999999999998</v>
      </c>
      <c r="H161">
        <v>0</v>
      </c>
      <c r="I161" t="s">
        <v>624</v>
      </c>
      <c r="J161" t="s">
        <v>625</v>
      </c>
    </row>
    <row r="162" spans="1:10" x14ac:dyDescent="0.25">
      <c r="A162" s="141" t="s">
        <v>143</v>
      </c>
      <c r="B162">
        <v>3757.5311999999999</v>
      </c>
      <c r="C162">
        <v>36.683399999999999</v>
      </c>
      <c r="D162">
        <v>39.108600000000003</v>
      </c>
      <c r="E162">
        <v>41.680700000000002</v>
      </c>
      <c r="F162">
        <v>213102.95300000001</v>
      </c>
      <c r="G162">
        <v>22.367999999999999</v>
      </c>
      <c r="H162">
        <v>0</v>
      </c>
      <c r="I162" t="s">
        <v>626</v>
      </c>
      <c r="J162" t="s">
        <v>627</v>
      </c>
    </row>
    <row r="163" spans="1:10" x14ac:dyDescent="0.25">
      <c r="A163" s="141" t="s">
        <v>144</v>
      </c>
      <c r="B163">
        <v>1844.3616</v>
      </c>
      <c r="C163">
        <v>34.813099999999999</v>
      </c>
      <c r="D163">
        <v>38.272799999999997</v>
      </c>
      <c r="E163">
        <v>40.177500000000002</v>
      </c>
      <c r="F163">
        <v>135778.06200000001</v>
      </c>
      <c r="G163">
        <v>18.399000000000001</v>
      </c>
      <c r="H163">
        <v>0</v>
      </c>
      <c r="I163" t="s">
        <v>628</v>
      </c>
      <c r="J163" t="s">
        <v>629</v>
      </c>
    </row>
    <row r="164" spans="1:10" x14ac:dyDescent="0.25">
      <c r="A164" s="141" t="s">
        <v>145</v>
      </c>
      <c r="B164">
        <v>881.45439999999996</v>
      </c>
      <c r="C164">
        <v>32.499699999999997</v>
      </c>
      <c r="D164">
        <v>37.2727</v>
      </c>
      <c r="E164">
        <v>38.522199999999998</v>
      </c>
      <c r="F164">
        <v>75299.781000000003</v>
      </c>
      <c r="G164">
        <v>15.907</v>
      </c>
      <c r="H164">
        <v>0</v>
      </c>
      <c r="I164" t="s">
        <v>630</v>
      </c>
      <c r="J164" t="s">
        <v>631</v>
      </c>
    </row>
    <row r="165" spans="1:10" x14ac:dyDescent="0.25">
      <c r="A165" s="141" t="s">
        <v>146</v>
      </c>
      <c r="B165">
        <v>9101.0864000000001</v>
      </c>
      <c r="C165">
        <v>38.741100000000003</v>
      </c>
      <c r="D165">
        <v>43.687100000000001</v>
      </c>
      <c r="E165">
        <v>44.628700000000002</v>
      </c>
      <c r="F165">
        <v>374169.65600000002</v>
      </c>
      <c r="G165">
        <v>32.999000000000002</v>
      </c>
      <c r="H165">
        <v>0</v>
      </c>
      <c r="I165" t="s">
        <v>632</v>
      </c>
      <c r="J165" t="s">
        <v>633</v>
      </c>
    </row>
    <row r="166" spans="1:10" x14ac:dyDescent="0.25">
      <c r="A166" s="141" t="s">
        <v>147</v>
      </c>
      <c r="B166">
        <v>4702.0511999999999</v>
      </c>
      <c r="C166">
        <v>37.5351</v>
      </c>
      <c r="D166">
        <v>42.715600000000002</v>
      </c>
      <c r="E166">
        <v>43.120600000000003</v>
      </c>
      <c r="F166">
        <v>238094.766</v>
      </c>
      <c r="G166">
        <v>28.452999999999999</v>
      </c>
      <c r="H166">
        <v>0</v>
      </c>
      <c r="I166" t="s">
        <v>634</v>
      </c>
      <c r="J166" t="s">
        <v>635</v>
      </c>
    </row>
    <row r="167" spans="1:10" x14ac:dyDescent="0.25">
      <c r="A167" s="141" t="s">
        <v>148</v>
      </c>
      <c r="B167">
        <v>2397.5392000000002</v>
      </c>
      <c r="C167">
        <v>35.859299999999998</v>
      </c>
      <c r="D167">
        <v>41.494900000000001</v>
      </c>
      <c r="E167">
        <v>41.397199999999998</v>
      </c>
      <c r="F167">
        <v>140041.43799999999</v>
      </c>
      <c r="G167">
        <v>23.666</v>
      </c>
      <c r="H167">
        <v>0</v>
      </c>
      <c r="I167" t="s">
        <v>636</v>
      </c>
      <c r="J167" t="s">
        <v>637</v>
      </c>
    </row>
    <row r="168" spans="1:10" x14ac:dyDescent="0.25">
      <c r="A168" s="141" t="s">
        <v>149</v>
      </c>
      <c r="B168">
        <v>1187.68</v>
      </c>
      <c r="C168">
        <v>33.764699999999998</v>
      </c>
      <c r="D168">
        <v>40.126899999999999</v>
      </c>
      <c r="E168">
        <v>39.448799999999999</v>
      </c>
      <c r="F168">
        <v>77811.601999999999</v>
      </c>
      <c r="G168">
        <v>19.79</v>
      </c>
      <c r="H168">
        <v>0</v>
      </c>
      <c r="I168" t="s">
        <v>638</v>
      </c>
      <c r="J168" t="s">
        <v>639</v>
      </c>
    </row>
    <row r="169" spans="1:10" x14ac:dyDescent="0.25">
      <c r="A169" s="141" t="s">
        <v>270</v>
      </c>
      <c r="B169">
        <v>6352.44</v>
      </c>
      <c r="C169">
        <v>39.834499999999998</v>
      </c>
      <c r="D169">
        <v>43.810099999999998</v>
      </c>
      <c r="E169">
        <v>44.555199999999999</v>
      </c>
      <c r="F169">
        <v>343620.96899999998</v>
      </c>
      <c r="G169">
        <v>33.289000000000001</v>
      </c>
      <c r="H169">
        <v>0</v>
      </c>
      <c r="I169" t="s">
        <v>640</v>
      </c>
      <c r="J169" t="s">
        <v>641</v>
      </c>
    </row>
    <row r="170" spans="1:10" x14ac:dyDescent="0.25">
      <c r="A170" s="141" t="s">
        <v>271</v>
      </c>
      <c r="B170">
        <v>3030.6</v>
      </c>
      <c r="C170">
        <v>38.536299999999997</v>
      </c>
      <c r="D170">
        <v>42.941499999999998</v>
      </c>
      <c r="E170">
        <v>43.6556</v>
      </c>
      <c r="F170">
        <v>197553.109</v>
      </c>
      <c r="G170">
        <v>27.292999999999999</v>
      </c>
      <c r="H170">
        <v>0</v>
      </c>
      <c r="I170" t="s">
        <v>642</v>
      </c>
      <c r="J170" t="s">
        <v>643</v>
      </c>
    </row>
    <row r="171" spans="1:10" x14ac:dyDescent="0.25">
      <c r="A171" s="141" t="s">
        <v>272</v>
      </c>
      <c r="B171">
        <v>1461.616</v>
      </c>
      <c r="C171">
        <v>36.724899999999998</v>
      </c>
      <c r="D171">
        <v>41.852499999999999</v>
      </c>
      <c r="E171">
        <v>42.420999999999999</v>
      </c>
      <c r="F171">
        <v>109713.523</v>
      </c>
      <c r="G171">
        <v>22.93</v>
      </c>
      <c r="H171">
        <v>0</v>
      </c>
      <c r="I171" t="s">
        <v>644</v>
      </c>
      <c r="J171" t="s">
        <v>645</v>
      </c>
    </row>
    <row r="172" spans="1:10" x14ac:dyDescent="0.25">
      <c r="A172" s="141" t="s">
        <v>273</v>
      </c>
      <c r="B172">
        <v>687.23360000000002</v>
      </c>
      <c r="C172">
        <v>34.424199999999999</v>
      </c>
      <c r="D172">
        <v>40.692500000000003</v>
      </c>
      <c r="E172">
        <v>41.063600000000001</v>
      </c>
      <c r="F172">
        <v>57966.832000000002</v>
      </c>
      <c r="G172">
        <v>19.760999999999999</v>
      </c>
      <c r="H172">
        <v>0</v>
      </c>
      <c r="I172" t="s">
        <v>646</v>
      </c>
      <c r="J172" t="s">
        <v>647</v>
      </c>
    </row>
    <row r="173" spans="1:10" x14ac:dyDescent="0.25">
      <c r="A173" s="141" t="s">
        <v>274</v>
      </c>
      <c r="B173">
        <v>6705.5519999999997</v>
      </c>
      <c r="C173">
        <v>43.387</v>
      </c>
      <c r="D173">
        <v>46.732199999999999</v>
      </c>
      <c r="E173">
        <v>47.313099999999999</v>
      </c>
      <c r="F173">
        <v>286908.53100000002</v>
      </c>
      <c r="G173">
        <v>35.347999999999999</v>
      </c>
      <c r="H173">
        <v>0</v>
      </c>
      <c r="I173" t="s">
        <v>648</v>
      </c>
      <c r="J173" t="s">
        <v>649</v>
      </c>
    </row>
    <row r="174" spans="1:10" x14ac:dyDescent="0.25">
      <c r="A174" s="141" t="s">
        <v>275</v>
      </c>
      <c r="B174">
        <v>4084.2080000000001</v>
      </c>
      <c r="C174">
        <v>41.075699999999998</v>
      </c>
      <c r="D174">
        <v>45.279600000000002</v>
      </c>
      <c r="E174">
        <v>45.630499999999998</v>
      </c>
      <c r="F174">
        <v>205060.59400000001</v>
      </c>
      <c r="G174">
        <v>31.247</v>
      </c>
      <c r="H174">
        <v>0</v>
      </c>
      <c r="I174" t="s">
        <v>650</v>
      </c>
      <c r="J174" t="s">
        <v>651</v>
      </c>
    </row>
    <row r="175" spans="1:10" x14ac:dyDescent="0.25">
      <c r="A175" s="141" t="s">
        <v>276</v>
      </c>
      <c r="B175">
        <v>2258.1536000000001</v>
      </c>
      <c r="C175">
        <v>38.271599999999999</v>
      </c>
      <c r="D175">
        <v>43.611800000000002</v>
      </c>
      <c r="E175">
        <v>43.770099999999999</v>
      </c>
      <c r="F175">
        <v>123653.156</v>
      </c>
      <c r="G175">
        <v>26.111999999999998</v>
      </c>
      <c r="H175">
        <v>0</v>
      </c>
      <c r="I175" t="s">
        <v>652</v>
      </c>
      <c r="J175" t="s">
        <v>653</v>
      </c>
    </row>
    <row r="176" spans="1:10" x14ac:dyDescent="0.25">
      <c r="A176" s="141" t="s">
        <v>277</v>
      </c>
      <c r="B176">
        <v>1173.192</v>
      </c>
      <c r="C176">
        <v>35.307000000000002</v>
      </c>
      <c r="D176">
        <v>41.988700000000001</v>
      </c>
      <c r="E176">
        <v>41.917299999999997</v>
      </c>
      <c r="F176">
        <v>74634.351999999999</v>
      </c>
      <c r="G176">
        <v>21.866</v>
      </c>
      <c r="H176">
        <v>0</v>
      </c>
      <c r="I176" t="s">
        <v>654</v>
      </c>
      <c r="J176" t="s">
        <v>655</v>
      </c>
    </row>
    <row r="177" spans="1:10" x14ac:dyDescent="0.25">
      <c r="A177" s="141" t="s">
        <v>150</v>
      </c>
      <c r="B177" s="71">
        <v>4672.1440000000002</v>
      </c>
      <c r="C177" s="71">
        <v>38.4557</v>
      </c>
      <c r="D177" s="71">
        <v>45.524000000000001</v>
      </c>
      <c r="E177" s="71">
        <v>45.743400000000001</v>
      </c>
      <c r="F177" s="71">
        <v>207769.40599999999</v>
      </c>
      <c r="G177" s="71">
        <v>16.324000000000002</v>
      </c>
      <c r="H177">
        <v>0</v>
      </c>
      <c r="I177" t="s">
        <v>656</v>
      </c>
      <c r="J177" t="s">
        <v>657</v>
      </c>
    </row>
    <row r="178" spans="1:10" x14ac:dyDescent="0.25">
      <c r="A178" s="141" t="s">
        <v>151</v>
      </c>
      <c r="B178" s="71">
        <v>1631.9408000000001</v>
      </c>
      <c r="C178" s="71">
        <v>36.459699999999998</v>
      </c>
      <c r="D178" s="71">
        <v>44.551900000000003</v>
      </c>
      <c r="E178" s="71">
        <v>44.767099999999999</v>
      </c>
      <c r="F178" s="71">
        <v>101901.69500000001</v>
      </c>
      <c r="G178" s="71">
        <v>11.981</v>
      </c>
      <c r="H178">
        <v>0</v>
      </c>
      <c r="I178" t="s">
        <v>658</v>
      </c>
      <c r="J178" t="s">
        <v>659</v>
      </c>
    </row>
    <row r="179" spans="1:10" x14ac:dyDescent="0.25">
      <c r="A179" s="141" t="s">
        <v>152</v>
      </c>
      <c r="B179" s="71">
        <v>651.6848</v>
      </c>
      <c r="C179" s="71">
        <v>34.029800000000002</v>
      </c>
      <c r="D179" s="71">
        <v>43.190100000000001</v>
      </c>
      <c r="E179" s="71">
        <v>43.385800000000003</v>
      </c>
      <c r="F179" s="71">
        <v>57546.811999999998</v>
      </c>
      <c r="G179" s="71">
        <v>8.8970000000000002</v>
      </c>
      <c r="H179">
        <v>0</v>
      </c>
      <c r="I179" t="s">
        <v>660</v>
      </c>
      <c r="J179" t="s">
        <v>661</v>
      </c>
    </row>
    <row r="180" spans="1:10" x14ac:dyDescent="0.25">
      <c r="A180" s="141" t="s">
        <v>153</v>
      </c>
      <c r="B180" s="71">
        <v>274.36799999999999</v>
      </c>
      <c r="C180" s="71">
        <v>31.013100000000001</v>
      </c>
      <c r="D180" s="71">
        <v>41.9437</v>
      </c>
      <c r="E180" s="71">
        <v>41.99</v>
      </c>
      <c r="F180" s="71">
        <v>30535.576000000001</v>
      </c>
      <c r="G180" s="71">
        <v>6.6959999999999997</v>
      </c>
      <c r="H180">
        <v>0</v>
      </c>
      <c r="I180" t="s">
        <v>662</v>
      </c>
      <c r="J180" t="s">
        <v>663</v>
      </c>
    </row>
    <row r="181" spans="1:10" x14ac:dyDescent="0.25">
      <c r="A181" s="141" t="s">
        <v>154</v>
      </c>
      <c r="B181" s="71">
        <v>3773.6559999999999</v>
      </c>
      <c r="C181" s="71">
        <v>40.530999999999999</v>
      </c>
      <c r="D181" s="71">
        <v>45.259099999999997</v>
      </c>
      <c r="E181" s="71">
        <v>46.052300000000002</v>
      </c>
      <c r="F181" s="71">
        <v>170259.875</v>
      </c>
      <c r="G181" s="71">
        <v>17.338000000000001</v>
      </c>
      <c r="H181">
        <v>0</v>
      </c>
      <c r="I181" t="s">
        <v>664</v>
      </c>
      <c r="J181" t="s">
        <v>665</v>
      </c>
    </row>
    <row r="182" spans="1:10" x14ac:dyDescent="0.25">
      <c r="A182" s="141" t="s">
        <v>155</v>
      </c>
      <c r="B182" s="71">
        <v>1702.9359999999999</v>
      </c>
      <c r="C182" s="71">
        <v>38.876300000000001</v>
      </c>
      <c r="D182" s="71">
        <v>44.429400000000001</v>
      </c>
      <c r="E182" s="71">
        <v>44.501300000000001</v>
      </c>
      <c r="F182" s="71">
        <v>100823.94500000001</v>
      </c>
      <c r="G182" s="71">
        <v>14.473000000000001</v>
      </c>
      <c r="H182">
        <v>0</v>
      </c>
      <c r="I182" t="s">
        <v>666</v>
      </c>
      <c r="J182" t="s">
        <v>667</v>
      </c>
    </row>
    <row r="183" spans="1:10" x14ac:dyDescent="0.25">
      <c r="A183" s="141" t="s">
        <v>156</v>
      </c>
      <c r="B183" s="71">
        <v>813.53120000000001</v>
      </c>
      <c r="C183" s="71">
        <v>36.907600000000002</v>
      </c>
      <c r="D183" s="71">
        <v>43.428400000000003</v>
      </c>
      <c r="E183" s="71">
        <v>42.6982</v>
      </c>
      <c r="F183" s="71">
        <v>54267.163999999997</v>
      </c>
      <c r="G183" s="71">
        <v>11.393000000000001</v>
      </c>
      <c r="H183">
        <v>0</v>
      </c>
      <c r="I183" t="s">
        <v>668</v>
      </c>
      <c r="J183" t="s">
        <v>669</v>
      </c>
    </row>
    <row r="184" spans="1:10" x14ac:dyDescent="0.25">
      <c r="A184" s="141" t="s">
        <v>157</v>
      </c>
      <c r="B184" s="71">
        <v>380.66559999999998</v>
      </c>
      <c r="C184" s="71">
        <v>34.673499999999997</v>
      </c>
      <c r="D184" s="71">
        <v>42.082299999999996</v>
      </c>
      <c r="E184" s="71">
        <v>40.645000000000003</v>
      </c>
      <c r="F184" s="71">
        <v>27446.955000000002</v>
      </c>
      <c r="G184" s="71">
        <v>8.5640000000000001</v>
      </c>
      <c r="H184">
        <v>0</v>
      </c>
      <c r="I184" t="s">
        <v>670</v>
      </c>
      <c r="J184" t="s">
        <v>671</v>
      </c>
    </row>
    <row r="185" spans="1:10" x14ac:dyDescent="0.25">
      <c r="A185" s="141" t="s">
        <v>158</v>
      </c>
      <c r="B185" s="71">
        <v>917.32799999999997</v>
      </c>
      <c r="C185" s="71">
        <v>42.968200000000003</v>
      </c>
      <c r="D185" s="71">
        <v>46.770400000000002</v>
      </c>
      <c r="E185" s="71">
        <v>47.599200000000003</v>
      </c>
      <c r="F185" s="71">
        <v>66432.062000000005</v>
      </c>
      <c r="G185" s="71">
        <v>9.5779999999999994</v>
      </c>
      <c r="H185">
        <v>0</v>
      </c>
      <c r="I185" t="s">
        <v>672</v>
      </c>
      <c r="J185" t="s">
        <v>673</v>
      </c>
    </row>
    <row r="186" spans="1:10" x14ac:dyDescent="0.25">
      <c r="A186" s="141" t="s">
        <v>159</v>
      </c>
      <c r="B186" s="71">
        <v>467.37279999999998</v>
      </c>
      <c r="C186" s="71">
        <v>41.298999999999999</v>
      </c>
      <c r="D186" s="71">
        <v>45.967700000000001</v>
      </c>
      <c r="E186" s="71">
        <v>46.529699999999998</v>
      </c>
      <c r="F186" s="71">
        <v>37224.141000000003</v>
      </c>
      <c r="G186" s="71">
        <v>7.0449999999999999</v>
      </c>
      <c r="H186">
        <v>0</v>
      </c>
      <c r="I186" t="s">
        <v>674</v>
      </c>
      <c r="J186" t="s">
        <v>675</v>
      </c>
    </row>
    <row r="187" spans="1:10" x14ac:dyDescent="0.25">
      <c r="A187" s="141" t="s">
        <v>160</v>
      </c>
      <c r="B187" s="71">
        <v>249.62559999999999</v>
      </c>
      <c r="C187" s="71">
        <v>39.087000000000003</v>
      </c>
      <c r="D187" s="71">
        <v>44.664999999999999</v>
      </c>
      <c r="E187" s="71">
        <v>45.186199999999999</v>
      </c>
      <c r="F187" s="71">
        <v>21086.516</v>
      </c>
      <c r="G187" s="71">
        <v>5.4729999999999999</v>
      </c>
      <c r="H187">
        <v>0</v>
      </c>
      <c r="I187" t="s">
        <v>676</v>
      </c>
      <c r="J187" t="s">
        <v>677</v>
      </c>
    </row>
    <row r="188" spans="1:10" x14ac:dyDescent="0.25">
      <c r="A188" s="141" t="s">
        <v>161</v>
      </c>
      <c r="B188" s="71">
        <v>136.04</v>
      </c>
      <c r="C188" s="71">
        <v>36.298299999999998</v>
      </c>
      <c r="D188" s="71">
        <v>43.158999999999999</v>
      </c>
      <c r="E188" s="71">
        <v>43.259</v>
      </c>
      <c r="F188" s="71">
        <v>12006.023999999999</v>
      </c>
      <c r="G188" s="71">
        <v>4.7709999999999999</v>
      </c>
      <c r="H188">
        <v>0</v>
      </c>
      <c r="I188" t="s">
        <v>678</v>
      </c>
      <c r="J188" t="s">
        <v>679</v>
      </c>
    </row>
    <row r="189" spans="1:10" x14ac:dyDescent="0.25">
      <c r="A189" s="141" t="s">
        <v>162</v>
      </c>
      <c r="B189" s="71">
        <v>1243.248</v>
      </c>
      <c r="C189" s="71">
        <v>42.6721</v>
      </c>
      <c r="D189" s="71">
        <v>48.561399999999999</v>
      </c>
      <c r="E189" s="71">
        <v>48.117800000000003</v>
      </c>
      <c r="F189" s="71">
        <v>72111.320000000007</v>
      </c>
      <c r="G189" s="71">
        <v>9.8369999999999997</v>
      </c>
      <c r="H189">
        <v>0</v>
      </c>
      <c r="I189" t="s">
        <v>680</v>
      </c>
      <c r="J189" t="s">
        <v>681</v>
      </c>
    </row>
    <row r="190" spans="1:10" x14ac:dyDescent="0.25">
      <c r="A190" s="141" t="s">
        <v>163</v>
      </c>
      <c r="B190" s="71">
        <v>605.25919999999996</v>
      </c>
      <c r="C190" s="71">
        <v>40.910200000000003</v>
      </c>
      <c r="D190" s="71">
        <v>47.753300000000003</v>
      </c>
      <c r="E190" s="71">
        <v>47.0124</v>
      </c>
      <c r="F190" s="71">
        <v>42017.175999999999</v>
      </c>
      <c r="G190" s="71">
        <v>7.8920000000000003</v>
      </c>
      <c r="H190">
        <v>0</v>
      </c>
      <c r="I190" t="s">
        <v>682</v>
      </c>
      <c r="J190" t="s">
        <v>683</v>
      </c>
    </row>
    <row r="191" spans="1:10" x14ac:dyDescent="0.25">
      <c r="A191" s="141" t="s">
        <v>164</v>
      </c>
      <c r="B191" s="71">
        <v>322.8048</v>
      </c>
      <c r="C191" s="71">
        <v>38.5319</v>
      </c>
      <c r="D191" s="71">
        <v>46.682600000000001</v>
      </c>
      <c r="E191" s="71">
        <v>45.478999999999999</v>
      </c>
      <c r="F191" s="71">
        <v>23219.848000000002</v>
      </c>
      <c r="G191" s="71">
        <v>5.7539999999999996</v>
      </c>
      <c r="H191">
        <v>0</v>
      </c>
      <c r="I191" t="s">
        <v>684</v>
      </c>
      <c r="J191" t="s">
        <v>685</v>
      </c>
    </row>
    <row r="192" spans="1:10" x14ac:dyDescent="0.25">
      <c r="A192" s="141" t="s">
        <v>165</v>
      </c>
      <c r="B192" s="71">
        <v>175.9248</v>
      </c>
      <c r="C192" s="71">
        <v>35.451599999999999</v>
      </c>
      <c r="D192" s="71">
        <v>45.037599999999998</v>
      </c>
      <c r="E192" s="71">
        <v>43.192799999999998</v>
      </c>
      <c r="F192" s="71">
        <v>13985.602999999999</v>
      </c>
      <c r="G192" s="71">
        <v>5.1859999999999999</v>
      </c>
      <c r="H192">
        <v>0</v>
      </c>
      <c r="I192" t="s">
        <v>686</v>
      </c>
      <c r="J192" t="s">
        <v>687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390</v>
      </c>
    </row>
    <row r="274" spans="1:1" x14ac:dyDescent="0.25">
      <c r="A274" s="141" t="s">
        <v>391</v>
      </c>
    </row>
    <row r="275" spans="1:1" x14ac:dyDescent="0.25">
      <c r="A275" s="141" t="s">
        <v>392</v>
      </c>
    </row>
    <row r="276" spans="1:1" x14ac:dyDescent="0.25">
      <c r="A276" s="141" t="s">
        <v>393</v>
      </c>
    </row>
    <row r="277" spans="1:1" x14ac:dyDescent="0.25">
      <c r="A277" s="141" t="s">
        <v>394</v>
      </c>
    </row>
    <row r="278" spans="1:1" x14ac:dyDescent="0.25">
      <c r="A278" s="141" t="s">
        <v>395</v>
      </c>
    </row>
    <row r="279" spans="1:1" x14ac:dyDescent="0.25">
      <c r="A279" s="141" t="s">
        <v>396</v>
      </c>
    </row>
    <row r="280" spans="1:1" x14ac:dyDescent="0.25">
      <c r="A280" s="141" t="s">
        <v>397</v>
      </c>
    </row>
    <row r="281" spans="1:1" x14ac:dyDescent="0.25">
      <c r="A281" s="141" t="s">
        <v>398</v>
      </c>
    </row>
    <row r="282" spans="1:1" x14ac:dyDescent="0.25">
      <c r="A282" s="141" t="s">
        <v>399</v>
      </c>
    </row>
    <row r="283" spans="1:1" x14ac:dyDescent="0.25">
      <c r="A283" s="141" t="s">
        <v>400</v>
      </c>
    </row>
    <row r="284" spans="1:1" x14ac:dyDescent="0.25">
      <c r="A284" s="141" t="s">
        <v>401</v>
      </c>
    </row>
    <row r="285" spans="1:1" x14ac:dyDescent="0.25">
      <c r="A285" s="141" t="s">
        <v>402</v>
      </c>
    </row>
    <row r="286" spans="1:1" x14ac:dyDescent="0.25">
      <c r="A286" s="141" t="s">
        <v>403</v>
      </c>
    </row>
    <row r="287" spans="1:1" x14ac:dyDescent="0.25">
      <c r="A287" s="141" t="s">
        <v>404</v>
      </c>
    </row>
    <row r="288" spans="1:1" x14ac:dyDescent="0.2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futl</cp:lastModifiedBy>
  <dcterms:created xsi:type="dcterms:W3CDTF">2011-06-30T00:09:01Z</dcterms:created>
  <dcterms:modified xsi:type="dcterms:W3CDTF">2022-06-16T01:19:23Z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