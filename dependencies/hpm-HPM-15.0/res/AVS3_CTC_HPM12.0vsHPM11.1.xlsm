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10.0_debug\res\"/>
    </mc:Choice>
  </mc:AlternateContent>
  <xr:revisionPtr revIDLastSave="0" documentId="13_ncr:1_{5D00B376-AC26-4D94-9979-2D2F78A66B98}" xr6:coauthVersionLast="46" xr6:coauthVersionMax="46" xr10:uidLastSave="{00000000-0000-0000-0000-000000000000}"/>
  <bookViews>
    <workbookView xWindow="-98" yWindow="353" windowWidth="28996" windowHeight="15944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T59" i="29" s="1"/>
  <c r="T79" i="29" s="1"/>
  <c r="N28" i="30" s="1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J47" i="25"/>
  <c r="J52" i="25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12" i="25"/>
  <c r="J24" i="25"/>
  <c r="J50" i="20"/>
  <c r="J48" i="25"/>
  <c r="J37" i="25"/>
  <c r="S47" i="25"/>
  <c r="J47" i="20"/>
  <c r="J48" i="29"/>
  <c r="R56" i="25"/>
  <c r="S31" i="29"/>
  <c r="M12" i="30" s="1"/>
  <c r="J31" i="29"/>
  <c r="J22" i="25"/>
  <c r="J10" i="25"/>
  <c r="J4" i="25"/>
  <c r="R25" i="29"/>
  <c r="V35" i="29"/>
  <c r="AA59" i="29"/>
  <c r="Z39" i="29"/>
  <c r="X35" i="29"/>
  <c r="Y59" i="25"/>
  <c r="Z55" i="27"/>
  <c r="V19" i="29"/>
  <c r="AA11" i="29"/>
  <c r="AA23" i="29"/>
  <c r="AA3" i="29"/>
  <c r="AA47" i="29"/>
  <c r="AA35" i="29"/>
  <c r="Z63" i="25"/>
  <c r="Z51" i="29"/>
  <c r="Z71" i="27"/>
  <c r="W31" i="29"/>
  <c r="V71" i="29"/>
  <c r="V47" i="29"/>
  <c r="Y63" i="20"/>
  <c r="X55" i="29"/>
  <c r="Z31" i="29"/>
  <c r="X39" i="29"/>
  <c r="V71" i="25"/>
  <c r="AA55" i="20"/>
  <c r="V59" i="29"/>
  <c r="Z63" i="20"/>
  <c r="Y19" i="29"/>
  <c r="Z71" i="29"/>
  <c r="V67" i="27"/>
  <c r="X11" i="29"/>
  <c r="Y43" i="29"/>
  <c r="Y67" i="20"/>
  <c r="Z59" i="29"/>
  <c r="W35" i="29"/>
  <c r="Z35" i="29"/>
  <c r="V59" i="27"/>
  <c r="X67" i="29"/>
  <c r="V67" i="25"/>
  <c r="AA67" i="27"/>
  <c r="AA39" i="29"/>
  <c r="V63" i="29"/>
  <c r="Y39" i="29"/>
  <c r="AA27" i="29"/>
  <c r="Y63" i="27"/>
  <c r="V63" i="27"/>
  <c r="X67" i="25"/>
  <c r="X51" i="29"/>
  <c r="W39" i="29"/>
  <c r="Y3" i="29"/>
  <c r="AA59" i="20"/>
  <c r="AA71" i="25"/>
  <c r="V3" i="29"/>
  <c r="V67" i="20"/>
  <c r="Z59" i="20"/>
  <c r="Z11" i="29"/>
  <c r="AA71" i="27"/>
  <c r="Z27" i="29"/>
  <c r="Z71" i="25"/>
  <c r="Y59" i="27"/>
  <c r="V11" i="29"/>
  <c r="X59" i="25"/>
  <c r="W67" i="27"/>
  <c r="W63" i="25"/>
  <c r="W67" i="25"/>
  <c r="AA55" i="25"/>
  <c r="Y15" i="29"/>
  <c r="X67" i="27"/>
  <c r="W59" i="29"/>
  <c r="Y47" i="29"/>
  <c r="V39" i="29"/>
  <c r="X43" i="29"/>
  <c r="Y71" i="29"/>
  <c r="Y59" i="20"/>
  <c r="X71" i="20"/>
  <c r="V43" i="29"/>
  <c r="X55" i="27"/>
  <c r="X3" i="29"/>
  <c r="X27" i="29"/>
  <c r="W43" i="29"/>
  <c r="V67" i="29"/>
  <c r="W11" i="29"/>
  <c r="AA43" i="29"/>
  <c r="Y71" i="27"/>
  <c r="X63" i="25"/>
  <c r="AA71" i="20"/>
  <c r="Y63" i="25"/>
  <c r="AA19" i="29"/>
  <c r="W55" i="29"/>
  <c r="V31" i="29"/>
  <c r="W71" i="25"/>
  <c r="V55" i="25"/>
  <c r="X7" i="29"/>
  <c r="AA7" i="29"/>
  <c r="Z67" i="20"/>
  <c r="W55" i="27"/>
  <c r="AA67" i="20"/>
  <c r="V71" i="20"/>
  <c r="Z55" i="29"/>
  <c r="V7" i="29"/>
  <c r="AA55" i="27"/>
  <c r="Y71" i="20"/>
  <c r="AA59" i="27"/>
  <c r="X59" i="29"/>
  <c r="V15" i="29"/>
  <c r="Y59" i="29"/>
  <c r="V27" i="29"/>
  <c r="W67" i="20"/>
  <c r="X47" i="29"/>
  <c r="W71" i="29"/>
  <c r="X67" i="20"/>
  <c r="AA63" i="27"/>
  <c r="Z7" i="29"/>
  <c r="X71" i="25"/>
  <c r="W51" i="29"/>
  <c r="Y11" i="29"/>
  <c r="AA63" i="20"/>
  <c r="Y27" i="29"/>
  <c r="Z63" i="29"/>
  <c r="Z23" i="29"/>
  <c r="Z3" i="29"/>
  <c r="Z47" i="29"/>
  <c r="X63" i="29"/>
  <c r="V71" i="27"/>
  <c r="Y31" i="29"/>
  <c r="Z67" i="27"/>
  <c r="W3" i="29"/>
  <c r="AA31" i="29"/>
  <c r="Y55" i="20"/>
  <c r="Z59" i="27"/>
  <c r="X23" i="29"/>
  <c r="Z43" i="29"/>
  <c r="W47" i="29"/>
  <c r="Z15" i="29"/>
  <c r="Z63" i="27"/>
  <c r="Y55" i="25"/>
  <c r="X59" i="20"/>
  <c r="V23" i="29"/>
  <c r="Y7" i="29"/>
  <c r="Y67" i="25"/>
  <c r="W55" i="25"/>
  <c r="AA15" i="29"/>
  <c r="AA55" i="29"/>
  <c r="W63" i="27"/>
  <c r="V55" i="27"/>
  <c r="W63" i="29"/>
  <c r="V55" i="29"/>
  <c r="AA59" i="25"/>
  <c r="Y55" i="29"/>
  <c r="Z67" i="29"/>
  <c r="Z55" i="20"/>
  <c r="AA67" i="29"/>
  <c r="Z67" i="25"/>
  <c r="V59" i="25"/>
  <c r="W63" i="20"/>
  <c r="W71" i="27"/>
  <c r="Y23" i="29"/>
  <c r="Y51" i="29"/>
  <c r="W55" i="20"/>
  <c r="X55" i="25"/>
  <c r="Z71" i="20"/>
  <c r="W59" i="25"/>
  <c r="AA71" i="29"/>
  <c r="X55" i="20"/>
  <c r="X31" i="29"/>
  <c r="X71" i="27"/>
  <c r="Z59" i="25"/>
  <c r="W27" i="29"/>
  <c r="W71" i="20"/>
  <c r="Y55" i="27"/>
  <c r="V55" i="20"/>
  <c r="Y63" i="29"/>
  <c r="AA51" i="29"/>
  <c r="Y67" i="27"/>
  <c r="W23" i="29"/>
  <c r="V51" i="29"/>
  <c r="W7" i="29"/>
  <c r="Z55" i="25"/>
  <c r="X59" i="27"/>
  <c r="Y35" i="29"/>
  <c r="W59" i="20"/>
  <c r="W15" i="29"/>
  <c r="V63" i="20"/>
  <c r="X63" i="20"/>
  <c r="W67" i="29"/>
  <c r="X71" i="29"/>
  <c r="AA63" i="25"/>
  <c r="X19" i="29"/>
  <c r="Y67" i="29"/>
  <c r="V63" i="25"/>
  <c r="W19" i="29"/>
  <c r="Z19" i="29"/>
  <c r="AA67" i="25"/>
  <c r="V59" i="20"/>
  <c r="X15" i="29"/>
  <c r="X63" i="27"/>
  <c r="Y71" i="25"/>
  <c r="AA63" i="29"/>
  <c r="W59" i="27"/>
  <c r="Z35" i="25"/>
  <c r="Y27" i="25"/>
  <c r="AA39" i="25"/>
  <c r="AA19" i="25"/>
  <c r="Z27" i="25"/>
  <c r="X23" i="25"/>
  <c r="Y11" i="25"/>
  <c r="Y19" i="25"/>
  <c r="W43" i="25"/>
  <c r="Y51" i="25"/>
  <c r="Z11" i="25"/>
  <c r="AA51" i="25"/>
  <c r="V7" i="25"/>
  <c r="V39" i="25"/>
  <c r="Y39" i="25"/>
  <c r="Z39" i="25"/>
  <c r="Y43" i="25"/>
  <c r="Z3" i="25"/>
  <c r="X35" i="25"/>
  <c r="W7" i="25"/>
  <c r="AA3" i="25"/>
  <c r="AA43" i="25"/>
  <c r="Y35" i="25"/>
  <c r="X27" i="25"/>
  <c r="AA31" i="25"/>
  <c r="AA35" i="25"/>
  <c r="W47" i="25"/>
  <c r="AA15" i="25"/>
  <c r="X47" i="25"/>
  <c r="Y23" i="25"/>
  <c r="Z23" i="25"/>
  <c r="X43" i="25"/>
  <c r="X31" i="25"/>
  <c r="V47" i="25"/>
  <c r="X19" i="25"/>
  <c r="V27" i="25"/>
  <c r="W23" i="25"/>
  <c r="Z31" i="25"/>
  <c r="V3" i="25"/>
  <c r="W31" i="25"/>
  <c r="W19" i="25"/>
  <c r="Y31" i="25"/>
  <c r="W35" i="25"/>
  <c r="X15" i="25"/>
  <c r="AA27" i="25"/>
  <c r="V31" i="25"/>
  <c r="V51" i="25"/>
  <c r="Y7" i="25"/>
  <c r="AA23" i="25"/>
  <c r="AA7" i="25"/>
  <c r="W27" i="25"/>
  <c r="Z43" i="25"/>
  <c r="Z7" i="25"/>
  <c r="V43" i="25"/>
  <c r="X7" i="25"/>
  <c r="AA11" i="25"/>
  <c r="Y3" i="25"/>
  <c r="X11" i="25"/>
  <c r="Z47" i="25"/>
  <c r="V23" i="25"/>
  <c r="V35" i="25"/>
  <c r="Z51" i="25"/>
  <c r="AA47" i="25"/>
  <c r="W51" i="25"/>
  <c r="Z15" i="25"/>
  <c r="V19" i="25"/>
  <c r="Y47" i="25"/>
  <c r="X51" i="25"/>
  <c r="X39" i="25"/>
  <c r="Z19" i="25"/>
  <c r="V15" i="25"/>
  <c r="Y15" i="25"/>
  <c r="W39" i="25"/>
  <c r="V11" i="25"/>
  <c r="X3" i="25"/>
  <c r="W15" i="25"/>
  <c r="W11" i="25"/>
  <c r="W3" i="25"/>
  <c r="X43" i="20"/>
  <c r="Y27" i="20"/>
  <c r="X7" i="20"/>
  <c r="Z47" i="20"/>
  <c r="X31" i="20"/>
  <c r="W11" i="20"/>
  <c r="W35" i="20"/>
  <c r="AA39" i="20"/>
  <c r="AA15" i="20"/>
  <c r="Z11" i="20"/>
  <c r="V23" i="20"/>
  <c r="AA31" i="20"/>
  <c r="Y43" i="20"/>
  <c r="AA51" i="20"/>
  <c r="W43" i="20"/>
  <c r="Z35" i="20"/>
  <c r="Y51" i="20"/>
  <c r="W27" i="20"/>
  <c r="V35" i="20"/>
  <c r="Y23" i="20"/>
  <c r="W31" i="20"/>
  <c r="W47" i="20"/>
  <c r="Y31" i="20"/>
  <c r="V39" i="20"/>
  <c r="W23" i="20"/>
  <c r="V43" i="20"/>
  <c r="AA19" i="20"/>
  <c r="X39" i="20"/>
  <c r="AA7" i="20"/>
  <c r="W39" i="20"/>
  <c r="V15" i="20"/>
  <c r="V51" i="20"/>
  <c r="X11" i="20"/>
  <c r="AA47" i="20"/>
  <c r="V47" i="20"/>
  <c r="Y35" i="20"/>
  <c r="Y7" i="20"/>
  <c r="V19" i="20"/>
  <c r="AA35" i="20"/>
  <c r="Z43" i="20"/>
  <c r="AA11" i="20"/>
  <c r="Z15" i="20"/>
  <c r="Z7" i="20"/>
  <c r="W51" i="20"/>
  <c r="AA27" i="20"/>
  <c r="V7" i="20"/>
  <c r="W3" i="20"/>
  <c r="X47" i="20"/>
  <c r="Z19" i="20"/>
  <c r="Z3" i="20"/>
  <c r="X27" i="20"/>
  <c r="Y15" i="20"/>
  <c r="X35" i="20"/>
  <c r="Y3" i="20"/>
  <c r="X15" i="20"/>
  <c r="X51" i="20"/>
  <c r="Y19" i="20"/>
  <c r="Y47" i="20"/>
  <c r="W7" i="20"/>
  <c r="AA43" i="20"/>
  <c r="Y39" i="20"/>
  <c r="V11" i="20"/>
  <c r="AA23" i="20"/>
  <c r="X19" i="20"/>
  <c r="Y11" i="20"/>
  <c r="V27" i="20"/>
  <c r="V3" i="20"/>
  <c r="Z51" i="20"/>
  <c r="X3" i="20"/>
  <c r="V31" i="20"/>
  <c r="X23" i="20"/>
  <c r="Z23" i="20"/>
  <c r="Z31" i="20"/>
  <c r="W19" i="20"/>
  <c r="W15" i="20"/>
  <c r="Z27" i="20"/>
  <c r="AA3" i="20"/>
  <c r="Z39" i="20"/>
  <c r="AA3" i="27"/>
  <c r="W27" i="27"/>
  <c r="Z27" i="27"/>
  <c r="V3" i="27"/>
  <c r="W35" i="27"/>
  <c r="AA35" i="27"/>
  <c r="Y27" i="27"/>
  <c r="Y51" i="27"/>
  <c r="X11" i="27"/>
  <c r="Y7" i="27"/>
  <c r="Y35" i="27"/>
  <c r="X7" i="27"/>
  <c r="W19" i="27"/>
  <c r="AA31" i="27"/>
  <c r="W11" i="27"/>
  <c r="AA47" i="27"/>
  <c r="W39" i="27"/>
  <c r="Y15" i="27"/>
  <c r="W7" i="27"/>
  <c r="X43" i="27"/>
  <c r="Z23" i="27"/>
  <c r="AA19" i="27"/>
  <c r="Y3" i="27"/>
  <c r="X27" i="27"/>
  <c r="AA43" i="27"/>
  <c r="Z47" i="27"/>
  <c r="V35" i="27"/>
  <c r="V43" i="27"/>
  <c r="Y23" i="27"/>
  <c r="V31" i="27"/>
  <c r="Y39" i="27"/>
  <c r="V23" i="27"/>
  <c r="W23" i="27"/>
  <c r="V15" i="27"/>
  <c r="Y31" i="27"/>
  <c r="V51" i="27"/>
  <c r="X3" i="27"/>
  <c r="AA23" i="27"/>
  <c r="AA15" i="27"/>
  <c r="AA27" i="27"/>
  <c r="X19" i="27"/>
  <c r="AA39" i="27"/>
  <c r="W47" i="27"/>
  <c r="Z51" i="27"/>
  <c r="W15" i="27"/>
  <c r="V7" i="27"/>
  <c r="Z15" i="27"/>
  <c r="V47" i="27"/>
  <c r="V27" i="27"/>
  <c r="X39" i="27"/>
  <c r="Z43" i="27"/>
  <c r="Z19" i="27"/>
  <c r="Y43" i="27"/>
  <c r="Z3" i="27"/>
  <c r="X31" i="27"/>
  <c r="X47" i="27"/>
  <c r="Z35" i="27"/>
  <c r="V19" i="27"/>
  <c r="Z11" i="27"/>
  <c r="W31" i="27"/>
  <c r="Y11" i="27"/>
  <c r="AA11" i="27"/>
  <c r="W51" i="27"/>
  <c r="Z31" i="27"/>
  <c r="V39" i="27"/>
  <c r="X23" i="27"/>
  <c r="W43" i="27"/>
  <c r="Y19" i="27"/>
  <c r="Z7" i="27"/>
  <c r="Y47" i="27"/>
  <c r="X15" i="27"/>
  <c r="W3" i="27"/>
  <c r="X51" i="27"/>
  <c r="AA7" i="27"/>
  <c r="AA51" i="27"/>
  <c r="V11" i="27"/>
  <c r="Z39" i="27"/>
  <c r="X35" i="27"/>
  <c r="T57" i="29" l="1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G19" i="9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S78" i="25" l="1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O3" i="10"/>
  <c r="AK3" i="10"/>
  <c r="AL3" i="10"/>
  <c r="AE3" i="10"/>
  <c r="AN3" i="10"/>
  <c r="AJ3" i="10"/>
  <c r="AQ3" i="10"/>
  <c r="AD3" i="10"/>
  <c r="AF3" i="10"/>
  <c r="AG3" i="10"/>
  <c r="AI3" i="10"/>
  <c r="AP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P4" i="10"/>
  <c r="AO4" i="10"/>
  <c r="AK4" i="10"/>
  <c r="AN4" i="10"/>
  <c r="AD4" i="10"/>
  <c r="AE4" i="10"/>
  <c r="AJ4" i="10"/>
  <c r="AG4" i="10"/>
  <c r="AI4" i="10"/>
  <c r="AL4" i="10"/>
  <c r="AF4" i="10"/>
  <c r="AQ4" i="10"/>
  <c r="AC6" i="10" l="1"/>
  <c r="AQ5" i="10"/>
  <c r="AD6" i="10"/>
  <c r="AQ6" i="10"/>
  <c r="AE6" i="10"/>
  <c r="AN6" i="10"/>
  <c r="AI6" i="10"/>
  <c r="AL6" i="10"/>
  <c r="AK5" i="10"/>
  <c r="AF5" i="10"/>
  <c r="AG5" i="10"/>
  <c r="AP5" i="10"/>
  <c r="AG6" i="10"/>
  <c r="AJ6" i="10"/>
  <c r="AD5" i="10"/>
  <c r="AP6" i="10"/>
  <c r="AO5" i="10"/>
  <c r="AK6" i="10"/>
  <c r="AN5" i="10"/>
  <c r="AO6" i="10"/>
  <c r="AE5" i="10"/>
  <c r="AJ5" i="10"/>
  <c r="AL5" i="10"/>
  <c r="AI5" i="10"/>
  <c r="AF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<sst xmlns="http://schemas.openxmlformats.org/spreadsheetml/2006/main" count="974" uniqueCount="408">
  <si>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</si>
  <si>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</si>
  <si>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</si>
  <si>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</si>
  <si>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</si>
  <si>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</si>
  <si>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</si>
  <si>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</si>
  <si>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</si>
  <si>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</si>
  <si>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</si>
  <si>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</si>
  <si>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</si>
  <si>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</si>
  <si>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</si>
  <si>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</si>
  <si>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</si>
  <si>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</si>
  <si>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</si>
  <si>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</si>
  <si>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</si>
  <si>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</si>
  <si>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</si>
  <si>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</si>
  <si>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</si>
  <si>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</si>
  <si>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</si>
  <si>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</si>
  <si>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</si>
  <si>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</si>
  <si>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</si>
  <si>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</si>
  <si>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</si>
  <si>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</si>
  <si>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</si>
  <si>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</si>
  <si>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</si>
  <si>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</si>
  <si>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</si>
  <si>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</si>
  <si>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</si>
  <si>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</si>
  <si>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</si>
  <si>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</si>
  <si>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</si>
  <si>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</si>
  <si>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</si>
  <si>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</si>
  <si>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</si>
  <si>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</si>
  <si>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</si>
  <si>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</si>
  <si>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</si>
  <si>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</si>
  <si>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</si>
  <si>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</si>
  <si>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</si>
  <si>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</si>
  <si>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</si>
  <si>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</si>
  <si>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</si>
  <si>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</si>
  <si>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</si>
  <si>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</si>
  <si>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</si>
  <si>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</si>
  <si>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</si>
  <si>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</si>
  <si>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</si>
  <si>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</si>
  <si>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</si>
  <si>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</si>
  <si>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</si>
  <si>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</si>
  <si>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</si>
  <si>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</si>
  <si>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</si>
  <si>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</si>
  <si>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</si>
  <si>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</si>
  <si>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</si>
  <si>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</si>
  <si>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</si>
  <si>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</si>
  <si>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</si>
  <si>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</si>
  <si>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</si>
  <si>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</si>
  <si>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</si>
  <si>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</si>
  <si>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</si>
  <si>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</si>
  <si>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</si>
  <si>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</si>
  <si>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</si>
  <si>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</si>
  <si>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</si>
  <si>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</si>
  <si>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</si>
  <si>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</si>
  <si>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</si>
  <si>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</si>
  <si>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</si>
  <si>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</si>
  <si>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</si>
  <si>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</si>
  <si>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</si>
  <si>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</si>
  <si>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</si>
  <si>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</si>
  <si>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</si>
  <si>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</si>
  <si>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</si>
  <si>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</si>
  <si>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</si>
  <si>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</si>
  <si>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</si>
  <si>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</si>
  <si>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</si>
  <si>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</si>
  <si>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</si>
  <si>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</si>
  <si>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</si>
  <si>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</si>
  <si>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</si>
  <si>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</si>
  <si>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</si>
  <si>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</si>
  <si>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</si>
  <si>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</si>
  <si>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</si>
  <si>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</si>
  <si>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</si>
  <si>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</si>
  <si>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</si>
  <si>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</si>
  <si>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</si>
  <si>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</si>
  <si>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</si>
  <si>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</si>
  <si>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</si>
  <si>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</si>
  <si>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</si>
  <si>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</si>
  <si>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</si>
  <si>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</si>
  <si>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</si>
  <si>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</si>
  <si>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</si>
  <si>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</si>
  <si>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</si>
  <si>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</si>
  <si>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</si>
  <si>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</si>
  <si>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</si>
  <si>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</si>
  <si>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</si>
  <si>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</si>
  <si>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</si>
  <si>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</si>
  <si>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</si>
  <si>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</si>
  <si>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</si>
  <si>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</si>
  <si>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</si>
  <si>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</si>
  <si>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</si>
  <si>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</si>
  <si>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</si>
  <si>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</si>
  <si>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</si>
  <si>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</si>
  <si>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</si>
  <si>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</si>
  <si>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</si>
  <si>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</si>
  <si>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</si>
  <si>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</si>
  <si>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</si>
  <si>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</si>
  <si>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</si>
  <si>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</si>
  <si>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</si>
  <si>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</si>
  <si>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</si>
  <si>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</si>
  <si>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</si>
  <si>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</si>
  <si>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</si>
  <si>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</si>
  <si>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</si>
  <si>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</si>
  <si>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</si>
  <si>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</si>
  <si>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</si>
  <si>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</si>
  <si>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</si>
  <si>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</si>
  <si>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</si>
  <si>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</si>
  <si>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</si>
  <si>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</si>
  <si>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</si>
  <si>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</si>
  <si>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</si>
  <si>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</si>
  <si>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</si>
  <si>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</si>
  <si>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</si>
  <si>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</si>
  <si>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</si>
  <si>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</si>
  <si>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</si>
  <si>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</si>
  <si>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</si>
  <si>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</si>
  <si>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</si>
  <si>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</si>
  <si>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</si>
  <si>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</si>
  <si>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</si>
  <si>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</si>
  <si>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</si>
  <si>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</si>
  <si>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</si>
  <si>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</si>
  <si>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</si>
  <si>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</si>
  <si>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</si>
  <si>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</si>
  <si>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</si>
  <si>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</si>
  <si>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</si>
  <si>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</si>
  <si>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</si>
  <si>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</si>
  <si>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</si>
  <si>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</si>
  <si>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</si>
  <si>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</si>
  <si>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</si>
  <si>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</si>
  <si>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</si>
  <si>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</si>
  <si>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</si>
  <si>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</si>
  <si>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</si>
  <si>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</si>
  <si>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</si>
  <si>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</si>
  <si>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</si>
  <si>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</si>
  <si>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</si>
  <si>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</si>
  <si>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</si>
  <si>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</si>
  <si>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</si>
  <si>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</si>
  <si>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</si>
  <si>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</si>
  <si>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</si>
  <si>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</si>
  <si>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</si>
  <si>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</si>
  <si>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</si>
  <si>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</si>
  <si>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</si>
  <si>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</si>
  <si>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</si>
  <si>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</si>
  <si>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</si>
  <si>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</si>
  <si>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</si>
  <si>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</si>
  <si>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</si>
  <si>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</si>
  <si>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</si>
  <si>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</si>
  <si>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</si>
  <si>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</si>
  <si>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</si>
  <si>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</si>
  <si>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</si>
  <si>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</si>
  <si>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</si>
  <si>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</si>
  <si>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</si>
  <si>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</si>
  <si>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</si>
  <si>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</si>
  <si>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</si>
  <si>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</si>
  <si>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</si>
  <si>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</si>
  <si>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</si>
  <si>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</si>
  <si>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</si>
  <si>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</si>
  <si>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</si>
  <si>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</si>
  <si>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</si>
  <si>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</si>
  <si>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</si>
  <si>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</si>
  <si>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</si>
  <si>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</si>
  <si>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</si>
  <si>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</si>
  <si>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</si>
  <si>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</si>
  <si>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</si>
  <si>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</si>
  <si>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</si>
  <si>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</si>
  <si>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</si>
  <si>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</si>
  <si>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</si>
  <si>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</si>
  <si>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</si>
  <si>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</si>
  <si>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</si>
  <si>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</si>
  <si>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</si>
  <si>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</si>
  <si>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</si>
  <si>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</si>
  <si>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</si>
  <si>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</si>
  <si>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</si>
  <si>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</si>
  <si>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</si>
  <si>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</si>
  <si>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</si>
  <si>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</si>
  <si>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</si>
  <si>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</si>
  <si>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</si>
  <si>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</si>
  <si>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</si>
  <si>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</si>
  <si>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</si>
  <si>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</si>
  <si>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</si>
  <si>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</si>
  <si>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</si>
  <si>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</si>
  <si>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</si>
  <si>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</si>
  <si>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</si>
  <si>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</si>
  <si>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</si>
  <si>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</si>
  <si>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</si>
  <si>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</si>
  <si>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</si>
  <si>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</si>
  <si>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</si>
  <si>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</si>
  <si>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</si>
  <si>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</si>
  <si>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</si>
  <si>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</si>
  <si>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</si>
  <si>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</si>
  <si>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</si>
  <si>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</si>
  <si>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</si>
  <si>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</si>
  <si>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</si>
  <si>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</si>
  <si>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</si>
  <si>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</si>
  <si>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</si>
  <si>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</si>
  <si>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</si>
  <si>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</si>
  <si>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</si>
  <si>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</si>
  <si>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</si>
  <si>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</si>
  <si>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</si>
  <si>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</si>
  <si>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</si>
  <si>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</si>
  <si>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</si>
  <si>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</si>
  <si>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</si>
  <si>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</si>
  <si>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</si>
  <si>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</si>
  <si>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</si>
  <si>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</si>
  <si>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</si>
  <si>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</si>
  <si>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</si>
  <si>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</si>
  <si>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</si>
  <si>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</si>
  <si>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</si>
  <si>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</si>
  <si>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</si>
  <si>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</si>
  <si>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</si>
  <si>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</si>
  <si>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</si>
  <si>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</si>
  <si>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HPM11.1</t>
    <phoneticPr fontId="1" type="noConversion"/>
  </si>
  <si>
    <t>HPM12.0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</si>
</sst>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HPM11.1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HPM12.0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zoomScale="85" zoomScaleNormal="85" workbookViewId="0">
      <selection activeCell="Q26" sqref="Q26"/>
    </sheetView>
  </sheetViews>
  <sheetFormatPr defaultColWidth="10.875" defaultRowHeight="11.65" x14ac:dyDescent="0.35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" thickBot="1" x14ac:dyDescent="0.4"/>
    <row r="2" spans="2:15" ht="12.75" customHeight="1" thickBot="1" x14ac:dyDescent="0.4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35">
      <c r="C3" s="150" t="str">
        <f>CONCATENATE("Over ", Summary!$J$3)</f>
        <v>Over HPM11.1</v>
      </c>
      <c r="D3" s="151"/>
      <c r="E3" s="151"/>
      <c r="F3" s="151"/>
      <c r="G3" s="152"/>
      <c r="I3" s="102"/>
      <c r="J3" s="150" t="str">
        <f>CONCATENATE("Over ", Summary!$J$3)</f>
        <v>Over HPM11.1</v>
      </c>
      <c r="K3" s="151"/>
      <c r="L3" s="151"/>
      <c r="M3" s="151"/>
      <c r="N3" s="152"/>
      <c r="O3" s="104"/>
    </row>
    <row r="4" spans="2:15" ht="12.75" customHeight="1" thickBot="1" x14ac:dyDescent="0.4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35">
      <c r="B5" s="110" t="str">
        <f>'AI-10'!$B$3</f>
        <v>Tango2</v>
      </c>
      <c r="C5" s="111">
        <f>'AI-10'!$V$3</f>
        <v>-3.2527094704914994E-3</v>
      </c>
      <c r="D5" s="112">
        <f>'AI-10'!$W$3</f>
        <v>-6.3431464329744003E-3</v>
      </c>
      <c r="E5" s="113">
        <f>'AI-10'!$X$3</f>
        <v>-9.4366659738003289E-3</v>
      </c>
      <c r="F5" s="114">
        <f>GEOMEAN('AI-10'!$S$3:'AI-10'!$S$6)</f>
        <v>0.98465724679707545</v>
      </c>
      <c r="G5" s="115">
        <f>GEOMEAN('AI-10'!$T$3:'AI-10'!$T$6)</f>
        <v>0.9956822195424605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35">
      <c r="B6" s="116" t="str">
        <f>'AI-10'!$B$7</f>
        <v>ParkRunning3</v>
      </c>
      <c r="C6" s="117">
        <f>'AI-10'!$V$7</f>
        <v>-4.701705845351789E-3</v>
      </c>
      <c r="D6" s="118">
        <f>'AI-10'!$W$7</f>
        <v>-3.8846073826686034E-3</v>
      </c>
      <c r="E6" s="119">
        <f>'AI-10'!$X$7</f>
        <v>-3.5525249906543932E-3</v>
      </c>
      <c r="F6" s="120">
        <f>GEOMEAN('AI-10'!$S$7:'AI-10'!$S$10)</f>
        <v>0.97093003794636923</v>
      </c>
      <c r="G6" s="121">
        <f>GEOMEAN('AI-10'!$T$7:'AI-10'!$T$10)</f>
        <v>0.99405866002149157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35">
      <c r="B7" s="116" t="str">
        <f>'AI-10'!$B$11</f>
        <v>Campfire</v>
      </c>
      <c r="C7" s="117">
        <f>'AI-10'!$V$11</f>
        <v>-4.4625705656790027E-3</v>
      </c>
      <c r="D7" s="118">
        <f>'AI-10'!$W$11</f>
        <v>-1.1090151480538379E-3</v>
      </c>
      <c r="E7" s="119">
        <f>'AI-10'!$X$11</f>
        <v>-9.341599774375986E-3</v>
      </c>
      <c r="F7" s="130">
        <f>GEOMEAN('AI-10'!$S$11:'AI-10'!$S$14)</f>
        <v>0.96976607794748537</v>
      </c>
      <c r="G7" s="121">
        <f>GEOMEAN('AI-10'!$T$11:'AI-10'!$T$14)</f>
        <v>0.98852235764934493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4">
      <c r="B8" s="122" t="str">
        <f>'AI-10'!$B$15</f>
        <v>DaylightRoad2</v>
      </c>
      <c r="C8" s="123">
        <f>'AI-10'!$V$15</f>
        <v>-4.2594025997756413E-3</v>
      </c>
      <c r="D8" s="124">
        <f>'AI-10'!$W$15</f>
        <v>-1.1265144051200493E-2</v>
      </c>
      <c r="E8" s="125">
        <f>'AI-10'!$X$15</f>
        <v>-8.0658570928917595E-3</v>
      </c>
      <c r="F8" s="126">
        <f>GEOMEAN('AI-10'!$S$15:'AI-10'!$S$18)</f>
        <v>0.98415676599251312</v>
      </c>
      <c r="G8" s="127">
        <f>GEOMEAN('AI-10'!$T$15:'AI-10'!$T$18)</f>
        <v>0.99363645006735268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35">
      <c r="B9" s="110" t="str">
        <f>'AI-10'!$B$19</f>
        <v>Cactus</v>
      </c>
      <c r="C9" s="111">
        <f>'AI-10'!$V$19</f>
        <v>-2.9708623397848299E-3</v>
      </c>
      <c r="D9" s="112">
        <f>'AI-10'!$W$19</f>
        <v>-8.8293999799062828E-3</v>
      </c>
      <c r="E9" s="113">
        <f>'AI-10'!$X$19</f>
        <v>-4.690079655670476E-3</v>
      </c>
      <c r="F9" s="114">
        <f>GEOMEAN('AI-10'!$S$19:'AI-10'!$S$22)</f>
        <v>0.98956196991559953</v>
      </c>
      <c r="G9" s="115">
        <f>GEOMEAN('AI-10'!$T$19:'AI-10'!$T$22)</f>
        <v>0.98621738216809796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35">
      <c r="B10" s="116" t="str">
        <f>'AI-10'!$B$23</f>
        <v>BasketballDrive</v>
      </c>
      <c r="C10" s="117">
        <f>'AI-10'!$V$23</f>
        <v>-5.6683369880892176E-3</v>
      </c>
      <c r="D10" s="118">
        <f>'AI-10'!$W$23</f>
        <v>-1.7121062625143901E-2</v>
      </c>
      <c r="E10" s="119">
        <f>'AI-10'!$X$23</f>
        <v>-1.4215483124425443E-2</v>
      </c>
      <c r="F10" s="120">
        <f>GEOMEAN('AI-10'!$S$23:'AI-10'!$S$26)</f>
        <v>0.98265099375987031</v>
      </c>
      <c r="G10" s="121">
        <f>GEOMEAN('AI-10'!$T$23:'AI-10'!$T$26)</f>
        <v>0.99610828382227523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35">
      <c r="B11" s="116" t="str">
        <f>'AI-10'!$B$27</f>
        <v>MarketPlace</v>
      </c>
      <c r="C11" s="117">
        <f>'AI-10'!$V$27</f>
        <v>-3.1770485943449778E-3</v>
      </c>
      <c r="D11" s="118">
        <f>'AI-10'!$W$27</f>
        <v>-1.1076061310488661E-2</v>
      </c>
      <c r="E11" s="119">
        <f>'AI-10'!$X$27</f>
        <v>-7.5990875500929755E-3</v>
      </c>
      <c r="F11" s="120">
        <f>GEOMEAN('AI-10'!$S$27:'AI-10'!$S$30)</f>
        <v>0.97983367374048902</v>
      </c>
      <c r="G11" s="121">
        <f>GEOMEAN('AI-10'!$T$27:'AI-10'!$T$30)</f>
        <v>0.98250892012521795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4">
      <c r="B12" s="122" t="str">
        <f>'AI-10'!$B$31</f>
        <v>RitualDance</v>
      </c>
      <c r="C12" s="123">
        <f>'AI-10'!$V$31</f>
        <v>-3.0277419103047487E-3</v>
      </c>
      <c r="D12" s="124">
        <f>'AI-10'!$W$31</f>
        <v>-5.3635002088472383E-3</v>
      </c>
      <c r="E12" s="125">
        <f>'AI-10'!$X$31</f>
        <v>-7.9611190010556721E-3</v>
      </c>
      <c r="F12" s="126">
        <f>GEOMEAN('AI-10'!$S$31:'AI-10'!$S$34)</f>
        <v>0.9722432477203562</v>
      </c>
      <c r="G12" s="127">
        <f>GEOMEAN('AI-10'!$T$31:'AI-10'!$T$34)</f>
        <v>0.991205068086636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35">
      <c r="B13" s="110" t="str">
        <f>'AI-10'!$B$35</f>
        <v>City</v>
      </c>
      <c r="C13" s="111">
        <f>'AI-10'!$V$35</f>
        <v>-3.1067879761261796E-3</v>
      </c>
      <c r="D13" s="112">
        <f>'AI-10'!$W$35</f>
        <v>-7.3144296893130623E-3</v>
      </c>
      <c r="E13" s="113">
        <f>'AI-10'!$X$35</f>
        <v>-8.8304913205977664E-3</v>
      </c>
      <c r="F13" s="114">
        <f>GEOMEAN('AI-10'!$S$35:'AI-10'!$S$38)</f>
        <v>0.96975218398844842</v>
      </c>
      <c r="G13" s="115">
        <f>GEOMEAN('AI-10'!$T$35:'AI-10'!$T$38)</f>
        <v>0.99480409183367857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35">
      <c r="B14" s="116" t="str">
        <f>'AI-10'!$B$39</f>
        <v>Crew</v>
      </c>
      <c r="C14" s="117">
        <f>'AI-10'!$V$39</f>
        <v>-3.4710742511588899E-3</v>
      </c>
      <c r="D14" s="118">
        <f>'AI-10'!$W$39</f>
        <v>-9.3116845234513246E-3</v>
      </c>
      <c r="E14" s="119">
        <f>'AI-10'!$X$39</f>
        <v>-8.6001939936580785E-3</v>
      </c>
      <c r="F14" s="120">
        <f>GEOMEAN('AI-10'!$S$39:'AI-10'!$S$42)</f>
        <v>0.99145728440945369</v>
      </c>
      <c r="G14" s="121">
        <f>GEOMEAN('AI-10'!$T$39:'AI-10'!$T$42)</f>
        <v>0.98170037645596686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35">
      <c r="B15" s="116" t="str">
        <f>'AI-10'!$B$43</f>
        <v>vidyo1</v>
      </c>
      <c r="C15" s="117">
        <f>'AI-10'!$V$43</f>
        <v>-2.5031544399590766E-3</v>
      </c>
      <c r="D15" s="118">
        <f>'AI-10'!$W$43</f>
        <v>-5.5921294862717463E-3</v>
      </c>
      <c r="E15" s="119">
        <f>'AI-10'!$X$43</f>
        <v>-6.1213264791626365E-3</v>
      </c>
      <c r="F15" s="120">
        <f>GEOMEAN('AI-10'!$S$43:'AI-10'!$S$46)</f>
        <v>0.97591182220372341</v>
      </c>
      <c r="G15" s="121">
        <f>GEOMEAN('AI-10'!$T$43:'AI-10'!$T$46)</f>
        <v>0.9915436107522495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4">
      <c r="B16" s="122" t="str">
        <f>'AI-10'!$B$47</f>
        <v>vidyo3</v>
      </c>
      <c r="C16" s="123">
        <f>'AI-10'!$V$47</f>
        <v>-2.535538716047947E-3</v>
      </c>
      <c r="D16" s="124">
        <f>'AI-10'!$W$47</f>
        <v>-1.0873867281448124E-2</v>
      </c>
      <c r="E16" s="125">
        <f>'AI-10'!$X$47</f>
        <v>-8.6435461908580535E-3</v>
      </c>
      <c r="F16" s="126">
        <f>GEOMEAN('AI-10'!$S$47:'AI-10'!$S$50)</f>
        <v>0.99070317924046902</v>
      </c>
      <c r="G16" s="127">
        <f>GEOMEAN('AI-10'!$T$47:'AI-10'!$T$50)</f>
        <v>1.0179825322081326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3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4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3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3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3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4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35">
      <c r="B23" s="132" t="s">
        <v>78</v>
      </c>
      <c r="C23" s="111">
        <f>'AI-10'!$V75</f>
        <v>-4.1690971203244831E-3</v>
      </c>
      <c r="D23" s="112">
        <f>'AI-10'!$W75</f>
        <v>-5.6504782537243337E-3</v>
      </c>
      <c r="E23" s="113">
        <f>'AI-10'!$X75</f>
        <v>-7.5991619579306169E-3</v>
      </c>
      <c r="F23" s="128">
        <f>'AI-10'!$S75</f>
        <v>0.97735214954363003</v>
      </c>
      <c r="G23" s="115">
        <f>'AI-10'!$T75</f>
        <v>0.99297129484458535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35">
      <c r="B24" s="133" t="s">
        <v>79</v>
      </c>
      <c r="C24" s="117">
        <f>'AI-10'!$V76</f>
        <v>-3.7109974581309435E-3</v>
      </c>
      <c r="D24" s="118">
        <f>'AI-10'!$W76</f>
        <v>-1.0597506031096521E-2</v>
      </c>
      <c r="E24" s="119">
        <f>'AI-10'!$X76</f>
        <v>-8.6164423328111417E-3</v>
      </c>
      <c r="F24" s="130">
        <f>'AI-10'!$S76</f>
        <v>0.98105283613841376</v>
      </c>
      <c r="G24" s="121">
        <f>'AI-10'!$T76</f>
        <v>0.98899661490810453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4">
      <c r="B25" s="133" t="s">
        <v>80</v>
      </c>
      <c r="C25" s="117">
        <f>'AI-10'!$V77</f>
        <v>-2.9041388458230233E-3</v>
      </c>
      <c r="D25" s="118">
        <f>'AI-10'!$W77</f>
        <v>-8.2730277451210643E-3</v>
      </c>
      <c r="E25" s="119">
        <f>'AI-10'!$X77</f>
        <v>-8.0488894960691337E-3</v>
      </c>
      <c r="F25" s="130">
        <f>'AI-10'!$S77</f>
        <v>0.98191123110154466</v>
      </c>
      <c r="G25" s="121">
        <f>'AI-10'!$T77</f>
        <v>0.99641938201416191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4">
      <c r="B26" s="139" t="s">
        <v>37</v>
      </c>
      <c r="C26" s="138">
        <f>'AI-10'!$V80</f>
        <v>-3.5947444747594834E-3</v>
      </c>
      <c r="D26" s="137">
        <f>'AI-10'!$W80</f>
        <v>-8.1736706766473068E-3</v>
      </c>
      <c r="E26" s="136">
        <f>'AI-10'!$X80</f>
        <v>-8.0881645956036308E-3</v>
      </c>
      <c r="F26" s="135">
        <f>'AI-10'!$S80</f>
        <v>0.98010340773364413</v>
      </c>
      <c r="G26" s="134">
        <f>'AI-10'!$T80</f>
        <v>0.99279113055084189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4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4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4"/>
    <row r="30" spans="2:15" ht="12.75" customHeight="1" thickBot="1" x14ac:dyDescent="0.4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35">
      <c r="C31" s="150" t="str">
        <f>CONCATENATE("Over ", Summary!$J$3)</f>
        <v>Over HPM11.1</v>
      </c>
      <c r="D31" s="151"/>
      <c r="E31" s="151"/>
      <c r="F31" s="151"/>
      <c r="G31" s="152"/>
      <c r="I31" s="102"/>
      <c r="J31" s="150" t="str">
        <f>CONCATENATE("Over ", Summary!$J$3)</f>
        <v>Over HPM11.1</v>
      </c>
      <c r="K31" s="151"/>
      <c r="L31" s="151"/>
      <c r="M31" s="151"/>
      <c r="N31" s="152"/>
    </row>
    <row r="32" spans="2:15" ht="12.75" customHeight="1" thickBot="1" x14ac:dyDescent="0.4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35">
      <c r="B33" s="110" t="str">
        <f>'AI-10'!$B$3</f>
        <v>Tango2</v>
      </c>
      <c r="C33" s="111">
        <f>'RA-10'!$V$3</f>
        <v>-4.8414280467101722E-3</v>
      </c>
      <c r="D33" s="112">
        <f>'RA-10'!$W$3</f>
        <v>-3.1790344961930672E-2</v>
      </c>
      <c r="E33" s="113">
        <f>'RA-10'!$X$3</f>
        <v>-1.0863097770151486E-2</v>
      </c>
      <c r="F33" s="114">
        <f>GEOMEAN('RA-10'!$S$3:'RA-10'!$S$6)</f>
        <v>0.99731263821059724</v>
      </c>
      <c r="G33" s="115">
        <f>GEOMEAN('RA-10'!$T$3:'RA-10'!$T$6)</f>
        <v>0.99959161910804883</v>
      </c>
      <c r="I33" s="110" t="str">
        <f>'AI-10'!$B$3</f>
        <v>Tango2</v>
      </c>
      <c r="J33" s="111">
        <f>'LDB-10'!$V$3</f>
        <v>-6.2618442705524302E-3</v>
      </c>
      <c r="K33" s="112">
        <f>'LDB-10'!$W$3</f>
        <v>-1.1413998262036262E-2</v>
      </c>
      <c r="L33" s="113">
        <f>'LDB-10'!$X$3</f>
        <v>-4.875444217111502E-3</v>
      </c>
      <c r="M33" s="114">
        <f>GEOMEAN('LDB-10'!$S$3:'LDB-10'!$S$6)</f>
        <v>0.99639792520426607</v>
      </c>
      <c r="N33" s="115">
        <f>GEOMEAN('LDB-10'!$T$3:'LDB-10'!$T$6)</f>
        <v>1.003501322456857</v>
      </c>
    </row>
    <row r="34" spans="2:14" ht="12.75" customHeight="1" x14ac:dyDescent="0.35">
      <c r="B34" s="116" t="str">
        <f>'AI-10'!$B$7</f>
        <v>ParkRunning3</v>
      </c>
      <c r="C34" s="117">
        <f>'RA-10'!$V$7</f>
        <v>-2.3111492574831027E-3</v>
      </c>
      <c r="D34" s="118">
        <f>'RA-10'!$W$7</f>
        <v>-6.8852490145918654E-3</v>
      </c>
      <c r="E34" s="119">
        <f>'RA-10'!$X$7</f>
        <v>-5.0476184417648229E-3</v>
      </c>
      <c r="F34" s="120">
        <f>GEOMEAN('RA-10'!$S$7:'RA-10'!$S$10)</f>
        <v>0.99140800281718411</v>
      </c>
      <c r="G34" s="121">
        <f>GEOMEAN('RA-10'!$T$7:'RA-10'!$T$10)</f>
        <v>1.0030725359186901</v>
      </c>
      <c r="I34" s="116" t="str">
        <f>'AI-10'!$B$7</f>
        <v>ParkRunning3</v>
      </c>
      <c r="J34" s="117">
        <f>'LDB-10'!$V$7</f>
        <v>-3.0203403881902124E-3</v>
      </c>
      <c r="K34" s="118">
        <f>'LDB-10'!$W$7</f>
        <v>-6.7429523813000714E-3</v>
      </c>
      <c r="L34" s="119">
        <f>'LDB-10'!$X$7</f>
        <v>-1.1107148100857667E-2</v>
      </c>
      <c r="M34" s="120">
        <f>GEOMEAN('LDB-10'!$S$7:'LDB-10'!$S$10)</f>
        <v>0.98444659598035456</v>
      </c>
      <c r="N34" s="121">
        <f>GEOMEAN('LDB-10'!$T$7:'LDB-10'!$T$10)</f>
        <v>0.99429871974201089</v>
      </c>
    </row>
    <row r="35" spans="2:14" ht="12.75" customHeight="1" x14ac:dyDescent="0.35">
      <c r="B35" s="116" t="str">
        <f>'AI-10'!$B$11</f>
        <v>Campfire</v>
      </c>
      <c r="C35" s="117">
        <f>'RA-10'!$V$11</f>
        <v>-1.0114690996482878E-2</v>
      </c>
      <c r="D35" s="118">
        <f>'RA-10'!$W$11</f>
        <v>-5.6256072348707109E-3</v>
      </c>
      <c r="E35" s="119">
        <f>'RA-10'!$X$11</f>
        <v>-1.2194650627894932E-2</v>
      </c>
      <c r="F35" s="130">
        <f>GEOMEAN('RA-10'!$S$11:'RA-10'!$S$14)</f>
        <v>0.98510245104382854</v>
      </c>
      <c r="G35" s="121">
        <f>GEOMEAN('RA-10'!$T$11:'RA-10'!$T$14)</f>
        <v>1.0061812330851447</v>
      </c>
      <c r="I35" s="116" t="str">
        <f>'AI-10'!$B$11</f>
        <v>Campfire</v>
      </c>
      <c r="J35" s="117">
        <f>'LDB-10'!$V$11</f>
        <v>-1.4258203190542829E-2</v>
      </c>
      <c r="K35" s="118">
        <f>'LDB-10'!$W$11</f>
        <v>-1.1032840869985128E-2</v>
      </c>
      <c r="L35" s="119">
        <f>'LDB-10'!$X$11</f>
        <v>-1.9758680357323866E-2</v>
      </c>
      <c r="M35" s="130">
        <f>GEOMEAN('LDB-10'!$S$11:'LDB-10'!$S$14)</f>
        <v>0.96480071930940392</v>
      </c>
      <c r="N35" s="121">
        <f>GEOMEAN('LDB-10'!$T$11:'LDB-10'!$T$14)</f>
        <v>0.96751702203793055</v>
      </c>
    </row>
    <row r="36" spans="2:14" ht="12.75" customHeight="1" thickBot="1" x14ac:dyDescent="0.4">
      <c r="B36" s="122" t="str">
        <f>'AI-10'!$B$15</f>
        <v>DaylightRoad2</v>
      </c>
      <c r="C36" s="123">
        <f>'RA-10'!$V$15</f>
        <v>-1.1927194316722067E-2</v>
      </c>
      <c r="D36" s="124">
        <f>'RA-10'!$W$15</f>
        <v>-7.4071382683746911E-3</v>
      </c>
      <c r="E36" s="125">
        <f>'RA-10'!$X$15</f>
        <v>-1.4585474998617065E-2</v>
      </c>
      <c r="F36" s="126">
        <f>GEOMEAN('RA-10'!$S$15:'RA-10'!$S$18)</f>
        <v>0.99349805412952685</v>
      </c>
      <c r="G36" s="127">
        <f>GEOMEAN('RA-10'!$T$15:'RA-10'!$T$18)</f>
        <v>0.99800308383286729</v>
      </c>
      <c r="I36" s="122" t="str">
        <f>'AI-10'!$B$15</f>
        <v>DaylightRoad2</v>
      </c>
      <c r="J36" s="123">
        <f>'LDB-10'!$V$15</f>
        <v>-1.2329285398314349E-2</v>
      </c>
      <c r="K36" s="124">
        <f>'LDB-10'!$W$15</f>
        <v>-1.9859448653551826E-2</v>
      </c>
      <c r="L36" s="125">
        <f>'LDB-10'!$X$15</f>
        <v>-3.3486127570714008E-2</v>
      </c>
      <c r="M36" s="126">
        <f>GEOMEAN('LDB-10'!$S$15:'LDB-10'!$S$18)</f>
        <v>1.0028910164475766</v>
      </c>
      <c r="N36" s="127">
        <f>GEOMEAN('LDB-10'!$T$15:'LDB-10'!$T$18)</f>
        <v>1.0248753125067107</v>
      </c>
    </row>
    <row r="37" spans="2:14" ht="12.75" customHeight="1" x14ac:dyDescent="0.35">
      <c r="B37" s="110" t="str">
        <f>'AI-10'!$B$19</f>
        <v>Cactus</v>
      </c>
      <c r="C37" s="111">
        <f>'RA-10'!$V$19</f>
        <v>-4.8880252933379831E-3</v>
      </c>
      <c r="D37" s="112">
        <f>'RA-10'!$W$19</f>
        <v>-4.4572077378373098E-3</v>
      </c>
      <c r="E37" s="113">
        <f>'RA-10'!$X$19</f>
        <v>-5.4614618750762345E-3</v>
      </c>
      <c r="F37" s="114">
        <f>GEOMEAN('RA-10'!$S$19:'RA-10'!$S$22)</f>
        <v>0.98867899141188498</v>
      </c>
      <c r="G37" s="115">
        <f>GEOMEAN('RA-10'!$T$19:'RA-10'!$T$22)</f>
        <v>0.98822062678410316</v>
      </c>
      <c r="I37" s="110" t="str">
        <f>'AI-10'!$B$19</f>
        <v>Cactus</v>
      </c>
      <c r="J37" s="111">
        <f>'LDB-10'!$V$19</f>
        <v>-1.2073958572509924E-2</v>
      </c>
      <c r="K37" s="112">
        <f>'LDB-10'!$W$19</f>
        <v>-3.5377174747295292E-3</v>
      </c>
      <c r="L37" s="113">
        <f>'LDB-10'!$X$19</f>
        <v>-9.6908084239241132E-3</v>
      </c>
      <c r="M37" s="114">
        <f>GEOMEAN('LDB-10'!$S$19:'LDB-10'!$S$22)</f>
        <v>0.98749574494380798</v>
      </c>
      <c r="N37" s="115">
        <f>GEOMEAN('LDB-10'!$T$19:'LDB-10'!$T$22)</f>
        <v>1.0043466732659336</v>
      </c>
    </row>
    <row r="38" spans="2:14" ht="12.75" customHeight="1" x14ac:dyDescent="0.35">
      <c r="B38" s="116" t="str">
        <f>'AI-10'!$B$23</f>
        <v>BasketballDrive</v>
      </c>
      <c r="C38" s="117">
        <f>'RA-10'!$V$23</f>
        <v>-7.5264266313284089E-3</v>
      </c>
      <c r="D38" s="118">
        <f>'RA-10'!$W$23</f>
        <v>-1.5628291547750361E-2</v>
      </c>
      <c r="E38" s="119">
        <f>'RA-10'!$X$23</f>
        <v>-1.0273152637697014E-2</v>
      </c>
      <c r="F38" s="120">
        <f>GEOMEAN('RA-10'!$S$23:'RA-10'!$S$26)</f>
        <v>0.98898210454844027</v>
      </c>
      <c r="G38" s="121">
        <f>GEOMEAN('RA-10'!$T$23:'RA-10'!$T$26)</f>
        <v>0.99452973747874662</v>
      </c>
      <c r="I38" s="116" t="str">
        <f>'AI-10'!$B$23</f>
        <v>BasketballDrive</v>
      </c>
      <c r="J38" s="117">
        <f>'LDB-10'!$V$23</f>
        <v>-2.7550850107698643E-2</v>
      </c>
      <c r="K38" s="118">
        <f>'LDB-10'!$W$23</f>
        <v>-2.5595136133143126E-2</v>
      </c>
      <c r="L38" s="119">
        <f>'LDB-10'!$X$23</f>
        <v>-1.8132429382157533E-2</v>
      </c>
      <c r="M38" s="120">
        <f>GEOMEAN('LDB-10'!$S$23:'LDB-10'!$S$26)</f>
        <v>0.98109446419302959</v>
      </c>
      <c r="N38" s="121">
        <f>GEOMEAN('LDB-10'!$T$23:'LDB-10'!$T$26)</f>
        <v>0.99495545442269739</v>
      </c>
    </row>
    <row r="39" spans="2:14" ht="12.75" customHeight="1" x14ac:dyDescent="0.35">
      <c r="B39" s="116" t="str">
        <f>'AI-10'!$B$27</f>
        <v>MarketPlace</v>
      </c>
      <c r="C39" s="117">
        <f>'RA-10'!$V$27</f>
        <v>-6.0817138291616724E-3</v>
      </c>
      <c r="D39" s="118">
        <f>'RA-10'!$W$27</f>
        <v>-9.0608761126897974E-3</v>
      </c>
      <c r="E39" s="119">
        <f>'RA-10'!$X$27</f>
        <v>-9.0946153052422485E-3</v>
      </c>
      <c r="F39" s="120">
        <f>GEOMEAN('RA-10'!$S$27:'RA-10'!$S$30)</f>
        <v>0.99072872025550718</v>
      </c>
      <c r="G39" s="121">
        <f>GEOMEAN('RA-10'!$T$27:'RA-10'!$T$30)</f>
        <v>1.0023203595044918</v>
      </c>
      <c r="I39" s="116" t="str">
        <f>'AI-10'!$B$27</f>
        <v>MarketPlace</v>
      </c>
      <c r="J39" s="117">
        <f>'LDB-10'!$V$27</f>
        <v>-9.6716950092110565E-3</v>
      </c>
      <c r="K39" s="118">
        <f>'LDB-10'!$W$27</f>
        <v>-2.2936740238505449E-2</v>
      </c>
      <c r="L39" s="119">
        <f>'LDB-10'!$X$27</f>
        <v>-3.0480504553366816E-2</v>
      </c>
      <c r="M39" s="120">
        <f>GEOMEAN('LDB-10'!$S$27:'LDB-10'!$S$30)</f>
        <v>0.99667996869510223</v>
      </c>
      <c r="N39" s="121">
        <f>GEOMEAN('LDB-10'!$T$27:'LDB-10'!$T$30)</f>
        <v>0.9965135221696797</v>
      </c>
    </row>
    <row r="40" spans="2:14" ht="12.75" customHeight="1" thickBot="1" x14ac:dyDescent="0.4">
      <c r="B40" s="122" t="str">
        <f>'AI-10'!$B$31</f>
        <v>RitualDance</v>
      </c>
      <c r="C40" s="123">
        <f>'RA-10'!$V$31</f>
        <v>-1.0297203761179263E-3</v>
      </c>
      <c r="D40" s="124">
        <f>'RA-10'!$W$31</f>
        <v>2.292095204584621E-3</v>
      </c>
      <c r="E40" s="125">
        <f>'RA-10'!$X$31</f>
        <v>-1.9318711136295796E-4</v>
      </c>
      <c r="F40" s="126">
        <f>GEOMEAN('RA-10'!$S$31:'RA-10'!$S$34)</f>
        <v>0.98535549131275479</v>
      </c>
      <c r="G40" s="127">
        <f>GEOMEAN('RA-10'!$T$31:'RA-10'!$T$34)</f>
        <v>1.0043349112139075</v>
      </c>
      <c r="I40" s="122" t="str">
        <f>'AI-10'!$B$31</f>
        <v>RitualDance</v>
      </c>
      <c r="J40" s="123">
        <f>'LDB-10'!$V$31</f>
        <v>-1.6234215807290675E-2</v>
      </c>
      <c r="K40" s="124">
        <f>'LDB-10'!$W$31</f>
        <v>-7.5762897525861739E-3</v>
      </c>
      <c r="L40" s="125">
        <f>'LDB-10'!$X$31</f>
        <v>-2.1395880674971446E-3</v>
      </c>
      <c r="M40" s="126">
        <f>GEOMEAN('LDB-10'!$S$31:'LDB-10'!$S$34)</f>
        <v>0.97377545945992716</v>
      </c>
      <c r="N40" s="127">
        <f>GEOMEAN('LDB-10'!$T$31:'LDB-10'!$T$34)</f>
        <v>0.98936884157474392</v>
      </c>
    </row>
    <row r="41" spans="2:14" ht="12.75" customHeight="1" x14ac:dyDescent="0.35">
      <c r="B41" s="110" t="str">
        <f>'AI-10'!$B$35</f>
        <v>City</v>
      </c>
      <c r="C41" s="111">
        <f>'RA-10'!$V$35</f>
        <v>-5.3369253626145419E-3</v>
      </c>
      <c r="D41" s="112">
        <f>'RA-10'!$W$35</f>
        <v>-1.6872551147428139E-2</v>
      </c>
      <c r="E41" s="113">
        <f>'RA-10'!$X$35</f>
        <v>-1.9871136489137964E-2</v>
      </c>
      <c r="F41" s="114">
        <f>GEOMEAN('RA-10'!$S$35:'RA-10'!$S$38)</f>
        <v>0.99985842170778849</v>
      </c>
      <c r="G41" s="115">
        <f>GEOMEAN('RA-10'!$T$35:'RA-10'!$T$38)</f>
        <v>0.99739071859915174</v>
      </c>
      <c r="I41" s="110" t="str">
        <f>'AI-10'!$B$35</f>
        <v>City</v>
      </c>
      <c r="J41" s="111">
        <f>'LDB-10'!$V$35</f>
        <v>-1.3849445820100059E-2</v>
      </c>
      <c r="K41" s="112">
        <f>'LDB-10'!$W$35</f>
        <v>1.5354397724911539E-3</v>
      </c>
      <c r="L41" s="113">
        <f>'LDB-10'!$X$35</f>
        <v>-3.8023098899511831E-2</v>
      </c>
      <c r="M41" s="114">
        <f>GEOMEAN('LDB-10'!$S$35:'LDB-10'!$S$38)</f>
        <v>0.9859797986207085</v>
      </c>
      <c r="N41" s="115">
        <f>GEOMEAN('LDB-10'!$T$35:'LDB-10'!$T$38)</f>
        <v>0.97226763280516038</v>
      </c>
    </row>
    <row r="42" spans="2:14" ht="12.75" customHeight="1" x14ac:dyDescent="0.35">
      <c r="B42" s="116" t="str">
        <f>'AI-10'!$B$39</f>
        <v>Crew</v>
      </c>
      <c r="C42" s="117">
        <f>'RA-10'!$V$39</f>
        <v>-6.263693945814941E-3</v>
      </c>
      <c r="D42" s="118">
        <f>'RA-10'!$W$39</f>
        <v>-2.1018835114351431E-3</v>
      </c>
      <c r="E42" s="119">
        <f>'RA-10'!$X$39</f>
        <v>-4.1951938191190363E-3</v>
      </c>
      <c r="F42" s="120">
        <f>GEOMEAN('RA-10'!$S$39:'RA-10'!$S$42)</f>
        <v>0.98881200363474031</v>
      </c>
      <c r="G42" s="121">
        <f>GEOMEAN('RA-10'!$T$39:'RA-10'!$T$42)</f>
        <v>0.98874811408746444</v>
      </c>
      <c r="I42" s="116" t="str">
        <f>'AI-10'!$B$39</f>
        <v>Crew</v>
      </c>
      <c r="J42" s="117">
        <f>'LDB-10'!$V$39</f>
        <v>-1.5707425055521695E-2</v>
      </c>
      <c r="K42" s="118">
        <f>'LDB-10'!$W$39</f>
        <v>-4.6064428985211903E-3</v>
      </c>
      <c r="L42" s="119">
        <f>'LDB-10'!$X$39</f>
        <v>-6.282909614111043E-3</v>
      </c>
      <c r="M42" s="120">
        <f>GEOMEAN('LDB-10'!$S$39:'LDB-10'!$S$42)</f>
        <v>0.98262999839030618</v>
      </c>
      <c r="N42" s="121">
        <f>GEOMEAN('LDB-10'!$T$39:'LDB-10'!$T$42)</f>
        <v>0.96794547517837093</v>
      </c>
    </row>
    <row r="43" spans="2:14" ht="12.75" customHeight="1" x14ac:dyDescent="0.35">
      <c r="B43" s="116" t="str">
        <f>'AI-10'!$B$43</f>
        <v>vidyo1</v>
      </c>
      <c r="C43" s="117">
        <f>'RA-10'!$V$43</f>
        <v>-3.1879566980225205E-3</v>
      </c>
      <c r="D43" s="118">
        <f>'RA-10'!$W$43</f>
        <v>-3.3415973866209647E-2</v>
      </c>
      <c r="E43" s="119">
        <f>'RA-10'!$X$43</f>
        <v>-9.3192413928523399E-3</v>
      </c>
      <c r="F43" s="120">
        <f>GEOMEAN('RA-10'!$S$43:'RA-10'!$S$46)</f>
        <v>0.99450411250655646</v>
      </c>
      <c r="G43" s="121">
        <f>GEOMEAN('RA-10'!$T$43:'RA-10'!$T$46)</f>
        <v>1.0153371088875405</v>
      </c>
      <c r="I43" s="116" t="str">
        <f>'AI-10'!$B$43</f>
        <v>vidyo1</v>
      </c>
      <c r="J43" s="117">
        <f>'LDB-10'!$V$43</f>
        <v>-1.9083941639134405E-2</v>
      </c>
      <c r="K43" s="118">
        <f>'LDB-10'!$W$43</f>
        <v>-5.8129721920109678E-2</v>
      </c>
      <c r="L43" s="119">
        <f>'LDB-10'!$X$43</f>
        <v>-7.655176495935001E-2</v>
      </c>
      <c r="M43" s="120">
        <f>GEOMEAN('LDB-10'!$S$43:'LDB-10'!$S$46)</f>
        <v>0.97759895718473944</v>
      </c>
      <c r="N43" s="121">
        <f>GEOMEAN('LDB-10'!$T$43:'LDB-10'!$T$46)</f>
        <v>0.97630176746018149</v>
      </c>
    </row>
    <row r="44" spans="2:14" ht="12.75" customHeight="1" thickBot="1" x14ac:dyDescent="0.4">
      <c r="B44" s="122" t="str">
        <f>'AI-10'!$B$47</f>
        <v>vidyo3</v>
      </c>
      <c r="C44" s="123">
        <f>'RA-10'!$V$47</f>
        <v>-7.2796489434716616E-3</v>
      </c>
      <c r="D44" s="124">
        <f>'RA-10'!$W$47</f>
        <v>-4.7143407636367929E-2</v>
      </c>
      <c r="E44" s="125">
        <f>'RA-10'!$X$47</f>
        <v>-1.3941095515694668E-2</v>
      </c>
      <c r="F44" s="126">
        <f>GEOMEAN('RA-10'!$S$47:'RA-10'!$S$50)</f>
        <v>1.0000920363074637</v>
      </c>
      <c r="G44" s="127">
        <f>GEOMEAN('RA-10'!$T$47:'RA-10'!$T$50)</f>
        <v>1.0063476545614041</v>
      </c>
      <c r="I44" s="122" t="str">
        <f>'AI-10'!$B$47</f>
        <v>vidyo3</v>
      </c>
      <c r="J44" s="123">
        <f>'LDB-10'!$V$47</f>
        <v>-2.42295602054865E-2</v>
      </c>
      <c r="K44" s="124">
        <f>'LDB-10'!$W$47</f>
        <v>-9.3990055358166957E-2</v>
      </c>
      <c r="L44" s="125">
        <f>'LDB-10'!$X$47</f>
        <v>-7.5691787255438125E-2</v>
      </c>
      <c r="M44" s="126">
        <f>GEOMEAN('LDB-10'!$S$47:'LDB-10'!$S$50)</f>
        <v>0.97756130008263098</v>
      </c>
      <c r="N44" s="127">
        <f>GEOMEAN('LDB-10'!$T$47:'LDB-10'!$T$50)</f>
        <v>1.0100963703156616</v>
      </c>
    </row>
    <row r="45" spans="2:14" ht="12.75" customHeight="1" x14ac:dyDescent="0.35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4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35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35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35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4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35">
      <c r="B51" s="132" t="s">
        <v>78</v>
      </c>
      <c r="C51" s="111">
        <f>'RA-10'!$V75</f>
        <v>-7.2986156543495551E-3</v>
      </c>
      <c r="D51" s="112">
        <f>'RA-10'!$W75</f>
        <v>-1.2927084869941985E-2</v>
      </c>
      <c r="E51" s="113">
        <f>'RA-10'!$X75</f>
        <v>-1.0672710459607077E-2</v>
      </c>
      <c r="F51" s="128">
        <f>'RA-10'!$S75</f>
        <v>0.99182040939346361</v>
      </c>
      <c r="G51" s="115">
        <f>'RA-10'!$T75</f>
        <v>1.0017071194687894</v>
      </c>
      <c r="I51" s="132" t="s">
        <v>78</v>
      </c>
      <c r="J51" s="111">
        <f>'LDB-10'!$V75</f>
        <v>-8.9674183118999551E-3</v>
      </c>
      <c r="K51" s="112">
        <f>'LDB-10'!$W75</f>
        <v>-1.2262310041718322E-2</v>
      </c>
      <c r="L51" s="113">
        <f>'LDB-10'!$X75</f>
        <v>-1.7306850061501761E-2</v>
      </c>
      <c r="M51" s="128">
        <f>'LDB-10'!$S75</f>
        <v>0.98702711601562543</v>
      </c>
      <c r="N51" s="115">
        <f>'LDB-10'!$T75</f>
        <v>0.99733513481509273</v>
      </c>
    </row>
    <row r="52" spans="2:14" ht="12.75" customHeight="1" x14ac:dyDescent="0.35">
      <c r="B52" s="133" t="s">
        <v>79</v>
      </c>
      <c r="C52" s="117">
        <f>'RA-10'!$V76</f>
        <v>-4.8814715324864977E-3</v>
      </c>
      <c r="D52" s="118">
        <f>'RA-10'!$W76</f>
        <v>-6.7135700484232119E-3</v>
      </c>
      <c r="E52" s="119">
        <f>'RA-10'!$X76</f>
        <v>-6.2556042323446137E-3</v>
      </c>
      <c r="F52" s="130">
        <f>'RA-10'!$S76</f>
        <v>0.98843441541625776</v>
      </c>
      <c r="G52" s="121">
        <f>'RA-10'!$T76</f>
        <v>0.99733072767994457</v>
      </c>
      <c r="I52" s="133" t="s">
        <v>79</v>
      </c>
      <c r="J52" s="117">
        <f>'LDB-10'!$V76</f>
        <v>-1.6382679874177575E-2</v>
      </c>
      <c r="K52" s="118">
        <f>'LDB-10'!$W76</f>
        <v>-1.4911470899741069E-2</v>
      </c>
      <c r="L52" s="119">
        <f>'LDB-10'!$X76</f>
        <v>-1.5110832606736402E-2</v>
      </c>
      <c r="M52" s="130">
        <f>'LDB-10'!$S76</f>
        <v>0.98472542979027455</v>
      </c>
      <c r="N52" s="121">
        <f>'LDB-10'!$T76</f>
        <v>0.99628175456583634</v>
      </c>
    </row>
    <row r="53" spans="2:14" ht="12.75" customHeight="1" thickBot="1" x14ac:dyDescent="0.4">
      <c r="B53" s="133" t="s">
        <v>51</v>
      </c>
      <c r="C53" s="117">
        <f>'RA-10'!$V77</f>
        <v>-5.5170562374809162E-3</v>
      </c>
      <c r="D53" s="118">
        <f>'RA-10'!$W77</f>
        <v>-2.4883454040360214E-2</v>
      </c>
      <c r="E53" s="119">
        <f>'RA-10'!$X77</f>
        <v>-1.1831666804201002E-2</v>
      </c>
      <c r="F53" s="130">
        <f>'RA-10'!$S77</f>
        <v>0.99580590626984422</v>
      </c>
      <c r="G53" s="121">
        <f>'RA-10'!$T77</f>
        <v>1.0019067952780523</v>
      </c>
      <c r="I53" s="133" t="s">
        <v>80</v>
      </c>
      <c r="J53" s="117">
        <f>'LDB-10'!$V77</f>
        <v>-1.8217593180060665E-2</v>
      </c>
      <c r="K53" s="118">
        <f>'LDB-10'!$W77</f>
        <v>-3.8797695101076668E-2</v>
      </c>
      <c r="L53" s="119">
        <f>'LDB-10'!$X77</f>
        <v>-4.9137390182102753E-2</v>
      </c>
      <c r="M53" s="130">
        <f>'LDB-10'!$S77</f>
        <v>0.98093604075595475</v>
      </c>
      <c r="N53" s="121">
        <f>'LDB-10'!$T77</f>
        <v>0.98151265174297153</v>
      </c>
    </row>
    <row r="54" spans="2:14" ht="12.75" customHeight="1" thickBot="1" x14ac:dyDescent="0.4">
      <c r="B54" s="139" t="s">
        <v>37</v>
      </c>
      <c r="C54" s="138">
        <f>'RA-10'!$V80</f>
        <v>-5.8990478081056563E-3</v>
      </c>
      <c r="D54" s="137">
        <f>'RA-10'!$W80</f>
        <v>-1.484136965290847E-2</v>
      </c>
      <c r="E54" s="136">
        <f>'RA-10'!$X80</f>
        <v>-9.5866604987175641E-3</v>
      </c>
      <c r="F54" s="135">
        <f>'RA-10'!$S80</f>
        <v>0.9920156698625</v>
      </c>
      <c r="G54" s="134">
        <f>'RA-10'!$T80</f>
        <v>1.0003126496875545</v>
      </c>
      <c r="I54" s="139" t="s">
        <v>37</v>
      </c>
      <c r="J54" s="138">
        <f>'LDB-10'!$V80</f>
        <v>-1.4522563788712731E-2</v>
      </c>
      <c r="K54" s="137">
        <f>'LDB-10'!$W80</f>
        <v>-2.1990492014178686E-2</v>
      </c>
      <c r="L54" s="136">
        <f>'LDB-10'!$X80</f>
        <v>-2.7185024283446973E-2</v>
      </c>
      <c r="M54" s="135">
        <f>'LDB-10'!$S80</f>
        <v>0.9842263235003702</v>
      </c>
      <c r="N54" s="134">
        <f>'LDB-10'!$T80</f>
        <v>0.99168345120463008</v>
      </c>
    </row>
    <row r="55" spans="2:14" ht="12.75" customHeight="1" thickBot="1" x14ac:dyDescent="0.4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4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35">
      <c r="C57" s="103"/>
      <c r="D57" s="103"/>
      <c r="E57" s="103"/>
      <c r="F57" s="103"/>
      <c r="G57" s="103"/>
    </row>
    <row r="58" spans="2:14" ht="12.75" customHeight="1" x14ac:dyDescent="0.35">
      <c r="I58" s="104"/>
      <c r="J58" s="104"/>
    </row>
    <row r="59" spans="2:14" ht="12.75" customHeight="1" x14ac:dyDescent="0.35"/>
    <row r="60" spans="2:14" ht="12.75" customHeight="1" x14ac:dyDescent="0.35"/>
    <row r="61" spans="2:14" ht="12.75" customHeight="1" x14ac:dyDescent="0.35"/>
    <row r="62" spans="2:14" ht="12.75" customHeight="1" x14ac:dyDescent="0.35"/>
    <row r="63" spans="2:14" ht="12.75" customHeight="1" x14ac:dyDescent="0.35"/>
    <row r="64" spans="2:14" ht="12.75" customHeight="1" x14ac:dyDescent="0.35"/>
    <row r="65" ht="12.75" customHeight="1" x14ac:dyDescent="0.35"/>
    <row r="66" ht="12.75" customHeight="1" x14ac:dyDescent="0.35"/>
    <row r="67" ht="12.75" customHeight="1" x14ac:dyDescent="0.35"/>
    <row r="68" ht="12.75" customHeight="1" x14ac:dyDescent="0.35"/>
    <row r="69" ht="12.75" customHeight="1" x14ac:dyDescent="0.35"/>
    <row r="70" ht="12.75" customHeight="1" x14ac:dyDescent="0.35"/>
    <row r="71" ht="12.75" customHeight="1" x14ac:dyDescent="0.35"/>
    <row r="72" ht="12.75" customHeight="1" x14ac:dyDescent="0.35"/>
    <row r="73" ht="12.75" customHeight="1" x14ac:dyDescent="0.35"/>
    <row r="74" ht="12.75" customHeight="1" x14ac:dyDescent="0.35"/>
    <row r="75" ht="12.75" customHeight="1" x14ac:dyDescent="0.35"/>
    <row r="76" ht="12.75" customHeight="1" x14ac:dyDescent="0.35"/>
    <row r="77" ht="12.75" customHeight="1" x14ac:dyDescent="0.35"/>
    <row r="78" ht="12.75" customHeight="1" x14ac:dyDescent="0.35"/>
    <row r="79" ht="12.75" customHeight="1" x14ac:dyDescent="0.35"/>
    <row r="80" ht="12.75" customHeight="1" x14ac:dyDescent="0.35"/>
    <row r="81" spans="3:10" ht="12.75" customHeight="1" x14ac:dyDescent="0.35"/>
    <row r="82" spans="3:10" ht="12.75" customHeight="1" x14ac:dyDescent="0.35"/>
    <row r="83" spans="3:10" ht="12.75" customHeight="1" x14ac:dyDescent="0.35"/>
    <row r="84" spans="3:10" ht="12.75" customHeight="1" x14ac:dyDescent="0.35"/>
    <row r="85" spans="3:10" ht="12.75" customHeight="1" x14ac:dyDescent="0.35"/>
    <row r="86" spans="3:10" ht="12.75" customHeight="1" x14ac:dyDescent="0.35"/>
    <row r="87" spans="3:10" ht="12.75" customHeight="1" x14ac:dyDescent="0.35">
      <c r="H87" s="129"/>
    </row>
    <row r="88" spans="3:10" ht="12.75" customHeight="1" x14ac:dyDescent="0.35">
      <c r="H88" s="129"/>
    </row>
    <row r="89" spans="3:10" ht="12.75" customHeight="1" x14ac:dyDescent="0.35">
      <c r="H89" s="129"/>
    </row>
    <row r="90" spans="3:10" ht="12.75" customHeight="1" x14ac:dyDescent="0.35">
      <c r="H90" s="129"/>
    </row>
    <row r="91" spans="3:10" ht="12.75" customHeight="1" x14ac:dyDescent="0.35">
      <c r="H91" s="129"/>
    </row>
    <row r="92" spans="3:10" ht="12.75" customHeight="1" x14ac:dyDescent="0.35">
      <c r="H92" s="129"/>
    </row>
    <row r="93" spans="3:10" ht="12.75" customHeight="1" x14ac:dyDescent="0.35">
      <c r="H93" s="129"/>
    </row>
    <row r="94" spans="3:10" ht="12.75" customHeight="1" x14ac:dyDescent="0.35">
      <c r="H94" s="129"/>
    </row>
    <row r="95" spans="3:10" ht="12.75" customHeight="1" x14ac:dyDescent="0.35">
      <c r="C95" s="103"/>
      <c r="D95" s="103"/>
      <c r="E95" s="103"/>
      <c r="F95" s="103"/>
      <c r="G95" s="103"/>
    </row>
    <row r="96" spans="3:10" ht="12.75" customHeight="1" x14ac:dyDescent="0.35">
      <c r="I96" s="104"/>
      <c r="J96" s="104"/>
    </row>
    <row r="97" ht="12.75" customHeight="1" x14ac:dyDescent="0.35"/>
    <row r="98" ht="12.75" customHeight="1" x14ac:dyDescent="0.35"/>
    <row r="99" ht="12.75" customHeight="1" x14ac:dyDescent="0.35"/>
    <row r="100" ht="12.75" customHeight="1" x14ac:dyDescent="0.35"/>
    <row r="101" ht="12.75" customHeight="1" x14ac:dyDescent="0.35"/>
    <row r="102" ht="12.75" customHeight="1" x14ac:dyDescent="0.35"/>
    <row r="103" ht="12.75" customHeight="1" x14ac:dyDescent="0.35"/>
    <row r="104" ht="12.75" customHeight="1" x14ac:dyDescent="0.35"/>
    <row r="105" ht="12.75" customHeight="1" x14ac:dyDescent="0.35"/>
    <row r="106" ht="12.75" customHeight="1" x14ac:dyDescent="0.35"/>
    <row r="107" ht="12.75" customHeight="1" x14ac:dyDescent="0.35"/>
    <row r="108" ht="12.75" customHeight="1" x14ac:dyDescent="0.35"/>
    <row r="109" ht="12.75" customHeight="1" x14ac:dyDescent="0.35"/>
    <row r="110" ht="12.75" customHeight="1" x14ac:dyDescent="0.35"/>
    <row r="111" ht="12.75" customHeight="1" x14ac:dyDescent="0.35"/>
    <row r="112" ht="12.75" customHeight="1" x14ac:dyDescent="0.35"/>
    <row r="113" ht="12.75" customHeight="1" x14ac:dyDescent="0.35"/>
    <row r="114" ht="12.75" customHeight="1" x14ac:dyDescent="0.35"/>
    <row r="115" ht="12.75" customHeight="1" x14ac:dyDescent="0.35"/>
    <row r="116" ht="12.75" customHeight="1" x14ac:dyDescent="0.35"/>
    <row r="117" ht="12.75" customHeight="1" x14ac:dyDescent="0.35"/>
    <row r="118" ht="12.75" customHeight="1" x14ac:dyDescent="0.35"/>
    <row r="119" ht="12.75" customHeight="1" x14ac:dyDescent="0.35"/>
    <row r="120" ht="12.75" customHeight="1" x14ac:dyDescent="0.35"/>
    <row r="121" ht="12.75" customHeight="1" x14ac:dyDescent="0.35"/>
    <row r="122" ht="12.75" customHeight="1" x14ac:dyDescent="0.35"/>
    <row r="123" ht="12.75" customHeight="1" x14ac:dyDescent="0.35"/>
    <row r="124" ht="12.75" customHeight="1" x14ac:dyDescent="0.35"/>
    <row r="125" ht="12.75" customHeight="1" x14ac:dyDescent="0.35"/>
    <row r="126" ht="12.75" customHeight="1" x14ac:dyDescent="0.35"/>
    <row r="127" ht="12.75" customHeight="1" x14ac:dyDescent="0.35"/>
    <row r="128" ht="12.75" customHeight="1" x14ac:dyDescent="0.35"/>
    <row r="129" ht="12.75" customHeight="1" x14ac:dyDescent="0.35"/>
    <row r="130" ht="12.75" customHeight="1" x14ac:dyDescent="0.35"/>
    <row r="131" ht="12.75" customHeight="1" x14ac:dyDescent="0.35"/>
    <row r="132" ht="12.75" customHeight="1" x14ac:dyDescent="0.35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M12" sqref="M12"/>
    </sheetView>
  </sheetViews>
  <sheetFormatPr defaultColWidth="10.875" defaultRowHeight="11.65" x14ac:dyDescent="0.35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" thickBot="1" x14ac:dyDescent="0.4"/>
    <row r="2" spans="2:10" ht="12.75" customHeight="1" thickBot="1" x14ac:dyDescent="0.4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35">
      <c r="C3" s="145" t="str">
        <f>CONCATENATE("Over ", $J$3)</f>
        <v>Over HPM11.1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4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35">
      <c r="B5" s="93" t="s">
        <v>92</v>
      </c>
      <c r="C5" s="60">
        <f>'AI-10'!V75</f>
        <v>-4.1690971203244831E-3</v>
      </c>
      <c r="D5" s="61">
        <f>'AI-10'!W75</f>
        <v>-5.6504782537243337E-3</v>
      </c>
      <c r="E5" s="62">
        <f>'AI-10'!X75</f>
        <v>-7.5991619579306169E-3</v>
      </c>
      <c r="F5" s="63">
        <f>'AI-10'!S75</f>
        <v>0.97735214954363003</v>
      </c>
      <c r="G5" s="64">
        <f>'AI-10'!T75</f>
        <v>0.99297129484458535</v>
      </c>
      <c r="H5" s="25"/>
      <c r="J5" s="28"/>
    </row>
    <row r="6" spans="2:10" ht="12.75" customHeight="1" x14ac:dyDescent="0.35">
      <c r="B6" s="94" t="s">
        <v>91</v>
      </c>
      <c r="C6" s="65">
        <f>'AI-10'!V76</f>
        <v>-3.7109974581309435E-3</v>
      </c>
      <c r="D6" s="66">
        <f>'AI-10'!W76</f>
        <v>-1.0597506031096521E-2</v>
      </c>
      <c r="E6" s="67">
        <f>'AI-10'!X76</f>
        <v>-8.6164423328111417E-3</v>
      </c>
      <c r="F6" s="68">
        <f>'AI-10'!S76</f>
        <v>0.98105283613841376</v>
      </c>
      <c r="G6" s="69">
        <f>'AI-10'!T76</f>
        <v>0.98899661490810453</v>
      </c>
      <c r="H6" s="25"/>
      <c r="J6" s="28"/>
    </row>
    <row r="7" spans="2:10" ht="12.75" customHeight="1" thickBot="1" x14ac:dyDescent="0.4">
      <c r="B7" s="95" t="s">
        <v>93</v>
      </c>
      <c r="C7" s="65">
        <f>'AI-10'!V77</f>
        <v>-2.9041388458230233E-3</v>
      </c>
      <c r="D7" s="66">
        <f>'AI-10'!W77</f>
        <v>-8.2730277451210643E-3</v>
      </c>
      <c r="E7" s="67">
        <f>'AI-10'!X77</f>
        <v>-8.0488894960691337E-3</v>
      </c>
      <c r="F7" s="68">
        <f>'AI-10'!S77</f>
        <v>0.98191123110154466</v>
      </c>
      <c r="G7" s="69">
        <f>'AI-10'!T77</f>
        <v>0.99641938201416191</v>
      </c>
      <c r="H7" s="25"/>
    </row>
    <row r="8" spans="2:10" s="20" customFormat="1" ht="12.75" customHeight="1" thickBot="1" x14ac:dyDescent="0.4">
      <c r="B8" s="81" t="s">
        <v>37</v>
      </c>
      <c r="C8" s="60">
        <f>'AI-10'!V80</f>
        <v>-3.5947444747594834E-3</v>
      </c>
      <c r="D8" s="61">
        <f>'AI-10'!W80</f>
        <v>-8.1736706766473068E-3</v>
      </c>
      <c r="E8" s="61">
        <f>'AI-10'!X80</f>
        <v>-8.0881645956036308E-3</v>
      </c>
      <c r="F8" s="100">
        <f>'AI-10'!S80</f>
        <v>0.98010340773364413</v>
      </c>
      <c r="G8" s="101">
        <f>'AI-10'!T80</f>
        <v>0.99279113055084189</v>
      </c>
      <c r="H8" s="25"/>
      <c r="I8" s="36" t="s">
        <v>19</v>
      </c>
    </row>
    <row r="9" spans="2:10" ht="12.75" customHeight="1" thickBot="1" x14ac:dyDescent="0.4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4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4">
      <c r="I11" s="82"/>
    </row>
    <row r="12" spans="2:10" ht="12.75" customHeight="1" thickBot="1" x14ac:dyDescent="0.4">
      <c r="C12" s="142"/>
      <c r="D12" s="143"/>
      <c r="E12" s="142" t="s">
        <v>61</v>
      </c>
      <c r="F12" s="143"/>
      <c r="G12" s="144"/>
    </row>
    <row r="13" spans="2:10" ht="12.75" customHeight="1" x14ac:dyDescent="0.35">
      <c r="C13" s="145" t="str">
        <f>CONCATENATE("Over ", $J$3)</f>
        <v>Over HPM11.1</v>
      </c>
      <c r="D13" s="146"/>
      <c r="E13" s="146"/>
      <c r="F13" s="146"/>
      <c r="G13" s="147"/>
      <c r="I13" s="28"/>
    </row>
    <row r="14" spans="2:10" ht="12.75" customHeight="1" thickBot="1" x14ac:dyDescent="0.4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35">
      <c r="B15" s="93" t="s">
        <v>92</v>
      </c>
      <c r="C15" s="60">
        <f>'RA-10'!V75</f>
        <v>-7.2986156543495551E-3</v>
      </c>
      <c r="D15" s="61">
        <f>'RA-10'!W75</f>
        <v>-1.2927084869941985E-2</v>
      </c>
      <c r="E15" s="62">
        <f>'RA-10'!X75</f>
        <v>-1.0672710459607077E-2</v>
      </c>
      <c r="F15" s="63">
        <f>'RA-10'!S75</f>
        <v>0.99182040939346361</v>
      </c>
      <c r="G15" s="64">
        <f>'RA-10'!T75</f>
        <v>1.0017071194687894</v>
      </c>
      <c r="H15" s="25"/>
      <c r="I15" s="28"/>
    </row>
    <row r="16" spans="2:10" ht="12.75" customHeight="1" x14ac:dyDescent="0.35">
      <c r="B16" s="94" t="s">
        <v>91</v>
      </c>
      <c r="C16" s="65">
        <f>'RA-10'!V76</f>
        <v>-4.8814715324864977E-3</v>
      </c>
      <c r="D16" s="66">
        <f>'RA-10'!W76</f>
        <v>-6.7135700484232119E-3</v>
      </c>
      <c r="E16" s="67">
        <f>'RA-10'!X76</f>
        <v>-6.2556042323446137E-3</v>
      </c>
      <c r="F16" s="68">
        <f>'RA-10'!S76</f>
        <v>0.98843441541625776</v>
      </c>
      <c r="G16" s="69">
        <f>'RA-10'!T76</f>
        <v>0.99733072767994457</v>
      </c>
      <c r="H16" s="25"/>
      <c r="I16" s="28"/>
    </row>
    <row r="17" spans="2:9" ht="12.75" customHeight="1" thickBot="1" x14ac:dyDescent="0.4">
      <c r="B17" s="95" t="s">
        <v>93</v>
      </c>
      <c r="C17" s="65">
        <f>'RA-10'!V77</f>
        <v>-5.5170562374809162E-3</v>
      </c>
      <c r="D17" s="66">
        <f>'RA-10'!W77</f>
        <v>-2.4883454040360214E-2</v>
      </c>
      <c r="E17" s="67">
        <f>'RA-10'!X77</f>
        <v>-1.1831666804201002E-2</v>
      </c>
      <c r="F17" s="68">
        <f>'RA-10'!S77</f>
        <v>0.99580590626984422</v>
      </c>
      <c r="G17" s="69">
        <f>'RA-10'!T77</f>
        <v>1.0019067952780523</v>
      </c>
      <c r="H17" s="25"/>
    </row>
    <row r="18" spans="2:9" ht="12.75" customHeight="1" thickBot="1" x14ac:dyDescent="0.4">
      <c r="B18" s="81" t="s">
        <v>37</v>
      </c>
      <c r="C18" s="60">
        <f>'RA-10'!V80</f>
        <v>-5.8990478081056563E-3</v>
      </c>
      <c r="D18" s="61">
        <f>'RA-10'!W80</f>
        <v>-1.484136965290847E-2</v>
      </c>
      <c r="E18" s="61">
        <f>'RA-10'!X80</f>
        <v>-9.5866604987175641E-3</v>
      </c>
      <c r="F18" s="100">
        <f>'RA-10'!S80</f>
        <v>0.9920156698625</v>
      </c>
      <c r="G18" s="101">
        <f>'RA-10'!T80</f>
        <v>1.0003126496875545</v>
      </c>
      <c r="H18" s="25"/>
      <c r="I18" s="28"/>
    </row>
    <row r="19" spans="2:9" ht="12.75" customHeight="1" thickBot="1" x14ac:dyDescent="0.4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4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4">
      <c r="C21" s="1"/>
      <c r="D21" s="1"/>
      <c r="E21" s="1"/>
      <c r="F21" s="1"/>
      <c r="G21" s="1"/>
    </row>
    <row r="22" spans="2:9" ht="12.75" customHeight="1" thickBot="1" x14ac:dyDescent="0.4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35">
      <c r="C23" s="145" t="str">
        <f>CONCATENATE("Over ", $J$3)</f>
        <v>Over HPM11.1</v>
      </c>
      <c r="D23" s="146"/>
      <c r="E23" s="146"/>
      <c r="F23" s="146"/>
      <c r="G23" s="147"/>
    </row>
    <row r="24" spans="2:9" ht="12.75" customHeight="1" thickBot="1" x14ac:dyDescent="0.4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35">
      <c r="B25" s="93" t="s">
        <v>92</v>
      </c>
      <c r="C25" s="60">
        <f>'LDB-10'!V75</f>
        <v>-8.9674183118999551E-3</v>
      </c>
      <c r="D25" s="61">
        <f>'LDB-10'!W75</f>
        <v>-1.2262310041718322E-2</v>
      </c>
      <c r="E25" s="62">
        <f>'LDB-10'!X75</f>
        <v>-1.7306850061501761E-2</v>
      </c>
      <c r="F25" s="63">
        <f>'LDB-10'!S75</f>
        <v>0.98702711601562543</v>
      </c>
      <c r="G25" s="64">
        <f>'LDB-10'!T75</f>
        <v>0.99733513481509273</v>
      </c>
      <c r="H25" s="25"/>
      <c r="I25" s="28"/>
    </row>
    <row r="26" spans="2:9" ht="12.75" customHeight="1" x14ac:dyDescent="0.35">
      <c r="B26" s="94" t="s">
        <v>91</v>
      </c>
      <c r="C26" s="65">
        <f>'LDB-10'!V76</f>
        <v>-1.6382679874177575E-2</v>
      </c>
      <c r="D26" s="66">
        <f>'LDB-10'!W76</f>
        <v>-1.4911470899741069E-2</v>
      </c>
      <c r="E26" s="67">
        <f>'LDB-10'!X76</f>
        <v>-1.5110832606736402E-2</v>
      </c>
      <c r="F26" s="68">
        <f>'LDB-10'!S76</f>
        <v>0.98472542979027455</v>
      </c>
      <c r="G26" s="69">
        <f>'LDB-10'!T76</f>
        <v>0.99628175456583634</v>
      </c>
      <c r="H26" s="25"/>
    </row>
    <row r="27" spans="2:9" ht="12.75" customHeight="1" thickBot="1" x14ac:dyDescent="0.4">
      <c r="B27" s="95" t="s">
        <v>93</v>
      </c>
      <c r="C27" s="65">
        <f>'LDB-10'!V77</f>
        <v>-1.8217593180060665E-2</v>
      </c>
      <c r="D27" s="66">
        <f>'LDB-10'!W77</f>
        <v>-3.8797695101076668E-2</v>
      </c>
      <c r="E27" s="67">
        <f>'LDB-10'!X77</f>
        <v>-4.9137390182102753E-2</v>
      </c>
      <c r="F27" s="68">
        <f>'LDB-10'!S77</f>
        <v>0.98093604075595475</v>
      </c>
      <c r="G27" s="69">
        <f>'LDB-10'!T77</f>
        <v>0.98151265174297153</v>
      </c>
      <c r="H27" s="25"/>
      <c r="I27" s="28"/>
    </row>
    <row r="28" spans="2:9" ht="12.75" customHeight="1" thickBot="1" x14ac:dyDescent="0.4">
      <c r="B28" s="81" t="s">
        <v>37</v>
      </c>
      <c r="C28" s="60">
        <f>'LDB-10'!V80</f>
        <v>-1.4522563788712731E-2</v>
      </c>
      <c r="D28" s="61">
        <f>'LDB-10'!W80</f>
        <v>-2.1990492014178686E-2</v>
      </c>
      <c r="E28" s="61">
        <f>'LDB-10'!X80</f>
        <v>-2.7185024283446973E-2</v>
      </c>
      <c r="F28" s="100">
        <f>'LDB-10'!S80</f>
        <v>0.9842263235003702</v>
      </c>
      <c r="G28" s="101">
        <f>'LDB-10'!T80</f>
        <v>0.99168345120463008</v>
      </c>
      <c r="H28" s="25"/>
    </row>
    <row r="29" spans="2:9" ht="12.75" customHeight="1" thickBot="1" x14ac:dyDescent="0.4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4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4">
      <c r="C31" s="1"/>
      <c r="D31" s="1"/>
      <c r="E31" s="1"/>
      <c r="F31" s="1"/>
      <c r="G31" s="1"/>
    </row>
    <row r="32" spans="2:9" ht="12.75" customHeight="1" thickBot="1" x14ac:dyDescent="0.4">
      <c r="C32" s="142"/>
      <c r="D32" s="143"/>
      <c r="E32" s="142" t="s">
        <v>63</v>
      </c>
      <c r="F32" s="143"/>
      <c r="G32" s="144"/>
    </row>
    <row r="33" spans="2:9" ht="12.75" customHeight="1" x14ac:dyDescent="0.35">
      <c r="C33" s="145" t="str">
        <f>CONCATENATE("Over ", $J$3)</f>
        <v>Over HPM11.1</v>
      </c>
      <c r="D33" s="146"/>
      <c r="E33" s="146"/>
      <c r="F33" s="146"/>
      <c r="G33" s="147"/>
    </row>
    <row r="34" spans="2:9" ht="12.75" customHeight="1" thickBot="1" x14ac:dyDescent="0.4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35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35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4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4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4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4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5.75" x14ac:dyDescent="0.4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6.149999999999999" thickBot="1" x14ac:dyDescent="0.45">
      <c r="A1" t="s">
        <v>24</v>
      </c>
      <c r="AD1" t="s">
        <v>22</v>
      </c>
      <c r="AI1" t="s">
        <v>23</v>
      </c>
      <c r="AN1" t="s">
        <v>29</v>
      </c>
    </row>
    <row r="2" spans="1:43" ht="16.149999999999999" thickBot="1" x14ac:dyDescent="0.4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4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4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4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4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4">
      <c r="AA7" s="20" t="s">
        <v>66</v>
      </c>
      <c r="AB7">
        <f t="shared" si="0"/>
        <v>19</v>
      </c>
    </row>
    <row r="8" spans="1:43" x14ac:dyDescent="0.4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4">
      <c r="AA9" s="20" t="s">
        <v>68</v>
      </c>
      <c r="AB9">
        <f t="shared" si="0"/>
        <v>27</v>
      </c>
    </row>
    <row r="10" spans="1:43" x14ac:dyDescent="0.4">
      <c r="AA10" s="20" t="s">
        <v>69</v>
      </c>
      <c r="AB10">
        <f t="shared" si="0"/>
        <v>31</v>
      </c>
    </row>
    <row r="11" spans="1:43" x14ac:dyDescent="0.4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x14ac:dyDescent="0.4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x14ac:dyDescent="0.4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x14ac:dyDescent="0.4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x14ac:dyDescent="0.4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x14ac:dyDescent="0.4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4">
      <c r="AA17" s="20" t="s">
        <v>83</v>
      </c>
      <c r="AB17">
        <f t="shared" si="0"/>
        <v>59</v>
      </c>
    </row>
    <row r="18" spans="27:28" x14ac:dyDescent="0.4">
      <c r="AA18" s="20" t="s">
        <v>84</v>
      </c>
      <c r="AB18">
        <f t="shared" si="0"/>
        <v>63</v>
      </c>
    </row>
    <row r="19" spans="27:28" x14ac:dyDescent="0.4">
      <c r="AA19" s="20" t="s">
        <v>85</v>
      </c>
      <c r="AB19">
        <f t="shared" si="0"/>
        <v>67</v>
      </c>
    </row>
    <row r="20" spans="27:28" x14ac:dyDescent="0.4">
      <c r="AA20" s="20" t="s">
        <v>86</v>
      </c>
      <c r="AB20">
        <f t="shared" si="0"/>
        <v>71</v>
      </c>
    </row>
    <row r="21" spans="27:28" x14ac:dyDescent="0.4">
      <c r="AA21"/>
    </row>
    <row r="22" spans="27:28" x14ac:dyDescent="0.4">
      <c r="AA22"/>
    </row>
    <row r="23" spans="27:28" x14ac:dyDescent="0.4">
      <c r="AA23"/>
    </row>
    <row r="24" spans="27:28" x14ac:dyDescent="0.4">
      <c r="AA24"/>
    </row>
    <row r="25" spans="27:28" x14ac:dyDescent="0.4">
      <c r="AA25"/>
    </row>
    <row r="26" spans="27:28" x14ac:dyDescent="0.4">
      <c r="AA26"/>
    </row>
    <row r="27" spans="27:28" x14ac:dyDescent="0.4">
      <c r="AA27"/>
    </row>
    <row r="28" spans="27:28" x14ac:dyDescent="0.4">
      <c r="AA28"/>
    </row>
    <row r="29" spans="27:28" x14ac:dyDescent="0.4">
      <c r="AA29"/>
    </row>
    <row r="30" spans="27:28" x14ac:dyDescent="0.4">
      <c r="AA30"/>
    </row>
    <row r="31" spans="27:28" x14ac:dyDescent="0.4">
      <c r="AA31"/>
    </row>
    <row r="32" spans="27:28" x14ac:dyDescent="0.4">
      <c r="AA32"/>
    </row>
    <row r="33" spans="27:27" x14ac:dyDescent="0.4">
      <c r="AA33" s="20"/>
    </row>
    <row r="34" spans="27:27" x14ac:dyDescent="0.4">
      <c r="AA34" s="20"/>
    </row>
    <row r="35" spans="27:27" x14ac:dyDescent="0.4">
      <c r="AA35" s="20"/>
    </row>
    <row r="36" spans="27:27" x14ac:dyDescent="0.4">
      <c r="AA36" s="20"/>
    </row>
    <row r="37" spans="27:27" x14ac:dyDescent="0.4">
      <c r="AA37" s="20"/>
    </row>
    <row r="38" spans="27:27" x14ac:dyDescent="0.4">
      <c r="AA38" s="20"/>
    </row>
    <row r="39" spans="27:27" x14ac:dyDescent="0.4">
      <c r="AA39" s="20"/>
    </row>
    <row r="40" spans="27:27" x14ac:dyDescent="0.4">
      <c r="AA40" s="20"/>
    </row>
    <row r="41" spans="27:27" x14ac:dyDescent="0.4">
      <c r="AA41" s="20"/>
    </row>
    <row r="42" spans="27:27" x14ac:dyDescent="0.4">
      <c r="AA42" s="20"/>
    </row>
    <row r="43" spans="27:27" x14ac:dyDescent="0.4">
      <c r="AA43" s="20"/>
    </row>
    <row r="44" spans="27:27" x14ac:dyDescent="0.4">
      <c r="AA44" s="20"/>
    </row>
    <row r="45" spans="27:27" x14ac:dyDescent="0.4">
      <c r="AA45" s="20"/>
    </row>
    <row r="46" spans="27:27" x14ac:dyDescent="0.4">
      <c r="AA46" s="20"/>
    </row>
    <row r="47" spans="27:27" x14ac:dyDescent="0.4">
      <c r="AA47" s="20"/>
    </row>
    <row r="48" spans="27:27" x14ac:dyDescent="0.4">
      <c r="AA48" s="20"/>
    </row>
    <row r="49" spans="27:27" x14ac:dyDescent="0.4">
      <c r="AA49" s="20"/>
    </row>
    <row r="50" spans="27:27" x14ac:dyDescent="0.4">
      <c r="AA50" s="20"/>
    </row>
    <row r="51" spans="27:27" x14ac:dyDescent="0.4">
      <c r="AA51" s="20"/>
    </row>
    <row r="52" spans="27:27" x14ac:dyDescent="0.4">
      <c r="AA52" s="20"/>
    </row>
    <row r="53" spans="27:27" x14ac:dyDescent="0.4">
      <c r="AA53" s="20"/>
    </row>
    <row r="54" spans="27:27" x14ac:dyDescent="0.4">
      <c r="AA54" s="20"/>
    </row>
    <row r="55" spans="27:27" x14ac:dyDescent="0.4">
      <c r="AA55" s="20"/>
    </row>
    <row r="56" spans="27:27" x14ac:dyDescent="0.4">
      <c r="AA56" s="20"/>
    </row>
    <row r="57" spans="27:27" x14ac:dyDescent="0.4">
      <c r="AA57" s="20"/>
    </row>
    <row r="58" spans="27:27" x14ac:dyDescent="0.4">
      <c r="AA58" s="20"/>
    </row>
    <row r="59" spans="27:27" x14ac:dyDescent="0.4">
      <c r="AA59" s="20"/>
    </row>
    <row r="60" spans="27:27" x14ac:dyDescent="0.4">
      <c r="AA60" s="20"/>
    </row>
    <row r="61" spans="27:27" x14ac:dyDescent="0.4">
      <c r="AA61" s="20"/>
    </row>
    <row r="62" spans="27:27" x14ac:dyDescent="0.4">
      <c r="AA62" s="20"/>
    </row>
    <row r="63" spans="27:27" x14ac:dyDescent="0.4">
      <c r="AA63" s="20"/>
    </row>
    <row r="64" spans="27:27" x14ac:dyDescent="0.4">
      <c r="AA64" s="20"/>
    </row>
    <row r="65" spans="27:27" x14ac:dyDescent="0.4">
      <c r="AA65" s="20"/>
    </row>
    <row r="66" spans="27:27" x14ac:dyDescent="0.4">
      <c r="AA66" s="20"/>
    </row>
    <row r="67" spans="27:27" x14ac:dyDescent="0.4">
      <c r="AA67" s="20"/>
    </row>
    <row r="68" spans="27:27" x14ac:dyDescent="0.4">
      <c r="AA68" s="20"/>
    </row>
    <row r="69" spans="27:27" x14ac:dyDescent="0.4">
      <c r="AA69" s="20"/>
    </row>
    <row r="70" spans="27:27" x14ac:dyDescent="0.4">
      <c r="AA70" s="20"/>
    </row>
    <row r="71" spans="27:27" x14ac:dyDescent="0.4">
      <c r="AA71" s="20"/>
    </row>
    <row r="72" spans="27:27" x14ac:dyDescent="0.4">
      <c r="AA72" s="20"/>
    </row>
    <row r="73" spans="27:27" x14ac:dyDescent="0.4">
      <c r="AA73" s="20"/>
    </row>
    <row r="74" spans="27:27" x14ac:dyDescent="0.4">
      <c r="AA74" s="20"/>
    </row>
    <row r="75" spans="27:27" x14ac:dyDescent="0.4">
      <c r="AA75" s="20"/>
    </row>
    <row r="76" spans="27:27" x14ac:dyDescent="0.4">
      <c r="AA76" s="20"/>
    </row>
    <row r="77" spans="27:27" x14ac:dyDescent="0.4">
      <c r="AA77" s="20"/>
    </row>
    <row r="78" spans="27:27" x14ac:dyDescent="0.4">
      <c r="AA78" s="20"/>
    </row>
    <row r="79" spans="27:27" x14ac:dyDescent="0.4">
      <c r="AA79" s="20"/>
    </row>
    <row r="80" spans="27:27" x14ac:dyDescent="0.4">
      <c r="AA80" s="20"/>
    </row>
    <row r="81" spans="27:27" x14ac:dyDescent="0.4">
      <c r="AA81" s="20"/>
    </row>
    <row r="82" spans="27:27" x14ac:dyDescent="0.4">
      <c r="AA82" s="20"/>
    </row>
    <row r="83" spans="27:27" x14ac:dyDescent="0.4">
      <c r="AA83" s="20"/>
    </row>
    <row r="84" spans="27:27" x14ac:dyDescent="0.4">
      <c r="AA84" s="20"/>
    </row>
    <row r="85" spans="27:27" x14ac:dyDescent="0.4">
      <c r="AA85" s="20"/>
    </row>
    <row r="86" spans="27:27" x14ac:dyDescent="0.4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M30" sqref="M30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Reference!B1</f>
        <v>76977.924299999999</v>
      </c>
      <c r="E3" s="13">
        <f>Reference!C1</f>
        <v>40.813200000000002</v>
      </c>
      <c r="F3" s="13">
        <f>Reference!D1</f>
        <v>49.239899999999999</v>
      </c>
      <c r="G3" s="13">
        <f>Reference!E1</f>
        <v>47.741799999999998</v>
      </c>
      <c r="H3" s="13">
        <f>Reference!F1</f>
        <v>126306.484</v>
      </c>
      <c r="I3" s="13">
        <f>Reference!G1</f>
        <v>24.777999999999999</v>
      </c>
      <c r="J3" s="14">
        <f>H3/3600</f>
        <v>35.085134444444442</v>
      </c>
      <c r="L3" s="12">
        <f>Test!B1</f>
        <v>76202.309200000003</v>
      </c>
      <c r="M3" s="13">
        <f>Test!C1</f>
        <v>40.811</v>
      </c>
      <c r="N3" s="13">
        <f>Test!D1</f>
        <v>49.245199999999997</v>
      </c>
      <c r="O3" s="13">
        <f>Test!E1</f>
        <v>47.749400000000001</v>
      </c>
      <c r="P3" s="13">
        <f>Test!F1</f>
        <v>127518.43</v>
      </c>
      <c r="Q3" s="13">
        <f>Test!G1</f>
        <v>24.683</v>
      </c>
      <c r="R3" s="13">
        <f>P3/3600</f>
        <v>35.421786111111111</v>
      </c>
      <c r="S3" s="12">
        <f>P3/H3</f>
        <v>1.009595279368239</v>
      </c>
      <c r="T3" s="13">
        <f>Q3/I3</f>
        <v>0.99616595366857696</v>
      </c>
      <c r="U3" s="90"/>
      <c r="V3" s="42">
        <f>bdrate($D3:$D6,E3:E6,$L3:$L6,M3:M6)</f>
        <v>-3.2527094704914994E-3</v>
      </c>
      <c r="W3" s="42">
        <f>bdrate($D3:$D6,F3:F6,$L3:$L6,N3:N6)</f>
        <v>-6.3431464329744003E-3</v>
      </c>
      <c r="X3" s="43">
        <f>bdrate($D3:$D6,G3:G6,$L3:$L6,O3:O6)</f>
        <v>-9.4366659738003289E-3</v>
      </c>
      <c r="Y3" s="37">
        <f>bdrateOld($D3:$D6,E3:E6,$L3:$L6,M3:M6)</f>
        <v>-3.1331326804098225E-3</v>
      </c>
      <c r="Z3" s="42">
        <f>bdrateOld($D3:$D6,F3:F6,$L3:$L6,N3:N6)</f>
        <v>-5.5555635199152631E-3</v>
      </c>
      <c r="AA3" s="43">
        <f>bdrateOld($D3:$D6,G3:G6,$L3:$L6,O3:O6)</f>
        <v>-9.8866911169420701E-3</v>
      </c>
    </row>
    <row r="4" spans="1:27" x14ac:dyDescent="0.35">
      <c r="A4" s="16" t="s">
        <v>34</v>
      </c>
      <c r="B4" s="85"/>
      <c r="C4" s="16">
        <v>48</v>
      </c>
      <c r="D4" s="17">
        <f>Reference!B2</f>
        <v>41592.674599999998</v>
      </c>
      <c r="E4" s="18">
        <f>Reference!C2</f>
        <v>40.165199999999999</v>
      </c>
      <c r="F4" s="18">
        <f>Reference!D2</f>
        <v>48.546599999999998</v>
      </c>
      <c r="G4" s="18">
        <f>Reference!E2</f>
        <v>46.670299999999997</v>
      </c>
      <c r="H4" s="18">
        <f>Reference!F2</f>
        <v>70801.25</v>
      </c>
      <c r="I4" s="18">
        <f>Reference!G2</f>
        <v>22.263000000000002</v>
      </c>
      <c r="J4" s="19">
        <f t="shared" ref="J4:J14" si="0">H4/3600</f>
        <v>19.667013888888889</v>
      </c>
      <c r="L4" s="17">
        <f>Test!B2</f>
        <v>41139.580499999996</v>
      </c>
      <c r="M4" s="18">
        <f>Test!C2</f>
        <v>40.157699999999998</v>
      </c>
      <c r="N4" s="18">
        <f>Test!D2</f>
        <v>48.549599999999998</v>
      </c>
      <c r="O4" s="18">
        <f>Test!E2</f>
        <v>46.663200000000003</v>
      </c>
      <c r="P4" s="18">
        <f>Test!F2</f>
        <v>69434.304999999993</v>
      </c>
      <c r="Q4" s="18">
        <f>Test!G2</f>
        <v>22.055</v>
      </c>
      <c r="R4" s="18">
        <f t="shared" ref="R4:R14" si="1">P4/3600</f>
        <v>19.287306944444442</v>
      </c>
      <c r="S4" s="17">
        <f t="shared" ref="S4:T14" si="2">P4/H4</f>
        <v>0.98069320810013938</v>
      </c>
      <c r="T4" s="18">
        <f t="shared" si="2"/>
        <v>0.9906571441405021</v>
      </c>
      <c r="U4" s="91"/>
      <c r="V4" s="25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Reference!B3</f>
        <v>24882.694100000001</v>
      </c>
      <c r="E5" s="18">
        <f>Reference!C3</f>
        <v>39.441800000000001</v>
      </c>
      <c r="F5" s="18">
        <f>Reference!D3</f>
        <v>47.625700000000002</v>
      </c>
      <c r="G5" s="18">
        <f>Reference!E3</f>
        <v>45.378100000000003</v>
      </c>
      <c r="H5" s="18">
        <f>Reference!F3</f>
        <v>42545.887000000002</v>
      </c>
      <c r="I5" s="18">
        <f>Reference!G3</f>
        <v>19.888000000000002</v>
      </c>
      <c r="J5" s="19">
        <f t="shared" si="0"/>
        <v>11.818301944444444</v>
      </c>
      <c r="L5" s="17">
        <f>Test!B3</f>
        <v>24713.215100000001</v>
      </c>
      <c r="M5" s="18">
        <f>Test!C3</f>
        <v>39.433700000000002</v>
      </c>
      <c r="N5" s="18">
        <f>Test!D3</f>
        <v>47.615099999999998</v>
      </c>
      <c r="O5" s="18">
        <f>Test!E3</f>
        <v>45.389400000000002</v>
      </c>
      <c r="P5" s="18">
        <f>Test!F3</f>
        <v>41304.425999999999</v>
      </c>
      <c r="Q5" s="18">
        <f>Test!G3</f>
        <v>19.655000000000001</v>
      </c>
      <c r="R5" s="18">
        <f t="shared" si="1"/>
        <v>11.473451666666666</v>
      </c>
      <c r="S5" s="17">
        <f t="shared" si="2"/>
        <v>0.97082065770540871</v>
      </c>
      <c r="T5" s="18">
        <f t="shared" si="2"/>
        <v>0.98828439259855183</v>
      </c>
      <c r="U5" s="91"/>
      <c r="V5" s="25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Reference!B4</f>
        <v>14204.938399999999</v>
      </c>
      <c r="E6" s="23">
        <f>Reference!C4</f>
        <v>38.231999999999999</v>
      </c>
      <c r="F6" s="23">
        <f>Reference!D4</f>
        <v>46.125</v>
      </c>
      <c r="G6" s="23">
        <f>Reference!E4</f>
        <v>43.594900000000003</v>
      </c>
      <c r="H6" s="23">
        <f>Reference!F4</f>
        <v>23813.493999999999</v>
      </c>
      <c r="I6" s="23">
        <f>Reference!G4</f>
        <v>18.36</v>
      </c>
      <c r="J6" s="24">
        <f t="shared" si="0"/>
        <v>6.614859444444444</v>
      </c>
      <c r="L6" s="22">
        <f>Test!B4</f>
        <v>14116.813</v>
      </c>
      <c r="M6" s="23">
        <f>Test!C4</f>
        <v>38.220500000000001</v>
      </c>
      <c r="N6" s="23">
        <f>Test!D4</f>
        <v>46.123199999999997</v>
      </c>
      <c r="O6" s="23">
        <f>Test!E4</f>
        <v>43.593800000000002</v>
      </c>
      <c r="P6" s="23">
        <f>Test!F4</f>
        <v>23288.631000000001</v>
      </c>
      <c r="Q6" s="23">
        <f>Test!G4</f>
        <v>18.501999999999999</v>
      </c>
      <c r="R6" s="23">
        <f t="shared" si="1"/>
        <v>6.4690641666666666</v>
      </c>
      <c r="S6" s="17">
        <f t="shared" si="2"/>
        <v>0.97795942922109635</v>
      </c>
      <c r="T6" s="18">
        <f t="shared" si="2"/>
        <v>1.0077342047930282</v>
      </c>
      <c r="U6" s="91"/>
      <c r="V6" s="51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Reference!B5</f>
        <v>325287.90529999998</v>
      </c>
      <c r="E7" s="13">
        <f>Reference!C5</f>
        <v>44.789000000000001</v>
      </c>
      <c r="F7" s="13">
        <f>Reference!D5</f>
        <v>39.1554</v>
      </c>
      <c r="G7" s="13">
        <f>Reference!E5</f>
        <v>39.6539</v>
      </c>
      <c r="H7" s="13">
        <f>Reference!F5</f>
        <v>210831.609</v>
      </c>
      <c r="I7" s="13">
        <f>Reference!G5</f>
        <v>37.585000000000001</v>
      </c>
      <c r="J7" s="14">
        <f t="shared" si="0"/>
        <v>58.564335833333331</v>
      </c>
      <c r="L7" s="12">
        <f>Test!B5</f>
        <v>322485.86320000002</v>
      </c>
      <c r="M7" s="13">
        <f>Test!C5</f>
        <v>44.758600000000001</v>
      </c>
      <c r="N7" s="13">
        <f>Test!D5</f>
        <v>39.131500000000003</v>
      </c>
      <c r="O7" s="13">
        <f>Test!E5</f>
        <v>39.621699999999997</v>
      </c>
      <c r="P7" s="13">
        <f>Test!F5</f>
        <v>202097.5</v>
      </c>
      <c r="Q7" s="13">
        <f>Test!G5</f>
        <v>37.69</v>
      </c>
      <c r="R7" s="13">
        <f t="shared" si="1"/>
        <v>56.138194444444444</v>
      </c>
      <c r="S7" s="17">
        <f t="shared" si="2"/>
        <v>0.95857305723071151</v>
      </c>
      <c r="T7" s="18">
        <f t="shared" si="2"/>
        <v>1.002793667686577</v>
      </c>
      <c r="U7" s="91"/>
      <c r="V7" s="42">
        <f>bdrate($D7:$D10,E7:E10,$L7:$L10,M7:M10)</f>
        <v>-4.701705845351789E-3</v>
      </c>
      <c r="W7" s="42">
        <f>bdrate($D7:$D10,F7:F10,$L7:$L10,N7:N10)</f>
        <v>-3.8846073826686034E-3</v>
      </c>
      <c r="X7" s="42">
        <f>bdrate($D7:$D10,G7:G10,$L7:$L10,O7:O10)</f>
        <v>-3.5525249906543932E-3</v>
      </c>
      <c r="Y7" s="40">
        <f>bdrateOld($D7:$D10,E7:E10,$L7:$L10,M7:M10)</f>
        <v>-4.7158077086074668E-3</v>
      </c>
      <c r="Z7" s="44">
        <f>bdrateOld($D7:$D10,F7:F10,$L7:$L10,N7:N10)</f>
        <v>-3.9065654864314237E-3</v>
      </c>
      <c r="AA7" s="45">
        <f>bdrateOld($D7:$D10,G7:G10,$L7:$L10,O7:O10)</f>
        <v>-3.5996137568846676E-3</v>
      </c>
    </row>
    <row r="8" spans="1:27" x14ac:dyDescent="0.35">
      <c r="A8" s="16"/>
      <c r="B8" s="85"/>
      <c r="C8" s="16">
        <v>48</v>
      </c>
      <c r="D8" s="17">
        <f>Reference!B6</f>
        <v>207672.69469999999</v>
      </c>
      <c r="E8" s="18">
        <f>Reference!C6</f>
        <v>41.9998</v>
      </c>
      <c r="F8" s="18">
        <f>Reference!D6</f>
        <v>36.6599</v>
      </c>
      <c r="G8" s="18">
        <f>Reference!E6</f>
        <v>37.472900000000003</v>
      </c>
      <c r="H8" s="18">
        <f>Reference!F6</f>
        <v>164433.484</v>
      </c>
      <c r="I8" s="18">
        <f>Reference!G6</f>
        <v>33.835000000000001</v>
      </c>
      <c r="J8" s="19">
        <f t="shared" si="0"/>
        <v>45.675967777777778</v>
      </c>
      <c r="L8" s="17">
        <f>Test!B6</f>
        <v>205619.13680000001</v>
      </c>
      <c r="M8" s="18">
        <f>Test!C6</f>
        <v>41.967700000000001</v>
      </c>
      <c r="N8" s="18">
        <f>Test!D6</f>
        <v>36.638399999999997</v>
      </c>
      <c r="O8" s="18">
        <f>Test!E6</f>
        <v>37.444800000000001</v>
      </c>
      <c r="P8" s="18">
        <f>Test!F6</f>
        <v>159862.18799999999</v>
      </c>
      <c r="Q8" s="18">
        <f>Test!G6</f>
        <v>33.058999999999997</v>
      </c>
      <c r="R8" s="18">
        <f t="shared" si="1"/>
        <v>44.406163333333332</v>
      </c>
      <c r="S8" s="17">
        <f t="shared" si="2"/>
        <v>0.97219972545251188</v>
      </c>
      <c r="T8" s="18">
        <f t="shared" si="2"/>
        <v>0.9770651692034874</v>
      </c>
      <c r="U8" s="91"/>
      <c r="V8" s="25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Reference!B7</f>
        <v>118796.5053</v>
      </c>
      <c r="E9" s="18">
        <f>Reference!C7</f>
        <v>38.742699999999999</v>
      </c>
      <c r="F9" s="18">
        <f>Reference!D7</f>
        <v>34.3947</v>
      </c>
      <c r="G9" s="18">
        <f>Reference!E7</f>
        <v>35.549900000000001</v>
      </c>
      <c r="H9" s="18">
        <f>Reference!F7</f>
        <v>122873.039</v>
      </c>
      <c r="I9" s="18">
        <f>Reference!G7</f>
        <v>28.763999999999999</v>
      </c>
      <c r="J9" s="19">
        <f t="shared" si="0"/>
        <v>34.131399722222227</v>
      </c>
      <c r="L9" s="17">
        <f>Test!B7</f>
        <v>117444.0316</v>
      </c>
      <c r="M9" s="18">
        <f>Test!C7</f>
        <v>38.709000000000003</v>
      </c>
      <c r="N9" s="18">
        <f>Test!D7</f>
        <v>34.3626</v>
      </c>
      <c r="O9" s="18">
        <f>Test!E7</f>
        <v>35.525500000000001</v>
      </c>
      <c r="P9" s="18">
        <f>Test!F7</f>
        <v>119638.82</v>
      </c>
      <c r="Q9" s="18">
        <f>Test!G7</f>
        <v>28.542000000000002</v>
      </c>
      <c r="R9" s="18">
        <f t="shared" si="1"/>
        <v>33.233005555555557</v>
      </c>
      <c r="S9" s="17">
        <f t="shared" si="2"/>
        <v>0.97367836731050494</v>
      </c>
      <c r="T9" s="18">
        <f t="shared" si="2"/>
        <v>0.99228201919065506</v>
      </c>
      <c r="U9" s="91"/>
      <c r="V9" s="25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Reference!B8</f>
        <v>56180.410499999998</v>
      </c>
      <c r="E10" s="23">
        <f>Reference!C8</f>
        <v>35.255000000000003</v>
      </c>
      <c r="F10" s="23">
        <f>Reference!D8</f>
        <v>32.0319</v>
      </c>
      <c r="G10" s="23">
        <f>Reference!E8</f>
        <v>33.708199999999998</v>
      </c>
      <c r="H10" s="23">
        <f>Reference!F8</f>
        <v>80492.468999999997</v>
      </c>
      <c r="I10" s="23">
        <f>Reference!G8</f>
        <v>23.77</v>
      </c>
      <c r="J10" s="24">
        <f t="shared" si="0"/>
        <v>22.359019166666666</v>
      </c>
      <c r="L10" s="22">
        <f>Test!B8</f>
        <v>55569.347399999999</v>
      </c>
      <c r="M10" s="23">
        <f>Test!C8</f>
        <v>35.227899999999998</v>
      </c>
      <c r="N10" s="23">
        <f>Test!D8</f>
        <v>32.007800000000003</v>
      </c>
      <c r="O10" s="23">
        <f>Test!E8</f>
        <v>33.7012</v>
      </c>
      <c r="P10" s="23">
        <f>Test!F8</f>
        <v>78833.491999999998</v>
      </c>
      <c r="Q10" s="23">
        <f>Test!G8</f>
        <v>23.873000000000001</v>
      </c>
      <c r="R10" s="23">
        <f t="shared" si="1"/>
        <v>21.898192222222221</v>
      </c>
      <c r="S10" s="17">
        <f t="shared" si="2"/>
        <v>0.97938966190737675</v>
      </c>
      <c r="T10" s="18">
        <f t="shared" si="2"/>
        <v>1.004333193100547</v>
      </c>
      <c r="U10" s="91"/>
      <c r="V10" s="51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Reference!B9</f>
        <v>125469.3726</v>
      </c>
      <c r="E11" s="13">
        <f>Reference!C9</f>
        <v>41.588299999999997</v>
      </c>
      <c r="F11" s="13">
        <f>Reference!D9</f>
        <v>44.0441</v>
      </c>
      <c r="G11" s="13">
        <f>Reference!E9</f>
        <v>42.918799999999997</v>
      </c>
      <c r="H11" s="13">
        <f>Reference!F9</f>
        <v>170395.31200000001</v>
      </c>
      <c r="I11" s="13">
        <f>Reference!G9</f>
        <v>32.226999999999997</v>
      </c>
      <c r="J11" s="14">
        <f t="shared" si="0"/>
        <v>47.332031111111114</v>
      </c>
      <c r="L11" s="12">
        <f>Test!B9</f>
        <v>124771.59789999999</v>
      </c>
      <c r="M11" s="13">
        <f>Test!C9</f>
        <v>41.574300000000001</v>
      </c>
      <c r="N11" s="13">
        <f>Test!D9</f>
        <v>44.012099999999997</v>
      </c>
      <c r="O11" s="13">
        <f>Test!E9</f>
        <v>42.909799999999997</v>
      </c>
      <c r="P11" s="13">
        <f>Test!F9</f>
        <v>165640.04699999999</v>
      </c>
      <c r="Q11" s="13">
        <f>Test!G9</f>
        <v>31.683</v>
      </c>
      <c r="R11" s="13">
        <f t="shared" si="1"/>
        <v>46.011124166666661</v>
      </c>
      <c r="S11" s="17">
        <f t="shared" si="2"/>
        <v>0.97209274748122165</v>
      </c>
      <c r="T11" s="18">
        <f t="shared" si="2"/>
        <v>0.98311974431377425</v>
      </c>
      <c r="U11" s="91"/>
      <c r="V11" s="42">
        <f>bdrate($D11:$D14,E11:E14,$L11:$L14,M11:M14)</f>
        <v>-4.4625705656790027E-3</v>
      </c>
      <c r="W11" s="42">
        <f>bdrate($D11:$D14,F11:F14,$L11:$L14,N11:N14)</f>
        <v>-1.1090151480538379E-3</v>
      </c>
      <c r="X11" s="42">
        <f>bdrate($D11:$D14,G11:G14,$L11:$L14,O11:O14)</f>
        <v>-9.341599774375986E-3</v>
      </c>
      <c r="Y11" s="40">
        <f>bdrateOld($D11:$D14,E11:E14,$L11:$L14,M11:M14)</f>
        <v>-4.2374022899881458E-3</v>
      </c>
      <c r="Z11" s="44">
        <f>bdrateOld($D11:$D14,F11:F14,$L11:$L14,N11:N14)</f>
        <v>-1.1022573616331632E-3</v>
      </c>
      <c r="AA11" s="45">
        <f>bdrateOld($D11:$D14,G11:G14,$L11:$L14,O11:O14)</f>
        <v>-9.0211822912601436E-3</v>
      </c>
    </row>
    <row r="12" spans="1:27" x14ac:dyDescent="0.35">
      <c r="A12" s="34"/>
      <c r="B12" s="83"/>
      <c r="C12" s="16">
        <v>48</v>
      </c>
      <c r="D12" s="17">
        <f>Reference!B10</f>
        <v>56447.065300000002</v>
      </c>
      <c r="E12" s="18">
        <f>Reference!C10</f>
        <v>38.893900000000002</v>
      </c>
      <c r="F12" s="18">
        <f>Reference!D10</f>
        <v>41.416600000000003</v>
      </c>
      <c r="G12" s="18">
        <f>Reference!E10</f>
        <v>41.7866</v>
      </c>
      <c r="H12" s="18">
        <f>Reference!F10</f>
        <v>118688.883</v>
      </c>
      <c r="I12" s="18">
        <f>Reference!G10</f>
        <v>24.643999999999998</v>
      </c>
      <c r="J12" s="19">
        <f t="shared" si="0"/>
        <v>32.96913416666667</v>
      </c>
      <c r="L12" s="17">
        <f>Test!B10</f>
        <v>55894.098899999997</v>
      </c>
      <c r="M12" s="18">
        <f>Test!C10</f>
        <v>38.880299999999998</v>
      </c>
      <c r="N12" s="18">
        <f>Test!D10</f>
        <v>41.386600000000001</v>
      </c>
      <c r="O12" s="18">
        <f>Test!E10</f>
        <v>41.7851</v>
      </c>
      <c r="P12" s="18">
        <f>Test!F10</f>
        <v>113239.57</v>
      </c>
      <c r="Q12" s="18">
        <f>Test!G10</f>
        <v>23.995000000000001</v>
      </c>
      <c r="R12" s="18">
        <f t="shared" si="1"/>
        <v>31.455436111111112</v>
      </c>
      <c r="S12" s="17">
        <f t="shared" si="2"/>
        <v>0.95408741861695678</v>
      </c>
      <c r="T12" s="18">
        <f t="shared" si="2"/>
        <v>0.97366498944976476</v>
      </c>
      <c r="U12" s="91"/>
      <c r="V12" s="25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Reference!B11</f>
        <v>25580.4568</v>
      </c>
      <c r="E13" s="18">
        <f>Reference!C11</f>
        <v>37.319099999999999</v>
      </c>
      <c r="F13" s="18">
        <f>Reference!D11</f>
        <v>39.092700000000001</v>
      </c>
      <c r="G13" s="18">
        <f>Reference!E11</f>
        <v>40.7072</v>
      </c>
      <c r="H13" s="18">
        <f>Reference!F11</f>
        <v>68382.835999999996</v>
      </c>
      <c r="I13" s="18">
        <f>Reference!G11</f>
        <v>19.913</v>
      </c>
      <c r="J13" s="19">
        <f t="shared" si="0"/>
        <v>18.995232222222221</v>
      </c>
      <c r="L13" s="17">
        <f>Test!B11</f>
        <v>25285.187399999999</v>
      </c>
      <c r="M13" s="18">
        <f>Test!C11</f>
        <v>37.308300000000003</v>
      </c>
      <c r="N13" s="18">
        <f>Test!D11</f>
        <v>39.062800000000003</v>
      </c>
      <c r="O13" s="18">
        <f>Test!E11</f>
        <v>40.705399999999997</v>
      </c>
      <c r="P13" s="18">
        <f>Test!F11</f>
        <v>66267.547000000006</v>
      </c>
      <c r="Q13" s="18">
        <f>Test!G11</f>
        <v>19.864000000000001</v>
      </c>
      <c r="R13" s="18">
        <f t="shared" si="1"/>
        <v>18.407651944444446</v>
      </c>
      <c r="S13" s="17">
        <f t="shared" si="2"/>
        <v>0.96906696001903181</v>
      </c>
      <c r="T13" s="18">
        <f t="shared" si="2"/>
        <v>0.99753929593732737</v>
      </c>
      <c r="U13" s="91"/>
      <c r="V13" s="25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Reference!B12</f>
        <v>12393.4547</v>
      </c>
      <c r="E14" s="23">
        <f>Reference!C12</f>
        <v>35.935499999999998</v>
      </c>
      <c r="F14" s="23">
        <f>Reference!D12</f>
        <v>36.371899999999997</v>
      </c>
      <c r="G14" s="23">
        <f>Reference!E12</f>
        <v>39.213099999999997</v>
      </c>
      <c r="H14" s="23">
        <f>Reference!F12</f>
        <v>37865.828000000001</v>
      </c>
      <c r="I14" s="23">
        <f>Reference!G12</f>
        <v>16.809999999999999</v>
      </c>
      <c r="J14" s="24">
        <f t="shared" si="0"/>
        <v>10.518285555555556</v>
      </c>
      <c r="L14" s="22">
        <f>Test!B12</f>
        <v>12252.606299999999</v>
      </c>
      <c r="M14" s="23">
        <f>Test!C12</f>
        <v>35.924399999999999</v>
      </c>
      <c r="N14" s="23">
        <f>Test!D12</f>
        <v>36.3444</v>
      </c>
      <c r="O14" s="23">
        <f>Test!E12</f>
        <v>39.223100000000002</v>
      </c>
      <c r="P14" s="23">
        <f>Test!F12</f>
        <v>37261.964999999997</v>
      </c>
      <c r="Q14" s="23">
        <f>Test!G12</f>
        <v>16.809999999999999</v>
      </c>
      <c r="R14" s="23">
        <f t="shared" si="1"/>
        <v>10.350545833333332</v>
      </c>
      <c r="S14" s="17">
        <f t="shared" si="2"/>
        <v>0.98405256053030177</v>
      </c>
      <c r="T14" s="18">
        <f t="shared" si="2"/>
        <v>1</v>
      </c>
      <c r="U14" s="91"/>
      <c r="V14" s="51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Reference!B13</f>
        <v>178731.27160000001</v>
      </c>
      <c r="E15" s="13">
        <f>Reference!C13</f>
        <v>38.624600000000001</v>
      </c>
      <c r="F15" s="13">
        <f>Reference!D13</f>
        <v>45.663600000000002</v>
      </c>
      <c r="G15" s="13">
        <f>Reference!E13</f>
        <v>43.488300000000002</v>
      </c>
      <c r="H15" s="13">
        <f>Reference!F13</f>
        <v>203390.96900000001</v>
      </c>
      <c r="I15" s="13">
        <f>Reference!G13</f>
        <v>32.292999999999999</v>
      </c>
      <c r="J15" s="14">
        <f>H15/3600</f>
        <v>56.497491388888889</v>
      </c>
      <c r="L15" s="12">
        <f>Test!B13</f>
        <v>177370.93890000001</v>
      </c>
      <c r="M15" s="13">
        <f>Test!C13</f>
        <v>38.624200000000002</v>
      </c>
      <c r="N15" s="13">
        <f>Test!D13</f>
        <v>45.659500000000001</v>
      </c>
      <c r="O15" s="13">
        <f>Test!E13</f>
        <v>43.478000000000002</v>
      </c>
      <c r="P15" s="13">
        <f>Test!F13</f>
        <v>203703.90599999999</v>
      </c>
      <c r="Q15" s="13">
        <f>Test!G13</f>
        <v>32.055999999999997</v>
      </c>
      <c r="R15" s="13">
        <f>P15/3600</f>
        <v>56.584418333333332</v>
      </c>
      <c r="S15" s="17">
        <f>P15/H15</f>
        <v>1.0015385983042344</v>
      </c>
      <c r="T15" s="18">
        <f>Q15/I15</f>
        <v>0.9926609481931068</v>
      </c>
      <c r="U15" s="91"/>
      <c r="V15" s="42">
        <f>bdrate($D15:$D18,E15:E18,$L15:$L18,M15:M18)</f>
        <v>-4.2594025997756413E-3</v>
      </c>
      <c r="W15" s="42">
        <f>bdrate($D15:$D18,F15:F18,$L15:$L18,N15:N18)</f>
        <v>-1.1265144051200493E-2</v>
      </c>
      <c r="X15" s="43">
        <f>bdrate($D15:$D18,G15:G18,$L15:$L18,O15:O18)</f>
        <v>-8.0658570928917595E-3</v>
      </c>
      <c r="Y15" s="37">
        <f>bdrateOld($D15:$D18,E15:E18,$L15:$L18,M15:M18)</f>
        <v>-4.1727385447272169E-3</v>
      </c>
      <c r="Z15" s="42">
        <f>bdrateOld($D15:$D18,F15:F18,$L15:$L18,N15:N18)</f>
        <v>-1.0921289483631802E-2</v>
      </c>
      <c r="AA15" s="43">
        <f>bdrateOld($D15:$D18,G15:G18,$L15:$L18,O15:O18)</f>
        <v>-7.8003042698517877E-3</v>
      </c>
    </row>
    <row r="16" spans="1:27" x14ac:dyDescent="0.35">
      <c r="A16" s="16"/>
      <c r="B16" s="85"/>
      <c r="C16" s="16">
        <v>48</v>
      </c>
      <c r="D16" s="17">
        <f>Reference!B14</f>
        <v>87221.482099999994</v>
      </c>
      <c r="E16" s="18">
        <f>Reference!C14</f>
        <v>37.688000000000002</v>
      </c>
      <c r="F16" s="18">
        <f>Reference!D14</f>
        <v>44.792900000000003</v>
      </c>
      <c r="G16" s="18">
        <f>Reference!E14</f>
        <v>42.494500000000002</v>
      </c>
      <c r="H16" s="18">
        <f>Reference!F14</f>
        <v>125270.477</v>
      </c>
      <c r="I16" s="18">
        <f>Reference!G14</f>
        <v>25.164999999999999</v>
      </c>
      <c r="J16" s="19">
        <f t="shared" ref="J16:J26" si="3">H16/3600</f>
        <v>34.797354722222224</v>
      </c>
      <c r="L16" s="17">
        <f>Test!B14</f>
        <v>86182.433699999994</v>
      </c>
      <c r="M16" s="18">
        <f>Test!C14</f>
        <v>37.677599999999998</v>
      </c>
      <c r="N16" s="18">
        <f>Test!D14</f>
        <v>44.793999999999997</v>
      </c>
      <c r="O16" s="18">
        <f>Test!E14</f>
        <v>42.493400000000001</v>
      </c>
      <c r="P16" s="18">
        <f>Test!F14</f>
        <v>120885.031</v>
      </c>
      <c r="Q16" s="18">
        <f>Test!G14</f>
        <v>25.251000000000001</v>
      </c>
      <c r="R16" s="18">
        <f t="shared" ref="R16:R26" si="4">P16/3600</f>
        <v>33.579175277777779</v>
      </c>
      <c r="S16" s="17">
        <f t="shared" ref="S16:S26" si="5">P16/H16</f>
        <v>0.96499218247568419</v>
      </c>
      <c r="T16" s="18">
        <f t="shared" ref="T16:T26" si="6">Q16/I16</f>
        <v>1.0034174448638984</v>
      </c>
      <c r="U16" s="91"/>
      <c r="V16" s="25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Reference!B15</f>
        <v>50211.498899999999</v>
      </c>
      <c r="E17" s="18">
        <f>Reference!C15</f>
        <v>36.772300000000001</v>
      </c>
      <c r="F17" s="18">
        <f>Reference!D15</f>
        <v>43.823500000000003</v>
      </c>
      <c r="G17" s="18">
        <f>Reference!E15</f>
        <v>41.475299999999997</v>
      </c>
      <c r="H17" s="18">
        <f>Reference!F15</f>
        <v>78406.218999999997</v>
      </c>
      <c r="I17" s="18">
        <f>Reference!G15</f>
        <v>21.780999999999999</v>
      </c>
      <c r="J17" s="19">
        <f t="shared" si="3"/>
        <v>21.779505277777776</v>
      </c>
      <c r="L17" s="17">
        <f>Test!B15</f>
        <v>49710.378900000003</v>
      </c>
      <c r="M17" s="18">
        <f>Test!C15</f>
        <v>36.759099999999997</v>
      </c>
      <c r="N17" s="18">
        <f>Test!D15</f>
        <v>43.830100000000002</v>
      </c>
      <c r="O17" s="18">
        <f>Test!E15</f>
        <v>41.468299999999999</v>
      </c>
      <c r="P17" s="18">
        <f>Test!F15</f>
        <v>78678.648000000001</v>
      </c>
      <c r="Q17" s="18">
        <f>Test!G15</f>
        <v>21.933</v>
      </c>
      <c r="R17" s="18">
        <f t="shared" si="4"/>
        <v>21.855180000000001</v>
      </c>
      <c r="S17" s="17">
        <f t="shared" si="5"/>
        <v>1.0034745840760413</v>
      </c>
      <c r="T17" s="18">
        <f t="shared" si="6"/>
        <v>1.0069785592947982</v>
      </c>
      <c r="U17" s="91"/>
      <c r="V17" s="25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Reference!B16</f>
        <v>26556.858899999999</v>
      </c>
      <c r="E18" s="23">
        <f>Reference!C16</f>
        <v>35.277999999999999</v>
      </c>
      <c r="F18" s="23">
        <f>Reference!D16</f>
        <v>42.434199999999997</v>
      </c>
      <c r="G18" s="23">
        <f>Reference!E16</f>
        <v>40.212000000000003</v>
      </c>
      <c r="H18" s="23">
        <f>Reference!F16</f>
        <v>48871.800999999999</v>
      </c>
      <c r="I18" s="23">
        <f>Reference!G16</f>
        <v>19.443999999999999</v>
      </c>
      <c r="J18" s="24">
        <f t="shared" si="3"/>
        <v>13.575500277777778</v>
      </c>
      <c r="L18" s="22">
        <f>Test!B16</f>
        <v>26284.4084</v>
      </c>
      <c r="M18" s="23">
        <f>Test!C16</f>
        <v>35.2605</v>
      </c>
      <c r="N18" s="23">
        <f>Test!D16</f>
        <v>42.428100000000001</v>
      </c>
      <c r="O18" s="23">
        <f>Test!E16</f>
        <v>40.2164</v>
      </c>
      <c r="P18" s="23">
        <f>Test!F16</f>
        <v>47273.483999999997</v>
      </c>
      <c r="Q18" s="23">
        <f>Test!G16</f>
        <v>18.896999999999998</v>
      </c>
      <c r="R18" s="23">
        <f t="shared" si="4"/>
        <v>13.131523333333332</v>
      </c>
      <c r="S18" s="17">
        <f t="shared" si="5"/>
        <v>0.96729572130971797</v>
      </c>
      <c r="T18" s="18">
        <f t="shared" si="6"/>
        <v>0.97186792840979219</v>
      </c>
      <c r="U18" s="91"/>
      <c r="V18" s="51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Reference!B17</f>
        <v>68145.206300000005</v>
      </c>
      <c r="E19" s="13">
        <f>Reference!C17</f>
        <v>39.584200000000003</v>
      </c>
      <c r="F19" s="13">
        <f>Reference!D17</f>
        <v>40.530099999999997</v>
      </c>
      <c r="G19" s="13">
        <f>Reference!E17</f>
        <v>43.541400000000003</v>
      </c>
      <c r="H19" s="13">
        <f>Reference!F17</f>
        <v>85833.781000000003</v>
      </c>
      <c r="I19" s="13">
        <f>Reference!G17</f>
        <v>15.492000000000001</v>
      </c>
      <c r="J19" s="14">
        <f t="shared" si="3"/>
        <v>23.842716944444444</v>
      </c>
      <c r="L19" s="12">
        <f>Test!B17</f>
        <v>67494.952399999995</v>
      </c>
      <c r="M19" s="13">
        <f>Test!C17</f>
        <v>39.563000000000002</v>
      </c>
      <c r="N19" s="13">
        <f>Test!D17</f>
        <v>40.538800000000002</v>
      </c>
      <c r="O19" s="13">
        <f>Test!E17</f>
        <v>43.534300000000002</v>
      </c>
      <c r="P19" s="13">
        <f>Test!F17</f>
        <v>84432.554999999993</v>
      </c>
      <c r="Q19" s="13">
        <f>Test!G17</f>
        <v>15.435</v>
      </c>
      <c r="R19" s="13">
        <f t="shared" si="4"/>
        <v>23.453487499999998</v>
      </c>
      <c r="S19" s="12">
        <f t="shared" si="5"/>
        <v>0.98367512203615948</v>
      </c>
      <c r="T19" s="13">
        <f t="shared" si="6"/>
        <v>0.99632068164213783</v>
      </c>
      <c r="U19" s="90"/>
      <c r="V19" s="42">
        <f>bdrate($D19:$D22,E19:E22,$L19:$L22,M19:M22)</f>
        <v>-2.9708623397848299E-3</v>
      </c>
      <c r="W19" s="42">
        <f>bdrate($D19:$D22,F19:F22,$L19:$L22,N19:N22)</f>
        <v>-8.8293999799062828E-3</v>
      </c>
      <c r="X19" s="42">
        <f>bdrate($D19:$D22,G19:G22,$L19:$L22,O19:O22)</f>
        <v>-4.690079655670476E-3</v>
      </c>
      <c r="Y19" s="40">
        <f>bdrateOld($D19:$D22,E19:E22,$L19:$L22,M19:M22)</f>
        <v>-2.900991003046749E-3</v>
      </c>
      <c r="Z19" s="44">
        <f>bdrateOld($D19:$D22,F19:F22,$L19:$L22,N19:N22)</f>
        <v>-8.7653465070982595E-3</v>
      </c>
      <c r="AA19" s="45">
        <f>bdrateOld($D19:$D22,G19:G22,$L19:$L22,O19:O22)</f>
        <v>-4.7752209016196367E-3</v>
      </c>
    </row>
    <row r="20" spans="1:27" x14ac:dyDescent="0.35">
      <c r="A20" s="16" t="s">
        <v>48</v>
      </c>
      <c r="B20" s="85"/>
      <c r="C20" s="16">
        <v>32</v>
      </c>
      <c r="D20" s="17">
        <f>Reference!B18</f>
        <v>40656.685700000002</v>
      </c>
      <c r="E20" s="18">
        <f>Reference!C18</f>
        <v>37.9497</v>
      </c>
      <c r="F20" s="18">
        <f>Reference!D18</f>
        <v>39.5685</v>
      </c>
      <c r="G20" s="18">
        <f>Reference!E18</f>
        <v>42.1601</v>
      </c>
      <c r="H20" s="18">
        <f>Reference!F18</f>
        <v>64558.315999999999</v>
      </c>
      <c r="I20" s="18">
        <f>Reference!G18</f>
        <v>12.842000000000001</v>
      </c>
      <c r="J20" s="19">
        <f t="shared" si="3"/>
        <v>17.932865555555555</v>
      </c>
      <c r="L20" s="17">
        <f>Test!B18</f>
        <v>40264.393700000001</v>
      </c>
      <c r="M20" s="18">
        <f>Test!C18</f>
        <v>37.929099999999998</v>
      </c>
      <c r="N20" s="18">
        <f>Test!D18</f>
        <v>39.567500000000003</v>
      </c>
      <c r="O20" s="18">
        <f>Test!E18</f>
        <v>42.1432</v>
      </c>
      <c r="P20" s="18">
        <f>Test!F18</f>
        <v>64881.796999999999</v>
      </c>
      <c r="Q20" s="18">
        <f>Test!G18</f>
        <v>12.856999999999999</v>
      </c>
      <c r="R20" s="18">
        <f t="shared" si="4"/>
        <v>18.02272138888889</v>
      </c>
      <c r="S20" s="17">
        <f t="shared" si="5"/>
        <v>1.0050106790270057</v>
      </c>
      <c r="T20" s="18">
        <f t="shared" si="6"/>
        <v>1.0011680423610028</v>
      </c>
      <c r="U20" s="91"/>
      <c r="V20" s="25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Reference!B19</f>
        <v>23422.1587</v>
      </c>
      <c r="E21" s="18">
        <f>Reference!C19</f>
        <v>36.0366</v>
      </c>
      <c r="F21" s="18">
        <f>Reference!D19</f>
        <v>38.718000000000004</v>
      </c>
      <c r="G21" s="18">
        <f>Reference!E19</f>
        <v>40.772300000000001</v>
      </c>
      <c r="H21" s="18">
        <f>Reference!F19</f>
        <v>47807.883000000002</v>
      </c>
      <c r="I21" s="18">
        <f>Reference!G19</f>
        <v>10.89</v>
      </c>
      <c r="J21" s="19">
        <f t="shared" si="3"/>
        <v>13.2799675</v>
      </c>
      <c r="L21" s="17">
        <f>Test!B19</f>
        <v>23215.707900000001</v>
      </c>
      <c r="M21" s="18">
        <f>Test!C19</f>
        <v>36.014099999999999</v>
      </c>
      <c r="N21" s="18">
        <f>Test!D19</f>
        <v>38.716099999999997</v>
      </c>
      <c r="O21" s="18">
        <f>Test!E19</f>
        <v>40.761899999999997</v>
      </c>
      <c r="P21" s="18">
        <f>Test!F19</f>
        <v>47225.101999999999</v>
      </c>
      <c r="Q21" s="18">
        <f>Test!G19</f>
        <v>10.587999999999999</v>
      </c>
      <c r="R21" s="18">
        <f t="shared" si="4"/>
        <v>13.118083888888888</v>
      </c>
      <c r="S21" s="17">
        <f t="shared" si="5"/>
        <v>0.98780993921023441</v>
      </c>
      <c r="T21" s="18">
        <f t="shared" si="6"/>
        <v>0.97226813590449945</v>
      </c>
      <c r="U21" s="91"/>
      <c r="V21" s="25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Reference!B20</f>
        <v>11937.263499999999</v>
      </c>
      <c r="E22" s="23">
        <f>Reference!C20</f>
        <v>33.559600000000003</v>
      </c>
      <c r="F22" s="23">
        <f>Reference!D20</f>
        <v>37.5291</v>
      </c>
      <c r="G22" s="23">
        <f>Reference!E20</f>
        <v>38.927399999999999</v>
      </c>
      <c r="H22" s="23">
        <f>Reference!F20</f>
        <v>32747.741999999998</v>
      </c>
      <c r="I22" s="23">
        <f>Reference!G20</f>
        <v>9.3629999999999995</v>
      </c>
      <c r="J22" s="24">
        <f t="shared" si="3"/>
        <v>9.0965949999999989</v>
      </c>
      <c r="L22" s="22">
        <f>Test!B20</f>
        <v>11832.412700000001</v>
      </c>
      <c r="M22" s="23">
        <f>Test!C20</f>
        <v>33.539200000000001</v>
      </c>
      <c r="N22" s="23">
        <f>Test!D20</f>
        <v>37.526800000000001</v>
      </c>
      <c r="O22" s="23">
        <f>Test!E20</f>
        <v>38.918700000000001</v>
      </c>
      <c r="P22" s="23">
        <f>Test!F20</f>
        <v>32155.671999999999</v>
      </c>
      <c r="Q22" s="23">
        <f>Test!G20</f>
        <v>9.1329999999999991</v>
      </c>
      <c r="R22" s="23">
        <f t="shared" si="4"/>
        <v>8.9321311111111115</v>
      </c>
      <c r="S22" s="17">
        <f t="shared" si="5"/>
        <v>0.98192028018298183</v>
      </c>
      <c r="T22" s="18">
        <f t="shared" si="6"/>
        <v>0.97543522375307057</v>
      </c>
      <c r="U22" s="91"/>
      <c r="V22" s="51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Reference!B21</f>
        <v>42866.1397</v>
      </c>
      <c r="E23" s="13">
        <f>Reference!C21</f>
        <v>40.217799999999997</v>
      </c>
      <c r="F23" s="13">
        <f>Reference!D21</f>
        <v>44.216799999999999</v>
      </c>
      <c r="G23" s="13">
        <f>Reference!E21</f>
        <v>45.6892</v>
      </c>
      <c r="H23" s="13">
        <f>Reference!F21</f>
        <v>76328.804999999993</v>
      </c>
      <c r="I23" s="13">
        <f>Reference!G21</f>
        <v>13.321999999999999</v>
      </c>
      <c r="J23" s="14">
        <f t="shared" si="3"/>
        <v>21.202445833333332</v>
      </c>
      <c r="L23" s="12">
        <f>Test!B21</f>
        <v>42267.911099999998</v>
      </c>
      <c r="M23" s="13">
        <f>Test!C21</f>
        <v>40.197000000000003</v>
      </c>
      <c r="N23" s="13">
        <f>Test!D21</f>
        <v>44.213000000000001</v>
      </c>
      <c r="O23" s="13">
        <f>Test!E21</f>
        <v>45.685099999999998</v>
      </c>
      <c r="P23" s="13">
        <f>Test!F21</f>
        <v>74549.648000000001</v>
      </c>
      <c r="Q23" s="13">
        <f>Test!G21</f>
        <v>13.351000000000001</v>
      </c>
      <c r="R23" s="13">
        <f t="shared" si="4"/>
        <v>20.708235555555557</v>
      </c>
      <c r="S23" s="17">
        <f t="shared" si="5"/>
        <v>0.97669088360547518</v>
      </c>
      <c r="T23" s="18">
        <f t="shared" si="6"/>
        <v>1.0021768503227746</v>
      </c>
      <c r="U23" s="91"/>
      <c r="V23" s="42">
        <f>bdrate($D23:$D26,E23:E26,$L23:$L26,M23:M26)</f>
        <v>-5.6683369880892176E-3</v>
      </c>
      <c r="W23" s="42">
        <f>bdrate($D23:$D26,F23:F26,$L23:$L26,N23:N26)</f>
        <v>-1.7121062625143901E-2</v>
      </c>
      <c r="X23" s="42">
        <f>bdrate($D23:$D26,G23:G26,$L23:$L26,O23:O26)</f>
        <v>-1.4215483124425443E-2</v>
      </c>
      <c r="Y23" s="40">
        <f>bdrateOld($D23:$D26,E23:E26,$L23:$L26,M23:M26)</f>
        <v>-5.5562512596156743E-3</v>
      </c>
      <c r="Z23" s="44">
        <f>bdrateOld($D23:$D26,F23:F26,$L23:$L26,N23:N26)</f>
        <v>-1.6625929557637198E-2</v>
      </c>
      <c r="AA23" s="45">
        <f>bdrateOld($D23:$D26,G23:G26,$L23:$L26,O23:O26)</f>
        <v>-1.3938952176829833E-2</v>
      </c>
    </row>
    <row r="24" spans="1:27" x14ac:dyDescent="0.35">
      <c r="A24" s="34"/>
      <c r="B24" s="85"/>
      <c r="C24" s="16">
        <v>32</v>
      </c>
      <c r="D24" s="17">
        <f>Reference!B22</f>
        <v>23329.047600000002</v>
      </c>
      <c r="E24" s="18">
        <f>Reference!C22</f>
        <v>38.747300000000003</v>
      </c>
      <c r="F24" s="18">
        <f>Reference!D22</f>
        <v>43.260800000000003</v>
      </c>
      <c r="G24" s="18">
        <f>Reference!E22</f>
        <v>44.24</v>
      </c>
      <c r="H24" s="18">
        <f>Reference!F22</f>
        <v>53177.262000000002</v>
      </c>
      <c r="I24" s="18">
        <f>Reference!G22</f>
        <v>11.19</v>
      </c>
      <c r="J24" s="19">
        <f t="shared" si="3"/>
        <v>14.771461666666667</v>
      </c>
      <c r="L24" s="17">
        <f>Test!B22</f>
        <v>22922.736499999999</v>
      </c>
      <c r="M24" s="18">
        <f>Test!C22</f>
        <v>38.721800000000002</v>
      </c>
      <c r="N24" s="18">
        <f>Test!D22</f>
        <v>43.267299999999999</v>
      </c>
      <c r="O24" s="18">
        <f>Test!E22</f>
        <v>44.241100000000003</v>
      </c>
      <c r="P24" s="18">
        <f>Test!F22</f>
        <v>51914.421999999999</v>
      </c>
      <c r="Q24" s="18">
        <f>Test!G22</f>
        <v>11.010999999999999</v>
      </c>
      <c r="R24" s="18">
        <f t="shared" si="4"/>
        <v>14.420672777777778</v>
      </c>
      <c r="S24" s="17">
        <f t="shared" si="5"/>
        <v>0.97625225608644528</v>
      </c>
      <c r="T24" s="18">
        <f t="shared" si="6"/>
        <v>0.98400357462019661</v>
      </c>
      <c r="U24" s="91"/>
      <c r="V24" s="25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Reference!B23</f>
        <v>13127.2</v>
      </c>
      <c r="E25" s="18">
        <f>Reference!C23</f>
        <v>37.303400000000003</v>
      </c>
      <c r="F25" s="18">
        <f>Reference!D23</f>
        <v>42.1843</v>
      </c>
      <c r="G25" s="18">
        <f>Reference!E23</f>
        <v>42.680999999999997</v>
      </c>
      <c r="H25" s="18">
        <f>Reference!F23</f>
        <v>35029.504000000001</v>
      </c>
      <c r="I25" s="18">
        <f>Reference!G23</f>
        <v>9.5050000000000008</v>
      </c>
      <c r="J25" s="19">
        <f t="shared" si="3"/>
        <v>9.7304177777777774</v>
      </c>
      <c r="L25" s="17">
        <f>Test!B23</f>
        <v>12964.0762</v>
      </c>
      <c r="M25" s="18">
        <f>Test!C23</f>
        <v>37.282600000000002</v>
      </c>
      <c r="N25" s="18">
        <f>Test!D23</f>
        <v>42.193399999999997</v>
      </c>
      <c r="O25" s="18">
        <f>Test!E23</f>
        <v>42.682499999999997</v>
      </c>
      <c r="P25" s="18">
        <f>Test!F23</f>
        <v>34281.055</v>
      </c>
      <c r="Q25" s="18">
        <f>Test!G23</f>
        <v>9.4329999999999998</v>
      </c>
      <c r="R25" s="18">
        <f t="shared" si="4"/>
        <v>9.522515277777778</v>
      </c>
      <c r="S25" s="17">
        <f t="shared" si="5"/>
        <v>0.97863375399206332</v>
      </c>
      <c r="T25" s="18">
        <f t="shared" si="6"/>
        <v>0.99242503945291938</v>
      </c>
      <c r="U25" s="91"/>
      <c r="V25" s="25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Reference!B24</f>
        <v>7008.4444000000003</v>
      </c>
      <c r="E26" s="23">
        <f>Reference!C24</f>
        <v>35.383400000000002</v>
      </c>
      <c r="F26" s="23">
        <f>Reference!D24</f>
        <v>40.682099999999998</v>
      </c>
      <c r="G26" s="23">
        <f>Reference!E24</f>
        <v>40.6584</v>
      </c>
      <c r="H26" s="23">
        <f>Reference!F24</f>
        <v>21554.113000000001</v>
      </c>
      <c r="I26" s="23">
        <f>Reference!G24</f>
        <v>8.1999999999999993</v>
      </c>
      <c r="J26" s="24">
        <f t="shared" si="3"/>
        <v>5.9872536111111119</v>
      </c>
      <c r="L26" s="22">
        <f>Test!B24</f>
        <v>6928.9396999999999</v>
      </c>
      <c r="M26" s="23">
        <f>Test!C24</f>
        <v>35.361499999999999</v>
      </c>
      <c r="N26" s="23">
        <f>Test!D24</f>
        <v>40.691000000000003</v>
      </c>
      <c r="O26" s="23">
        <f>Test!E24</f>
        <v>40.660200000000003</v>
      </c>
      <c r="P26" s="23">
        <f>Test!F24</f>
        <v>21537.136999999999</v>
      </c>
      <c r="Q26" s="23">
        <f>Test!G24</f>
        <v>8.2490000000000006</v>
      </c>
      <c r="R26" s="23">
        <f t="shared" si="4"/>
        <v>5.9825380555555556</v>
      </c>
      <c r="S26" s="17">
        <f t="shared" si="5"/>
        <v>0.9992124009000044</v>
      </c>
      <c r="T26" s="18">
        <f t="shared" si="6"/>
        <v>1.0059756097560977</v>
      </c>
      <c r="U26" s="91"/>
      <c r="V26" s="51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Reference!B25</f>
        <v>65342.995199999998</v>
      </c>
      <c r="E27" s="13">
        <f>Reference!C25</f>
        <v>41.7637</v>
      </c>
      <c r="F27" s="13">
        <f>Reference!D25</f>
        <v>44.456600000000002</v>
      </c>
      <c r="G27" s="13">
        <f>Reference!E25</f>
        <v>45.168999999999997</v>
      </c>
      <c r="H27" s="13">
        <f>Reference!F25</f>
        <v>90372.008000000002</v>
      </c>
      <c r="I27" s="13">
        <f>Reference!G25</f>
        <v>16.248000000000001</v>
      </c>
      <c r="J27" s="14">
        <f>H27/3600</f>
        <v>25.103335555555557</v>
      </c>
      <c r="L27" s="12">
        <f>Test!B25</f>
        <v>64671.494400000003</v>
      </c>
      <c r="M27" s="13">
        <f>Test!C25</f>
        <v>41.737299999999998</v>
      </c>
      <c r="N27" s="13">
        <f>Test!D25</f>
        <v>44.441200000000002</v>
      </c>
      <c r="O27" s="13">
        <f>Test!E25</f>
        <v>45.163499999999999</v>
      </c>
      <c r="P27" s="13">
        <f>Test!F25</f>
        <v>88387.57</v>
      </c>
      <c r="Q27" s="13">
        <f>Test!G25</f>
        <v>16.071999999999999</v>
      </c>
      <c r="R27" s="13">
        <f>P27/3600</f>
        <v>24.55210277777778</v>
      </c>
      <c r="S27" s="17">
        <f>P27/H27</f>
        <v>0.97804145283570554</v>
      </c>
      <c r="T27" s="18">
        <f>Q27/I27</f>
        <v>0.98916789758739521</v>
      </c>
      <c r="U27" s="91"/>
      <c r="V27" s="42">
        <f>bdrate($D27:$D30,E27:E30,$L27:$L30,M27:M30)</f>
        <v>-3.1770485943449778E-3</v>
      </c>
      <c r="W27" s="42">
        <f>bdrate($D27:$D30,F27:F30,$L27:$L30,N27:N30)</f>
        <v>-1.1076061310488661E-2</v>
      </c>
      <c r="X27" s="43">
        <f>bdrate($D27:$D30,G27:G30,$L27:$L30,O27:O30)</f>
        <v>-7.5990875500929755E-3</v>
      </c>
      <c r="Y27" s="37">
        <f>bdrateOld($D27:$D30,E27:E30,$L27:$L30,M27:M30)</f>
        <v>-3.1890274686504627E-3</v>
      </c>
      <c r="Z27" s="42">
        <f>bdrateOld($D27:$D30,F27:F30,$L27:$L30,N27:N30)</f>
        <v>-1.1118101003802061E-2</v>
      </c>
      <c r="AA27" s="43">
        <f>bdrateOld($D27:$D30,G27:G30,$L27:$L30,O27:O30)</f>
        <v>-7.3784152556490845E-3</v>
      </c>
    </row>
    <row r="28" spans="1:27" x14ac:dyDescent="0.35">
      <c r="A28" s="16"/>
      <c r="B28" s="85"/>
      <c r="C28" s="16">
        <v>48</v>
      </c>
      <c r="D28" s="17">
        <f>Reference!B26</f>
        <v>42100.703999999998</v>
      </c>
      <c r="E28" s="18">
        <f>Reference!C26</f>
        <v>39.957099999999997</v>
      </c>
      <c r="F28" s="18">
        <f>Reference!D26</f>
        <v>43.034700000000001</v>
      </c>
      <c r="G28" s="18">
        <f>Reference!E26</f>
        <v>43.925400000000003</v>
      </c>
      <c r="H28" s="18">
        <f>Reference!F26</f>
        <v>68296.054999999993</v>
      </c>
      <c r="I28" s="18">
        <f>Reference!G26</f>
        <v>14.271000000000001</v>
      </c>
      <c r="J28" s="19">
        <f t="shared" ref="J28:J46" si="7">H28/3600</f>
        <v>18.971126388888887</v>
      </c>
      <c r="L28" s="17">
        <f>Test!B26</f>
        <v>41712.671999999999</v>
      </c>
      <c r="M28" s="18">
        <f>Test!C26</f>
        <v>39.930900000000001</v>
      </c>
      <c r="N28" s="18">
        <f>Test!D26</f>
        <v>43.0349</v>
      </c>
      <c r="O28" s="18">
        <f>Test!E26</f>
        <v>43.9268</v>
      </c>
      <c r="P28" s="18">
        <f>Test!F26</f>
        <v>68051.133000000002</v>
      </c>
      <c r="Q28" s="18">
        <f>Test!G26</f>
        <v>14.127000000000001</v>
      </c>
      <c r="R28" s="18">
        <f t="shared" ref="R28:R46" si="8">P28/3600</f>
        <v>18.9030925</v>
      </c>
      <c r="S28" s="17">
        <f t="shared" ref="S28:S46" si="9">P28/H28</f>
        <v>0.99641381921693728</v>
      </c>
      <c r="T28" s="18">
        <f t="shared" ref="T28:T46" si="10">Q28/I28</f>
        <v>0.98990960689510199</v>
      </c>
      <c r="U28" s="91"/>
      <c r="V28" s="25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Reference!B27</f>
        <v>24764.7808</v>
      </c>
      <c r="E29" s="18">
        <f>Reference!C27</f>
        <v>37.729999999999997</v>
      </c>
      <c r="F29" s="18">
        <f>Reference!D27</f>
        <v>41.726300000000002</v>
      </c>
      <c r="G29" s="18">
        <f>Reference!E27</f>
        <v>42.641100000000002</v>
      </c>
      <c r="H29" s="18">
        <f>Reference!F27</f>
        <v>49855.336000000003</v>
      </c>
      <c r="I29" s="18">
        <f>Reference!G27</f>
        <v>12.176</v>
      </c>
      <c r="J29" s="19">
        <f t="shared" si="7"/>
        <v>13.848704444444445</v>
      </c>
      <c r="L29" s="17">
        <f>Test!B27</f>
        <v>24533.356800000001</v>
      </c>
      <c r="M29" s="18">
        <f>Test!C27</f>
        <v>37.703699999999998</v>
      </c>
      <c r="N29" s="18">
        <f>Test!D27</f>
        <v>41.734000000000002</v>
      </c>
      <c r="O29" s="18">
        <f>Test!E27</f>
        <v>42.630400000000002</v>
      </c>
      <c r="P29" s="18">
        <f>Test!F27</f>
        <v>48899.413999999997</v>
      </c>
      <c r="Q29" s="18">
        <f>Test!G27</f>
        <v>12.211</v>
      </c>
      <c r="R29" s="18">
        <f t="shared" si="8"/>
        <v>13.583170555555554</v>
      </c>
      <c r="S29" s="17">
        <f t="shared" si="9"/>
        <v>0.98082608449374398</v>
      </c>
      <c r="T29" s="18">
        <f t="shared" si="10"/>
        <v>1.0028745072273324</v>
      </c>
      <c r="U29" s="91"/>
      <c r="V29" s="25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Reference!B28</f>
        <v>12509.376</v>
      </c>
      <c r="E30" s="23">
        <f>Reference!C28</f>
        <v>35.034100000000002</v>
      </c>
      <c r="F30" s="23">
        <f>Reference!D28</f>
        <v>40.157600000000002</v>
      </c>
      <c r="G30" s="23">
        <f>Reference!E28</f>
        <v>41.0137</v>
      </c>
      <c r="H30" s="23">
        <f>Reference!F28</f>
        <v>31850.826000000001</v>
      </c>
      <c r="I30" s="23">
        <f>Reference!G28</f>
        <v>10.554</v>
      </c>
      <c r="J30" s="24">
        <f t="shared" si="7"/>
        <v>8.8474516666666663</v>
      </c>
      <c r="L30" s="22">
        <f>Test!B28</f>
        <v>12379.712</v>
      </c>
      <c r="M30" s="23">
        <f>Test!C28</f>
        <v>35.008899999999997</v>
      </c>
      <c r="N30" s="23">
        <f>Test!D28</f>
        <v>40.169499999999999</v>
      </c>
      <c r="O30" s="23">
        <f>Test!E28</f>
        <v>41.012300000000003</v>
      </c>
      <c r="P30" s="23">
        <f>Test!F28</f>
        <v>30714.335999999999</v>
      </c>
      <c r="Q30" s="23">
        <f>Test!G28</f>
        <v>10.015000000000001</v>
      </c>
      <c r="R30" s="23">
        <f t="shared" si="8"/>
        <v>8.5317600000000002</v>
      </c>
      <c r="S30" s="17">
        <f t="shared" si="9"/>
        <v>0.96431835080195405</v>
      </c>
      <c r="T30" s="18">
        <f t="shared" si="10"/>
        <v>0.94892931589918517</v>
      </c>
      <c r="U30" s="91"/>
      <c r="V30" s="51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Reference!B29</f>
        <v>39885.868799999997</v>
      </c>
      <c r="E31" s="13">
        <f>Reference!C29</f>
        <v>44.966799999999999</v>
      </c>
      <c r="F31" s="13">
        <f>Reference!D29</f>
        <v>47.611699999999999</v>
      </c>
      <c r="G31" s="13">
        <f>Reference!E29</f>
        <v>48.335799999999999</v>
      </c>
      <c r="H31" s="13">
        <f>Reference!F29</f>
        <v>62446.156000000003</v>
      </c>
      <c r="I31" s="13">
        <f>Reference!G29</f>
        <v>14.507999999999999</v>
      </c>
      <c r="J31" s="14">
        <f t="shared" si="7"/>
        <v>17.346154444444444</v>
      </c>
      <c r="L31" s="12">
        <f>Test!B29</f>
        <v>39540.710400000004</v>
      </c>
      <c r="M31" s="13">
        <f>Test!C29</f>
        <v>44.935200000000002</v>
      </c>
      <c r="N31" s="13">
        <f>Test!D29</f>
        <v>47.607900000000001</v>
      </c>
      <c r="O31" s="13">
        <f>Test!E29</f>
        <v>48.338799999999999</v>
      </c>
      <c r="P31" s="13">
        <f>Test!F29</f>
        <v>59737.93</v>
      </c>
      <c r="Q31" s="13">
        <f>Test!G29</f>
        <v>14.448</v>
      </c>
      <c r="R31" s="13">
        <f t="shared" si="8"/>
        <v>16.593869444444444</v>
      </c>
      <c r="S31" s="17">
        <f t="shared" si="9"/>
        <v>0.95663102145150447</v>
      </c>
      <c r="T31" s="18">
        <f t="shared" si="10"/>
        <v>0.99586435070306045</v>
      </c>
      <c r="U31" s="91"/>
      <c r="V31" s="42">
        <f>bdrate($D31:$D34,E31:E34,$L31:$L34,M31:M34)</f>
        <v>-3.0277419103047487E-3</v>
      </c>
      <c r="W31" s="42">
        <f>bdrate($D31:$D34,F31:F34,$L31:$L34,N31:N34)</f>
        <v>-5.3635002088472383E-3</v>
      </c>
      <c r="X31" s="42">
        <f>bdrate($D31:$D34,G31:G34,$L31:$L34,O31:O34)</f>
        <v>-7.9611190010556721E-3</v>
      </c>
      <c r="Y31" s="40">
        <f>bdrateOld($D31:$D34,E31:E34,$L31:$L34,M31:M34)</f>
        <v>-3.0280556202111342E-3</v>
      </c>
      <c r="Z31" s="44">
        <f>bdrateOld($D31:$D34,F31:F34,$L31:$L34,N31:N34)</f>
        <v>-5.1521657991532299E-3</v>
      </c>
      <c r="AA31" s="45">
        <f>bdrateOld($D31:$D34,G31:G34,$L31:$L34,O31:O34)</f>
        <v>-7.9568081333055707E-3</v>
      </c>
    </row>
    <row r="32" spans="1:27" x14ac:dyDescent="0.35">
      <c r="A32" s="16"/>
      <c r="B32" s="85"/>
      <c r="C32" s="16">
        <v>48</v>
      </c>
      <c r="D32" s="17">
        <f>Reference!B30</f>
        <v>26300.729599999999</v>
      </c>
      <c r="E32" s="18">
        <f>Reference!C30</f>
        <v>42.801400000000001</v>
      </c>
      <c r="F32" s="18">
        <f>Reference!D30</f>
        <v>46.006599999999999</v>
      </c>
      <c r="G32" s="18">
        <f>Reference!E30</f>
        <v>46.540500000000002</v>
      </c>
      <c r="H32" s="18">
        <f>Reference!F30</f>
        <v>50035.633000000002</v>
      </c>
      <c r="I32" s="18">
        <f>Reference!G30</f>
        <v>12.776999999999999</v>
      </c>
      <c r="J32" s="19">
        <f t="shared" si="7"/>
        <v>13.898786944444446</v>
      </c>
      <c r="L32" s="17">
        <f>Test!B30</f>
        <v>26056.460800000001</v>
      </c>
      <c r="M32" s="18">
        <f>Test!C30</f>
        <v>42.767699999999998</v>
      </c>
      <c r="N32" s="18">
        <f>Test!D30</f>
        <v>46.0075</v>
      </c>
      <c r="O32" s="18">
        <f>Test!E30</f>
        <v>46.536099999999998</v>
      </c>
      <c r="P32" s="18">
        <f>Test!F30</f>
        <v>48638.25</v>
      </c>
      <c r="Q32" s="18">
        <f>Test!G30</f>
        <v>12.475</v>
      </c>
      <c r="R32" s="18">
        <f t="shared" si="8"/>
        <v>13.510624999999999</v>
      </c>
      <c r="S32" s="17">
        <f t="shared" si="9"/>
        <v>0.97207224299530692</v>
      </c>
      <c r="T32" s="18">
        <f t="shared" si="10"/>
        <v>0.9763637786647883</v>
      </c>
      <c r="U32" s="91"/>
      <c r="V32" s="25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Reference!B31</f>
        <v>15577.062400000001</v>
      </c>
      <c r="E33" s="18">
        <f>Reference!C31</f>
        <v>40.109099999999998</v>
      </c>
      <c r="F33" s="18">
        <f>Reference!D31</f>
        <v>44.475200000000001</v>
      </c>
      <c r="G33" s="18">
        <f>Reference!E31</f>
        <v>44.719700000000003</v>
      </c>
      <c r="H33" s="18">
        <f>Reference!F31</f>
        <v>37083.195</v>
      </c>
      <c r="I33" s="18">
        <f>Reference!G31</f>
        <v>11.143000000000001</v>
      </c>
      <c r="J33" s="19">
        <f t="shared" si="7"/>
        <v>10.3008875</v>
      </c>
      <c r="L33" s="17">
        <f>Test!B31</f>
        <v>15441.3696</v>
      </c>
      <c r="M33" s="18">
        <f>Test!C31</f>
        <v>40.0809</v>
      </c>
      <c r="N33" s="18">
        <f>Test!D31</f>
        <v>44.455599999999997</v>
      </c>
      <c r="O33" s="18">
        <f>Test!E31</f>
        <v>44.716099999999997</v>
      </c>
      <c r="P33" s="18">
        <f>Test!F31</f>
        <v>36367.332000000002</v>
      </c>
      <c r="Q33" s="18">
        <f>Test!G31</f>
        <v>11.272</v>
      </c>
      <c r="R33" s="18">
        <f t="shared" si="8"/>
        <v>10.102036666666667</v>
      </c>
      <c r="S33" s="17">
        <f t="shared" si="9"/>
        <v>0.98069575720215052</v>
      </c>
      <c r="T33" s="18">
        <f t="shared" si="10"/>
        <v>1.0115767746567352</v>
      </c>
      <c r="U33" s="91"/>
      <c r="V33" s="25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Reference!B32</f>
        <v>8128.1535999999996</v>
      </c>
      <c r="E34" s="23">
        <f>Reference!C32</f>
        <v>37.033099999999997</v>
      </c>
      <c r="F34" s="23">
        <f>Reference!D32</f>
        <v>42.467399999999998</v>
      </c>
      <c r="G34" s="23">
        <f>Reference!E32</f>
        <v>42.491999999999997</v>
      </c>
      <c r="H34" s="23">
        <f>Reference!F32</f>
        <v>24071.43</v>
      </c>
      <c r="I34" s="23">
        <f>Reference!G32</f>
        <v>9.7279999999999998</v>
      </c>
      <c r="J34" s="24">
        <f t="shared" si="7"/>
        <v>6.6865083333333333</v>
      </c>
      <c r="L34" s="22">
        <f>Test!B32</f>
        <v>8055.1296000000002</v>
      </c>
      <c r="M34" s="23">
        <f>Test!C32</f>
        <v>37.008699999999997</v>
      </c>
      <c r="N34" s="23">
        <f>Test!D32</f>
        <v>42.448500000000003</v>
      </c>
      <c r="O34" s="23">
        <f>Test!E32</f>
        <v>42.4863</v>
      </c>
      <c r="P34" s="23">
        <f>Test!F32</f>
        <v>23584.373</v>
      </c>
      <c r="Q34" s="23">
        <f>Test!G32</f>
        <v>9.5470000000000006</v>
      </c>
      <c r="R34" s="23">
        <f t="shared" si="8"/>
        <v>6.5512147222222223</v>
      </c>
      <c r="S34" s="17">
        <f t="shared" si="9"/>
        <v>0.9797661792423632</v>
      </c>
      <c r="T34" s="18">
        <f t="shared" si="10"/>
        <v>0.98139391447368429</v>
      </c>
      <c r="U34" s="91"/>
      <c r="V34" s="51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Reference!B33</f>
        <v>54311.891199999998</v>
      </c>
      <c r="E35" s="13">
        <f>Reference!C33</f>
        <v>41.7911</v>
      </c>
      <c r="F35" s="13">
        <f>Reference!D33</f>
        <v>46.079099999999997</v>
      </c>
      <c r="G35" s="13">
        <f>Reference!E33</f>
        <v>46.3795</v>
      </c>
      <c r="H35" s="13">
        <f>Reference!F33</f>
        <v>52484.445</v>
      </c>
      <c r="I35" s="13">
        <f>Reference!G33</f>
        <v>9.1669999999999998</v>
      </c>
      <c r="J35" s="14">
        <f t="shared" si="7"/>
        <v>14.579012499999999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50666.574000000001</v>
      </c>
      <c r="Q35" s="13">
        <f>Test!G33</f>
        <v>9.2739999999999991</v>
      </c>
      <c r="R35" s="13">
        <f t="shared" si="8"/>
        <v>14.074048333333334</v>
      </c>
      <c r="S35" s="12">
        <f t="shared" si="9"/>
        <v>0.96536362345071958</v>
      </c>
      <c r="T35" s="13">
        <f t="shared" si="10"/>
        <v>1.0116723028253518</v>
      </c>
      <c r="U35" s="90"/>
      <c r="V35" s="42">
        <f>bdrate($D35:$D38,E35:E38,$L35:$L38,M35:M38)</f>
        <v>-3.1067879761261796E-3</v>
      </c>
      <c r="W35" s="42">
        <f>bdrate($D35:$D38,F35:F38,$L35:$L38,N35:N38)</f>
        <v>-7.3144296893130623E-3</v>
      </c>
      <c r="X35" s="42">
        <f>bdrate($D35:$D38,G35:G38,$L35:$L38,O35:O38)</f>
        <v>-8.8304913205977664E-3</v>
      </c>
      <c r="Y35" s="40">
        <f>bdrateOld($D35:$D38,E35:E38,$L35:$L38,M35:M38)</f>
        <v>-3.1146314268180042E-3</v>
      </c>
      <c r="Z35" s="44">
        <f>bdrateOld($D35:$D38,F35:F38,$L35:$L38,N35:N38)</f>
        <v>-7.3593637540182444E-3</v>
      </c>
      <c r="AA35" s="45">
        <f>bdrateOld($D35:$D38,G35:G38,$L35:$L38,O35:O38)</f>
        <v>-8.9232059372571504E-3</v>
      </c>
    </row>
    <row r="36" spans="1:27" x14ac:dyDescent="0.35">
      <c r="A36" s="16" t="s">
        <v>52</v>
      </c>
      <c r="B36" s="85"/>
      <c r="C36" s="16">
        <v>32</v>
      </c>
      <c r="D36" s="17">
        <f>Reference!B34</f>
        <v>37097.670400000003</v>
      </c>
      <c r="E36" s="18">
        <f>Reference!C34</f>
        <v>38.857799999999997</v>
      </c>
      <c r="F36" s="18">
        <f>Reference!D34</f>
        <v>44.326300000000003</v>
      </c>
      <c r="G36" s="18">
        <f>Reference!E34</f>
        <v>44.656300000000002</v>
      </c>
      <c r="H36" s="18">
        <f>Reference!F34</f>
        <v>44976.464999999997</v>
      </c>
      <c r="I36" s="18">
        <f>Reference!G34</f>
        <v>8.0649999999999995</v>
      </c>
      <c r="J36" s="19">
        <f t="shared" si="7"/>
        <v>12.4934625</v>
      </c>
      <c r="L36" s="17">
        <f>Test!B34</f>
        <v>36759.289599999996</v>
      </c>
      <c r="M36" s="18">
        <f>Test!C34</f>
        <v>38.811300000000003</v>
      </c>
      <c r="N36" s="18">
        <f>Test!D34</f>
        <v>44.322299999999998</v>
      </c>
      <c r="O36" s="18">
        <f>Test!E34</f>
        <v>44.660899999999998</v>
      </c>
      <c r="P36" s="18">
        <f>Test!F34</f>
        <v>42978.366999999998</v>
      </c>
      <c r="Q36" s="18">
        <f>Test!G34</f>
        <v>7.8810000000000002</v>
      </c>
      <c r="R36" s="18">
        <f t="shared" si="8"/>
        <v>11.938435277777778</v>
      </c>
      <c r="S36" s="17">
        <f t="shared" si="9"/>
        <v>0.95557458773160586</v>
      </c>
      <c r="T36" s="18">
        <f t="shared" si="10"/>
        <v>0.97718536887786744</v>
      </c>
      <c r="U36" s="91"/>
      <c r="V36" s="25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Reference!B35</f>
        <v>22070.272000000001</v>
      </c>
      <c r="E37" s="18">
        <f>Reference!C35</f>
        <v>35.467799999999997</v>
      </c>
      <c r="F37" s="18">
        <f>Reference!D35</f>
        <v>42.880400000000002</v>
      </c>
      <c r="G37" s="18">
        <f>Reference!E35</f>
        <v>43.21</v>
      </c>
      <c r="H37" s="18">
        <f>Reference!F35</f>
        <v>36480.065999999999</v>
      </c>
      <c r="I37" s="18">
        <f>Reference!G35</f>
        <v>6.8390000000000004</v>
      </c>
      <c r="J37" s="19">
        <f t="shared" si="7"/>
        <v>10.133351666666666</v>
      </c>
      <c r="L37" s="17">
        <f>Test!B35</f>
        <v>21831.2448</v>
      </c>
      <c r="M37" s="18">
        <f>Test!C35</f>
        <v>35.423699999999997</v>
      </c>
      <c r="N37" s="18">
        <f>Test!D35</f>
        <v>42.871499999999997</v>
      </c>
      <c r="O37" s="18">
        <f>Test!E35</f>
        <v>43.200699999999998</v>
      </c>
      <c r="P37" s="18">
        <f>Test!F35</f>
        <v>35277.605000000003</v>
      </c>
      <c r="Q37" s="18">
        <f>Test!G35</f>
        <v>6.8090000000000002</v>
      </c>
      <c r="R37" s="18">
        <f t="shared" si="8"/>
        <v>9.7993347222222233</v>
      </c>
      <c r="S37" s="17">
        <f t="shared" si="9"/>
        <v>0.96703786117053636</v>
      </c>
      <c r="T37" s="18">
        <f t="shared" si="10"/>
        <v>0.9956133937710191</v>
      </c>
      <c r="U37" s="91"/>
      <c r="V37" s="25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Reference!B36</f>
        <v>10883.468800000001</v>
      </c>
      <c r="E38" s="23">
        <f>Reference!C36</f>
        <v>31.8308</v>
      </c>
      <c r="F38" s="23">
        <f>Reference!D36</f>
        <v>41.508099999999999</v>
      </c>
      <c r="G38" s="23">
        <f>Reference!E36</f>
        <v>41.683300000000003</v>
      </c>
      <c r="H38" s="23">
        <f>Reference!F36</f>
        <v>25924.891</v>
      </c>
      <c r="I38" s="23">
        <f>Reference!G36</f>
        <v>5.4489999999999998</v>
      </c>
      <c r="J38" s="24">
        <f t="shared" si="7"/>
        <v>7.201358611111111</v>
      </c>
      <c r="L38" s="22">
        <f>Test!B36</f>
        <v>10756.2176</v>
      </c>
      <c r="M38" s="23">
        <f>Test!C36</f>
        <v>31.796500000000002</v>
      </c>
      <c r="N38" s="23">
        <f>Test!D36</f>
        <v>41.5002</v>
      </c>
      <c r="O38" s="23">
        <f>Test!E36</f>
        <v>41.678800000000003</v>
      </c>
      <c r="P38" s="23">
        <f>Test!F36</f>
        <v>25701.65</v>
      </c>
      <c r="Q38" s="23">
        <f>Test!G36</f>
        <v>5.4219999999999997</v>
      </c>
      <c r="R38" s="23">
        <f t="shared" si="8"/>
        <v>7.1393472222222227</v>
      </c>
      <c r="S38" s="17">
        <f t="shared" si="9"/>
        <v>0.99138893197275169</v>
      </c>
      <c r="T38" s="18">
        <f t="shared" si="10"/>
        <v>0.995044962378418</v>
      </c>
      <c r="U38" s="91"/>
      <c r="V38" s="51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Reference!B37</f>
        <v>20345.894400000001</v>
      </c>
      <c r="E39" s="13">
        <f>Reference!C37</f>
        <v>42.721299999999999</v>
      </c>
      <c r="F39" s="13">
        <f>Reference!D37</f>
        <v>45.483499999999999</v>
      </c>
      <c r="G39" s="13">
        <f>Reference!E37</f>
        <v>47.045699999999997</v>
      </c>
      <c r="H39" s="13">
        <f>Reference!F37</f>
        <v>34573.527000000002</v>
      </c>
      <c r="I39" s="13">
        <f>Reference!G37</f>
        <v>6.3310000000000004</v>
      </c>
      <c r="J39" s="14">
        <f t="shared" si="7"/>
        <v>9.6037575000000004</v>
      </c>
      <c r="L39" s="12">
        <f>Test!B37</f>
        <v>20107.385600000001</v>
      </c>
      <c r="M39" s="13">
        <f>Test!C37</f>
        <v>42.69</v>
      </c>
      <c r="N39" s="13">
        <f>Test!D37</f>
        <v>45.481200000000001</v>
      </c>
      <c r="O39" s="13">
        <f>Test!E37</f>
        <v>47.031799999999997</v>
      </c>
      <c r="P39" s="13">
        <f>Test!F37</f>
        <v>33568.300999999999</v>
      </c>
      <c r="Q39" s="13">
        <f>Test!G37</f>
        <v>6.2670000000000003</v>
      </c>
      <c r="R39" s="13">
        <f t="shared" si="8"/>
        <v>9.3245280555555556</v>
      </c>
      <c r="S39" s="17">
        <f t="shared" si="9"/>
        <v>0.97092497968170843</v>
      </c>
      <c r="T39" s="18">
        <f t="shared" si="10"/>
        <v>0.98989101247828148</v>
      </c>
      <c r="U39" s="91"/>
      <c r="V39" s="42">
        <f>bdrate($D39:$D42,E39:E42,$L39:$L42,M39:M42)</f>
        <v>-3.4710742511588899E-3</v>
      </c>
      <c r="W39" s="42">
        <f>bdrate($D39:$D42,F39:F42,$L39:$L42,N39:N42)</f>
        <v>-9.3116845234513246E-3</v>
      </c>
      <c r="X39" s="42">
        <f>bdrate($D39:$D42,G39:G42,$L39:$L42,O39:O42)</f>
        <v>-8.6001939936580785E-3</v>
      </c>
      <c r="Y39" s="40">
        <f>bdrateOld($D39:$D42,E39:E42,$L39:$L42,M39:M42)</f>
        <v>-3.4301783415988663E-3</v>
      </c>
      <c r="Z39" s="44">
        <f>bdrateOld($D39:$D42,F39:F42,$L39:$L42,N39:N42)</f>
        <v>-9.0772339313195394E-3</v>
      </c>
      <c r="AA39" s="45">
        <f>bdrateOld($D39:$D42,G39:G42,$L39:$L42,O39:O42)</f>
        <v>-8.7087778730630117E-3</v>
      </c>
    </row>
    <row r="40" spans="1:27" x14ac:dyDescent="0.35">
      <c r="A40" s="16"/>
      <c r="B40" s="85"/>
      <c r="C40" s="16">
        <v>32</v>
      </c>
      <c r="D40" s="17">
        <f>Reference!B38</f>
        <v>11544.6976</v>
      </c>
      <c r="E40" s="18">
        <f>Reference!C38</f>
        <v>40.692</v>
      </c>
      <c r="F40" s="18">
        <f>Reference!D38</f>
        <v>44.566499999999998</v>
      </c>
      <c r="G40" s="18">
        <f>Reference!E38</f>
        <v>45.411900000000003</v>
      </c>
      <c r="H40" s="18">
        <f>Reference!F38</f>
        <v>24981.219000000001</v>
      </c>
      <c r="I40" s="18">
        <f>Reference!G38</f>
        <v>5.3390000000000004</v>
      </c>
      <c r="J40" s="19">
        <f t="shared" si="7"/>
        <v>6.9392275000000003</v>
      </c>
      <c r="L40" s="17">
        <f>Test!B38</f>
        <v>11409.843199999999</v>
      </c>
      <c r="M40" s="18">
        <f>Test!C38</f>
        <v>40.6663</v>
      </c>
      <c r="N40" s="18">
        <f>Test!D38</f>
        <v>44.567500000000003</v>
      </c>
      <c r="O40" s="18">
        <f>Test!E38</f>
        <v>45.400300000000001</v>
      </c>
      <c r="P40" s="18">
        <f>Test!F38</f>
        <v>25169.565999999999</v>
      </c>
      <c r="Q40" s="18">
        <f>Test!G38</f>
        <v>5.3280000000000003</v>
      </c>
      <c r="R40" s="18">
        <f t="shared" si="8"/>
        <v>6.991546111111111</v>
      </c>
      <c r="S40" s="17">
        <f t="shared" si="9"/>
        <v>1.0075395440070398</v>
      </c>
      <c r="T40" s="18">
        <f t="shared" si="10"/>
        <v>0.99793968908035213</v>
      </c>
      <c r="U40" s="91"/>
      <c r="V40" s="25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Reference!B39</f>
        <v>6390.5856000000003</v>
      </c>
      <c r="E41" s="18">
        <f>Reference!C39</f>
        <v>38.687199999999997</v>
      </c>
      <c r="F41" s="18">
        <f>Reference!D39</f>
        <v>43.623100000000001</v>
      </c>
      <c r="G41" s="18">
        <f>Reference!E39</f>
        <v>43.628900000000002</v>
      </c>
      <c r="H41" s="18">
        <f>Reference!F39</f>
        <v>17156.363000000001</v>
      </c>
      <c r="I41" s="18">
        <f>Reference!G39</f>
        <v>4.8460000000000001</v>
      </c>
      <c r="J41" s="19">
        <f t="shared" si="7"/>
        <v>4.765656388888889</v>
      </c>
      <c r="L41" s="17">
        <f>Test!B39</f>
        <v>6331.4687999999996</v>
      </c>
      <c r="M41" s="18">
        <f>Test!C39</f>
        <v>38.6648</v>
      </c>
      <c r="N41" s="18">
        <f>Test!D39</f>
        <v>43.620399999999997</v>
      </c>
      <c r="O41" s="18">
        <f>Test!E39</f>
        <v>43.6327</v>
      </c>
      <c r="P41" s="18">
        <f>Test!F39</f>
        <v>17199.063999999998</v>
      </c>
      <c r="Q41" s="18">
        <f>Test!G39</f>
        <v>4.6230000000000002</v>
      </c>
      <c r="R41" s="18">
        <f t="shared" si="8"/>
        <v>4.7775177777777778</v>
      </c>
      <c r="S41" s="17">
        <f t="shared" si="9"/>
        <v>1.00248893078329</v>
      </c>
      <c r="T41" s="18">
        <f t="shared" si="10"/>
        <v>0.95398266611638471</v>
      </c>
      <c r="U41" s="91"/>
      <c r="V41" s="25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Reference!B40</f>
        <v>3257.3760000000002</v>
      </c>
      <c r="E42" s="23">
        <f>Reference!C40</f>
        <v>36.308300000000003</v>
      </c>
      <c r="F42" s="23">
        <f>Reference!D40</f>
        <v>42.318100000000001</v>
      </c>
      <c r="G42" s="23">
        <f>Reference!E40</f>
        <v>41.470599999999997</v>
      </c>
      <c r="H42" s="23">
        <f>Reference!F40</f>
        <v>10689.63</v>
      </c>
      <c r="I42" s="23">
        <f>Reference!G40</f>
        <v>4.0170000000000003</v>
      </c>
      <c r="J42" s="24">
        <f t="shared" si="7"/>
        <v>2.9693416666666663</v>
      </c>
      <c r="L42" s="22">
        <f>Test!B40</f>
        <v>3230.4895999999999</v>
      </c>
      <c r="M42" s="23">
        <f>Test!C40</f>
        <v>36.290999999999997</v>
      </c>
      <c r="N42" s="23">
        <f>Test!D40</f>
        <v>42.315899999999999</v>
      </c>
      <c r="O42" s="23">
        <f>Test!E40</f>
        <v>41.464500000000001</v>
      </c>
      <c r="P42" s="23">
        <f>Test!F40</f>
        <v>10532.496999999999</v>
      </c>
      <c r="Q42" s="23">
        <f>Test!G40</f>
        <v>3.9590000000000001</v>
      </c>
      <c r="R42" s="23">
        <f t="shared" si="8"/>
        <v>2.9256936111111109</v>
      </c>
      <c r="S42" s="17">
        <f t="shared" si="9"/>
        <v>0.98530042667519835</v>
      </c>
      <c r="T42" s="18">
        <f t="shared" si="10"/>
        <v>0.9855613642021408</v>
      </c>
      <c r="U42" s="91"/>
      <c r="V42" s="51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Reference!B41</f>
        <v>15254.316800000001</v>
      </c>
      <c r="E43" s="13">
        <f>Reference!C41</f>
        <v>44.251600000000003</v>
      </c>
      <c r="F43" s="13">
        <f>Reference!D41</f>
        <v>47.072600000000001</v>
      </c>
      <c r="G43" s="13">
        <f>Reference!E41</f>
        <v>47.968499999999999</v>
      </c>
      <c r="H43" s="13">
        <f>Reference!F41</f>
        <v>27545.645</v>
      </c>
      <c r="I43" s="13">
        <f>Reference!G41</f>
        <v>6.1420000000000003</v>
      </c>
      <c r="J43" s="14">
        <f t="shared" si="7"/>
        <v>7.6515680555555559</v>
      </c>
      <c r="L43" s="12">
        <f>Test!B41</f>
        <v>15114.5152</v>
      </c>
      <c r="M43" s="13">
        <f>Test!C41</f>
        <v>44.225700000000003</v>
      </c>
      <c r="N43" s="13">
        <f>Test!D41</f>
        <v>47.0792</v>
      </c>
      <c r="O43" s="13">
        <f>Test!E41</f>
        <v>47.969700000000003</v>
      </c>
      <c r="P43" s="13">
        <f>Test!F41</f>
        <v>26691.456999999999</v>
      </c>
      <c r="Q43" s="13">
        <f>Test!G41</f>
        <v>6.0449999999999999</v>
      </c>
      <c r="R43" s="13">
        <f t="shared" si="8"/>
        <v>7.4142936111111108</v>
      </c>
      <c r="S43" s="17">
        <f t="shared" si="9"/>
        <v>0.96899008899591921</v>
      </c>
      <c r="T43" s="18">
        <f t="shared" si="10"/>
        <v>0.98420709866492995</v>
      </c>
      <c r="U43" s="91"/>
      <c r="V43" s="42">
        <f>bdrate($D43:$D46,E43:E46,$L43:$L46,M43:M46)</f>
        <v>-2.5031544399590766E-3</v>
      </c>
      <c r="W43" s="42">
        <f>bdrate($D43:$D46,F43:F46,$L43:$L46,N43:N46)</f>
        <v>-5.5921294862717463E-3</v>
      </c>
      <c r="X43" s="42">
        <f>bdrate($D43:$D46,G43:G46,$L43:$L46,O43:O46)</f>
        <v>-6.1213264791626365E-3</v>
      </c>
      <c r="Y43" s="40">
        <f>bdrateOld($D43:$D46,E43:E46,$L43:$L46,M43:M46)</f>
        <v>-2.5242263874679649E-3</v>
      </c>
      <c r="Z43" s="44">
        <f>bdrateOld($D43:$D46,F43:F46,$L43:$L46,N43:N46)</f>
        <v>-5.4720956676462817E-3</v>
      </c>
      <c r="AA43" s="45">
        <f>bdrateOld($D43:$D46,G43:G46,$L43:$L46,O43:O46)</f>
        <v>-6.1330436215298878E-3</v>
      </c>
    </row>
    <row r="44" spans="1:27" x14ac:dyDescent="0.35">
      <c r="A44" s="16"/>
      <c r="B44" s="85"/>
      <c r="C44" s="16">
        <v>32</v>
      </c>
      <c r="D44" s="17">
        <f>Reference!B42</f>
        <v>10340.563200000001</v>
      </c>
      <c r="E44" s="18">
        <f>Reference!C42</f>
        <v>42.521999999999998</v>
      </c>
      <c r="F44" s="18">
        <f>Reference!D42</f>
        <v>45.932099999999998</v>
      </c>
      <c r="G44" s="18">
        <f>Reference!E42</f>
        <v>46.647500000000001</v>
      </c>
      <c r="H44" s="18">
        <f>Reference!F42</f>
        <v>21533.053</v>
      </c>
      <c r="I44" s="18">
        <f>Reference!G42</f>
        <v>5.4619999999999997</v>
      </c>
      <c r="J44" s="19">
        <f t="shared" si="7"/>
        <v>5.9814036111111113</v>
      </c>
      <c r="L44" s="17">
        <f>Test!B42</f>
        <v>10258.822399999999</v>
      </c>
      <c r="M44" s="18">
        <f>Test!C42</f>
        <v>42.495899999999999</v>
      </c>
      <c r="N44" s="18">
        <f>Test!D42</f>
        <v>45.927500000000002</v>
      </c>
      <c r="O44" s="18">
        <f>Test!E42</f>
        <v>46.6449</v>
      </c>
      <c r="P44" s="18">
        <f>Test!F42</f>
        <v>20802.195</v>
      </c>
      <c r="Q44" s="18">
        <f>Test!G42</f>
        <v>5.319</v>
      </c>
      <c r="R44" s="18">
        <f t="shared" si="8"/>
        <v>5.7783875</v>
      </c>
      <c r="S44" s="17">
        <f t="shared" si="9"/>
        <v>0.96605878413989876</v>
      </c>
      <c r="T44" s="18">
        <f t="shared" si="10"/>
        <v>0.97381911387770048</v>
      </c>
      <c r="U44" s="91"/>
      <c r="V44" s="25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Reference!B43</f>
        <v>6521.3440000000001</v>
      </c>
      <c r="E45" s="18">
        <f>Reference!C43</f>
        <v>40.183799999999998</v>
      </c>
      <c r="F45" s="18">
        <f>Reference!D43</f>
        <v>44.602200000000003</v>
      </c>
      <c r="G45" s="18">
        <f>Reference!E43</f>
        <v>45.1096</v>
      </c>
      <c r="H45" s="18">
        <f>Reference!F43</f>
        <v>15882.450999999999</v>
      </c>
      <c r="I45" s="18">
        <f>Reference!G43</f>
        <v>4.8620000000000001</v>
      </c>
      <c r="J45" s="19">
        <f t="shared" si="7"/>
        <v>4.4117919444444444</v>
      </c>
      <c r="L45" s="17">
        <f>Test!B43</f>
        <v>6478.7071999999998</v>
      </c>
      <c r="M45" s="18">
        <f>Test!C43</f>
        <v>40.162300000000002</v>
      </c>
      <c r="N45" s="18">
        <f>Test!D43</f>
        <v>44.5916</v>
      </c>
      <c r="O45" s="18">
        <f>Test!E43</f>
        <v>45.1053</v>
      </c>
      <c r="P45" s="18">
        <f>Test!F43</f>
        <v>15636.183999999999</v>
      </c>
      <c r="Q45" s="18">
        <f>Test!G43</f>
        <v>4.8369999999999997</v>
      </c>
      <c r="R45" s="18">
        <f t="shared" si="8"/>
        <v>4.3433844444444443</v>
      </c>
      <c r="S45" s="17">
        <f t="shared" si="9"/>
        <v>0.98449439573274933</v>
      </c>
      <c r="T45" s="18">
        <f t="shared" si="10"/>
        <v>0.99485808309337709</v>
      </c>
      <c r="U45" s="91"/>
      <c r="V45" s="25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Reference!B44</f>
        <v>3780.0511999999999</v>
      </c>
      <c r="E46" s="23">
        <f>Reference!C44</f>
        <v>37.201799999999999</v>
      </c>
      <c r="F46" s="23">
        <f>Reference!D44</f>
        <v>42.876100000000001</v>
      </c>
      <c r="G46" s="23">
        <f>Reference!E44</f>
        <v>43.076500000000003</v>
      </c>
      <c r="H46" s="23">
        <f>Reference!F44</f>
        <v>10810.636</v>
      </c>
      <c r="I46" s="23">
        <f>Reference!G44</f>
        <v>4.2249999999999996</v>
      </c>
      <c r="J46" s="24">
        <f t="shared" si="7"/>
        <v>3.0029544444444447</v>
      </c>
      <c r="L46" s="22">
        <f>Test!B44</f>
        <v>3752.7424000000001</v>
      </c>
      <c r="M46" s="23">
        <f>Test!C44</f>
        <v>37.174399999999999</v>
      </c>
      <c r="N46" s="23">
        <f>Test!D44</f>
        <v>42.877600000000001</v>
      </c>
      <c r="O46" s="23">
        <f>Test!E44</f>
        <v>43.065100000000001</v>
      </c>
      <c r="P46" s="23">
        <f>Test!F44</f>
        <v>10640.387000000001</v>
      </c>
      <c r="Q46" s="23">
        <f>Test!G44</f>
        <v>4.2830000000000004</v>
      </c>
      <c r="R46" s="23">
        <f t="shared" si="8"/>
        <v>2.9556630555555556</v>
      </c>
      <c r="S46" s="17">
        <f t="shared" si="9"/>
        <v>0.98425171285019686</v>
      </c>
      <c r="T46" s="18">
        <f t="shared" si="10"/>
        <v>1.0137278106508878</v>
      </c>
      <c r="U46" s="91"/>
      <c r="V46" s="51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Reference!B45</f>
        <v>16541.024000000001</v>
      </c>
      <c r="E47" s="13">
        <f>Reference!C45</f>
        <v>44.197899999999997</v>
      </c>
      <c r="F47" s="13">
        <f>Reference!D45</f>
        <v>48.792700000000004</v>
      </c>
      <c r="G47" s="13">
        <f>Reference!E45</f>
        <v>48.464700000000001</v>
      </c>
      <c r="H47" s="13">
        <f>Reference!F45</f>
        <v>27634.607</v>
      </c>
      <c r="I47" s="13">
        <f>Reference!G45</f>
        <v>5.6909999999999998</v>
      </c>
      <c r="J47" s="14">
        <f>H47/3600</f>
        <v>7.6762797222222225</v>
      </c>
      <c r="L47" s="12">
        <f>Test!B45</f>
        <v>16384.947199999999</v>
      </c>
      <c r="M47" s="13">
        <f>Test!C45</f>
        <v>44.169199999999996</v>
      </c>
      <c r="N47" s="13">
        <f>Test!D45</f>
        <v>48.808399999999999</v>
      </c>
      <c r="O47" s="13">
        <f>Test!E45</f>
        <v>48.461799999999997</v>
      </c>
      <c r="P47" s="13">
        <f>Test!F45</f>
        <v>27058.868999999999</v>
      </c>
      <c r="Q47" s="13">
        <f>Test!G45</f>
        <v>5.7690000000000001</v>
      </c>
      <c r="R47" s="13">
        <f>P47/3600</f>
        <v>7.5163525</v>
      </c>
      <c r="S47" s="17">
        <f>P47/H47</f>
        <v>0.97916605074210028</v>
      </c>
      <c r="T47" s="18">
        <f>Q47/I47</f>
        <v>1.0137058513442279</v>
      </c>
      <c r="U47" s="91"/>
      <c r="V47" s="42">
        <f>bdrate($D47:$D50,E47:E50,$L47:$L50,M47:M50)</f>
        <v>-2.535538716047947E-3</v>
      </c>
      <c r="W47" s="42">
        <f>bdrate($D47:$D50,F47:F50,$L47:$L50,N47:N50)</f>
        <v>-1.0873867281448124E-2</v>
      </c>
      <c r="X47" s="43">
        <f>bdrate($D47:$D50,G47:G50,$L47:$L50,O47:O50)</f>
        <v>-8.6435461908580535E-3</v>
      </c>
      <c r="Y47" s="37">
        <f>bdrateOld($D47:$D50,E47:E50,$L47:$L50,M47:M50)</f>
        <v>-2.4816126702064123E-3</v>
      </c>
      <c r="Z47" s="42">
        <f>bdrateOld($D47:$D50,F47:F50,$L47:$L50,N47:N50)</f>
        <v>-1.0789228874787948E-2</v>
      </c>
      <c r="AA47" s="43">
        <f>bdrateOld($D47:$D50,G47:G50,$L47:$L50,O47:O50)</f>
        <v>-8.9360059120369151E-3</v>
      </c>
    </row>
    <row r="48" spans="1:27" x14ac:dyDescent="0.35">
      <c r="A48" s="16"/>
      <c r="B48" s="85"/>
      <c r="C48" s="16">
        <v>32</v>
      </c>
      <c r="D48" s="17">
        <f>Reference!B46</f>
        <v>11481.785599999999</v>
      </c>
      <c r="E48" s="18">
        <f>Reference!C46</f>
        <v>42.458399999999997</v>
      </c>
      <c r="F48" s="18">
        <f>Reference!D46</f>
        <v>47.803199999999997</v>
      </c>
      <c r="G48" s="18">
        <f>Reference!E46</f>
        <v>46.982100000000003</v>
      </c>
      <c r="H48" s="18">
        <f>Reference!F46</f>
        <v>21886.168000000001</v>
      </c>
      <c r="I48" s="18">
        <f>Reference!G46</f>
        <v>5.1349999999999998</v>
      </c>
      <c r="J48" s="19">
        <f t="shared" ref="J48:J70" si="11">H48/3600</f>
        <v>6.0794911111111114</v>
      </c>
      <c r="L48" s="17">
        <f>Test!B46</f>
        <v>11391.315199999999</v>
      </c>
      <c r="M48" s="18">
        <f>Test!C46</f>
        <v>42.431699999999999</v>
      </c>
      <c r="N48" s="18">
        <f>Test!D46</f>
        <v>47.805</v>
      </c>
      <c r="O48" s="18">
        <f>Test!E46</f>
        <v>46.991999999999997</v>
      </c>
      <c r="P48" s="18">
        <f>Test!F46</f>
        <v>21453.752</v>
      </c>
      <c r="Q48" s="18">
        <f>Test!G46</f>
        <v>5.1100000000000003</v>
      </c>
      <c r="R48" s="18">
        <f t="shared" ref="R48:R70" si="12">P48/3600</f>
        <v>5.9593755555555559</v>
      </c>
      <c r="S48" s="17">
        <f t="shared" ref="S48:S70" si="13">P48/H48</f>
        <v>0.98024249836700506</v>
      </c>
      <c r="T48" s="18">
        <f t="shared" ref="T48:T70" si="14">Q48/I48</f>
        <v>0.99513145082765342</v>
      </c>
      <c r="U48" s="91"/>
      <c r="V48" s="25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Reference!B47</f>
        <v>7469.8047999999999</v>
      </c>
      <c r="E49" s="18">
        <f>Reference!C47</f>
        <v>40.0837</v>
      </c>
      <c r="F49" s="18">
        <f>Reference!D47</f>
        <v>46.613700000000001</v>
      </c>
      <c r="G49" s="18">
        <f>Reference!E47</f>
        <v>45.299399999999999</v>
      </c>
      <c r="H49" s="18">
        <f>Reference!F47</f>
        <v>16169.558000000001</v>
      </c>
      <c r="I49" s="18">
        <f>Reference!G47</f>
        <v>4.47</v>
      </c>
      <c r="J49" s="19">
        <f t="shared" si="11"/>
        <v>4.4915438888888888</v>
      </c>
      <c r="L49" s="17">
        <f>Test!B47</f>
        <v>7412.5951999999997</v>
      </c>
      <c r="M49" s="18">
        <f>Test!C47</f>
        <v>40.051200000000001</v>
      </c>
      <c r="N49" s="18">
        <f>Test!D47</f>
        <v>46.616399999999999</v>
      </c>
      <c r="O49" s="18">
        <f>Test!E47</f>
        <v>45.3123</v>
      </c>
      <c r="P49" s="18">
        <f>Test!F47</f>
        <v>16203.743</v>
      </c>
      <c r="Q49" s="18">
        <f>Test!G47</f>
        <v>4.718</v>
      </c>
      <c r="R49" s="18">
        <f t="shared" si="12"/>
        <v>4.501039722222222</v>
      </c>
      <c r="S49" s="17">
        <f t="shared" si="13"/>
        <v>1.0021141579751283</v>
      </c>
      <c r="T49" s="18">
        <f t="shared" si="14"/>
        <v>1.0554809843400448</v>
      </c>
      <c r="U49" s="91"/>
      <c r="V49" s="25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Reference!B48</f>
        <v>4347.5328</v>
      </c>
      <c r="E50" s="23">
        <f>Reference!C48</f>
        <v>36.869</v>
      </c>
      <c r="F50" s="23">
        <f>Reference!D48</f>
        <v>44.725700000000003</v>
      </c>
      <c r="G50" s="23">
        <f>Reference!E48</f>
        <v>43.040999999999997</v>
      </c>
      <c r="H50" s="23">
        <f>Reference!F48</f>
        <v>11323.312</v>
      </c>
      <c r="I50" s="23">
        <f>Reference!G48</f>
        <v>3.9540000000000002</v>
      </c>
      <c r="J50" s="24">
        <f t="shared" si="11"/>
        <v>3.1453644444444446</v>
      </c>
      <c r="L50" s="22">
        <f>Test!B48</f>
        <v>4304.9215999999997</v>
      </c>
      <c r="M50" s="23">
        <f>Test!C48</f>
        <v>36.829799999999999</v>
      </c>
      <c r="N50" s="23">
        <f>Test!D48</f>
        <v>44.759900000000002</v>
      </c>
      <c r="O50" s="23">
        <f>Test!E48</f>
        <v>42.994399999999999</v>
      </c>
      <c r="P50" s="23">
        <f>Test!F48</f>
        <v>11340.72</v>
      </c>
      <c r="Q50" s="23">
        <f>Test!G48</f>
        <v>3.988</v>
      </c>
      <c r="R50" s="23">
        <f t="shared" si="12"/>
        <v>3.1501999999999999</v>
      </c>
      <c r="S50" s="22">
        <f t="shared" si="13"/>
        <v>1.0015373593874302</v>
      </c>
      <c r="T50" s="23">
        <f t="shared" si="14"/>
        <v>1.0085988872028324</v>
      </c>
      <c r="U50" s="92"/>
      <c r="V50" s="51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ht="12" x14ac:dyDescent="0.35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35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35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35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24.422975431941687</v>
      </c>
      <c r="J75" s="15">
        <f>GEOMEAN(J3:J18)</f>
        <v>24.760307687099168</v>
      </c>
      <c r="Q75" s="15">
        <f>GEOMEAN(Q3:Q18)</f>
        <v>24.251313538612635</v>
      </c>
      <c r="R75" s="15">
        <f>GEOMEAN(R3:R18)</f>
        <v>24.199539941348036</v>
      </c>
      <c r="S75" s="15">
        <f>GEOMEAN(S3:S18)</f>
        <v>0.97735214954363003</v>
      </c>
      <c r="T75" s="15">
        <f>GEOMEAN(T3:T18)</f>
        <v>0.99297129484458535</v>
      </c>
      <c r="V75" s="37">
        <f>AVERAGE(V3:V18)</f>
        <v>-4.1690971203244831E-3</v>
      </c>
      <c r="W75" s="42">
        <f t="shared" ref="W75:AA75" si="19">AVERAGE(W3:W18)</f>
        <v>-5.6504782537243337E-3</v>
      </c>
      <c r="X75" s="42">
        <f t="shared" si="19"/>
        <v>-7.5991619579306169E-3</v>
      </c>
      <c r="Y75" s="37">
        <f>AVERAGE(Y3:Y18)</f>
        <v>-4.064770305933163E-3</v>
      </c>
      <c r="Z75" s="42">
        <f t="shared" si="19"/>
        <v>-5.371418962902913E-3</v>
      </c>
      <c r="AA75" s="43">
        <f t="shared" si="19"/>
        <v>-7.5769478587346673E-3</v>
      </c>
    </row>
    <row r="76" spans="1:27" ht="12" x14ac:dyDescent="0.35">
      <c r="B76" s="89" t="s">
        <v>47</v>
      </c>
      <c r="I76" s="15">
        <f>GEOMEAN(I19:I34)</f>
        <v>11.799107838474358</v>
      </c>
      <c r="J76" s="15">
        <f>GEOMEAN(J19:J34)</f>
        <v>13.259731954210457</v>
      </c>
      <c r="Q76" s="15">
        <f>GEOMEAN(Q19:Q34)</f>
        <v>11.669277711186821</v>
      </c>
      <c r="R76" s="15">
        <f>GEOMEAN(R19:R34)</f>
        <v>13.008497640113319</v>
      </c>
      <c r="S76" s="15">
        <f>GEOMEAN(S19:S34)</f>
        <v>0.98105283613841376</v>
      </c>
      <c r="T76" s="15">
        <f>GEOMEAN(T19:T34)</f>
        <v>0.98899661490810453</v>
      </c>
      <c r="V76" s="40">
        <f>AVERAGE(V19:V34)</f>
        <v>-3.7109974581309435E-3</v>
      </c>
      <c r="W76" s="44">
        <f t="shared" ref="W76:AA76" si="20">AVERAGE(W19:W34)</f>
        <v>-1.0597506031096521E-2</v>
      </c>
      <c r="X76" s="44">
        <f t="shared" si="20"/>
        <v>-8.6164423328111417E-3</v>
      </c>
      <c r="Y76" s="40">
        <f t="shared" si="20"/>
        <v>-3.668581337881005E-3</v>
      </c>
      <c r="Z76" s="44">
        <f t="shared" si="20"/>
        <v>-1.0415385716922687E-2</v>
      </c>
      <c r="AA76" s="45">
        <f t="shared" si="20"/>
        <v>-8.5123491168510312E-3</v>
      </c>
    </row>
    <row r="77" spans="1:27" ht="12" x14ac:dyDescent="0.35">
      <c r="B77" s="89" t="s">
        <v>51</v>
      </c>
      <c r="I77" s="15">
        <f>GEOMEAN(I35:I50)</f>
        <v>5.4715255366622095</v>
      </c>
      <c r="J77" s="15">
        <f>GEOMEAN(J35:J50)</f>
        <v>6.219346137675279</v>
      </c>
      <c r="Q77" s="15">
        <f>GEOMEAN(Q35:Q50)</f>
        <v>5.4519340939156642</v>
      </c>
      <c r="R77" s="15">
        <f>GEOMEAN(R35:R50)</f>
        <v>6.10684582269137</v>
      </c>
      <c r="S77" s="15">
        <f>GEOMEAN(S35:S50)</f>
        <v>0.98191123110154466</v>
      </c>
      <c r="T77" s="15">
        <f>GEOMEAN(T35:T50)</f>
        <v>0.99641938201416191</v>
      </c>
      <c r="V77" s="40">
        <f>AVERAGE(V35:V50)</f>
        <v>-2.9041388458230233E-3</v>
      </c>
      <c r="W77" s="44">
        <f t="shared" ref="W77:AA77" si="21">AVERAGE(W35:W50)</f>
        <v>-8.2730277451210643E-3</v>
      </c>
      <c r="X77" s="44">
        <f t="shared" si="21"/>
        <v>-8.0488894960691337E-3</v>
      </c>
      <c r="Y77" s="40">
        <f t="shared" si="21"/>
        <v>-2.8876622065228119E-3</v>
      </c>
      <c r="Z77" s="44">
        <f t="shared" si="21"/>
        <v>-8.1744805569430035E-3</v>
      </c>
      <c r="AA77" s="45">
        <f t="shared" si="21"/>
        <v>-8.1752583359717412E-3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11.639081908681668</v>
      </c>
      <c r="J80" s="54">
        <f xml:space="preserve"> GEOMEAN(J3:J50)</f>
        <v>12.686597750869463</v>
      </c>
      <c r="K80" s="4"/>
      <c r="L80" s="4"/>
      <c r="M80" s="4"/>
      <c r="N80" s="4"/>
      <c r="O80" s="4"/>
      <c r="P80" s="4"/>
      <c r="Q80" s="54">
        <f xml:space="preserve"> GEOMEAN(Q3:Q50)</f>
        <v>11.555177286693922</v>
      </c>
      <c r="R80" s="54">
        <f xml:space="preserve"> GEOMEAN(R3:R50)</f>
        <v>12.434177688173145</v>
      </c>
      <c r="S80" s="54">
        <f xml:space="preserve"> GEOMEAN(S3:S50)</f>
        <v>0.98010340773364413</v>
      </c>
      <c r="T80" s="54">
        <f>GEOMEAN(T3:T50)</f>
        <v>0.99279113055084189</v>
      </c>
      <c r="U80" s="4"/>
      <c r="V80" s="41">
        <f>AVERAGE(V3:V50)</f>
        <v>-3.5947444747594834E-3</v>
      </c>
      <c r="W80" s="46">
        <f t="shared" ref="W80:AA80" si="25">AVERAGE(W3:W50)</f>
        <v>-8.1736706766473068E-3</v>
      </c>
      <c r="X80" s="47">
        <f t="shared" si="25"/>
        <v>-8.0881645956036308E-3</v>
      </c>
      <c r="Y80" s="46">
        <f t="shared" si="25"/>
        <v>-3.5403379501123267E-3</v>
      </c>
      <c r="Z80" s="46">
        <f t="shared" si="25"/>
        <v>-7.9870950789228679E-3</v>
      </c>
      <c r="AA80" s="47">
        <f t="shared" si="25"/>
        <v>-8.0881851038524799E-3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AC7" sqref="AC7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Reference!B73</f>
        <v>14763.407999999999</v>
      </c>
      <c r="E3" s="13">
        <f>Reference!C73</f>
        <v>40.089300000000001</v>
      </c>
      <c r="F3" s="13">
        <f>Reference!D73</f>
        <v>49.062399999999997</v>
      </c>
      <c r="G3" s="13">
        <f>Reference!E73</f>
        <v>47.046599999999998</v>
      </c>
      <c r="H3" s="13">
        <f>Reference!F73</f>
        <v>366821.38400000002</v>
      </c>
      <c r="I3" s="13">
        <f>Reference!G73</f>
        <v>59.463999999999999</v>
      </c>
      <c r="J3" s="14">
        <f>H3/3600</f>
        <v>101.8948288888889</v>
      </c>
      <c r="L3" s="12">
        <f>Test!B73</f>
        <v>14742.592000000001</v>
      </c>
      <c r="M3" s="13">
        <f>Test!C73</f>
        <v>40.090200000000003</v>
      </c>
      <c r="N3" s="13">
        <f>Test!D73</f>
        <v>49.067500000000003</v>
      </c>
      <c r="O3" s="13">
        <f>Test!E73</f>
        <v>47.053199999999997</v>
      </c>
      <c r="P3" s="13">
        <f>Test!F73</f>
        <v>364363.00400000002</v>
      </c>
      <c r="Q3" s="13">
        <f>Test!G73</f>
        <v>58.819000000000003</v>
      </c>
      <c r="R3" s="14">
        <f>P3/3600</f>
        <v>101.21194555555556</v>
      </c>
      <c r="S3" s="12">
        <f>P3/H3</f>
        <v>0.99329815515880615</v>
      </c>
      <c r="T3" s="13">
        <f>Q3/I3</f>
        <v>0.98915310103592091</v>
      </c>
      <c r="U3" s="90"/>
      <c r="V3" s="37">
        <f>bdrate($D3:$D6,E3:E6,$L3:$L6,M3:M6)</f>
        <v>-4.8414280467101722E-3</v>
      </c>
      <c r="W3" s="42">
        <f>bdrate($D3:$D6,F3:F6,$L3:$L6,N3:N6)</f>
        <v>-3.1790344961930672E-2</v>
      </c>
      <c r="X3" s="43">
        <f>bdrate($D3:$D6,G3:G6,$L3:$L6,O3:O6)</f>
        <v>-1.0863097770151486E-2</v>
      </c>
      <c r="Y3" s="37">
        <f>bdrateOld($D3:$D6,E3:E6,$L3:$L6,M3:M6)</f>
        <v>-3.9377535121405405E-3</v>
      </c>
      <c r="Z3" s="42">
        <f>bdrateOld($D3:$D6,F3:F6,$L3:$L6,N3:N6)</f>
        <v>-3.5757206063006697E-2</v>
      </c>
      <c r="AA3" s="43">
        <f>bdrateOld($D3:$D6,G3:G6,$L3:$L6,O3:O6)</f>
        <v>-1.0538554964104052E-2</v>
      </c>
    </row>
    <row r="4" spans="1:27" x14ac:dyDescent="0.35">
      <c r="A4" s="16" t="s">
        <v>34</v>
      </c>
      <c r="B4" s="85"/>
      <c r="C4" s="16">
        <v>48</v>
      </c>
      <c r="D4" s="17">
        <f>Reference!B74</f>
        <v>6742.152</v>
      </c>
      <c r="E4" s="18">
        <f>Reference!C74</f>
        <v>39.597700000000003</v>
      </c>
      <c r="F4" s="18">
        <f>Reference!D74</f>
        <v>48.465000000000003</v>
      </c>
      <c r="G4" s="18">
        <f>Reference!E74</f>
        <v>46.137799999999999</v>
      </c>
      <c r="H4" s="18">
        <f>Reference!F74</f>
        <v>197570.022</v>
      </c>
      <c r="I4" s="18">
        <f>Reference!G74</f>
        <v>51.302999999999997</v>
      </c>
      <c r="J4" s="19">
        <f t="shared" ref="J4:J14" si="0">H4/3600</f>
        <v>54.880561666666665</v>
      </c>
      <c r="L4" s="17">
        <f>Test!B74</f>
        <v>6720.652</v>
      </c>
      <c r="M4" s="18">
        <f>Test!C74</f>
        <v>39.601500000000001</v>
      </c>
      <c r="N4" s="18">
        <f>Test!D74</f>
        <v>48.47</v>
      </c>
      <c r="O4" s="18">
        <f>Test!E74</f>
        <v>46.152299999999997</v>
      </c>
      <c r="P4" s="18">
        <f>Test!F74</f>
        <v>196751.84400000001</v>
      </c>
      <c r="Q4" s="18">
        <f>Test!G74</f>
        <v>51.542000000000002</v>
      </c>
      <c r="R4" s="19">
        <f t="shared" ref="R4:R14" si="1">P4/3600</f>
        <v>54.653290000000005</v>
      </c>
      <c r="S4" s="17">
        <f t="shared" ref="S4:T46" si="2">P4/H4</f>
        <v>0.99585879481250461</v>
      </c>
      <c r="T4" s="18">
        <f t="shared" si="2"/>
        <v>1.0046585969631407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Reference!B75</f>
        <v>3661.2</v>
      </c>
      <c r="E5" s="18">
        <f>Reference!C75</f>
        <v>38.757899999999999</v>
      </c>
      <c r="F5" s="18">
        <f>Reference!D75</f>
        <v>47.614699999999999</v>
      </c>
      <c r="G5" s="18">
        <f>Reference!E75</f>
        <v>44.914700000000003</v>
      </c>
      <c r="H5" s="18">
        <f>Reference!F75</f>
        <v>99339.097999999998</v>
      </c>
      <c r="I5" s="18">
        <f>Reference!G75</f>
        <v>45.55</v>
      </c>
      <c r="J5" s="19">
        <f t="shared" si="0"/>
        <v>27.594193888888888</v>
      </c>
      <c r="L5" s="17">
        <f>Test!B75</f>
        <v>3648.4720000000002</v>
      </c>
      <c r="M5" s="18">
        <f>Test!C75</f>
        <v>38.759700000000002</v>
      </c>
      <c r="N5" s="18">
        <f>Test!D75</f>
        <v>47.696300000000001</v>
      </c>
      <c r="O5" s="18">
        <f>Test!E75</f>
        <v>44.931899999999999</v>
      </c>
      <c r="P5" s="18">
        <f>Test!F75</f>
        <v>98666.062999999995</v>
      </c>
      <c r="Q5" s="18">
        <f>Test!G75</f>
        <v>45.31</v>
      </c>
      <c r="R5" s="19">
        <f t="shared" si="1"/>
        <v>27.407239722222222</v>
      </c>
      <c r="S5" s="17">
        <f t="shared" si="2"/>
        <v>0.99322487305048812</v>
      </c>
      <c r="T5" s="18">
        <f t="shared" si="2"/>
        <v>0.99473106476399575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Reference!B76</f>
        <v>1935.9280000000001</v>
      </c>
      <c r="E6" s="23">
        <f>Reference!C76</f>
        <v>37.2669</v>
      </c>
      <c r="F6" s="23">
        <f>Reference!D76</f>
        <v>46.255899999999997</v>
      </c>
      <c r="G6" s="23">
        <f>Reference!E76</f>
        <v>43.153500000000001</v>
      </c>
      <c r="H6" s="23">
        <f>Reference!F76</f>
        <v>49165.866999999998</v>
      </c>
      <c r="I6" s="23">
        <f>Reference!G76</f>
        <v>40.576000000000001</v>
      </c>
      <c r="J6" s="24">
        <f t="shared" si="0"/>
        <v>13.657185277777778</v>
      </c>
      <c r="L6" s="22">
        <f>Test!B76</f>
        <v>1931.28</v>
      </c>
      <c r="M6" s="23">
        <f>Test!C76</f>
        <v>37.2712</v>
      </c>
      <c r="N6" s="23">
        <f>Test!D76</f>
        <v>46.288699999999999</v>
      </c>
      <c r="O6" s="23">
        <f>Test!E76</f>
        <v>43.176400000000001</v>
      </c>
      <c r="P6" s="23">
        <f>Test!F76</f>
        <v>49506.703999999998</v>
      </c>
      <c r="Q6" s="23">
        <f>Test!G76</f>
        <v>40.98</v>
      </c>
      <c r="R6" s="24">
        <f t="shared" si="1"/>
        <v>13.751862222222222</v>
      </c>
      <c r="S6" s="17">
        <f t="shared" si="2"/>
        <v>1.0069323907173242</v>
      </c>
      <c r="T6" s="18">
        <f t="shared" si="2"/>
        <v>1.0099566246056781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Reference!B77</f>
        <v>76259.063999999998</v>
      </c>
      <c r="E7" s="13">
        <f>Reference!C77</f>
        <v>41.668399999999998</v>
      </c>
      <c r="F7" s="13">
        <f>Reference!D77</f>
        <v>36.490900000000003</v>
      </c>
      <c r="G7" s="13">
        <f>Reference!E77</f>
        <v>37.620699999999999</v>
      </c>
      <c r="H7" s="13">
        <f>Reference!F77</f>
        <v>679587.41799999995</v>
      </c>
      <c r="I7" s="13">
        <f>Reference!G77</f>
        <v>64.613</v>
      </c>
      <c r="J7" s="14">
        <f t="shared" si="0"/>
        <v>188.77428277777776</v>
      </c>
      <c r="L7" s="12">
        <f>Test!B77</f>
        <v>75669.179999999993</v>
      </c>
      <c r="M7" s="13">
        <f>Test!C77</f>
        <v>41.652900000000002</v>
      </c>
      <c r="N7" s="13">
        <f>Test!D77</f>
        <v>36.478099999999998</v>
      </c>
      <c r="O7" s="13">
        <f>Test!E77</f>
        <v>37.613900000000001</v>
      </c>
      <c r="P7" s="13">
        <f>Test!F77</f>
        <v>666785.32999999996</v>
      </c>
      <c r="Q7" s="13">
        <f>Test!G77</f>
        <v>65.447000000000003</v>
      </c>
      <c r="R7" s="14">
        <f t="shared" si="1"/>
        <v>185.2181472222222</v>
      </c>
      <c r="S7" s="17">
        <f t="shared" si="2"/>
        <v>0.9811619702470713</v>
      </c>
      <c r="T7" s="18">
        <f t="shared" si="2"/>
        <v>1.0129076192097566</v>
      </c>
      <c r="U7" s="91"/>
      <c r="V7" s="37">
        <f>bdrate($D7:$D10,E7:E10,$L7:$L10,M7:M10)</f>
        <v>-2.3111492574831027E-3</v>
      </c>
      <c r="W7" s="42">
        <f>bdrate($D7:$D10,F7:F10,$L7:$L10,N7:N10)</f>
        <v>-6.8852490145918654E-3</v>
      </c>
      <c r="X7" s="42">
        <f>bdrate($D7:$D10,G7:G10,$L7:$L10,O7:O10)</f>
        <v>-5.0476184417648229E-3</v>
      </c>
      <c r="Y7" s="40">
        <f>bdrateOld($D7:$D10,E7:E10,$L7:$L10,M7:M10)</f>
        <v>-2.3047230393652418E-3</v>
      </c>
      <c r="Z7" s="44">
        <f>bdrateOld($D7:$D10,F7:F10,$L7:$L10,N7:N10)</f>
        <v>-6.8121778804759447E-3</v>
      </c>
      <c r="AA7" s="45">
        <f>bdrateOld($D7:$D10,G7:G10,$L7:$L10,O7:O10)</f>
        <v>-5.1370668759208593E-3</v>
      </c>
    </row>
    <row r="8" spans="1:27" x14ac:dyDescent="0.35">
      <c r="A8" s="16"/>
      <c r="B8" s="85"/>
      <c r="C8" s="16">
        <v>48</v>
      </c>
      <c r="D8" s="17">
        <f>Reference!B78</f>
        <v>39371.923999999999</v>
      </c>
      <c r="E8" s="18">
        <f>Reference!C78</f>
        <v>39.066099999999999</v>
      </c>
      <c r="F8" s="18">
        <f>Reference!D78</f>
        <v>34.557499999999997</v>
      </c>
      <c r="G8" s="18">
        <f>Reference!E78</f>
        <v>35.960500000000003</v>
      </c>
      <c r="H8" s="18">
        <f>Reference!F78</f>
        <v>446824.17099999997</v>
      </c>
      <c r="I8" s="18">
        <f>Reference!G78</f>
        <v>58.262999999999998</v>
      </c>
      <c r="J8" s="19">
        <f t="shared" si="0"/>
        <v>124.11782527777777</v>
      </c>
      <c r="L8" s="17">
        <f>Test!B78</f>
        <v>39107.42</v>
      </c>
      <c r="M8" s="18">
        <f>Test!C78</f>
        <v>39.052</v>
      </c>
      <c r="N8" s="18">
        <f>Test!D78</f>
        <v>34.555999999999997</v>
      </c>
      <c r="O8" s="18">
        <f>Test!E78</f>
        <v>35.959099999999999</v>
      </c>
      <c r="P8" s="18">
        <f>Test!F78</f>
        <v>443913.054</v>
      </c>
      <c r="Q8" s="18">
        <f>Test!G78</f>
        <v>58.368000000000002</v>
      </c>
      <c r="R8" s="19">
        <f t="shared" si="1"/>
        <v>123.30918166666667</v>
      </c>
      <c r="S8" s="17">
        <f t="shared" si="2"/>
        <v>0.99348487125599128</v>
      </c>
      <c r="T8" s="18">
        <f t="shared" si="2"/>
        <v>1.0018021729056177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Reference!B79</f>
        <v>18909.2</v>
      </c>
      <c r="E9" s="18">
        <f>Reference!C79</f>
        <v>36.162399999999998</v>
      </c>
      <c r="F9" s="18">
        <f>Reference!D79</f>
        <v>32.9208</v>
      </c>
      <c r="G9" s="18">
        <f>Reference!E79</f>
        <v>34.591299999999997</v>
      </c>
      <c r="H9" s="18">
        <f>Reference!F79</f>
        <v>276631.65100000001</v>
      </c>
      <c r="I9" s="18">
        <f>Reference!G79</f>
        <v>50.966000000000001</v>
      </c>
      <c r="J9" s="19">
        <f t="shared" si="0"/>
        <v>76.842125277777782</v>
      </c>
      <c r="L9" s="17">
        <f>Test!B79</f>
        <v>18793.392</v>
      </c>
      <c r="M9" s="18">
        <f>Test!C79</f>
        <v>36.145099999999999</v>
      </c>
      <c r="N9" s="18">
        <f>Test!D79</f>
        <v>32.928699999999999</v>
      </c>
      <c r="O9" s="18">
        <f>Test!E79</f>
        <v>34.586199999999998</v>
      </c>
      <c r="P9" s="18">
        <f>Test!F79</f>
        <v>275395.234</v>
      </c>
      <c r="Q9" s="18">
        <f>Test!G79</f>
        <v>50.887999999999998</v>
      </c>
      <c r="R9" s="19">
        <f t="shared" si="1"/>
        <v>76.498676111111109</v>
      </c>
      <c r="S9" s="17">
        <f t="shared" si="2"/>
        <v>0.99553045721438427</v>
      </c>
      <c r="T9" s="18">
        <f t="shared" si="2"/>
        <v>0.99846956794725894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Reference!B80</f>
        <v>7794.5280000000002</v>
      </c>
      <c r="E10" s="23">
        <f>Reference!C80</f>
        <v>33.096699999999998</v>
      </c>
      <c r="F10" s="23">
        <f>Reference!D80</f>
        <v>31.262499999999999</v>
      </c>
      <c r="G10" s="23">
        <f>Reference!E80</f>
        <v>33.161900000000003</v>
      </c>
      <c r="H10" s="23">
        <f>Reference!F80</f>
        <v>154792.36600000001</v>
      </c>
      <c r="I10" s="23">
        <f>Reference!G80</f>
        <v>46.21</v>
      </c>
      <c r="J10" s="24">
        <f t="shared" si="0"/>
        <v>42.99787944444445</v>
      </c>
      <c r="L10" s="22">
        <f>Test!B80</f>
        <v>7757.4359999999997</v>
      </c>
      <c r="M10" s="23">
        <f>Test!C80</f>
        <v>33.085000000000001</v>
      </c>
      <c r="N10" s="23">
        <f>Test!D80</f>
        <v>31.2608</v>
      </c>
      <c r="O10" s="23">
        <f>Test!E80</f>
        <v>33.1646</v>
      </c>
      <c r="P10" s="23">
        <f>Test!F80</f>
        <v>154100.02299999999</v>
      </c>
      <c r="Q10" s="23">
        <f>Test!G80</f>
        <v>46.171999999999997</v>
      </c>
      <c r="R10" s="24">
        <f t="shared" si="1"/>
        <v>42.805561944444442</v>
      </c>
      <c r="S10" s="17">
        <f t="shared" si="2"/>
        <v>0.99552727942668684</v>
      </c>
      <c r="T10" s="18">
        <f t="shared" si="2"/>
        <v>0.99917766717160783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Reference!B81</f>
        <v>38316.627999999997</v>
      </c>
      <c r="E11" s="13">
        <f>Reference!C81</f>
        <v>38.3215</v>
      </c>
      <c r="F11" s="13">
        <f>Reference!D81</f>
        <v>40.5062</v>
      </c>
      <c r="G11" s="13">
        <f>Reference!E81</f>
        <v>41.562199999999997</v>
      </c>
      <c r="H11" s="13">
        <f>Reference!F81</f>
        <v>384117.70799999998</v>
      </c>
      <c r="I11" s="13">
        <f>Reference!G81</f>
        <v>36.012</v>
      </c>
      <c r="J11" s="14">
        <f t="shared" si="0"/>
        <v>106.69936333333332</v>
      </c>
      <c r="L11" s="12">
        <f>Test!B81</f>
        <v>37745.207999999999</v>
      </c>
      <c r="M11" s="13">
        <f>Test!C81</f>
        <v>38.307400000000001</v>
      </c>
      <c r="N11" s="13">
        <f>Test!D81</f>
        <v>40.467799999999997</v>
      </c>
      <c r="O11" s="13">
        <f>Test!E81</f>
        <v>41.555</v>
      </c>
      <c r="P11" s="13">
        <f>Test!F81</f>
        <v>383765.47200000001</v>
      </c>
      <c r="Q11" s="13">
        <f>Test!G81</f>
        <v>36.676000000000002</v>
      </c>
      <c r="R11" s="14">
        <f t="shared" si="1"/>
        <v>106.60152000000001</v>
      </c>
      <c r="S11" s="17">
        <f t="shared" si="2"/>
        <v>0.99908299983920557</v>
      </c>
      <c r="T11" s="18">
        <f t="shared" si="2"/>
        <v>1.0184382983449962</v>
      </c>
      <c r="U11" s="91"/>
      <c r="V11" s="37">
        <f>bdrate($D11:$D14,E11:E14,$L11:$L14,M11:M14)</f>
        <v>-1.0114690996482878E-2</v>
      </c>
      <c r="W11" s="42">
        <f>bdrate($D11:$D14,F11:F14,$L11:$L14,N11:N14)</f>
        <v>-5.6256072348707109E-3</v>
      </c>
      <c r="X11" s="42">
        <f>bdrate($D11:$D14,G11:G14,$L11:$L14,O11:O14)</f>
        <v>-1.2194650627894932E-2</v>
      </c>
      <c r="Y11" s="40">
        <f>bdrateOld($D11:$D14,E11:E14,$L11:$L14,M11:M14)</f>
        <v>-9.7214584916783808E-3</v>
      </c>
      <c r="Z11" s="44">
        <f>bdrateOld($D11:$D14,F11:F14,$L11:$L14,N11:N14)</f>
        <v>-5.7437506925867021E-3</v>
      </c>
      <c r="AA11" s="45">
        <f>bdrateOld($D11:$D14,G11:G14,$L11:$L14,O11:O14)</f>
        <v>-1.1790354095601141E-2</v>
      </c>
    </row>
    <row r="12" spans="1:27" x14ac:dyDescent="0.35">
      <c r="A12" s="34"/>
      <c r="B12" s="83"/>
      <c r="C12" s="16">
        <v>48</v>
      </c>
      <c r="D12" s="17">
        <f>Reference!B82</f>
        <v>18782.304</v>
      </c>
      <c r="E12" s="18">
        <f>Reference!C82</f>
        <v>37.213900000000002</v>
      </c>
      <c r="F12" s="18">
        <f>Reference!D82</f>
        <v>37.963700000000003</v>
      </c>
      <c r="G12" s="18">
        <f>Reference!E82</f>
        <v>40.341999999999999</v>
      </c>
      <c r="H12" s="18">
        <f>Reference!F82</f>
        <v>235891.51800000001</v>
      </c>
      <c r="I12" s="18">
        <f>Reference!G82</f>
        <v>29.952999999999999</v>
      </c>
      <c r="J12" s="19">
        <f t="shared" si="0"/>
        <v>65.525421666666674</v>
      </c>
      <c r="L12" s="17">
        <f>Test!B82</f>
        <v>18403.867999999999</v>
      </c>
      <c r="M12" s="18">
        <f>Test!C82</f>
        <v>37.199100000000001</v>
      </c>
      <c r="N12" s="18">
        <f>Test!D82</f>
        <v>37.921199999999999</v>
      </c>
      <c r="O12" s="18">
        <f>Test!E82</f>
        <v>40.338500000000003</v>
      </c>
      <c r="P12" s="18">
        <f>Test!F82</f>
        <v>228447.34700000001</v>
      </c>
      <c r="Q12" s="18">
        <f>Test!G82</f>
        <v>29.850999999999999</v>
      </c>
      <c r="R12" s="19">
        <f t="shared" si="1"/>
        <v>63.457596388888888</v>
      </c>
      <c r="S12" s="17">
        <f t="shared" si="2"/>
        <v>0.96844239647480668</v>
      </c>
      <c r="T12" s="18">
        <f t="shared" si="2"/>
        <v>0.99659466497512772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Reference!B83</f>
        <v>9297.36</v>
      </c>
      <c r="E13" s="18">
        <f>Reference!C83</f>
        <v>35.853099999999998</v>
      </c>
      <c r="F13" s="18">
        <f>Reference!D83</f>
        <v>35.748100000000001</v>
      </c>
      <c r="G13" s="18">
        <f>Reference!E83</f>
        <v>39.033000000000001</v>
      </c>
      <c r="H13" s="18">
        <f>Reference!F83</f>
        <v>138531.068</v>
      </c>
      <c r="I13" s="18">
        <f>Reference!G83</f>
        <v>26.038</v>
      </c>
      <c r="J13" s="19">
        <f t="shared" si="0"/>
        <v>38.480852222222225</v>
      </c>
      <c r="L13" s="17">
        <f>Test!B83</f>
        <v>9147.8719999999994</v>
      </c>
      <c r="M13" s="18">
        <f>Test!C83</f>
        <v>35.838099999999997</v>
      </c>
      <c r="N13" s="18">
        <f>Test!D83</f>
        <v>35.712000000000003</v>
      </c>
      <c r="O13" s="18">
        <f>Test!E83</f>
        <v>39.015500000000003</v>
      </c>
      <c r="P13" s="18">
        <f>Test!F83</f>
        <v>137812.649</v>
      </c>
      <c r="Q13" s="18">
        <f>Test!G83</f>
        <v>26.300999999999998</v>
      </c>
      <c r="R13" s="19">
        <f t="shared" si="1"/>
        <v>38.281291388888889</v>
      </c>
      <c r="S13" s="17">
        <f t="shared" si="2"/>
        <v>0.99481402251226425</v>
      </c>
      <c r="T13" s="18">
        <f t="shared" si="2"/>
        <v>1.0101006221676012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Reference!B84</f>
        <v>4706.5280000000002</v>
      </c>
      <c r="E14" s="23">
        <f>Reference!C84</f>
        <v>34.017699999999998</v>
      </c>
      <c r="F14" s="23">
        <f>Reference!D84</f>
        <v>33.844099999999997</v>
      </c>
      <c r="G14" s="23">
        <f>Reference!E84</f>
        <v>37.481499999999997</v>
      </c>
      <c r="H14" s="23">
        <f>Reference!F84</f>
        <v>79946.664000000004</v>
      </c>
      <c r="I14" s="23">
        <f>Reference!G84</f>
        <v>23.048999999999999</v>
      </c>
      <c r="J14" s="24">
        <f t="shared" si="0"/>
        <v>22.207406666666667</v>
      </c>
      <c r="L14" s="22">
        <f>Test!B84</f>
        <v>4625.4120000000003</v>
      </c>
      <c r="M14" s="23">
        <f>Test!C84</f>
        <v>34.000399999999999</v>
      </c>
      <c r="N14" s="23">
        <f>Test!D84</f>
        <v>33.808</v>
      </c>
      <c r="O14" s="23">
        <f>Test!E84</f>
        <v>37.469200000000001</v>
      </c>
      <c r="P14" s="23">
        <f>Test!F84</f>
        <v>78218.356</v>
      </c>
      <c r="Q14" s="23">
        <f>Test!G84</f>
        <v>23.042999999999999</v>
      </c>
      <c r="R14" s="24">
        <f t="shared" si="1"/>
        <v>21.72732111111111</v>
      </c>
      <c r="S14" s="17">
        <f t="shared" si="2"/>
        <v>0.97838173710412724</v>
      </c>
      <c r="T14" s="18">
        <f t="shared" si="2"/>
        <v>0.99973968501887278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Reference!B85</f>
        <v>26744.02</v>
      </c>
      <c r="E15" s="13">
        <f>Reference!C85</f>
        <v>37.641500000000001</v>
      </c>
      <c r="F15" s="13">
        <f>Reference!D85</f>
        <v>45.340699999999998</v>
      </c>
      <c r="G15" s="13">
        <f>Reference!E85</f>
        <v>43.0276</v>
      </c>
      <c r="H15" s="13">
        <f>Reference!F85</f>
        <v>522695.538</v>
      </c>
      <c r="I15" s="13">
        <f>Reference!G85</f>
        <v>60.942</v>
      </c>
      <c r="J15" s="14">
        <f>H15/3600</f>
        <v>145.19320500000001</v>
      </c>
      <c r="L15" s="12">
        <f>Test!B85</f>
        <v>26224.648000000001</v>
      </c>
      <c r="M15" s="13">
        <f>Test!C85</f>
        <v>37.639800000000001</v>
      </c>
      <c r="N15" s="13">
        <f>Test!D85</f>
        <v>45.344000000000001</v>
      </c>
      <c r="O15" s="13">
        <f>Test!E85</f>
        <v>43.030700000000003</v>
      </c>
      <c r="P15" s="13">
        <f>Test!F85</f>
        <v>516777.39399999997</v>
      </c>
      <c r="Q15" s="13">
        <f>Test!G85</f>
        <v>61.027000000000001</v>
      </c>
      <c r="R15" s="14">
        <f>P15/3600</f>
        <v>143.54927611111111</v>
      </c>
      <c r="S15" s="17">
        <f>P15/H15</f>
        <v>0.98867764583825468</v>
      </c>
      <c r="T15" s="18">
        <f>Q15/I15</f>
        <v>1.0013947687965608</v>
      </c>
      <c r="U15" s="91"/>
      <c r="V15" s="37">
        <f>bdrate($D15:$D18,E15:E18,$L15:$L18,M15:M18)</f>
        <v>-1.1927194316722067E-2</v>
      </c>
      <c r="W15" s="42">
        <f>bdrate($D15:$D18,F15:F18,$L15:$L18,N15:N18)</f>
        <v>-7.4071382683746911E-3</v>
      </c>
      <c r="X15" s="43">
        <f>bdrate($D15:$D18,G15:G18,$L15:$L18,O15:O18)</f>
        <v>-1.4585474998617065E-2</v>
      </c>
      <c r="Y15" s="37">
        <f>bdrateOld($D15:$D18,E15:E18,$L15:$L18,M15:M18)</f>
        <v>-1.0284512221724884E-2</v>
      </c>
      <c r="Z15" s="42">
        <f>bdrateOld($D15:$D18,F15:F18,$L15:$L18,N15:N18)</f>
        <v>-1.2235756667091424E-2</v>
      </c>
      <c r="AA15" s="43">
        <f>bdrateOld($D15:$D18,G15:G18,$L15:$L18,O15:O18)</f>
        <v>-1.7116553881588392E-2</v>
      </c>
    </row>
    <row r="16" spans="1:27" x14ac:dyDescent="0.35">
      <c r="A16" s="16"/>
      <c r="B16" s="85"/>
      <c r="C16" s="16">
        <v>48</v>
      </c>
      <c r="D16" s="17">
        <f>Reference!B86</f>
        <v>9177.2559999999994</v>
      </c>
      <c r="E16" s="18">
        <f>Reference!C86</f>
        <v>37.090800000000002</v>
      </c>
      <c r="F16" s="18">
        <f>Reference!D86</f>
        <v>44.7547</v>
      </c>
      <c r="G16" s="18">
        <f>Reference!E86</f>
        <v>42.399500000000003</v>
      </c>
      <c r="H16" s="18">
        <f>Reference!F86</f>
        <v>275787.71100000001</v>
      </c>
      <c r="I16" s="18">
        <f>Reference!G86</f>
        <v>52.319000000000003</v>
      </c>
      <c r="J16" s="19">
        <f t="shared" ref="J16:J26" si="3">H16/3600</f>
        <v>76.6076975</v>
      </c>
      <c r="L16" s="17">
        <f>Test!B86</f>
        <v>9143.4480000000003</v>
      </c>
      <c r="M16" s="18">
        <f>Test!C86</f>
        <v>37.099800000000002</v>
      </c>
      <c r="N16" s="18">
        <f>Test!D86</f>
        <v>44.747999999999998</v>
      </c>
      <c r="O16" s="18">
        <f>Test!E86</f>
        <v>42.4039</v>
      </c>
      <c r="P16" s="18">
        <f>Test!F86</f>
        <v>278222.80200000003</v>
      </c>
      <c r="Q16" s="18">
        <f>Test!G86</f>
        <v>52.243000000000002</v>
      </c>
      <c r="R16" s="19">
        <f t="shared" ref="R16:R26" si="4">P16/3600</f>
        <v>77.284111666666675</v>
      </c>
      <c r="S16" s="17">
        <f t="shared" ref="S16:S26" si="5">P16/H16</f>
        <v>1.0088295848686311</v>
      </c>
      <c r="T16" s="18">
        <f t="shared" ref="T16:T26" si="6">Q16/I16</f>
        <v>0.9985473728473403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Reference!B87</f>
        <v>4542.576</v>
      </c>
      <c r="E17" s="18">
        <f>Reference!C87</f>
        <v>36.246299999999998</v>
      </c>
      <c r="F17" s="18">
        <f>Reference!D87</f>
        <v>43.987499999999997</v>
      </c>
      <c r="G17" s="18">
        <f>Reference!E87</f>
        <v>41.611499999999999</v>
      </c>
      <c r="H17" s="18">
        <f>Reference!F87</f>
        <v>140878.163</v>
      </c>
      <c r="I17" s="18">
        <f>Reference!G87</f>
        <v>43.274999999999999</v>
      </c>
      <c r="J17" s="19">
        <f t="shared" si="3"/>
        <v>39.132823055555555</v>
      </c>
      <c r="L17" s="17">
        <f>Test!B87</f>
        <v>4501.1279999999997</v>
      </c>
      <c r="M17" s="18">
        <f>Test!C87</f>
        <v>36.249600000000001</v>
      </c>
      <c r="N17" s="18">
        <f>Test!D87</f>
        <v>43.984999999999999</v>
      </c>
      <c r="O17" s="18">
        <f>Test!E87</f>
        <v>41.611199999999997</v>
      </c>
      <c r="P17" s="18">
        <f>Test!F87</f>
        <v>139490.75200000001</v>
      </c>
      <c r="Q17" s="18">
        <f>Test!G87</f>
        <v>43.807000000000002</v>
      </c>
      <c r="R17" s="19">
        <f t="shared" si="4"/>
        <v>38.747431111111112</v>
      </c>
      <c r="S17" s="17">
        <f t="shared" si="5"/>
        <v>0.99015169583095719</v>
      </c>
      <c r="T17" s="18">
        <f t="shared" si="6"/>
        <v>1.0122934719815138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Reference!B88</f>
        <v>2200.288</v>
      </c>
      <c r="E18" s="23">
        <f>Reference!C88</f>
        <v>34.799199999999999</v>
      </c>
      <c r="F18" s="23">
        <f>Reference!D88</f>
        <v>42.677999999999997</v>
      </c>
      <c r="G18" s="23">
        <f>Reference!E88</f>
        <v>40.433100000000003</v>
      </c>
      <c r="H18" s="23">
        <f>Reference!F88</f>
        <v>67644.524999999994</v>
      </c>
      <c r="I18" s="23">
        <f>Reference!G88</f>
        <v>37.088000000000001</v>
      </c>
      <c r="J18" s="24">
        <f t="shared" si="3"/>
        <v>18.79014583333333</v>
      </c>
      <c r="L18" s="22">
        <f>Test!B88</f>
        <v>2179.4879999999998</v>
      </c>
      <c r="M18" s="23">
        <f>Test!C88</f>
        <v>34.795400000000001</v>
      </c>
      <c r="N18" s="23">
        <f>Test!D88</f>
        <v>42.691200000000002</v>
      </c>
      <c r="O18" s="23">
        <f>Test!E88</f>
        <v>40.4803</v>
      </c>
      <c r="P18" s="23">
        <f>Test!F88</f>
        <v>66730.822</v>
      </c>
      <c r="Q18" s="23">
        <f>Test!G88</f>
        <v>36.347999999999999</v>
      </c>
      <c r="R18" s="24">
        <f t="shared" si="4"/>
        <v>18.536339444444444</v>
      </c>
      <c r="S18" s="17">
        <f t="shared" si="5"/>
        <v>0.98649258014599117</v>
      </c>
      <c r="T18" s="18">
        <f t="shared" si="6"/>
        <v>0.98004745470232957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Reference!B89</f>
        <v>9844.6759999999995</v>
      </c>
      <c r="E19" s="13">
        <f>Reference!C89</f>
        <v>38.017699999999998</v>
      </c>
      <c r="F19" s="13">
        <f>Reference!D89</f>
        <v>39.849800000000002</v>
      </c>
      <c r="G19" s="13">
        <f>Reference!E89</f>
        <v>43.371600000000001</v>
      </c>
      <c r="H19" s="13">
        <f>Reference!F89</f>
        <v>114609.334</v>
      </c>
      <c r="I19" s="13">
        <f>Reference!G89</f>
        <v>12.637</v>
      </c>
      <c r="J19" s="14">
        <f t="shared" si="3"/>
        <v>31.83592611111111</v>
      </c>
      <c r="L19" s="12">
        <f>Test!B89</f>
        <v>9767.1319999999996</v>
      </c>
      <c r="M19" s="13">
        <f>Test!C89</f>
        <v>38.015999999999998</v>
      </c>
      <c r="N19" s="13">
        <f>Test!D89</f>
        <v>39.848500000000001</v>
      </c>
      <c r="O19" s="13">
        <f>Test!E89</f>
        <v>43.339500000000001</v>
      </c>
      <c r="P19" s="13">
        <f>Test!F89</f>
        <v>113603.03</v>
      </c>
      <c r="Q19" s="13">
        <f>Test!G89</f>
        <v>12.545</v>
      </c>
      <c r="R19" s="14">
        <f t="shared" si="4"/>
        <v>31.556397222222223</v>
      </c>
      <c r="S19" s="12">
        <f t="shared" si="5"/>
        <v>0.99121970292576689</v>
      </c>
      <c r="T19" s="13">
        <f t="shared" si="6"/>
        <v>0.99271979108965736</v>
      </c>
      <c r="U19" s="90"/>
      <c r="V19" s="37">
        <f>bdrate($D19:$D22,E19:E22,$L19:$L22,M19:M22)</f>
        <v>-4.8880252933379831E-3</v>
      </c>
      <c r="W19" s="42">
        <f>bdrate($D19:$D22,F19:F22,$L19:$L22,N19:N22)</f>
        <v>-4.4572077378373098E-3</v>
      </c>
      <c r="X19" s="42">
        <f>bdrate($D19:$D22,G19:G22,$L19:$L22,O19:O22)</f>
        <v>-5.4614618750762345E-3</v>
      </c>
      <c r="Y19" s="40">
        <f>bdrateOld($D19:$D22,E19:E22,$L19:$L22,M19:M22)</f>
        <v>-5.0294594573258022E-3</v>
      </c>
      <c r="Z19" s="44">
        <f>bdrateOld($D19:$D22,F19:F22,$L19:$L22,N19:N22)</f>
        <v>-5.2934577466977606E-3</v>
      </c>
      <c r="AA19" s="45">
        <f>bdrateOld($D19:$D22,G19:G22,$L19:$L22,O19:O22)</f>
        <v>-5.6300274352394375E-3</v>
      </c>
    </row>
    <row r="20" spans="1:27" x14ac:dyDescent="0.35">
      <c r="A20" s="16" t="s">
        <v>48</v>
      </c>
      <c r="B20" s="85"/>
      <c r="C20" s="16">
        <v>32</v>
      </c>
      <c r="D20" s="17">
        <f>Reference!B90</f>
        <v>4577.9960000000001</v>
      </c>
      <c r="E20" s="18">
        <f>Reference!C90</f>
        <v>36.927700000000002</v>
      </c>
      <c r="F20" s="18">
        <f>Reference!D90</f>
        <v>39.351199999999999</v>
      </c>
      <c r="G20" s="18">
        <f>Reference!E90</f>
        <v>42.241799999999998</v>
      </c>
      <c r="H20" s="18">
        <f>Reference!F90</f>
        <v>70311.585000000006</v>
      </c>
      <c r="I20" s="18">
        <f>Reference!G90</f>
        <v>10.747</v>
      </c>
      <c r="J20" s="19">
        <f t="shared" si="3"/>
        <v>19.530995833333336</v>
      </c>
      <c r="L20" s="17">
        <f>Test!B90</f>
        <v>4526.12</v>
      </c>
      <c r="M20" s="18">
        <f>Test!C90</f>
        <v>36.916800000000002</v>
      </c>
      <c r="N20" s="18">
        <f>Test!D90</f>
        <v>39.341900000000003</v>
      </c>
      <c r="O20" s="18">
        <f>Test!E90</f>
        <v>42.22</v>
      </c>
      <c r="P20" s="18">
        <f>Test!F90</f>
        <v>68948.740999999995</v>
      </c>
      <c r="Q20" s="18">
        <f>Test!G90</f>
        <v>10.444000000000001</v>
      </c>
      <c r="R20" s="19">
        <f t="shared" si="4"/>
        <v>19.152428055555553</v>
      </c>
      <c r="S20" s="17">
        <f t="shared" si="5"/>
        <v>0.98061707754134664</v>
      </c>
      <c r="T20" s="18">
        <f t="shared" si="6"/>
        <v>0.97180608541918678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Reference!B91</f>
        <v>2330.8200000000002</v>
      </c>
      <c r="E21" s="18">
        <f>Reference!C91</f>
        <v>35.383299999999998</v>
      </c>
      <c r="F21" s="18">
        <f>Reference!D91</f>
        <v>38.738799999999998</v>
      </c>
      <c r="G21" s="18">
        <f>Reference!E91</f>
        <v>40.959800000000001</v>
      </c>
      <c r="H21" s="18">
        <f>Reference!F91</f>
        <v>39916.529000000002</v>
      </c>
      <c r="I21" s="18">
        <f>Reference!G91</f>
        <v>8.9049999999999994</v>
      </c>
      <c r="J21" s="19">
        <f t="shared" si="3"/>
        <v>11.087924722222223</v>
      </c>
      <c r="L21" s="17">
        <f>Test!B91</f>
        <v>2303.7640000000001</v>
      </c>
      <c r="M21" s="18">
        <f>Test!C91</f>
        <v>35.365099999999998</v>
      </c>
      <c r="N21" s="18">
        <f>Test!D91</f>
        <v>38.730400000000003</v>
      </c>
      <c r="O21" s="18">
        <f>Test!E91</f>
        <v>40.958199999999998</v>
      </c>
      <c r="P21" s="18">
        <f>Test!F91</f>
        <v>39812.582000000002</v>
      </c>
      <c r="Q21" s="18">
        <f>Test!G91</f>
        <v>8.9290000000000003</v>
      </c>
      <c r="R21" s="19">
        <f t="shared" si="4"/>
        <v>11.059050555555556</v>
      </c>
      <c r="S21" s="17">
        <f t="shared" si="5"/>
        <v>0.99739589081004509</v>
      </c>
      <c r="T21" s="18">
        <f t="shared" si="6"/>
        <v>1.0026951151038743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Reference!B92</f>
        <v>1115.3520000000001</v>
      </c>
      <c r="E22" s="23">
        <f>Reference!C92</f>
        <v>33.19</v>
      </c>
      <c r="F22" s="23">
        <f>Reference!D92</f>
        <v>37.696599999999997</v>
      </c>
      <c r="G22" s="23">
        <f>Reference!E92</f>
        <v>39.2089</v>
      </c>
      <c r="H22" s="23">
        <f>Reference!F92</f>
        <v>21791.995999999999</v>
      </c>
      <c r="I22" s="23">
        <f>Reference!G92</f>
        <v>8.0239999999999991</v>
      </c>
      <c r="J22" s="24">
        <f t="shared" si="3"/>
        <v>6.0533322222222221</v>
      </c>
      <c r="L22" s="22">
        <f>Test!B92</f>
        <v>1104.7439999999999</v>
      </c>
      <c r="M22" s="23">
        <f>Test!C92</f>
        <v>33.171599999999998</v>
      </c>
      <c r="N22" s="23">
        <f>Test!D92</f>
        <v>37.701599999999999</v>
      </c>
      <c r="O22" s="23">
        <f>Test!E92</f>
        <v>39.229199999999999</v>
      </c>
      <c r="P22" s="23">
        <f>Test!F92</f>
        <v>21477.379000000001</v>
      </c>
      <c r="Q22" s="23">
        <f>Test!G92</f>
        <v>7.9109999999999996</v>
      </c>
      <c r="R22" s="24">
        <f t="shared" si="4"/>
        <v>5.9659386111111115</v>
      </c>
      <c r="S22" s="17">
        <f t="shared" si="5"/>
        <v>0.98556272679198365</v>
      </c>
      <c r="T22" s="18">
        <f t="shared" si="6"/>
        <v>0.9859172482552343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Reference!B93</f>
        <v>8681.732</v>
      </c>
      <c r="E23" s="13">
        <f>Reference!C93</f>
        <v>38.9527</v>
      </c>
      <c r="F23" s="13">
        <f>Reference!D93</f>
        <v>44.057099999999998</v>
      </c>
      <c r="G23" s="13">
        <f>Reference!E93</f>
        <v>45.224200000000003</v>
      </c>
      <c r="H23" s="13">
        <f>Reference!F93</f>
        <v>121415.514</v>
      </c>
      <c r="I23" s="13">
        <f>Reference!G93</f>
        <v>13.441000000000001</v>
      </c>
      <c r="J23" s="14">
        <f t="shared" si="3"/>
        <v>33.726531666666666</v>
      </c>
      <c r="L23" s="12">
        <f>Test!B93</f>
        <v>8546.9439999999995</v>
      </c>
      <c r="M23" s="13">
        <f>Test!C93</f>
        <v>38.949300000000001</v>
      </c>
      <c r="N23" s="13">
        <f>Test!D93</f>
        <v>44.055399999999999</v>
      </c>
      <c r="O23" s="13">
        <f>Test!E93</f>
        <v>45.213700000000003</v>
      </c>
      <c r="P23" s="13">
        <f>Test!F93</f>
        <v>121153.34600000001</v>
      </c>
      <c r="Q23" s="13">
        <f>Test!G93</f>
        <v>13.395</v>
      </c>
      <c r="R23" s="14">
        <f t="shared" si="4"/>
        <v>33.653707222222224</v>
      </c>
      <c r="S23" s="17">
        <f t="shared" si="5"/>
        <v>0.99784073722242783</v>
      </c>
      <c r="T23" s="18">
        <f t="shared" si="6"/>
        <v>0.99657763559258972</v>
      </c>
      <c r="U23" s="91"/>
      <c r="V23" s="37">
        <f>bdrate($D23:$D26,E23:E26,$L23:$L26,M23:M26)</f>
        <v>-7.5264266313284089E-3</v>
      </c>
      <c r="W23" s="42">
        <f>bdrate($D23:$D26,F23:F26,$L23:$L26,N23:N26)</f>
        <v>-1.5628291547750361E-2</v>
      </c>
      <c r="X23" s="42">
        <f>bdrate($D23:$D26,G23:G26,$L23:$L26,O23:O26)</f>
        <v>-1.0273152637697014E-2</v>
      </c>
      <c r="Y23" s="40">
        <f>bdrateOld($D23:$D26,E23:E26,$L23:$L26,M23:M26)</f>
        <v>-7.6476512502001714E-3</v>
      </c>
      <c r="Z23" s="44">
        <f>bdrateOld($D23:$D26,F23:F26,$L23:$L26,N23:N26)</f>
        <v>-1.4258828558691872E-2</v>
      </c>
      <c r="AA23" s="45">
        <f>bdrateOld($D23:$D26,G23:G26,$L23:$L26,O23:O26)</f>
        <v>-9.6162003482185288E-3</v>
      </c>
    </row>
    <row r="24" spans="1:27" x14ac:dyDescent="0.35">
      <c r="A24" s="34"/>
      <c r="B24" s="85"/>
      <c r="C24" s="16">
        <v>32</v>
      </c>
      <c r="D24" s="17">
        <f>Reference!B94</f>
        <v>4333.5519999999997</v>
      </c>
      <c r="E24" s="18">
        <f>Reference!C94</f>
        <v>37.9238</v>
      </c>
      <c r="F24" s="18">
        <f>Reference!D94</f>
        <v>43.206899999999997</v>
      </c>
      <c r="G24" s="18">
        <f>Reference!E94</f>
        <v>43.7624</v>
      </c>
      <c r="H24" s="18">
        <f>Reference!F94</f>
        <v>75152.356</v>
      </c>
      <c r="I24" s="18">
        <f>Reference!G94</f>
        <v>11.381</v>
      </c>
      <c r="J24" s="19">
        <f t="shared" si="3"/>
        <v>20.875654444444443</v>
      </c>
      <c r="L24" s="17">
        <f>Test!B94</f>
        <v>4281.116</v>
      </c>
      <c r="M24" s="18">
        <f>Test!C94</f>
        <v>37.919499999999999</v>
      </c>
      <c r="N24" s="18">
        <f>Test!D94</f>
        <v>43.224400000000003</v>
      </c>
      <c r="O24" s="18">
        <f>Test!E94</f>
        <v>43.785299999999999</v>
      </c>
      <c r="P24" s="18">
        <f>Test!F94</f>
        <v>74159.172999999995</v>
      </c>
      <c r="Q24" s="18">
        <f>Test!G94</f>
        <v>11.298</v>
      </c>
      <c r="R24" s="19">
        <f t="shared" si="4"/>
        <v>20.599770277777775</v>
      </c>
      <c r="S24" s="17">
        <f t="shared" si="5"/>
        <v>0.98678440633318265</v>
      </c>
      <c r="T24" s="18">
        <f t="shared" si="6"/>
        <v>0.99270714348475531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Reference!B95</f>
        <v>2209.8200000000002</v>
      </c>
      <c r="E25" s="18">
        <f>Reference!C95</f>
        <v>36.4313</v>
      </c>
      <c r="F25" s="18">
        <f>Reference!D95</f>
        <v>42.2012</v>
      </c>
      <c r="G25" s="18">
        <f>Reference!E95</f>
        <v>42.212299999999999</v>
      </c>
      <c r="H25" s="18">
        <f>Reference!F95</f>
        <v>41659.635999999999</v>
      </c>
      <c r="I25" s="18">
        <f>Reference!G95</f>
        <v>9.8339999999999996</v>
      </c>
      <c r="J25" s="19">
        <f t="shared" si="3"/>
        <v>11.572121111111111</v>
      </c>
      <c r="L25" s="17">
        <f>Test!B95</f>
        <v>2186.2399999999998</v>
      </c>
      <c r="M25" s="18">
        <f>Test!C95</f>
        <v>36.4221</v>
      </c>
      <c r="N25" s="18">
        <f>Test!D95</f>
        <v>42.197499999999998</v>
      </c>
      <c r="O25" s="18">
        <f>Test!E95</f>
        <v>42.196100000000001</v>
      </c>
      <c r="P25" s="18">
        <f>Test!F95</f>
        <v>41169.413</v>
      </c>
      <c r="Q25" s="18">
        <f>Test!G95</f>
        <v>9.9169999999999998</v>
      </c>
      <c r="R25" s="19">
        <f t="shared" si="4"/>
        <v>11.435948055555556</v>
      </c>
      <c r="S25" s="17">
        <f t="shared" si="5"/>
        <v>0.9882326624265273</v>
      </c>
      <c r="T25" s="18">
        <f t="shared" si="6"/>
        <v>1.0084401057555421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Reference!B96</f>
        <v>1085.9480000000001</v>
      </c>
      <c r="E26" s="23">
        <f>Reference!C96</f>
        <v>34.369900000000001</v>
      </c>
      <c r="F26" s="23">
        <f>Reference!D96</f>
        <v>40.806199999999997</v>
      </c>
      <c r="G26" s="23">
        <f>Reference!E96</f>
        <v>40.295699999999997</v>
      </c>
      <c r="H26" s="23">
        <f>Reference!F96</f>
        <v>22437.027999999998</v>
      </c>
      <c r="I26" s="23">
        <f>Reference!G96</f>
        <v>8.5020000000000007</v>
      </c>
      <c r="J26" s="24">
        <f t="shared" si="3"/>
        <v>6.2325077777777773</v>
      </c>
      <c r="L26" s="22">
        <f>Test!B96</f>
        <v>1079.904</v>
      </c>
      <c r="M26" s="23">
        <f>Test!C96</f>
        <v>34.361400000000003</v>
      </c>
      <c r="N26" s="23">
        <f>Test!D96</f>
        <v>40.8384</v>
      </c>
      <c r="O26" s="23">
        <f>Test!E96</f>
        <v>40.280900000000003</v>
      </c>
      <c r="P26" s="23">
        <f>Test!F96</f>
        <v>22058.519</v>
      </c>
      <c r="Q26" s="23">
        <f>Test!G96</f>
        <v>8.3369999999999997</v>
      </c>
      <c r="R26" s="24">
        <f t="shared" si="4"/>
        <v>6.1273663888888885</v>
      </c>
      <c r="S26" s="17">
        <f t="shared" si="5"/>
        <v>0.98313016322839197</v>
      </c>
      <c r="T26" s="18">
        <f t="shared" si="6"/>
        <v>0.98059280169371899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Reference!B97</f>
        <v>6800.92</v>
      </c>
      <c r="E27" s="13">
        <f>Reference!C97</f>
        <v>39.707900000000002</v>
      </c>
      <c r="F27" s="13">
        <f>Reference!D97</f>
        <v>43.904499999999999</v>
      </c>
      <c r="G27" s="13">
        <f>Reference!E97</f>
        <v>45.047899999999998</v>
      </c>
      <c r="H27" s="13">
        <f>Reference!F97</f>
        <v>111715.72900000001</v>
      </c>
      <c r="I27" s="13">
        <f>Reference!G97</f>
        <v>13.504</v>
      </c>
      <c r="J27" s="14">
        <f>H27/3600</f>
        <v>31.032146944444445</v>
      </c>
      <c r="L27" s="12">
        <f>Test!B97</f>
        <v>6744.1760000000004</v>
      </c>
      <c r="M27" s="13">
        <f>Test!C97</f>
        <v>39.7059</v>
      </c>
      <c r="N27" s="13">
        <f>Test!D97</f>
        <v>43.91</v>
      </c>
      <c r="O27" s="13">
        <f>Test!E97</f>
        <v>45.054400000000001</v>
      </c>
      <c r="P27" s="13">
        <f>Test!F97</f>
        <v>110670.54</v>
      </c>
      <c r="Q27" s="13">
        <f>Test!G97</f>
        <v>13.522</v>
      </c>
      <c r="R27" s="14">
        <f>P27/3600</f>
        <v>30.741816666666665</v>
      </c>
      <c r="S27" s="17">
        <f t="shared" si="2"/>
        <v>0.99064420910684825</v>
      </c>
      <c r="T27" s="18">
        <f t="shared" si="2"/>
        <v>1.0013329383886256</v>
      </c>
      <c r="U27" s="91"/>
      <c r="V27" s="37">
        <f>bdrate($D27:$D30,E27:E30,$L27:$L30,M27:M30)</f>
        <v>-6.0817138291616724E-3</v>
      </c>
      <c r="W27" s="42">
        <f>bdrate($D27:$D30,F27:F30,$L27:$L30,N27:N30)</f>
        <v>-9.0608761126897974E-3</v>
      </c>
      <c r="X27" s="43">
        <f>bdrate($D27:$D30,G27:G30,$L27:$L30,O27:O30)</f>
        <v>-9.0946153052422485E-3</v>
      </c>
      <c r="Y27" s="37">
        <f>bdrateOld($D27:$D30,E27:E30,$L27:$L30,M27:M30)</f>
        <v>-5.7133401970951292E-3</v>
      </c>
      <c r="Z27" s="42">
        <f>bdrateOld($D27:$D30,F27:F30,$L27:$L30,N27:N30)</f>
        <v>-7.1324134060434252E-3</v>
      </c>
      <c r="AA27" s="43">
        <f>bdrateOld($D27:$D30,G27:G30,$L27:$L30,O27:O30)</f>
        <v>-8.3138749135454049E-3</v>
      </c>
    </row>
    <row r="28" spans="1:27" x14ac:dyDescent="0.35">
      <c r="A28" s="16"/>
      <c r="B28" s="85"/>
      <c r="C28" s="16">
        <v>48</v>
      </c>
      <c r="D28" s="17">
        <f>Reference!B98</f>
        <v>3230.7</v>
      </c>
      <c r="E28" s="18">
        <f>Reference!C98</f>
        <v>38.563000000000002</v>
      </c>
      <c r="F28" s="18">
        <f>Reference!D98</f>
        <v>43.1477</v>
      </c>
      <c r="G28" s="18">
        <f>Reference!E98</f>
        <v>44.365200000000002</v>
      </c>
      <c r="H28" s="18">
        <f>Reference!F98</f>
        <v>67172.410999999993</v>
      </c>
      <c r="I28" s="18">
        <f>Reference!G98</f>
        <v>11.651999999999999</v>
      </c>
      <c r="J28" s="19">
        <f t="shared" ref="J28:J46" si="7">H28/3600</f>
        <v>18.659003055555555</v>
      </c>
      <c r="L28" s="17">
        <f>Test!B98</f>
        <v>3207.4720000000002</v>
      </c>
      <c r="M28" s="18">
        <f>Test!C98</f>
        <v>38.562800000000003</v>
      </c>
      <c r="N28" s="18">
        <f>Test!D98</f>
        <v>43.149299999999997</v>
      </c>
      <c r="O28" s="18">
        <f>Test!E98</f>
        <v>44.3703</v>
      </c>
      <c r="P28" s="18">
        <f>Test!F98</f>
        <v>66200.164999999994</v>
      </c>
      <c r="Q28" s="18">
        <f>Test!G98</f>
        <v>11.375</v>
      </c>
      <c r="R28" s="19">
        <f t="shared" ref="R28:R46" si="8">P28/3600</f>
        <v>18.388934722222221</v>
      </c>
      <c r="S28" s="17">
        <f t="shared" si="2"/>
        <v>0.98552611130781065</v>
      </c>
      <c r="T28" s="18">
        <f t="shared" si="2"/>
        <v>0.97622725712324065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Reference!B99</f>
        <v>1555.912</v>
      </c>
      <c r="E29" s="18">
        <f>Reference!C99</f>
        <v>36.895099999999999</v>
      </c>
      <c r="F29" s="18">
        <f>Reference!D99</f>
        <v>42.293199999999999</v>
      </c>
      <c r="G29" s="18">
        <f>Reference!E99</f>
        <v>43.479199999999999</v>
      </c>
      <c r="H29" s="18">
        <f>Reference!F99</f>
        <v>35723.650999999998</v>
      </c>
      <c r="I29" s="18">
        <f>Reference!G99</f>
        <v>9.7210000000000001</v>
      </c>
      <c r="J29" s="19">
        <f t="shared" si="7"/>
        <v>9.9232363888888884</v>
      </c>
      <c r="L29" s="17">
        <f>Test!B99</f>
        <v>1545.54</v>
      </c>
      <c r="M29" s="18">
        <f>Test!C99</f>
        <v>36.8934</v>
      </c>
      <c r="N29" s="18">
        <f>Test!D99</f>
        <v>42.28</v>
      </c>
      <c r="O29" s="18">
        <f>Test!E99</f>
        <v>43.473599999999998</v>
      </c>
      <c r="P29" s="18">
        <f>Test!F99</f>
        <v>35492.752999999997</v>
      </c>
      <c r="Q29" s="18">
        <f>Test!G99</f>
        <v>9.9649999999999999</v>
      </c>
      <c r="R29" s="19">
        <f t="shared" si="8"/>
        <v>9.8590980555555543</v>
      </c>
      <c r="S29" s="17">
        <f t="shared" si="2"/>
        <v>0.99353655089733128</v>
      </c>
      <c r="T29" s="18">
        <f t="shared" si="2"/>
        <v>1.0251002983232178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Reference!B100</f>
        <v>702.90800000000002</v>
      </c>
      <c r="E30" s="23">
        <f>Reference!C100</f>
        <v>34.664200000000001</v>
      </c>
      <c r="F30" s="23">
        <f>Reference!D100</f>
        <v>40.995899999999999</v>
      </c>
      <c r="G30" s="23">
        <f>Reference!E100</f>
        <v>42.131700000000002</v>
      </c>
      <c r="H30" s="23">
        <f>Reference!F100</f>
        <v>18092.179</v>
      </c>
      <c r="I30" s="23">
        <f>Reference!G100</f>
        <v>8.8469999999999995</v>
      </c>
      <c r="J30" s="24">
        <f t="shared" si="7"/>
        <v>5.0256052777777782</v>
      </c>
      <c r="L30" s="22">
        <f>Test!B100</f>
        <v>693.98800000000006</v>
      </c>
      <c r="M30" s="23">
        <f>Test!C100</f>
        <v>34.637500000000003</v>
      </c>
      <c r="N30" s="23">
        <f>Test!D100</f>
        <v>41.049399999999999</v>
      </c>
      <c r="O30" s="23">
        <f>Test!E100</f>
        <v>42.143900000000002</v>
      </c>
      <c r="P30" s="23">
        <f>Test!F100</f>
        <v>17969.673999999999</v>
      </c>
      <c r="Q30" s="23">
        <f>Test!G100</f>
        <v>8.9109999999999996</v>
      </c>
      <c r="R30" s="24">
        <f t="shared" si="8"/>
        <v>4.9915761111111108</v>
      </c>
      <c r="S30" s="17">
        <f t="shared" si="2"/>
        <v>0.99322884214223173</v>
      </c>
      <c r="T30" s="18">
        <f t="shared" si="2"/>
        <v>1.0072340906521986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Reference!B101</f>
        <v>5630.64</v>
      </c>
      <c r="E31" s="13">
        <f>Reference!C101</f>
        <v>44.932899999999997</v>
      </c>
      <c r="F31" s="13">
        <f>Reference!D101</f>
        <v>47.741199999999999</v>
      </c>
      <c r="G31" s="13">
        <f>Reference!E101</f>
        <v>48.540799999999997</v>
      </c>
      <c r="H31" s="13">
        <f>Reference!F101</f>
        <v>86230.822</v>
      </c>
      <c r="I31" s="13">
        <f>Reference!G101</f>
        <v>13.483000000000001</v>
      </c>
      <c r="J31" s="14">
        <f t="shared" si="7"/>
        <v>23.953006111111112</v>
      </c>
      <c r="L31" s="12">
        <f>Test!B101</f>
        <v>5565.5280000000002</v>
      </c>
      <c r="M31" s="13">
        <f>Test!C101</f>
        <v>44.886499999999998</v>
      </c>
      <c r="N31" s="13">
        <f>Test!D101</f>
        <v>47.720799999999997</v>
      </c>
      <c r="O31" s="13">
        <f>Test!E101</f>
        <v>48.515700000000002</v>
      </c>
      <c r="P31" s="13">
        <f>Test!F101</f>
        <v>83291.383000000002</v>
      </c>
      <c r="Q31" s="13">
        <f>Test!G101</f>
        <v>13.3</v>
      </c>
      <c r="R31" s="14">
        <f t="shared" si="8"/>
        <v>23.136495277777779</v>
      </c>
      <c r="S31" s="17">
        <f t="shared" si="2"/>
        <v>0.96591196822871528</v>
      </c>
      <c r="T31" s="18">
        <f t="shared" si="2"/>
        <v>0.98642735296299044</v>
      </c>
      <c r="U31" s="91"/>
      <c r="V31" s="37">
        <f>bdrate($D31:$D34,E31:E34,$L31:$L34,M31:M34)</f>
        <v>-1.0297203761179263E-3</v>
      </c>
      <c r="W31" s="42">
        <f>bdrate($D31:$D34,F31:F34,$L31:$L34,N31:N34)</f>
        <v>2.292095204584621E-3</v>
      </c>
      <c r="X31" s="42">
        <f>bdrate($D31:$D34,G31:G34,$L31:$L34,O31:O34)</f>
        <v>-1.9318711136295796E-4</v>
      </c>
      <c r="Y31" s="40">
        <f>bdrateOld($D31:$D34,E31:E34,$L31:$L34,M31:M34)</f>
        <v>-1.0133235598940304E-3</v>
      </c>
      <c r="Z31" s="44">
        <f>bdrateOld($D31:$D34,F31:F34,$L31:$L34,N31:N34)</f>
        <v>2.3030644412693757E-3</v>
      </c>
      <c r="AA31" s="45">
        <f>bdrateOld($D31:$D34,G31:G34,$L31:$L34,O31:O34)</f>
        <v>3.6198629910666469E-5</v>
      </c>
    </row>
    <row r="32" spans="1:27" x14ac:dyDescent="0.35">
      <c r="A32" s="16"/>
      <c r="B32" s="85"/>
      <c r="C32" s="16">
        <v>48</v>
      </c>
      <c r="D32" s="17">
        <f>Reference!B102</f>
        <v>3453.0520000000001</v>
      </c>
      <c r="E32" s="18">
        <f>Reference!C102</f>
        <v>42.690100000000001</v>
      </c>
      <c r="F32" s="18">
        <f>Reference!D102</f>
        <v>46.180599999999998</v>
      </c>
      <c r="G32" s="18">
        <f>Reference!E102</f>
        <v>46.751600000000003</v>
      </c>
      <c r="H32" s="18">
        <f>Reference!F102</f>
        <v>58015.894999999997</v>
      </c>
      <c r="I32" s="18">
        <f>Reference!G102</f>
        <v>12.11</v>
      </c>
      <c r="J32" s="19">
        <f t="shared" si="7"/>
        <v>16.115526388888888</v>
      </c>
      <c r="L32" s="17">
        <f>Test!B102</f>
        <v>3416.42</v>
      </c>
      <c r="M32" s="18">
        <f>Test!C102</f>
        <v>42.646500000000003</v>
      </c>
      <c r="N32" s="18">
        <f>Test!D102</f>
        <v>46.142299999999999</v>
      </c>
      <c r="O32" s="18">
        <f>Test!E102</f>
        <v>46.7331</v>
      </c>
      <c r="P32" s="18">
        <f>Test!F102</f>
        <v>57057.375</v>
      </c>
      <c r="Q32" s="18">
        <f>Test!G102</f>
        <v>12.122</v>
      </c>
      <c r="R32" s="19">
        <f t="shared" si="8"/>
        <v>15.849270833333334</v>
      </c>
      <c r="S32" s="17">
        <f t="shared" si="2"/>
        <v>0.98347832089809184</v>
      </c>
      <c r="T32" s="18">
        <f t="shared" si="2"/>
        <v>1.000990916597853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Reference!B103</f>
        <v>1931.944</v>
      </c>
      <c r="E33" s="18">
        <f>Reference!C103</f>
        <v>39.8782</v>
      </c>
      <c r="F33" s="18">
        <f>Reference!D103</f>
        <v>44.638800000000003</v>
      </c>
      <c r="G33" s="18">
        <f>Reference!E103</f>
        <v>44.979100000000003</v>
      </c>
      <c r="H33" s="18">
        <f>Reference!F103</f>
        <v>36158.737000000001</v>
      </c>
      <c r="I33" s="18">
        <f>Reference!G103</f>
        <v>10.662000000000001</v>
      </c>
      <c r="J33" s="19">
        <f t="shared" si="7"/>
        <v>10.044093611111112</v>
      </c>
      <c r="L33" s="17">
        <f>Test!B103</f>
        <v>1908.088</v>
      </c>
      <c r="M33" s="18">
        <f>Test!C103</f>
        <v>39.822000000000003</v>
      </c>
      <c r="N33" s="18">
        <f>Test!D103</f>
        <v>44.595500000000001</v>
      </c>
      <c r="O33" s="18">
        <f>Test!E103</f>
        <v>44.923900000000003</v>
      </c>
      <c r="P33" s="18">
        <f>Test!F103</f>
        <v>35783.165999999997</v>
      </c>
      <c r="Q33" s="18">
        <f>Test!G103</f>
        <v>10.705</v>
      </c>
      <c r="R33" s="19">
        <f t="shared" si="8"/>
        <v>9.9397683333333333</v>
      </c>
      <c r="S33" s="17">
        <f t="shared" si="2"/>
        <v>0.98961327106087793</v>
      </c>
      <c r="T33" s="18">
        <f t="shared" si="2"/>
        <v>1.0040330144438192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Reference!B104</f>
        <v>985.77200000000005</v>
      </c>
      <c r="E34" s="23">
        <f>Reference!C104</f>
        <v>36.700600000000001</v>
      </c>
      <c r="F34" s="23">
        <f>Reference!D104</f>
        <v>42.816800000000001</v>
      </c>
      <c r="G34" s="23">
        <f>Reference!E104</f>
        <v>42.8962</v>
      </c>
      <c r="H34" s="23">
        <f>Reference!F104</f>
        <v>20317.983</v>
      </c>
      <c r="I34" s="23">
        <f>Reference!G104</f>
        <v>8.9</v>
      </c>
      <c r="J34" s="24">
        <f t="shared" si="7"/>
        <v>5.643884166666667</v>
      </c>
      <c r="L34" s="22">
        <f>Test!B104</f>
        <v>973.60799999999995</v>
      </c>
      <c r="M34" s="23">
        <f>Test!C104</f>
        <v>36.646599999999999</v>
      </c>
      <c r="N34" s="23">
        <f>Test!D104</f>
        <v>42.771999999999998</v>
      </c>
      <c r="O34" s="23">
        <f>Test!E104</f>
        <v>42.858800000000002</v>
      </c>
      <c r="P34" s="23">
        <f>Test!F104</f>
        <v>20374.384999999998</v>
      </c>
      <c r="Q34" s="23">
        <f>Test!G104</f>
        <v>9.1340000000000003</v>
      </c>
      <c r="R34" s="24">
        <f t="shared" si="8"/>
        <v>5.6595513888888886</v>
      </c>
      <c r="S34" s="17">
        <f t="shared" si="2"/>
        <v>1.0027759645236438</v>
      </c>
      <c r="T34" s="18">
        <f t="shared" si="2"/>
        <v>1.0262921348314606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Reference!B105</f>
        <v>4138.4319999999998</v>
      </c>
      <c r="E35" s="13">
        <f>Reference!C105</f>
        <v>38.619799999999998</v>
      </c>
      <c r="F35" s="13">
        <f>Reference!D105</f>
        <v>46.238199999999999</v>
      </c>
      <c r="G35" s="13">
        <f>Reference!E105</f>
        <v>46.437199999999997</v>
      </c>
      <c r="H35" s="13">
        <f>Reference!F105</f>
        <v>53627.192999999999</v>
      </c>
      <c r="I35" s="13">
        <f>Reference!G105</f>
        <v>5.5739999999999998</v>
      </c>
      <c r="J35" s="14">
        <f t="shared" si="7"/>
        <v>14.896442499999999</v>
      </c>
      <c r="L35" s="12">
        <f>Test!B105</f>
        <v>4096.6400000000003</v>
      </c>
      <c r="M35" s="13">
        <f>Test!C105</f>
        <v>38.610300000000002</v>
      </c>
      <c r="N35" s="13">
        <f>Test!D105</f>
        <v>46.2393</v>
      </c>
      <c r="O35" s="13">
        <f>Test!E105</f>
        <v>46.451300000000003</v>
      </c>
      <c r="P35" s="13">
        <f>Test!F105</f>
        <v>53839.41</v>
      </c>
      <c r="Q35" s="13">
        <f>Test!G105</f>
        <v>5.5110000000000001</v>
      </c>
      <c r="R35" s="14">
        <f t="shared" si="8"/>
        <v>14.955391666666667</v>
      </c>
      <c r="S35" s="12">
        <f t="shared" si="2"/>
        <v>1.00395726474067</v>
      </c>
      <c r="T35" s="13">
        <f t="shared" si="2"/>
        <v>0.98869752421959101</v>
      </c>
      <c r="U35" s="90"/>
      <c r="V35" s="37">
        <f>bdrate($D35:$D38,E35:E38,$L35:$L38,M35:M38)</f>
        <v>-5.3369253626145419E-3</v>
      </c>
      <c r="W35" s="42">
        <f>bdrate($D35:$D38,F35:F38,$L35:$L38,N35:N38)</f>
        <v>-1.6872551147428139E-2</v>
      </c>
      <c r="X35" s="42">
        <f>bdrate($D35:$D38,G35:G38,$L35:$L38,O35:O38)</f>
        <v>-1.9871136489137964E-2</v>
      </c>
      <c r="Y35" s="40">
        <f>bdrateOld($D35:$D38,E35:E38,$L35:$L38,M35:M38)</f>
        <v>-5.3944428554232315E-3</v>
      </c>
      <c r="Z35" s="44">
        <f>bdrateOld($D35:$D38,F35:F38,$L35:$L38,N35:N38)</f>
        <v>-1.5650004087476743E-2</v>
      </c>
      <c r="AA35" s="45">
        <f>bdrateOld($D35:$D38,G35:G38,$L35:$L38,O35:O38)</f>
        <v>-1.7187227437725716E-2</v>
      </c>
    </row>
    <row r="36" spans="1:27" x14ac:dyDescent="0.35">
      <c r="A36" s="16" t="s">
        <v>52</v>
      </c>
      <c r="B36" s="85"/>
      <c r="C36" s="16">
        <v>32</v>
      </c>
      <c r="D36" s="17">
        <f>Reference!B106</f>
        <v>1802.72</v>
      </c>
      <c r="E36" s="18">
        <f>Reference!C106</f>
        <v>37.117199999999997</v>
      </c>
      <c r="F36" s="18">
        <f>Reference!D106</f>
        <v>45.167000000000002</v>
      </c>
      <c r="G36" s="18">
        <f>Reference!E106</f>
        <v>45.365200000000002</v>
      </c>
      <c r="H36" s="18">
        <f>Reference!F106</f>
        <v>28804.276000000002</v>
      </c>
      <c r="I36" s="18">
        <f>Reference!G106</f>
        <v>4.4640000000000004</v>
      </c>
      <c r="J36" s="19">
        <f t="shared" si="7"/>
        <v>8.001187777777778</v>
      </c>
      <c r="L36" s="17">
        <f>Test!B106</f>
        <v>1779.5719999999999</v>
      </c>
      <c r="M36" s="18">
        <f>Test!C106</f>
        <v>37.102899999999998</v>
      </c>
      <c r="N36" s="18">
        <f>Test!D106</f>
        <v>45.186500000000002</v>
      </c>
      <c r="O36" s="18">
        <f>Test!E106</f>
        <v>45.392099999999999</v>
      </c>
      <c r="P36" s="18">
        <f>Test!F106</f>
        <v>28659.824000000001</v>
      </c>
      <c r="Q36" s="18">
        <f>Test!G106</f>
        <v>4.5549999999999997</v>
      </c>
      <c r="R36" s="19">
        <f t="shared" si="8"/>
        <v>7.961062222222222</v>
      </c>
      <c r="S36" s="17">
        <f t="shared" si="2"/>
        <v>0.99498505013630612</v>
      </c>
      <c r="T36" s="18">
        <f t="shared" si="2"/>
        <v>1.0203853046594979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Reference!B107</f>
        <v>848.88800000000003</v>
      </c>
      <c r="E37" s="18">
        <f>Reference!C107</f>
        <v>35.169400000000003</v>
      </c>
      <c r="F37" s="18">
        <f>Reference!D107</f>
        <v>43.891199999999998</v>
      </c>
      <c r="G37" s="18">
        <f>Reference!E107</f>
        <v>44.170400000000001</v>
      </c>
      <c r="H37" s="18">
        <f>Reference!F107</f>
        <v>15663.921</v>
      </c>
      <c r="I37" s="18">
        <f>Reference!G107</f>
        <v>3.8180000000000001</v>
      </c>
      <c r="J37" s="19">
        <f t="shared" si="7"/>
        <v>4.3510891666666671</v>
      </c>
      <c r="L37" s="17">
        <f>Test!B107</f>
        <v>836.64</v>
      </c>
      <c r="M37" s="18">
        <f>Test!C107</f>
        <v>35.144199999999998</v>
      </c>
      <c r="N37" s="18">
        <f>Test!D107</f>
        <v>43.879800000000003</v>
      </c>
      <c r="O37" s="18">
        <f>Test!E107</f>
        <v>44.150100000000002</v>
      </c>
      <c r="P37" s="18">
        <f>Test!F107</f>
        <v>15713.391</v>
      </c>
      <c r="Q37" s="18">
        <f>Test!G107</f>
        <v>3.7440000000000002</v>
      </c>
      <c r="R37" s="19">
        <f t="shared" si="8"/>
        <v>4.3648308333333334</v>
      </c>
      <c r="S37" s="17">
        <f t="shared" si="2"/>
        <v>1.0031582130681072</v>
      </c>
      <c r="T37" s="18">
        <f t="shared" si="2"/>
        <v>0.98061812467260345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Reference!B108</f>
        <v>402.17200000000003</v>
      </c>
      <c r="E38" s="23">
        <f>Reference!C108</f>
        <v>32.494399999999999</v>
      </c>
      <c r="F38" s="23">
        <f>Reference!D108</f>
        <v>42.176699999999997</v>
      </c>
      <c r="G38" s="23">
        <f>Reference!E108</f>
        <v>42.419600000000003</v>
      </c>
      <c r="H38" s="23">
        <f>Reference!F108</f>
        <v>8015.5649999999996</v>
      </c>
      <c r="I38" s="23">
        <f>Reference!G108</f>
        <v>3.2469999999999999</v>
      </c>
      <c r="J38" s="24">
        <f t="shared" si="7"/>
        <v>2.2265458333333332</v>
      </c>
      <c r="L38" s="22">
        <f>Test!B108</f>
        <v>399.34800000000001</v>
      </c>
      <c r="M38" s="23">
        <f>Test!C108</f>
        <v>32.474200000000003</v>
      </c>
      <c r="N38" s="23">
        <f>Test!D108</f>
        <v>42.229500000000002</v>
      </c>
      <c r="O38" s="23">
        <f>Test!E108</f>
        <v>42.521799999999999</v>
      </c>
      <c r="P38" s="23">
        <f>Test!F108</f>
        <v>7994.42</v>
      </c>
      <c r="Q38" s="23">
        <f>Test!G108</f>
        <v>3.2480000000000002</v>
      </c>
      <c r="R38" s="24">
        <f t="shared" si="8"/>
        <v>2.2206722222222224</v>
      </c>
      <c r="S38" s="17">
        <f t="shared" si="2"/>
        <v>0.99736200754407212</v>
      </c>
      <c r="T38" s="18">
        <f t="shared" si="2"/>
        <v>1.000307976593779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Reference!B109</f>
        <v>2461.5079999999998</v>
      </c>
      <c r="E39" s="13">
        <f>Reference!C109</f>
        <v>40.6524</v>
      </c>
      <c r="F39" s="13">
        <f>Reference!D109</f>
        <v>46.1462</v>
      </c>
      <c r="G39" s="13">
        <f>Reference!E109</f>
        <v>47.343200000000003</v>
      </c>
      <c r="H39" s="13">
        <f>Reference!F109</f>
        <v>42456.999000000003</v>
      </c>
      <c r="I39" s="13">
        <f>Reference!G109</f>
        <v>5.4</v>
      </c>
      <c r="J39" s="14">
        <f t="shared" si="7"/>
        <v>11.793610833333334</v>
      </c>
      <c r="L39" s="12">
        <f>Test!B109</f>
        <v>2421.8159999999998</v>
      </c>
      <c r="M39" s="13">
        <f>Test!C109</f>
        <v>40.650399999999998</v>
      </c>
      <c r="N39" s="13">
        <f>Test!D109</f>
        <v>46.144799999999996</v>
      </c>
      <c r="O39" s="13">
        <f>Test!E109</f>
        <v>47.317999999999998</v>
      </c>
      <c r="P39" s="13">
        <f>Test!F109</f>
        <v>42193.911</v>
      </c>
      <c r="Q39" s="13">
        <f>Test!G109</f>
        <v>5.415</v>
      </c>
      <c r="R39" s="14">
        <f t="shared" si="8"/>
        <v>11.720530833333333</v>
      </c>
      <c r="S39" s="17">
        <f t="shared" si="2"/>
        <v>0.99380342449545234</v>
      </c>
      <c r="T39" s="18">
        <f t="shared" si="2"/>
        <v>1.0027777777777778</v>
      </c>
      <c r="U39" s="91"/>
      <c r="V39" s="37">
        <f>bdrate($D39:$D42,E39:E42,$L39:$L42,M39:M42)</f>
        <v>-6.263693945814941E-3</v>
      </c>
      <c r="W39" s="42">
        <f>bdrate($D39:$D42,F39:F42,$L39:$L42,N39:N42)</f>
        <v>-2.1018835114351431E-3</v>
      </c>
      <c r="X39" s="42">
        <f>bdrate($D39:$D42,G39:G42,$L39:$L42,O39:O42)</f>
        <v>-4.1951938191190363E-3</v>
      </c>
      <c r="Y39" s="40">
        <f>bdrateOld($D39:$D42,E39:E42,$L39:$L42,M39:M42)</f>
        <v>-6.3258948917180868E-3</v>
      </c>
      <c r="Z39" s="44">
        <f>bdrateOld($D39:$D42,F39:F42,$L39:$L42,N39:N42)</f>
        <v>-1.8344806835113303E-3</v>
      </c>
      <c r="AA39" s="45">
        <f>bdrateOld($D39:$D42,G39:G42,$L39:$L42,O39:O42)</f>
        <v>-6.3747262187296982E-4</v>
      </c>
    </row>
    <row r="40" spans="1:27" x14ac:dyDescent="0.35">
      <c r="A40" s="16"/>
      <c r="B40" s="85"/>
      <c r="C40" s="16">
        <v>32</v>
      </c>
      <c r="D40" s="17">
        <f>Reference!B110</f>
        <v>1112.212</v>
      </c>
      <c r="E40" s="18">
        <f>Reference!C110</f>
        <v>39.526699999999998</v>
      </c>
      <c r="F40" s="18">
        <f>Reference!D110</f>
        <v>45.580599999999997</v>
      </c>
      <c r="G40" s="18">
        <f>Reference!E110</f>
        <v>46.042200000000001</v>
      </c>
      <c r="H40" s="18">
        <f>Reference!F110</f>
        <v>23403.623</v>
      </c>
      <c r="I40" s="18">
        <f>Reference!G110</f>
        <v>4.7130000000000001</v>
      </c>
      <c r="J40" s="19">
        <f t="shared" si="7"/>
        <v>6.5010063888888885</v>
      </c>
      <c r="L40" s="17">
        <f>Test!B110</f>
        <v>1089.56</v>
      </c>
      <c r="M40" s="18">
        <f>Test!C110</f>
        <v>39.506100000000004</v>
      </c>
      <c r="N40" s="18">
        <f>Test!D110</f>
        <v>45.563299999999998</v>
      </c>
      <c r="O40" s="18">
        <f>Test!E110</f>
        <v>46.064700000000002</v>
      </c>
      <c r="P40" s="18">
        <f>Test!F110</f>
        <v>23061.541000000001</v>
      </c>
      <c r="Q40" s="18">
        <f>Test!G110</f>
        <v>4.5119999999999996</v>
      </c>
      <c r="R40" s="19">
        <f t="shared" si="8"/>
        <v>6.405983611111111</v>
      </c>
      <c r="S40" s="17">
        <f t="shared" si="2"/>
        <v>0.98538337418954325</v>
      </c>
      <c r="T40" s="18">
        <f t="shared" si="2"/>
        <v>0.95735200509229779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Reference!B111</f>
        <v>525.67600000000004</v>
      </c>
      <c r="E41" s="18">
        <f>Reference!C111</f>
        <v>37.983499999999999</v>
      </c>
      <c r="F41" s="18">
        <f>Reference!D111</f>
        <v>44.839799999999997</v>
      </c>
      <c r="G41" s="18">
        <f>Reference!E111</f>
        <v>44.5533</v>
      </c>
      <c r="H41" s="18">
        <f>Reference!F111</f>
        <v>12181.304</v>
      </c>
      <c r="I41" s="18">
        <f>Reference!G111</f>
        <v>4.0170000000000003</v>
      </c>
      <c r="J41" s="19">
        <f t="shared" si="7"/>
        <v>3.3836955555555557</v>
      </c>
      <c r="L41" s="17">
        <f>Test!B111</f>
        <v>515.19200000000001</v>
      </c>
      <c r="M41" s="18">
        <f>Test!C111</f>
        <v>37.945900000000002</v>
      </c>
      <c r="N41" s="18">
        <f>Test!D111</f>
        <v>44.8065</v>
      </c>
      <c r="O41" s="18">
        <f>Test!E111</f>
        <v>44.481000000000002</v>
      </c>
      <c r="P41" s="18">
        <f>Test!F111</f>
        <v>12140.004999999999</v>
      </c>
      <c r="Q41" s="18">
        <f>Test!G111</f>
        <v>4.0220000000000002</v>
      </c>
      <c r="R41" s="19">
        <f t="shared" si="8"/>
        <v>3.372223611111111</v>
      </c>
      <c r="S41" s="17">
        <f t="shared" si="2"/>
        <v>0.99660964047855627</v>
      </c>
      <c r="T41" s="18">
        <f t="shared" si="2"/>
        <v>1.0012447099825741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Reference!B112</f>
        <v>238.37200000000001</v>
      </c>
      <c r="E42" s="23">
        <f>Reference!C112</f>
        <v>35.9026</v>
      </c>
      <c r="F42" s="23">
        <f>Reference!D112</f>
        <v>43.616100000000003</v>
      </c>
      <c r="G42" s="23">
        <f>Reference!E112</f>
        <v>42.4711</v>
      </c>
      <c r="H42" s="23">
        <f>Reference!F112</f>
        <v>6030.1270000000004</v>
      </c>
      <c r="I42" s="23">
        <f>Reference!G112</f>
        <v>3.5209999999999999</v>
      </c>
      <c r="J42" s="24">
        <f t="shared" si="7"/>
        <v>1.6750352777777779</v>
      </c>
      <c r="L42" s="22">
        <f>Test!B112</f>
        <v>233.82400000000001</v>
      </c>
      <c r="M42" s="23">
        <f>Test!C112</f>
        <v>35.859200000000001</v>
      </c>
      <c r="N42" s="23">
        <f>Test!D112</f>
        <v>43.630499999999998</v>
      </c>
      <c r="O42" s="23">
        <f>Test!E112</f>
        <v>42.408000000000001</v>
      </c>
      <c r="P42" s="23">
        <f>Test!F112</f>
        <v>5906.777</v>
      </c>
      <c r="Q42" s="23">
        <f>Test!G112</f>
        <v>3.5009999999999999</v>
      </c>
      <c r="R42" s="24">
        <f t="shared" si="8"/>
        <v>1.6407713888888888</v>
      </c>
      <c r="S42" s="17">
        <f t="shared" si="2"/>
        <v>0.97954437775522796</v>
      </c>
      <c r="T42" s="18">
        <f t="shared" si="2"/>
        <v>0.99431979551263849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Reference!B113</f>
        <v>942.22799999999995</v>
      </c>
      <c r="E43" s="13">
        <f>Reference!C113</f>
        <v>43.558599999999998</v>
      </c>
      <c r="F43" s="13">
        <f>Reference!D113</f>
        <v>47.289900000000003</v>
      </c>
      <c r="G43" s="13">
        <f>Reference!E113</f>
        <v>48.281300000000002</v>
      </c>
      <c r="H43" s="13">
        <f>Reference!F113</f>
        <v>18775.862000000001</v>
      </c>
      <c r="I43" s="13">
        <f>Reference!G113</f>
        <v>3.9460000000000002</v>
      </c>
      <c r="J43" s="14">
        <f t="shared" si="7"/>
        <v>5.2155172222222221</v>
      </c>
      <c r="L43" s="12">
        <f>Test!B113</f>
        <v>922.13199999999995</v>
      </c>
      <c r="M43" s="13">
        <f>Test!C113</f>
        <v>43.538499999999999</v>
      </c>
      <c r="N43" s="13">
        <f>Test!D113</f>
        <v>47.260800000000003</v>
      </c>
      <c r="O43" s="13">
        <f>Test!E113</f>
        <v>48.302199999999999</v>
      </c>
      <c r="P43" s="13">
        <f>Test!F113</f>
        <v>18724.75</v>
      </c>
      <c r="Q43" s="13">
        <f>Test!G113</f>
        <v>4.1310000000000002</v>
      </c>
      <c r="R43" s="14">
        <f t="shared" si="8"/>
        <v>5.2013194444444446</v>
      </c>
      <c r="S43" s="17">
        <f t="shared" si="2"/>
        <v>0.99727778144087331</v>
      </c>
      <c r="T43" s="18">
        <f t="shared" si="2"/>
        <v>1.0468829194120628</v>
      </c>
      <c r="U43" s="91"/>
      <c r="V43" s="37">
        <f>bdrate($D43:$D46,E43:E46,$L43:$L46,M43:M46)</f>
        <v>-3.1879566980225205E-3</v>
      </c>
      <c r="W43" s="42">
        <f>bdrate($D43:$D46,F43:F46,$L43:$L46,N43:N46)</f>
        <v>-3.3415973866209647E-2</v>
      </c>
      <c r="X43" s="42">
        <f>bdrate($D43:$D46,G43:G46,$L43:$L46,O43:O46)</f>
        <v>-9.3192413928523399E-3</v>
      </c>
      <c r="Y43" s="40">
        <f>bdrateOld($D43:$D46,E43:E46,$L43:$L46,M43:M46)</f>
        <v>-3.1715421806844946E-3</v>
      </c>
      <c r="Z43" s="44">
        <f>bdrateOld($D43:$D46,F43:F46,$L43:$L46,N43:N46)</f>
        <v>-3.0947600009854637E-2</v>
      </c>
      <c r="AA43" s="45">
        <f>bdrateOld($D43:$D46,G43:G46,$L43:$L46,O43:O46)</f>
        <v>-9.5955886197982565E-3</v>
      </c>
    </row>
    <row r="44" spans="1:27" x14ac:dyDescent="0.35">
      <c r="A44" s="16"/>
      <c r="B44" s="85"/>
      <c r="C44" s="16">
        <v>32</v>
      </c>
      <c r="D44" s="17">
        <f>Reference!B114</f>
        <v>516.41600000000005</v>
      </c>
      <c r="E44" s="18">
        <f>Reference!C114</f>
        <v>42.304600000000001</v>
      </c>
      <c r="F44" s="18">
        <f>Reference!D114</f>
        <v>46.505899999999997</v>
      </c>
      <c r="G44" s="18">
        <f>Reference!E114</f>
        <v>47.3</v>
      </c>
      <c r="H44" s="18">
        <f>Reference!F114</f>
        <v>10639.919</v>
      </c>
      <c r="I44" s="18">
        <f>Reference!G114</f>
        <v>3.6480000000000001</v>
      </c>
      <c r="J44" s="19">
        <f t="shared" si="7"/>
        <v>2.9555330555555557</v>
      </c>
      <c r="L44" s="17">
        <f>Test!B114</f>
        <v>505.52</v>
      </c>
      <c r="M44" s="18">
        <f>Test!C114</f>
        <v>42.264699999999998</v>
      </c>
      <c r="N44" s="18">
        <f>Test!D114</f>
        <v>46.525599999999997</v>
      </c>
      <c r="O44" s="18">
        <f>Test!E114</f>
        <v>47.301099999999998</v>
      </c>
      <c r="P44" s="18">
        <f>Test!F114</f>
        <v>10667.953</v>
      </c>
      <c r="Q44" s="18">
        <f>Test!G114</f>
        <v>3.8050000000000002</v>
      </c>
      <c r="R44" s="19">
        <f t="shared" si="8"/>
        <v>2.9633202777777776</v>
      </c>
      <c r="S44" s="17">
        <f t="shared" si="2"/>
        <v>1.0026347944942062</v>
      </c>
      <c r="T44" s="18">
        <f t="shared" si="2"/>
        <v>1.0430372807017545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Reference!B115</f>
        <v>295.61200000000002</v>
      </c>
      <c r="E45" s="18">
        <f>Reference!C115</f>
        <v>40.546199999999999</v>
      </c>
      <c r="F45" s="18">
        <f>Reference!D115</f>
        <v>45.524500000000003</v>
      </c>
      <c r="G45" s="18">
        <f>Reference!E115</f>
        <v>46.107900000000001</v>
      </c>
      <c r="H45" s="18">
        <f>Reference!F115</f>
        <v>5954.9470000000001</v>
      </c>
      <c r="I45" s="18">
        <f>Reference!G115</f>
        <v>3.5670000000000002</v>
      </c>
      <c r="J45" s="19">
        <f t="shared" si="7"/>
        <v>1.6541519444444446</v>
      </c>
      <c r="L45" s="17">
        <f>Test!B115</f>
        <v>290.05200000000002</v>
      </c>
      <c r="M45" s="18">
        <f>Test!C115</f>
        <v>40.4786</v>
      </c>
      <c r="N45" s="18">
        <f>Test!D115</f>
        <v>45.565600000000003</v>
      </c>
      <c r="O45" s="18">
        <f>Test!E115</f>
        <v>46.0794</v>
      </c>
      <c r="P45" s="18">
        <f>Test!F115</f>
        <v>5969.5720000000001</v>
      </c>
      <c r="Q45" s="18">
        <f>Test!G115</f>
        <v>3.5019999999999998</v>
      </c>
      <c r="R45" s="19">
        <f t="shared" si="8"/>
        <v>1.6582144444444444</v>
      </c>
      <c r="S45" s="17">
        <f t="shared" si="2"/>
        <v>1.0024559412535494</v>
      </c>
      <c r="T45" s="18">
        <f t="shared" si="2"/>
        <v>0.98177740398093627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Reference!B116</f>
        <v>165.3</v>
      </c>
      <c r="E46" s="23">
        <f>Reference!C116</f>
        <v>38.006300000000003</v>
      </c>
      <c r="F46" s="23">
        <f>Reference!D116</f>
        <v>43.829700000000003</v>
      </c>
      <c r="G46" s="23">
        <f>Reference!E116</f>
        <v>44.186300000000003</v>
      </c>
      <c r="H46" s="23">
        <f>Reference!F116</f>
        <v>3502.3180000000002</v>
      </c>
      <c r="I46" s="23">
        <f>Reference!G116</f>
        <v>3.4710000000000001</v>
      </c>
      <c r="J46" s="24">
        <f t="shared" si="7"/>
        <v>0.97286611111111121</v>
      </c>
      <c r="L46" s="22">
        <f>Test!B116</f>
        <v>162.524</v>
      </c>
      <c r="M46" s="23">
        <f>Test!C116</f>
        <v>37.934899999999999</v>
      </c>
      <c r="N46" s="23">
        <f>Test!D116</f>
        <v>43.9133</v>
      </c>
      <c r="O46" s="23">
        <f>Test!E116</f>
        <v>44.023699999999998</v>
      </c>
      <c r="P46" s="23">
        <f>Test!F116</f>
        <v>3417.8870000000002</v>
      </c>
      <c r="Q46" s="23">
        <f>Test!G116</f>
        <v>3.4409999999999998</v>
      </c>
      <c r="R46" s="24">
        <f t="shared" si="8"/>
        <v>0.94941305555555555</v>
      </c>
      <c r="S46" s="17">
        <f t="shared" si="2"/>
        <v>0.97589282298180802</v>
      </c>
      <c r="T46" s="18">
        <f t="shared" si="2"/>
        <v>0.99135695764909237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Reference!B117</f>
        <v>1314.42</v>
      </c>
      <c r="E47" s="13">
        <f>Reference!C117</f>
        <v>42.926600000000001</v>
      </c>
      <c r="F47" s="13">
        <f>Reference!D117</f>
        <v>49.058700000000002</v>
      </c>
      <c r="G47" s="13">
        <f>Reference!E117</f>
        <v>48.747799999999998</v>
      </c>
      <c r="H47" s="13">
        <f>Reference!F117</f>
        <v>21340.274000000001</v>
      </c>
      <c r="I47" s="13">
        <f>Reference!G117</f>
        <v>3.9820000000000002</v>
      </c>
      <c r="J47" s="14">
        <f>H47/3600</f>
        <v>5.9278538888888894</v>
      </c>
      <c r="L47" s="12">
        <f>Test!B117</f>
        <v>1282.808</v>
      </c>
      <c r="M47" s="13">
        <f>Test!C117</f>
        <v>42.911499999999997</v>
      </c>
      <c r="N47" s="13">
        <f>Test!D117</f>
        <v>49.037500000000001</v>
      </c>
      <c r="O47" s="13">
        <f>Test!E117</f>
        <v>48.690899999999999</v>
      </c>
      <c r="P47" s="13">
        <f>Test!F117</f>
        <v>21191.635999999999</v>
      </c>
      <c r="Q47" s="13">
        <f>Test!G117</f>
        <v>4.0979999999999999</v>
      </c>
      <c r="R47" s="14">
        <f>P47/3600</f>
        <v>5.8865655555555554</v>
      </c>
      <c r="S47" s="17">
        <f t="shared" ref="S47:T62" si="9">P47/H47</f>
        <v>0.99303485981482698</v>
      </c>
      <c r="T47" s="18">
        <f t="shared" si="9"/>
        <v>1.0291310899045705</v>
      </c>
      <c r="U47" s="91"/>
      <c r="V47" s="72">
        <f>bdrate($D47:$D50,E47:E50,$L47:$L50,M47:M50)</f>
        <v>-7.2796489434716616E-3</v>
      </c>
      <c r="W47" s="73">
        <f>bdrate($D47:$D50,F47:F50,$L47:$L50,N47:N50)</f>
        <v>-4.7143407636367929E-2</v>
      </c>
      <c r="X47" s="74">
        <f>bdrate($D47:$D50,G47:G50,$L47:$L50,O47:O50)</f>
        <v>-1.3941095515694668E-2</v>
      </c>
      <c r="Y47" s="37">
        <f>bdrateOld($D47:$D50,E47:E50,$L47:$L50,M47:M50)</f>
        <v>-7.6519068488243303E-3</v>
      </c>
      <c r="Z47" s="42">
        <f>bdrateOld($D47:$D50,F47:F50,$L47:$L50,N47:N50)</f>
        <v>-5.5451666079410988E-2</v>
      </c>
      <c r="AA47" s="43">
        <f>bdrateOld($D47:$D50,G47:G50,$L47:$L50,O47:O50)</f>
        <v>-1.3759099070217329E-2</v>
      </c>
    </row>
    <row r="48" spans="1:27" x14ac:dyDescent="0.35">
      <c r="A48" s="16"/>
      <c r="B48" s="85"/>
      <c r="C48" s="16">
        <v>32</v>
      </c>
      <c r="D48" s="17">
        <f>Reference!B118</f>
        <v>711.84799999999996</v>
      </c>
      <c r="E48" s="18">
        <f>Reference!C118</f>
        <v>41.689300000000003</v>
      </c>
      <c r="F48" s="18">
        <f>Reference!D118</f>
        <v>48.258400000000002</v>
      </c>
      <c r="G48" s="18">
        <f>Reference!E118</f>
        <v>47.74</v>
      </c>
      <c r="H48" s="18">
        <f>Reference!F118</f>
        <v>12180.382</v>
      </c>
      <c r="I48" s="18">
        <f>Reference!G118</f>
        <v>3.601</v>
      </c>
      <c r="J48" s="19">
        <f t="shared" ref="J48:J70" si="10">H48/3600</f>
        <v>3.3834394444444444</v>
      </c>
      <c r="L48" s="17">
        <f>Test!B118</f>
        <v>691.27200000000005</v>
      </c>
      <c r="M48" s="18">
        <f>Test!C118</f>
        <v>41.632599999999996</v>
      </c>
      <c r="N48" s="18">
        <f>Test!D118</f>
        <v>48.215800000000002</v>
      </c>
      <c r="O48" s="18">
        <f>Test!E118</f>
        <v>47.690300000000001</v>
      </c>
      <c r="P48" s="18">
        <f>Test!F118</f>
        <v>12305.73</v>
      </c>
      <c r="Q48" s="18">
        <f>Test!G118</f>
        <v>3.573</v>
      </c>
      <c r="R48" s="19">
        <f t="shared" ref="R48:R70" si="11">P48/3600</f>
        <v>3.4182583333333332</v>
      </c>
      <c r="S48" s="17">
        <f t="shared" si="9"/>
        <v>1.0102909744538389</v>
      </c>
      <c r="T48" s="18">
        <f t="shared" si="9"/>
        <v>0.99222438211607888</v>
      </c>
      <c r="U48" s="91"/>
      <c r="V48" s="75"/>
      <c r="W48" s="76"/>
      <c r="X48" s="77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Reference!B119</f>
        <v>404.79199999999997</v>
      </c>
      <c r="E49" s="18">
        <f>Reference!C119</f>
        <v>39.8538</v>
      </c>
      <c r="F49" s="18">
        <f>Reference!D119</f>
        <v>47.148899999999998</v>
      </c>
      <c r="G49" s="18">
        <f>Reference!E119</f>
        <v>46.288499999999999</v>
      </c>
      <c r="H49" s="18">
        <f>Reference!F119</f>
        <v>7221.7550000000001</v>
      </c>
      <c r="I49" s="18">
        <f>Reference!G119</f>
        <v>3.5630000000000002</v>
      </c>
      <c r="J49" s="19">
        <f t="shared" si="10"/>
        <v>2.0060430555555557</v>
      </c>
      <c r="L49" s="17">
        <f>Test!B119</f>
        <v>394.3</v>
      </c>
      <c r="M49" s="18">
        <f>Test!C119</f>
        <v>39.772300000000001</v>
      </c>
      <c r="N49" s="18">
        <f>Test!D119</f>
        <v>47.298999999999999</v>
      </c>
      <c r="O49" s="18">
        <f>Test!E119</f>
        <v>46.280999999999999</v>
      </c>
      <c r="P49" s="18">
        <f>Test!F119</f>
        <v>7180.07</v>
      </c>
      <c r="Q49" s="18">
        <f>Test!G119</f>
        <v>3.524</v>
      </c>
      <c r="R49" s="19">
        <f t="shared" si="11"/>
        <v>1.9944638888888888</v>
      </c>
      <c r="S49" s="17">
        <f t="shared" si="9"/>
        <v>0.99422785735600272</v>
      </c>
      <c r="T49" s="18">
        <f t="shared" si="9"/>
        <v>0.98905416783609312</v>
      </c>
      <c r="U49" s="91"/>
      <c r="V49" s="75"/>
      <c r="W49" s="76"/>
      <c r="X49" s="77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Reference!B120</f>
        <v>225.93199999999999</v>
      </c>
      <c r="E50" s="23">
        <f>Reference!C120</f>
        <v>37.163400000000003</v>
      </c>
      <c r="F50" s="23">
        <f>Reference!D120</f>
        <v>45.773499999999999</v>
      </c>
      <c r="G50" s="23">
        <f>Reference!E120</f>
        <v>44.056100000000001</v>
      </c>
      <c r="H50" s="23">
        <f>Reference!F120</f>
        <v>4160.5519999999997</v>
      </c>
      <c r="I50" s="23">
        <f>Reference!G120</f>
        <v>3.3490000000000002</v>
      </c>
      <c r="J50" s="24">
        <f t="shared" si="10"/>
        <v>1.1557088888888889</v>
      </c>
      <c r="L50" s="22">
        <f>Test!B120</f>
        <v>219.536</v>
      </c>
      <c r="M50" s="23">
        <f>Test!C120</f>
        <v>37.061399999999999</v>
      </c>
      <c r="N50" s="23">
        <f>Test!D120</f>
        <v>45.698500000000003</v>
      </c>
      <c r="O50" s="23">
        <f>Test!E120</f>
        <v>43.969700000000003</v>
      </c>
      <c r="P50" s="23">
        <f>Test!F120</f>
        <v>4172.6689999999999</v>
      </c>
      <c r="Q50" s="23">
        <f>Test!G120</f>
        <v>3.4009999999999998</v>
      </c>
      <c r="R50" s="24">
        <f t="shared" si="11"/>
        <v>1.1590747222222222</v>
      </c>
      <c r="S50" s="22">
        <f t="shared" si="9"/>
        <v>1.0029123539376505</v>
      </c>
      <c r="T50" s="23">
        <f t="shared" si="9"/>
        <v>1.0155270229919378</v>
      </c>
      <c r="U50" s="92"/>
      <c r="V50" s="78"/>
      <c r="W50" s="79"/>
      <c r="X50" s="80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43.520347484731204</v>
      </c>
      <c r="J75" s="15">
        <f>GEOMEAN(J3:J18)</f>
        <v>55.443236650971791</v>
      </c>
      <c r="Q75" s="15">
        <f>GEOMEAN(Q3:Q18)</f>
        <v>43.594641917210865</v>
      </c>
      <c r="R75" s="15">
        <f>GEOMEAN(R3:R18)</f>
        <v>54.989733673265526</v>
      </c>
      <c r="S75" s="15">
        <f>GEOMEAN(S3:S18)</f>
        <v>0.99182040939346361</v>
      </c>
      <c r="T75" s="15">
        <f>GEOMEAN(T3:T18)</f>
        <v>1.0017071194687894</v>
      </c>
      <c r="V75" s="37">
        <f>AVERAGE(V3:V18)</f>
        <v>-7.2986156543495551E-3</v>
      </c>
      <c r="W75" s="42">
        <f t="shared" ref="W75:AA75" si="16">AVERAGE(W3:W18)</f>
        <v>-1.2927084869941985E-2</v>
      </c>
      <c r="X75" s="42">
        <f t="shared" si="16"/>
        <v>-1.0672710459607077E-2</v>
      </c>
      <c r="Y75" s="37">
        <f>AVERAGE(Y3:Y18)</f>
        <v>-6.5621118162272618E-3</v>
      </c>
      <c r="Z75" s="42">
        <f t="shared" si="16"/>
        <v>-1.5137222825790192E-2</v>
      </c>
      <c r="AA75" s="43">
        <f t="shared" si="16"/>
        <v>-1.1145632454303611E-2</v>
      </c>
    </row>
    <row r="76" spans="1:27" ht="12" x14ac:dyDescent="0.35">
      <c r="B76" s="89" t="s">
        <v>47</v>
      </c>
      <c r="I76" s="15">
        <f>GEOMEAN(I19:I34)</f>
        <v>10.615960381506946</v>
      </c>
      <c r="J76" s="15">
        <f>GEOMEAN(J19:J34)</f>
        <v>13.580807648702905</v>
      </c>
      <c r="Q76" s="15">
        <f>GEOMEAN(Q19:Q34)</f>
        <v>10.587623492309785</v>
      </c>
      <c r="R76" s="15">
        <f>GEOMEAN(R19:R34)</f>
        <v>13.423737669126295</v>
      </c>
      <c r="S76" s="15">
        <f>GEOMEAN(S19:S34)</f>
        <v>0.98843441541625776</v>
      </c>
      <c r="T76" s="15">
        <f>GEOMEAN(T19:T34)</f>
        <v>0.99733072767994457</v>
      </c>
      <c r="V76" s="40">
        <f>AVERAGE(V19:V34)</f>
        <v>-4.8814715324864977E-3</v>
      </c>
      <c r="W76" s="44">
        <f t="shared" ref="W76:AA76" si="17">AVERAGE(W19:W34)</f>
        <v>-6.7135700484232119E-3</v>
      </c>
      <c r="X76" s="44">
        <f t="shared" si="17"/>
        <v>-6.2556042323446137E-3</v>
      </c>
      <c r="Y76" s="40">
        <f t="shared" si="17"/>
        <v>-4.8509436161287833E-3</v>
      </c>
      <c r="Z76" s="44">
        <f t="shared" si="17"/>
        <v>-6.0954088175409205E-3</v>
      </c>
      <c r="AA76" s="45">
        <f t="shared" si="17"/>
        <v>-5.8809760167731762E-3</v>
      </c>
    </row>
    <row r="77" spans="1:27" ht="12" x14ac:dyDescent="0.35">
      <c r="B77" s="89" t="s">
        <v>51</v>
      </c>
      <c r="I77" s="15">
        <f>GEOMEAN(I35:I50)</f>
        <v>3.940994579166226</v>
      </c>
      <c r="J77" s="15">
        <f>GEOMEAN(J35:J50)</f>
        <v>3.5290452120507676</v>
      </c>
      <c r="Q77" s="15">
        <f>GEOMEAN(Q35:Q50)</f>
        <v>3.94850924902061</v>
      </c>
      <c r="R77" s="15">
        <f>GEOMEAN(R35:R50)</f>
        <v>3.5142440656534686</v>
      </c>
      <c r="S77" s="15">
        <f>GEOMEAN(S35:S50)</f>
        <v>0.99580590626984422</v>
      </c>
      <c r="T77" s="15">
        <f>GEOMEAN(T35:T50)</f>
        <v>1.0019067952780523</v>
      </c>
      <c r="V77" s="40">
        <f>AVERAGE(V35:V50)</f>
        <v>-5.5170562374809162E-3</v>
      </c>
      <c r="W77" s="44">
        <f t="shared" ref="W77:AA77" si="18">AVERAGE(W35:W50)</f>
        <v>-2.4883454040360214E-2</v>
      </c>
      <c r="X77" s="44">
        <f t="shared" si="18"/>
        <v>-1.1831666804201002E-2</v>
      </c>
      <c r="Y77" s="40">
        <f t="shared" si="18"/>
        <v>-5.6359466941625358E-3</v>
      </c>
      <c r="Z77" s="44">
        <f t="shared" si="18"/>
        <v>-2.5970937715063425E-2</v>
      </c>
      <c r="AA77" s="45">
        <f t="shared" si="18"/>
        <v>-1.0294846937403568E-2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12.21103549427071</v>
      </c>
      <c r="J80" s="54">
        <f xml:space="preserve"> GEOMEAN(J3:J50)</f>
        <v>13.850872514564005</v>
      </c>
      <c r="K80" s="4"/>
      <c r="L80" s="4"/>
      <c r="M80" s="4"/>
      <c r="N80" s="4"/>
      <c r="O80" s="4"/>
      <c r="P80" s="4"/>
      <c r="Q80" s="54">
        <f xml:space="preserve"> GEOMEAN(Q3:Q50)</f>
        <v>12.21485327070271</v>
      </c>
      <c r="R80" s="54">
        <f xml:space="preserve"> GEOMEAN(R3:R50)</f>
        <v>13.7402825757153</v>
      </c>
      <c r="S80" s="54">
        <f>GEOMEAN(S3:S50)</f>
        <v>0.9920156698625</v>
      </c>
      <c r="T80" s="54">
        <f>GEOMEAN(T3:T50)</f>
        <v>1.0003126496875545</v>
      </c>
      <c r="U80" s="4"/>
      <c r="V80" s="41">
        <f>AVERAGE(V3:V50)</f>
        <v>-5.8990478081056563E-3</v>
      </c>
      <c r="W80" s="46">
        <f t="shared" ref="W80:AA80" si="22">AVERAGE(W3:W50)</f>
        <v>-1.484136965290847E-2</v>
      </c>
      <c r="X80" s="47">
        <f t="shared" si="22"/>
        <v>-9.5866604987175641E-3</v>
      </c>
      <c r="Y80" s="46">
        <f t="shared" si="22"/>
        <v>-5.6830007088395267E-3</v>
      </c>
      <c r="Z80" s="46">
        <f t="shared" si="22"/>
        <v>-1.5734523119464845E-2</v>
      </c>
      <c r="AA80" s="47">
        <f t="shared" si="22"/>
        <v>-9.107151802826785E-3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O28" sqref="O28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Reference!B145</f>
        <v>16800.727999999999</v>
      </c>
      <c r="E3" s="13">
        <f>Reference!C145</f>
        <v>40.163800000000002</v>
      </c>
      <c r="F3" s="13">
        <f>Reference!D145</f>
        <v>48.757199999999997</v>
      </c>
      <c r="G3" s="13">
        <f>Reference!E145</f>
        <v>46.677900000000001</v>
      </c>
      <c r="H3" s="13">
        <f>Reference!F145</f>
        <v>208636.984</v>
      </c>
      <c r="I3" s="13">
        <f>Reference!G145</f>
        <v>28.577000000000002</v>
      </c>
      <c r="J3" s="14">
        <f>H3/3600</f>
        <v>57.954717777777773</v>
      </c>
      <c r="L3" s="12">
        <f>Test!B145</f>
        <v>17057.792000000001</v>
      </c>
      <c r="M3" s="13">
        <f>Test!C145</f>
        <v>40.170499999999997</v>
      </c>
      <c r="N3" s="13">
        <f>Test!D145</f>
        <v>48.763500000000001</v>
      </c>
      <c r="O3" s="13">
        <f>Test!E145</f>
        <v>46.6828</v>
      </c>
      <c r="P3" s="13">
        <f>Test!F145</f>
        <v>204820.79699999999</v>
      </c>
      <c r="Q3" s="13">
        <f>Test!G145</f>
        <v>28.68</v>
      </c>
      <c r="R3" s="14">
        <f>P3/3600</f>
        <v>56.894665833333327</v>
      </c>
      <c r="S3" s="12">
        <f t="shared" ref="S3:T3" si="0">P3/H3</f>
        <v>0.98170896201221924</v>
      </c>
      <c r="T3" s="13">
        <f t="shared" si="0"/>
        <v>1.0036042971620533</v>
      </c>
      <c r="U3" s="90"/>
      <c r="V3" s="37">
        <f>bdrate($D3:$D6,E3:E6,$L3:$L6,M3:M6)</f>
        <v>-6.2618442705524302E-3</v>
      </c>
      <c r="W3" s="42">
        <f>bdrate($D3:$D6,F3:F6,$L3:$L6,N3:N6)</f>
        <v>-1.1413998262036262E-2</v>
      </c>
      <c r="X3" s="43">
        <f>bdrate($D3:$D6,G3:G6,$L3:$L6,O3:O6)</f>
        <v>-4.875444217111502E-3</v>
      </c>
      <c r="Y3" s="37">
        <f>bdrateOld($D3:$D6,E3:E6,$L3:$L6,M3:M6)</f>
        <v>-6.0071154430016982E-3</v>
      </c>
      <c r="Z3" s="42">
        <f>bdrateOld($D3:$D6,F3:F6,$L3:$L6,N3:N6)</f>
        <v>-1.4021915929739892E-2</v>
      </c>
      <c r="AA3" s="43">
        <f>bdrateOld($D3:$D6,G3:G6,$L3:$L6,O3:O6)</f>
        <v>-4.2910044137050019E-3</v>
      </c>
    </row>
    <row r="4" spans="1:27" x14ac:dyDescent="0.35">
      <c r="A4" s="16" t="s">
        <v>34</v>
      </c>
      <c r="B4" s="85"/>
      <c r="C4" s="16">
        <v>48</v>
      </c>
      <c r="D4" s="17">
        <f>Reference!B146</f>
        <v>8418.1440000000002</v>
      </c>
      <c r="E4" s="18">
        <f>Reference!C146</f>
        <v>39.5563</v>
      </c>
      <c r="F4" s="18">
        <f>Reference!D146</f>
        <v>47.9377</v>
      </c>
      <c r="G4" s="18">
        <f>Reference!E146</f>
        <v>45.532499999999999</v>
      </c>
      <c r="H4" s="18">
        <f>Reference!F146</f>
        <v>114819.469</v>
      </c>
      <c r="I4" s="18">
        <f>Reference!G146</f>
        <v>24.527999999999999</v>
      </c>
      <c r="J4" s="19">
        <f t="shared" ref="J4:J14" si="1">H4/3600</f>
        <v>31.894296944444445</v>
      </c>
      <c r="L4" s="17">
        <f>Test!B146</f>
        <v>8444.7440000000006</v>
      </c>
      <c r="M4" s="18">
        <f>Test!C146</f>
        <v>39.565100000000001</v>
      </c>
      <c r="N4" s="18">
        <f>Test!D146</f>
        <v>47.920299999999997</v>
      </c>
      <c r="O4" s="18">
        <f>Test!E146</f>
        <v>45.557299999999998</v>
      </c>
      <c r="P4" s="18">
        <f>Test!F146</f>
        <v>115506.008</v>
      </c>
      <c r="Q4" s="18">
        <f>Test!G146</f>
        <v>24.882999999999999</v>
      </c>
      <c r="R4" s="19">
        <f t="shared" ref="R4:R14" si="2">P4/3600</f>
        <v>32.085002222222222</v>
      </c>
      <c r="S4" s="17">
        <f t="shared" ref="S4:S26" si="3">P4/H4</f>
        <v>1.0059792908465723</v>
      </c>
      <c r="T4" s="18">
        <f t="shared" ref="T4:T26" si="4">Q4/I4</f>
        <v>1.0144732550554469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Reference!B147</f>
        <v>4599.76</v>
      </c>
      <c r="E5" s="18">
        <f>Reference!C147</f>
        <v>38.561700000000002</v>
      </c>
      <c r="F5" s="18">
        <f>Reference!D147</f>
        <v>46.8902</v>
      </c>
      <c r="G5" s="18">
        <f>Reference!E147</f>
        <v>44.153399999999998</v>
      </c>
      <c r="H5" s="18">
        <f>Reference!F147</f>
        <v>60627.565999999999</v>
      </c>
      <c r="I5" s="18">
        <f>Reference!G147</f>
        <v>21.425000000000001</v>
      </c>
      <c r="J5" s="19">
        <f t="shared" si="1"/>
        <v>16.840990555555557</v>
      </c>
      <c r="L5" s="17">
        <f>Test!B147</f>
        <v>4595.4799999999996</v>
      </c>
      <c r="M5" s="18">
        <f>Test!C147</f>
        <v>38.576000000000001</v>
      </c>
      <c r="N5" s="18">
        <f>Test!D147</f>
        <v>46.935699999999997</v>
      </c>
      <c r="O5" s="18">
        <f>Test!E147</f>
        <v>44.166800000000002</v>
      </c>
      <c r="P5" s="18">
        <f>Test!F147</f>
        <v>60715.601999999999</v>
      </c>
      <c r="Q5" s="18">
        <f>Test!G147</f>
        <v>21.108000000000001</v>
      </c>
      <c r="R5" s="19">
        <f t="shared" si="2"/>
        <v>16.865445000000001</v>
      </c>
      <c r="S5" s="17">
        <f t="shared" si="3"/>
        <v>1.0014520787458299</v>
      </c>
      <c r="T5" s="18">
        <f t="shared" si="4"/>
        <v>0.98520420070011672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Reference!B148</f>
        <v>2495.7759999999998</v>
      </c>
      <c r="E6" s="23">
        <f>Reference!C148</f>
        <v>37.010899999999999</v>
      </c>
      <c r="F6" s="23">
        <f>Reference!D148</f>
        <v>45.453499999999998</v>
      </c>
      <c r="G6" s="23">
        <f>Reference!E148</f>
        <v>42.488500000000002</v>
      </c>
      <c r="H6" s="23">
        <f>Reference!F148</f>
        <v>31465.893</v>
      </c>
      <c r="I6" s="23">
        <f>Reference!G148</f>
        <v>17.669</v>
      </c>
      <c r="J6" s="24">
        <f t="shared" si="1"/>
        <v>8.7405258333333329</v>
      </c>
      <c r="L6" s="22">
        <f>Test!B148</f>
        <v>2496.6559999999999</v>
      </c>
      <c r="M6" s="23">
        <f>Test!C148</f>
        <v>37.037199999999999</v>
      </c>
      <c r="N6" s="23">
        <f>Test!D148</f>
        <v>45.553600000000003</v>
      </c>
      <c r="O6" s="23">
        <f>Test!E148</f>
        <v>42.494399999999999</v>
      </c>
      <c r="P6" s="23">
        <f>Test!F148</f>
        <v>31359.516</v>
      </c>
      <c r="Q6" s="23">
        <f>Test!G148</f>
        <v>17.863</v>
      </c>
      <c r="R6" s="24">
        <f t="shared" si="2"/>
        <v>8.7109766666666673</v>
      </c>
      <c r="S6" s="17">
        <f t="shared" si="3"/>
        <v>0.99661929187898779</v>
      </c>
      <c r="T6" s="18">
        <f t="shared" si="4"/>
        <v>1.0109796819288017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Reference!B149</f>
        <v>91793.728000000003</v>
      </c>
      <c r="E7" s="13">
        <f>Reference!C149</f>
        <v>41.755600000000001</v>
      </c>
      <c r="F7" s="13">
        <f>Reference!D149</f>
        <v>36.713799999999999</v>
      </c>
      <c r="G7" s="13">
        <f>Reference!E149</f>
        <v>37.714500000000001</v>
      </c>
      <c r="H7" s="13">
        <f>Reference!F149</f>
        <v>365463.25</v>
      </c>
      <c r="I7" s="13">
        <f>Reference!G149</f>
        <v>30.574999999999999</v>
      </c>
      <c r="J7" s="14">
        <f t="shared" si="1"/>
        <v>101.51756944444445</v>
      </c>
      <c r="L7" s="12">
        <f>Test!B149</f>
        <v>91139.024000000005</v>
      </c>
      <c r="M7" s="13">
        <f>Test!C149</f>
        <v>41.737099999999998</v>
      </c>
      <c r="N7" s="13">
        <f>Test!D149</f>
        <v>36.692500000000003</v>
      </c>
      <c r="O7" s="13">
        <f>Test!E149</f>
        <v>37.707299999999996</v>
      </c>
      <c r="P7" s="13">
        <f>Test!F149</f>
        <v>354860.125</v>
      </c>
      <c r="Q7" s="13">
        <f>Test!G149</f>
        <v>30.43</v>
      </c>
      <c r="R7" s="14">
        <f t="shared" si="2"/>
        <v>98.572256944444447</v>
      </c>
      <c r="S7" s="17">
        <f t="shared" si="3"/>
        <v>0.97098716492013903</v>
      </c>
      <c r="T7" s="18">
        <f t="shared" si="4"/>
        <v>0.99525756336876536</v>
      </c>
      <c r="U7" s="91"/>
      <c r="V7" s="37">
        <f>bdrate($D7:$D10,E7:E10,$L7:$L10,M7:M10)</f>
        <v>-3.0203403881902124E-3</v>
      </c>
      <c r="W7" s="42">
        <f>bdrate($D7:$D10,F7:F10,$L7:$L10,N7:N10)</f>
        <v>-6.7429523813000714E-3</v>
      </c>
      <c r="X7" s="43">
        <f>bdrate($D7:$D10,G7:G10,$L7:$L10,O7:O10)</f>
        <v>-1.1107148100857667E-2</v>
      </c>
      <c r="Y7" s="37">
        <f>bdrateOld($D7:$D10,E7:E10,$L7:$L10,M7:M10)</f>
        <v>-3.0344536273684275E-3</v>
      </c>
      <c r="Z7" s="42">
        <f>bdrateOld($D7:$D10,F7:F10,$L7:$L10,N7:N10)</f>
        <v>-6.6946410431929504E-3</v>
      </c>
      <c r="AA7" s="43">
        <f>bdrateOld($D7:$D10,G7:G10,$L7:$L10,O7:O10)</f>
        <v>-1.1037790601103437E-2</v>
      </c>
    </row>
    <row r="8" spans="1:27" x14ac:dyDescent="0.35">
      <c r="A8" s="16"/>
      <c r="B8" s="85"/>
      <c r="C8" s="16">
        <v>48</v>
      </c>
      <c r="D8" s="17">
        <f>Reference!B150</f>
        <v>46961.735999999997</v>
      </c>
      <c r="E8" s="18">
        <f>Reference!C150</f>
        <v>38.959899999999998</v>
      </c>
      <c r="F8" s="18">
        <f>Reference!D150</f>
        <v>34.424399999999999</v>
      </c>
      <c r="G8" s="18">
        <f>Reference!E150</f>
        <v>35.789900000000003</v>
      </c>
      <c r="H8" s="18">
        <f>Reference!F150</f>
        <v>249458.82800000001</v>
      </c>
      <c r="I8" s="18">
        <f>Reference!G150</f>
        <v>25.664999999999999</v>
      </c>
      <c r="J8" s="19">
        <f t="shared" si="1"/>
        <v>69.294118888888889</v>
      </c>
      <c r="L8" s="17">
        <f>Test!B150</f>
        <v>46634.92</v>
      </c>
      <c r="M8" s="18">
        <f>Test!C150</f>
        <v>38.941699999999997</v>
      </c>
      <c r="N8" s="18">
        <f>Test!D150</f>
        <v>34.4193</v>
      </c>
      <c r="O8" s="18">
        <f>Test!E150</f>
        <v>35.801099999999998</v>
      </c>
      <c r="P8" s="18">
        <f>Test!F150</f>
        <v>248097.21900000001</v>
      </c>
      <c r="Q8" s="18">
        <f>Test!G150</f>
        <v>25.98</v>
      </c>
      <c r="R8" s="19">
        <f t="shared" si="2"/>
        <v>68.915894166666675</v>
      </c>
      <c r="S8" s="17">
        <f t="shared" si="3"/>
        <v>0.99454174858866895</v>
      </c>
      <c r="T8" s="18">
        <f t="shared" si="4"/>
        <v>1.0122735242548218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Reference!B151</f>
        <v>21795.151999999998</v>
      </c>
      <c r="E9" s="18">
        <f>Reference!C151</f>
        <v>35.851900000000001</v>
      </c>
      <c r="F9" s="18">
        <f>Reference!D151</f>
        <v>32.499899999999997</v>
      </c>
      <c r="G9" s="18">
        <f>Reference!E151</f>
        <v>34.174999999999997</v>
      </c>
      <c r="H9" s="18">
        <f>Reference!F151</f>
        <v>163005.81200000001</v>
      </c>
      <c r="I9" s="18">
        <f>Reference!G151</f>
        <v>23.324000000000002</v>
      </c>
      <c r="J9" s="19">
        <f t="shared" si="1"/>
        <v>45.279392222222221</v>
      </c>
      <c r="L9" s="17">
        <f>Test!B151</f>
        <v>21688.351999999999</v>
      </c>
      <c r="M9" s="18">
        <f>Test!C151</f>
        <v>35.844299999999997</v>
      </c>
      <c r="N9" s="18">
        <f>Test!D151</f>
        <v>32.509799999999998</v>
      </c>
      <c r="O9" s="18">
        <f>Test!E151</f>
        <v>34.190800000000003</v>
      </c>
      <c r="P9" s="18">
        <f>Test!F151</f>
        <v>160255.016</v>
      </c>
      <c r="Q9" s="18">
        <f>Test!G151</f>
        <v>23.01</v>
      </c>
      <c r="R9" s="19">
        <f t="shared" si="2"/>
        <v>44.515282222222226</v>
      </c>
      <c r="S9" s="17">
        <f t="shared" si="3"/>
        <v>0.98312455263865073</v>
      </c>
      <c r="T9" s="18">
        <f t="shared" si="4"/>
        <v>0.98653747213170984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Reference!B152</f>
        <v>9183.6720000000005</v>
      </c>
      <c r="E10" s="23">
        <f>Reference!C152</f>
        <v>32.822299999999998</v>
      </c>
      <c r="F10" s="23">
        <f>Reference!D152</f>
        <v>30.793500000000002</v>
      </c>
      <c r="G10" s="23">
        <f>Reference!E152</f>
        <v>32.807299999999998</v>
      </c>
      <c r="H10" s="23">
        <f>Reference!F152</f>
        <v>91742.133000000002</v>
      </c>
      <c r="I10" s="23">
        <f>Reference!G152</f>
        <v>18.951000000000001</v>
      </c>
      <c r="J10" s="24">
        <f t="shared" si="1"/>
        <v>25.483925833333334</v>
      </c>
      <c r="L10" s="22">
        <f>Test!B152</f>
        <v>9157.3359999999993</v>
      </c>
      <c r="M10" s="23">
        <f>Test!C152</f>
        <v>32.828899999999997</v>
      </c>
      <c r="N10" s="23">
        <f>Test!D152</f>
        <v>30.808800000000002</v>
      </c>
      <c r="O10" s="23">
        <f>Test!E152</f>
        <v>32.818100000000001</v>
      </c>
      <c r="P10" s="23">
        <f>Test!F152</f>
        <v>90759.57</v>
      </c>
      <c r="Q10" s="23">
        <f>Test!G152</f>
        <v>18.635999999999999</v>
      </c>
      <c r="R10" s="24">
        <f t="shared" si="2"/>
        <v>25.210991666666668</v>
      </c>
      <c r="S10" s="17">
        <f t="shared" si="3"/>
        <v>0.98928994816372984</v>
      </c>
      <c r="T10" s="18">
        <f t="shared" si="4"/>
        <v>0.98337818584771242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Reference!B153</f>
        <v>46670.584000000003</v>
      </c>
      <c r="E11" s="13">
        <f>Reference!C153</f>
        <v>38.933199999999999</v>
      </c>
      <c r="F11" s="13">
        <f>Reference!D153</f>
        <v>41.298999999999999</v>
      </c>
      <c r="G11" s="13">
        <f>Reference!E153</f>
        <v>41.524799999999999</v>
      </c>
      <c r="H11" s="13">
        <f>Reference!F153</f>
        <v>193211.391</v>
      </c>
      <c r="I11" s="13">
        <f>Reference!G153</f>
        <v>19.385000000000002</v>
      </c>
      <c r="J11" s="14">
        <f t="shared" si="1"/>
        <v>53.669830833333336</v>
      </c>
      <c r="L11" s="12">
        <f>Test!B153</f>
        <v>45118.648000000001</v>
      </c>
      <c r="M11" s="13">
        <f>Test!C153</f>
        <v>38.879899999999999</v>
      </c>
      <c r="N11" s="13">
        <f>Test!D153</f>
        <v>41.2179</v>
      </c>
      <c r="O11" s="13">
        <f>Test!E153</f>
        <v>41.486600000000003</v>
      </c>
      <c r="P11" s="13">
        <f>Test!F153</f>
        <v>188798.31200000001</v>
      </c>
      <c r="Q11" s="13">
        <f>Test!G153</f>
        <v>17.460999999999999</v>
      </c>
      <c r="R11" s="14">
        <f t="shared" si="2"/>
        <v>52.443975555555554</v>
      </c>
      <c r="S11" s="17">
        <f t="shared" si="3"/>
        <v>0.97715932286828788</v>
      </c>
      <c r="T11" s="18">
        <f t="shared" si="4"/>
        <v>0.90074800103172536</v>
      </c>
      <c r="U11" s="91"/>
      <c r="V11" s="37">
        <f>bdrate($D11:$D14,E11:E14,$L11:$L14,M11:M14)</f>
        <v>-1.4258203190542829E-2</v>
      </c>
      <c r="W11" s="42">
        <f>bdrate($D11:$D14,F11:F14,$L11:$L14,N11:N14)</f>
        <v>-1.1032840869985128E-2</v>
      </c>
      <c r="X11" s="43">
        <f>bdrate($D11:$D14,G11:G14,$L11:$L14,O11:O14)</f>
        <v>-1.9758680357323866E-2</v>
      </c>
      <c r="Y11" s="37">
        <f>bdrateOld($D11:$D14,E11:E14,$L11:$L14,M11:M14)</f>
        <v>-1.3906355225388634E-2</v>
      </c>
      <c r="Z11" s="42">
        <f>bdrateOld($D11:$D14,F11:F14,$L11:$L14,N11:N14)</f>
        <v>-1.1077841896574014E-2</v>
      </c>
      <c r="AA11" s="43">
        <f>bdrateOld($D11:$D14,G11:G14,$L11:$L14,O11:O14)</f>
        <v>-1.9409975720518391E-2</v>
      </c>
    </row>
    <row r="12" spans="1:27" x14ac:dyDescent="0.35">
      <c r="A12" s="34"/>
      <c r="B12" s="83"/>
      <c r="C12" s="16">
        <v>48</v>
      </c>
      <c r="D12" s="17">
        <f>Reference!B154</f>
        <v>22977.288</v>
      </c>
      <c r="E12" s="18">
        <f>Reference!C154</f>
        <v>37.563800000000001</v>
      </c>
      <c r="F12" s="18">
        <f>Reference!D154</f>
        <v>38.728499999999997</v>
      </c>
      <c r="G12" s="18">
        <f>Reference!E154</f>
        <v>40.136200000000002</v>
      </c>
      <c r="H12" s="18">
        <f>Reference!F154</f>
        <v>119168.94500000001</v>
      </c>
      <c r="I12" s="18">
        <f>Reference!G154</f>
        <v>14.209</v>
      </c>
      <c r="J12" s="19">
        <f t="shared" si="1"/>
        <v>33.102484722222222</v>
      </c>
      <c r="L12" s="17">
        <f>Test!B154</f>
        <v>22144.088</v>
      </c>
      <c r="M12" s="18">
        <f>Test!C154</f>
        <v>37.519399999999997</v>
      </c>
      <c r="N12" s="18">
        <f>Test!D154</f>
        <v>38.645899999999997</v>
      </c>
      <c r="O12" s="18">
        <f>Test!E154</f>
        <v>40.108600000000003</v>
      </c>
      <c r="P12" s="18">
        <f>Test!F154</f>
        <v>113006.211</v>
      </c>
      <c r="Q12" s="18">
        <f>Test!G154</f>
        <v>13.808999999999999</v>
      </c>
      <c r="R12" s="19">
        <f t="shared" si="2"/>
        <v>31.390614166666666</v>
      </c>
      <c r="S12" s="17">
        <f t="shared" si="3"/>
        <v>0.94828573836916985</v>
      </c>
      <c r="T12" s="18">
        <f t="shared" si="4"/>
        <v>0.97184882820747409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Reference!B155</f>
        <v>11945.72</v>
      </c>
      <c r="E13" s="18">
        <f>Reference!C155</f>
        <v>36.014400000000002</v>
      </c>
      <c r="F13" s="18">
        <f>Reference!D155</f>
        <v>36.494100000000003</v>
      </c>
      <c r="G13" s="18">
        <f>Reference!E155</f>
        <v>38.707500000000003</v>
      </c>
      <c r="H13" s="18">
        <f>Reference!F155</f>
        <v>74148.585999999996</v>
      </c>
      <c r="I13" s="18">
        <f>Reference!G155</f>
        <v>11.849</v>
      </c>
      <c r="J13" s="19">
        <f t="shared" si="1"/>
        <v>20.596829444444442</v>
      </c>
      <c r="L13" s="17">
        <f>Test!B155</f>
        <v>11576.944</v>
      </c>
      <c r="M13" s="18">
        <f>Test!C155</f>
        <v>35.971699999999998</v>
      </c>
      <c r="N13" s="18">
        <f>Test!D155</f>
        <v>36.412100000000002</v>
      </c>
      <c r="O13" s="18">
        <f>Test!E155</f>
        <v>38.6751</v>
      </c>
      <c r="P13" s="18">
        <f>Test!F155</f>
        <v>72377.233999999997</v>
      </c>
      <c r="Q13" s="18">
        <f>Test!G155</f>
        <v>11.884</v>
      </c>
      <c r="R13" s="19">
        <f t="shared" si="2"/>
        <v>20.104787222222221</v>
      </c>
      <c r="S13" s="17">
        <f t="shared" si="3"/>
        <v>0.976110778430758</v>
      </c>
      <c r="T13" s="18">
        <f t="shared" si="4"/>
        <v>1.0029538357667314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Reference!B156</f>
        <v>5886.8720000000003</v>
      </c>
      <c r="E14" s="23">
        <f>Reference!C156</f>
        <v>34.104599999999998</v>
      </c>
      <c r="F14" s="23">
        <f>Reference!D156</f>
        <v>34.057299999999998</v>
      </c>
      <c r="G14" s="23">
        <f>Reference!E156</f>
        <v>36.954599999999999</v>
      </c>
      <c r="H14" s="23">
        <f>Reference!F156</f>
        <v>43638.688000000002</v>
      </c>
      <c r="I14" s="23">
        <f>Reference!G156</f>
        <v>10.759</v>
      </c>
      <c r="J14" s="24">
        <f t="shared" si="1"/>
        <v>12.121857777777779</v>
      </c>
      <c r="L14" s="22">
        <f>Test!B156</f>
        <v>5684.28</v>
      </c>
      <c r="M14" s="23">
        <f>Test!C156</f>
        <v>34.054000000000002</v>
      </c>
      <c r="N14" s="23">
        <f>Test!D156</f>
        <v>33.984499999999997</v>
      </c>
      <c r="O14" s="23">
        <f>Test!E156</f>
        <v>36.925899999999999</v>
      </c>
      <c r="P14" s="23">
        <f>Test!F156</f>
        <v>41804.059000000001</v>
      </c>
      <c r="Q14" s="23">
        <f>Test!G156</f>
        <v>10.738</v>
      </c>
      <c r="R14" s="24">
        <f t="shared" si="2"/>
        <v>11.612238611111112</v>
      </c>
      <c r="S14" s="17">
        <f t="shared" si="3"/>
        <v>0.95795865815214243</v>
      </c>
      <c r="T14" s="18">
        <f t="shared" si="4"/>
        <v>0.99804814573845146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Reference!B157</f>
        <v>24349.439999999999</v>
      </c>
      <c r="E15" s="13">
        <f>Reference!C157</f>
        <v>37.537700000000001</v>
      </c>
      <c r="F15" s="13">
        <f>Reference!D157</f>
        <v>45.0259</v>
      </c>
      <c r="G15" s="13">
        <f>Reference!E157</f>
        <v>42.779000000000003</v>
      </c>
      <c r="H15" s="13">
        <f>Reference!F157</f>
        <v>277737.56199999998</v>
      </c>
      <c r="I15" s="13">
        <f>Reference!G157</f>
        <v>27.452000000000002</v>
      </c>
      <c r="J15" s="14">
        <f>H15/3600</f>
        <v>77.149322777777769</v>
      </c>
      <c r="L15" s="12">
        <f>Test!B157</f>
        <v>24494.016</v>
      </c>
      <c r="M15" s="13">
        <f>Test!C157</f>
        <v>37.539900000000003</v>
      </c>
      <c r="N15" s="13">
        <f>Test!D157</f>
        <v>45.031100000000002</v>
      </c>
      <c r="O15" s="13">
        <f>Test!E157</f>
        <v>42.793399999999998</v>
      </c>
      <c r="P15" s="13">
        <f>Test!F157</f>
        <v>281457.65600000002</v>
      </c>
      <c r="Q15" s="13">
        <f>Test!G157</f>
        <v>27.954999999999998</v>
      </c>
      <c r="R15" s="14">
        <f>P15/3600</f>
        <v>78.182682222222226</v>
      </c>
      <c r="S15" s="17">
        <f t="shared" si="3"/>
        <v>1.0133942775806466</v>
      </c>
      <c r="T15" s="18">
        <f t="shared" si="4"/>
        <v>1.0183228908640536</v>
      </c>
      <c r="U15" s="91"/>
      <c r="V15" s="37">
        <f>bdrate($D15:$D18,E15:E18,$L15:$L18,M15:M18)</f>
        <v>-1.2329285398314349E-2</v>
      </c>
      <c r="W15" s="42">
        <f>bdrate($D15:$D18,F15:F18,$L15:$L18,N15:N18)</f>
        <v>-1.9859448653551826E-2</v>
      </c>
      <c r="X15" s="43">
        <f>bdrate($D15:$D18,G15:G18,$L15:$L18,O15:O18)</f>
        <v>-3.3486127570714008E-2</v>
      </c>
      <c r="Y15" s="37">
        <f>bdrateOld($D15:$D18,E15:E18,$L15:$L18,M15:M18)</f>
        <v>-1.0738946075393052E-2</v>
      </c>
      <c r="Z15" s="42">
        <f>bdrateOld($D15:$D18,F15:F18,$L15:$L18,N15:N18)</f>
        <v>-1.8396744373062823E-2</v>
      </c>
      <c r="AA15" s="43">
        <f>bdrateOld($D15:$D18,G15:G18,$L15:$L18,O15:O18)</f>
        <v>-3.3096253186446933E-2</v>
      </c>
    </row>
    <row r="16" spans="1:27" x14ac:dyDescent="0.35">
      <c r="A16" s="16"/>
      <c r="B16" s="85"/>
      <c r="C16" s="16">
        <v>48</v>
      </c>
      <c r="D16" s="17">
        <f>Reference!B158</f>
        <v>10282.208000000001</v>
      </c>
      <c r="E16" s="18">
        <f>Reference!C158</f>
        <v>36.9009</v>
      </c>
      <c r="F16" s="18">
        <f>Reference!D158</f>
        <v>44.352600000000002</v>
      </c>
      <c r="G16" s="18">
        <f>Reference!E158</f>
        <v>42.046399999999998</v>
      </c>
      <c r="H16" s="18">
        <f>Reference!F158</f>
        <v>152437.25</v>
      </c>
      <c r="I16" s="18">
        <f>Reference!G158</f>
        <v>22.835000000000001</v>
      </c>
      <c r="J16" s="19">
        <f t="shared" ref="J16:J26" si="5">H16/3600</f>
        <v>42.343680555555558</v>
      </c>
      <c r="L16" s="17">
        <f>Test!B158</f>
        <v>10320.52</v>
      </c>
      <c r="M16" s="18">
        <f>Test!C158</f>
        <v>36.917999999999999</v>
      </c>
      <c r="N16" s="18">
        <f>Test!D158</f>
        <v>44.376100000000001</v>
      </c>
      <c r="O16" s="18">
        <f>Test!E158</f>
        <v>42.082900000000002</v>
      </c>
      <c r="P16" s="18">
        <f>Test!F158</f>
        <v>150826.96900000001</v>
      </c>
      <c r="Q16" s="18">
        <f>Test!G158</f>
        <v>22.835999999999999</v>
      </c>
      <c r="R16" s="19">
        <f t="shared" ref="R16:R26" si="6">P16/3600</f>
        <v>41.89638027777778</v>
      </c>
      <c r="S16" s="17">
        <f t="shared" si="3"/>
        <v>0.98943643368008816</v>
      </c>
      <c r="T16" s="18">
        <f t="shared" si="4"/>
        <v>1.0000437924239105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Reference!B159</f>
        <v>5160.8559999999998</v>
      </c>
      <c r="E17" s="18">
        <f>Reference!C159</f>
        <v>35.883699999999997</v>
      </c>
      <c r="F17" s="18">
        <f>Reference!D159</f>
        <v>43.427100000000003</v>
      </c>
      <c r="G17" s="18">
        <f>Reference!E159</f>
        <v>41.083500000000001</v>
      </c>
      <c r="H17" s="18">
        <f>Reference!F159</f>
        <v>81555.858999999997</v>
      </c>
      <c r="I17" s="18">
        <f>Reference!G159</f>
        <v>18.581</v>
      </c>
      <c r="J17" s="19">
        <f t="shared" si="5"/>
        <v>22.654405277777776</v>
      </c>
      <c r="L17" s="17">
        <f>Test!B159</f>
        <v>5150.5680000000002</v>
      </c>
      <c r="M17" s="18">
        <f>Test!C159</f>
        <v>35.905099999999997</v>
      </c>
      <c r="N17" s="18">
        <f>Test!D159</f>
        <v>43.468400000000003</v>
      </c>
      <c r="O17" s="18">
        <f>Test!E159</f>
        <v>41.138399999999997</v>
      </c>
      <c r="P17" s="18">
        <f>Test!F159</f>
        <v>81628.983999999997</v>
      </c>
      <c r="Q17" s="18">
        <f>Test!G159</f>
        <v>19.050999999999998</v>
      </c>
      <c r="R17" s="19">
        <f t="shared" si="6"/>
        <v>22.674717777777776</v>
      </c>
      <c r="S17" s="17">
        <f t="shared" si="3"/>
        <v>1.0008966247293158</v>
      </c>
      <c r="T17" s="18">
        <f t="shared" si="4"/>
        <v>1.0252946558312255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Reference!B160</f>
        <v>2569.96</v>
      </c>
      <c r="E18" s="23">
        <f>Reference!C160</f>
        <v>34.305500000000002</v>
      </c>
      <c r="F18" s="23">
        <f>Reference!D160</f>
        <v>42.134399999999999</v>
      </c>
      <c r="G18" s="23">
        <f>Reference!E160</f>
        <v>39.943300000000001</v>
      </c>
      <c r="H18" s="23">
        <f>Reference!F160</f>
        <v>40913.387000000002</v>
      </c>
      <c r="I18" s="23">
        <f>Reference!G160</f>
        <v>14.475</v>
      </c>
      <c r="J18" s="24">
        <f t="shared" si="5"/>
        <v>11.364829722222224</v>
      </c>
      <c r="L18" s="22">
        <f>Test!B160</f>
        <v>2561.44</v>
      </c>
      <c r="M18" s="23">
        <f>Test!C160</f>
        <v>34.330800000000004</v>
      </c>
      <c r="N18" s="23">
        <f>Test!D160</f>
        <v>42.138800000000003</v>
      </c>
      <c r="O18" s="23">
        <f>Test!E160</f>
        <v>40.01</v>
      </c>
      <c r="P18" s="23">
        <f>Test!F160</f>
        <v>41240.586000000003</v>
      </c>
      <c r="Q18" s="23">
        <f>Test!G160</f>
        <v>15.295</v>
      </c>
      <c r="R18" s="24">
        <f t="shared" si="6"/>
        <v>11.455718333333333</v>
      </c>
      <c r="S18" s="17">
        <f t="shared" si="3"/>
        <v>1.0079973579307917</v>
      </c>
      <c r="T18" s="18">
        <f t="shared" si="4"/>
        <v>1.0566493955094991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Reference!B161</f>
        <v>8039.9759999999997</v>
      </c>
      <c r="E19" s="13">
        <f>Reference!C161</f>
        <v>38.011200000000002</v>
      </c>
      <c r="F19" s="13">
        <f>Reference!D161</f>
        <v>39.738300000000002</v>
      </c>
      <c r="G19" s="13">
        <f>Reference!E161</f>
        <v>42.842700000000001</v>
      </c>
      <c r="H19" s="13">
        <f>Reference!F161</f>
        <v>321360.15600000002</v>
      </c>
      <c r="I19" s="13">
        <f>Reference!G161</f>
        <v>26.683</v>
      </c>
      <c r="J19" s="14">
        <f t="shared" si="5"/>
        <v>89.266710000000003</v>
      </c>
      <c r="L19" s="12">
        <f>Test!B161</f>
        <v>7974.0432000000001</v>
      </c>
      <c r="M19" s="13">
        <f>Test!C161</f>
        <v>38.0244</v>
      </c>
      <c r="N19" s="13">
        <f>Test!D161</f>
        <v>39.740400000000001</v>
      </c>
      <c r="O19" s="13">
        <f>Test!E161</f>
        <v>42.826700000000002</v>
      </c>
      <c r="P19" s="13">
        <f>Test!F161</f>
        <v>316156.31199999998</v>
      </c>
      <c r="Q19" s="13">
        <f>Test!G161</f>
        <v>25.91</v>
      </c>
      <c r="R19" s="14">
        <f t="shared" si="6"/>
        <v>87.821197777777769</v>
      </c>
      <c r="S19" s="12">
        <f t="shared" si="3"/>
        <v>0.98380681642437329</v>
      </c>
      <c r="T19" s="13">
        <f t="shared" si="4"/>
        <v>0.97103024397556503</v>
      </c>
      <c r="U19" s="90"/>
      <c r="V19" s="37">
        <f>bdrate($D19:$D22,E19:E22,$L19:$L22,M19:M22)</f>
        <v>-1.2073958572509924E-2</v>
      </c>
      <c r="W19" s="42">
        <f>bdrate($D19:$D22,F19:F22,$L19:$L22,N19:N22)</f>
        <v>-3.5377174747295292E-3</v>
      </c>
      <c r="X19" s="43">
        <f>bdrate($D19:$D22,G19:G22,$L19:$L22,O19:O22)</f>
        <v>-9.6908084239241132E-3</v>
      </c>
      <c r="Y19" s="37">
        <f>bdrateOld($D19:$D22,E19:E22,$L19:$L22,M19:M22)</f>
        <v>-1.1354839298394759E-2</v>
      </c>
      <c r="Z19" s="42">
        <f>bdrateOld($D19:$D22,F19:F22,$L19:$L22,N19:N22)</f>
        <v>-3.33749796739502E-3</v>
      </c>
      <c r="AA19" s="43">
        <f>bdrateOld($D19:$D22,G19:G22,$L19:$L22,O19:O22)</f>
        <v>-1.0234538082937283E-2</v>
      </c>
    </row>
    <row r="20" spans="1:27" x14ac:dyDescent="0.35">
      <c r="A20" s="16" t="s">
        <v>48</v>
      </c>
      <c r="B20" s="85"/>
      <c r="C20" s="16">
        <v>32</v>
      </c>
      <c r="D20" s="17">
        <f>Reference!B162</f>
        <v>3824.2303999999999</v>
      </c>
      <c r="E20" s="18">
        <f>Reference!C162</f>
        <v>36.673099999999998</v>
      </c>
      <c r="F20" s="18">
        <f>Reference!D162</f>
        <v>39.110999999999997</v>
      </c>
      <c r="G20" s="18">
        <f>Reference!E162</f>
        <v>41.689399999999999</v>
      </c>
      <c r="H20" s="18">
        <f>Reference!F162</f>
        <v>197218.20300000001</v>
      </c>
      <c r="I20" s="18">
        <f>Reference!G162</f>
        <v>21.96</v>
      </c>
      <c r="J20" s="19">
        <f t="shared" si="5"/>
        <v>54.782834166666667</v>
      </c>
      <c r="L20" s="17">
        <f>Test!B162</f>
        <v>3761.5167999999999</v>
      </c>
      <c r="M20" s="18">
        <f>Test!C162</f>
        <v>36.682499999999997</v>
      </c>
      <c r="N20" s="18">
        <f>Test!D162</f>
        <v>39.1</v>
      </c>
      <c r="O20" s="18">
        <f>Test!E162</f>
        <v>41.654400000000003</v>
      </c>
      <c r="P20" s="18">
        <f>Test!F162</f>
        <v>195110.43799999999</v>
      </c>
      <c r="Q20" s="18">
        <f>Test!G162</f>
        <v>22.050999999999998</v>
      </c>
      <c r="R20" s="19">
        <f t="shared" si="6"/>
        <v>54.197343888888888</v>
      </c>
      <c r="S20" s="17">
        <f t="shared" si="3"/>
        <v>0.98931252304332162</v>
      </c>
      <c r="T20" s="18">
        <f t="shared" si="4"/>
        <v>1.0041438979963568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Reference!B163</f>
        <v>1876.3456000000001</v>
      </c>
      <c r="E21" s="18">
        <f>Reference!C163</f>
        <v>34.838299999999997</v>
      </c>
      <c r="F21" s="18">
        <f>Reference!D163</f>
        <v>38.301000000000002</v>
      </c>
      <c r="G21" s="18">
        <f>Reference!E163</f>
        <v>40.186199999999999</v>
      </c>
      <c r="H21" s="18">
        <f>Reference!F163</f>
        <v>116984.44500000001</v>
      </c>
      <c r="I21" s="18">
        <f>Reference!G163</f>
        <v>17.068000000000001</v>
      </c>
      <c r="J21" s="19">
        <f t="shared" si="5"/>
        <v>32.495679166666669</v>
      </c>
      <c r="L21" s="17">
        <f>Test!B163</f>
        <v>1845.1407999999999</v>
      </c>
      <c r="M21" s="18">
        <f>Test!C163</f>
        <v>34.811799999999998</v>
      </c>
      <c r="N21" s="18">
        <f>Test!D163</f>
        <v>38.271700000000003</v>
      </c>
      <c r="O21" s="18">
        <f>Test!E163</f>
        <v>40.188000000000002</v>
      </c>
      <c r="P21" s="18">
        <f>Test!F163</f>
        <v>117148.234</v>
      </c>
      <c r="Q21" s="18">
        <f>Test!G163</f>
        <v>17.722999999999999</v>
      </c>
      <c r="R21" s="19">
        <f t="shared" si="6"/>
        <v>32.541176111111113</v>
      </c>
      <c r="S21" s="17">
        <f t="shared" si="3"/>
        <v>1.0014000921233588</v>
      </c>
      <c r="T21" s="18">
        <f t="shared" si="4"/>
        <v>1.0383759081321771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Reference!B164</f>
        <v>898.83360000000005</v>
      </c>
      <c r="E22" s="23">
        <f>Reference!C164</f>
        <v>32.534999999999997</v>
      </c>
      <c r="F22" s="23">
        <f>Reference!D164</f>
        <v>37.257899999999999</v>
      </c>
      <c r="G22" s="23">
        <f>Reference!E164</f>
        <v>38.508000000000003</v>
      </c>
      <c r="H22" s="23">
        <f>Reference!F164</f>
        <v>67617.968999999997</v>
      </c>
      <c r="I22" s="23">
        <f>Reference!G164</f>
        <v>13.291</v>
      </c>
      <c r="J22" s="24">
        <f t="shared" si="5"/>
        <v>18.782769166666665</v>
      </c>
      <c r="L22" s="22">
        <f>Test!B164</f>
        <v>882.79039999999998</v>
      </c>
      <c r="M22" s="23">
        <f>Test!C164</f>
        <v>32.496099999999998</v>
      </c>
      <c r="N22" s="23">
        <f>Test!D164</f>
        <v>37.267400000000002</v>
      </c>
      <c r="O22" s="23">
        <f>Test!E164</f>
        <v>38.519399999999997</v>
      </c>
      <c r="P22" s="23">
        <f>Test!F164</f>
        <v>65970.851999999999</v>
      </c>
      <c r="Q22" s="23">
        <f>Test!G164</f>
        <v>13.356999999999999</v>
      </c>
      <c r="R22" s="24">
        <f t="shared" si="6"/>
        <v>18.325236666666665</v>
      </c>
      <c r="S22" s="17">
        <f t="shared" si="3"/>
        <v>0.9756408389018606</v>
      </c>
      <c r="T22" s="18">
        <f t="shared" si="4"/>
        <v>1.0049657663080278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Reference!B165</f>
        <v>9378.9567999999999</v>
      </c>
      <c r="E23" s="13">
        <f>Reference!C165</f>
        <v>38.738999999999997</v>
      </c>
      <c r="F23" s="13">
        <f>Reference!D165</f>
        <v>43.691099999999999</v>
      </c>
      <c r="G23" s="13">
        <f>Reference!E165</f>
        <v>44.6389</v>
      </c>
      <c r="H23" s="13">
        <f>Reference!F165</f>
        <v>347890.40600000002</v>
      </c>
      <c r="I23" s="13">
        <f>Reference!G165</f>
        <v>31.283000000000001</v>
      </c>
      <c r="J23" s="14">
        <f t="shared" si="5"/>
        <v>96.636223888888892</v>
      </c>
      <c r="L23" s="12">
        <f>Test!B165</f>
        <v>9100.6016</v>
      </c>
      <c r="M23" s="13">
        <f>Test!C165</f>
        <v>38.741</v>
      </c>
      <c r="N23" s="13">
        <f>Test!D165</f>
        <v>43.689700000000002</v>
      </c>
      <c r="O23" s="13">
        <f>Test!E165</f>
        <v>44.619500000000002</v>
      </c>
      <c r="P23" s="13">
        <f>Test!F165</f>
        <v>345959.28100000002</v>
      </c>
      <c r="Q23" s="13">
        <f>Test!G165</f>
        <v>31.969000000000001</v>
      </c>
      <c r="R23" s="14">
        <f t="shared" si="6"/>
        <v>96.099800277777788</v>
      </c>
      <c r="S23" s="17">
        <f t="shared" si="3"/>
        <v>0.9944490420928711</v>
      </c>
      <c r="T23" s="18">
        <f t="shared" si="4"/>
        <v>1.0219288431416425</v>
      </c>
      <c r="U23" s="91"/>
      <c r="V23" s="37">
        <f>bdrate($D23:$D26,E23:E26,$L23:$L26,M23:M26)</f>
        <v>-2.7550850107698643E-2</v>
      </c>
      <c r="W23" s="42">
        <f>bdrate($D23:$D26,F23:F26,$L23:$L26,N23:N26)</f>
        <v>-2.5595136133143126E-2</v>
      </c>
      <c r="X23" s="43">
        <f>bdrate($D23:$D26,G23:G26,$L23:$L26,O23:O26)</f>
        <v>-1.8132429382157533E-2</v>
      </c>
      <c r="Y23" s="37">
        <f>bdrateOld($D23:$D26,E23:E26,$L23:$L26,M23:M26)</f>
        <v>-2.7392789131859385E-2</v>
      </c>
      <c r="Z23" s="42">
        <f>bdrateOld($D23:$D26,F23:F26,$L23:$L26,N23:N26)</f>
        <v>-2.5953507496328188E-2</v>
      </c>
      <c r="AA23" s="43">
        <f>bdrateOld($D23:$D26,G23:G26,$L23:$L26,O23:O26)</f>
        <v>-1.8443215232289423E-2</v>
      </c>
    </row>
    <row r="24" spans="1:27" x14ac:dyDescent="0.35">
      <c r="A24" s="34"/>
      <c r="B24" s="85"/>
      <c r="C24" s="16">
        <v>32</v>
      </c>
      <c r="D24" s="17">
        <f>Reference!B166</f>
        <v>4792.84</v>
      </c>
      <c r="E24" s="18">
        <f>Reference!C166</f>
        <v>37.513399999999997</v>
      </c>
      <c r="F24" s="18">
        <f>Reference!D166</f>
        <v>42.715699999999998</v>
      </c>
      <c r="G24" s="18">
        <f>Reference!E166</f>
        <v>43.136000000000003</v>
      </c>
      <c r="H24" s="18">
        <f>Reference!F166</f>
        <v>216368.79699999999</v>
      </c>
      <c r="I24" s="18">
        <f>Reference!G166</f>
        <v>26.914000000000001</v>
      </c>
      <c r="J24" s="19">
        <f t="shared" si="5"/>
        <v>60.102443611111106</v>
      </c>
      <c r="L24" s="17">
        <f>Test!B166</f>
        <v>4702.4143999999997</v>
      </c>
      <c r="M24" s="18">
        <f>Test!C166</f>
        <v>37.535200000000003</v>
      </c>
      <c r="N24" s="18">
        <f>Test!D166</f>
        <v>42.712800000000001</v>
      </c>
      <c r="O24" s="18">
        <f>Test!E166</f>
        <v>43.117100000000001</v>
      </c>
      <c r="P24" s="18">
        <f>Test!F166</f>
        <v>213648.81200000001</v>
      </c>
      <c r="Q24" s="18">
        <f>Test!G166</f>
        <v>27.268999999999998</v>
      </c>
      <c r="R24" s="19">
        <f t="shared" si="6"/>
        <v>59.346892222222223</v>
      </c>
      <c r="S24" s="17">
        <f t="shared" si="3"/>
        <v>0.98742894059719721</v>
      </c>
      <c r="T24" s="18">
        <f t="shared" si="4"/>
        <v>1.0131901612543657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Reference!B167</f>
        <v>2441.6608000000001</v>
      </c>
      <c r="E25" s="18">
        <f>Reference!C167</f>
        <v>35.833399999999997</v>
      </c>
      <c r="F25" s="18">
        <f>Reference!D167</f>
        <v>41.480400000000003</v>
      </c>
      <c r="G25" s="18">
        <f>Reference!E167</f>
        <v>41.3949</v>
      </c>
      <c r="H25" s="18">
        <f>Reference!F167</f>
        <v>129258.352</v>
      </c>
      <c r="I25" s="18">
        <f>Reference!G167</f>
        <v>22.349</v>
      </c>
      <c r="J25" s="19">
        <f t="shared" si="5"/>
        <v>35.905097777777776</v>
      </c>
      <c r="L25" s="17">
        <f>Test!B167</f>
        <v>2398.5007999999998</v>
      </c>
      <c r="M25" s="18">
        <f>Test!C167</f>
        <v>35.858800000000002</v>
      </c>
      <c r="N25" s="18">
        <f>Test!D167</f>
        <v>41.496000000000002</v>
      </c>
      <c r="O25" s="18">
        <f>Test!E167</f>
        <v>41.405200000000001</v>
      </c>
      <c r="P25" s="18">
        <f>Test!F167</f>
        <v>125487.57</v>
      </c>
      <c r="Q25" s="18">
        <f>Test!G167</f>
        <v>21.513000000000002</v>
      </c>
      <c r="R25" s="19">
        <f t="shared" si="6"/>
        <v>34.857658333333333</v>
      </c>
      <c r="S25" s="17">
        <f t="shared" si="3"/>
        <v>0.97082755627272743</v>
      </c>
      <c r="T25" s="18">
        <f t="shared" si="4"/>
        <v>0.96259340462660525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Reference!B168</f>
        <v>1215.0192</v>
      </c>
      <c r="E26" s="23">
        <f>Reference!C168</f>
        <v>33.751199999999997</v>
      </c>
      <c r="F26" s="23">
        <f>Reference!D168</f>
        <v>40.075000000000003</v>
      </c>
      <c r="G26" s="23">
        <f>Reference!E168</f>
        <v>39.457700000000003</v>
      </c>
      <c r="H26" s="23">
        <f>Reference!F168</f>
        <v>71552.883000000002</v>
      </c>
      <c r="I26" s="23">
        <f>Reference!G168</f>
        <v>18.079999999999998</v>
      </c>
      <c r="J26" s="24">
        <f t="shared" si="5"/>
        <v>19.875800833333333</v>
      </c>
      <c r="L26" s="22">
        <f>Test!B168</f>
        <v>1188.5024000000001</v>
      </c>
      <c r="M26" s="23">
        <f>Test!C168</f>
        <v>33.763399999999997</v>
      </c>
      <c r="N26" s="23">
        <f>Test!D168</f>
        <v>40.119199999999999</v>
      </c>
      <c r="O26" s="23">
        <f>Test!E168</f>
        <v>39.460799999999999</v>
      </c>
      <c r="P26" s="23">
        <f>Test!F168</f>
        <v>69540.843999999997</v>
      </c>
      <c r="Q26" s="23">
        <f>Test!G168</f>
        <v>17.777000000000001</v>
      </c>
      <c r="R26" s="24">
        <f t="shared" si="6"/>
        <v>19.316901111111111</v>
      </c>
      <c r="S26" s="17">
        <f t="shared" si="3"/>
        <v>0.97188039229670165</v>
      </c>
      <c r="T26" s="18">
        <f t="shared" si="4"/>
        <v>0.98324115044247806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Reference!B169</f>
        <v>6406.8015999999998</v>
      </c>
      <c r="E27" s="13">
        <f>Reference!C169</f>
        <v>39.8367</v>
      </c>
      <c r="F27" s="13">
        <f>Reference!D169</f>
        <v>43.800800000000002</v>
      </c>
      <c r="G27" s="13">
        <f>Reference!E169</f>
        <v>44.497999999999998</v>
      </c>
      <c r="H27" s="13">
        <f>Reference!F169</f>
        <v>311967.28100000002</v>
      </c>
      <c r="I27" s="13">
        <f>Reference!G169</f>
        <v>33.17</v>
      </c>
      <c r="J27" s="14">
        <f>H27/3600</f>
        <v>86.657578055555561</v>
      </c>
      <c r="L27" s="12">
        <f>Test!B169</f>
        <v>6358.0320000000002</v>
      </c>
      <c r="M27" s="13">
        <f>Test!C169</f>
        <v>39.833100000000002</v>
      </c>
      <c r="N27" s="13">
        <f>Test!D169</f>
        <v>43.806399999999996</v>
      </c>
      <c r="O27" s="13">
        <f>Test!E169</f>
        <v>44.503999999999998</v>
      </c>
      <c r="P27" s="13">
        <f>Test!F169</f>
        <v>312799.25</v>
      </c>
      <c r="Q27" s="13">
        <f>Test!G169</f>
        <v>32.603000000000002</v>
      </c>
      <c r="R27" s="14">
        <f>P27/3600</f>
        <v>86.888680555555553</v>
      </c>
      <c r="S27" s="17">
        <f t="shared" ref="S27:T46" si="7">P27/H27</f>
        <v>1.0026668469761737</v>
      </c>
      <c r="T27" s="18">
        <f t="shared" si="7"/>
        <v>0.98290624057883624</v>
      </c>
      <c r="U27" s="91"/>
      <c r="V27" s="37">
        <f>bdrate($D27:$D30,E27:E30,$L27:$L30,M27:M30)</f>
        <v>-9.6716950092110565E-3</v>
      </c>
      <c r="W27" s="42">
        <f>bdrate($D27:$D30,F27:F30,$L27:$L30,N27:N30)</f>
        <v>-2.2936740238505449E-2</v>
      </c>
      <c r="X27" s="43">
        <f>bdrate($D27:$D30,G27:G30,$L27:$L30,O27:O30)</f>
        <v>-3.0480504553366816E-2</v>
      </c>
      <c r="Y27" s="37">
        <f>bdrateOld($D27:$D30,E27:E30,$L27:$L30,M27:M30)</f>
        <v>-9.6317479329655065E-3</v>
      </c>
      <c r="Z27" s="42">
        <f>bdrateOld($D27:$D30,F27:F30,$L27:$L30,N27:N30)</f>
        <v>-2.294749911964622E-2</v>
      </c>
      <c r="AA27" s="43">
        <f>bdrateOld($D27:$D30,G27:G30,$L27:$L30,O27:O30)</f>
        <v>-3.0800079978776096E-2</v>
      </c>
    </row>
    <row r="28" spans="1:27" x14ac:dyDescent="0.35">
      <c r="A28" s="16"/>
      <c r="B28" s="85"/>
      <c r="C28" s="16">
        <v>48</v>
      </c>
      <c r="D28" s="17">
        <f>Reference!B170</f>
        <v>3059.96</v>
      </c>
      <c r="E28" s="18">
        <f>Reference!C170</f>
        <v>38.539200000000001</v>
      </c>
      <c r="F28" s="18">
        <f>Reference!D170</f>
        <v>42.923999999999999</v>
      </c>
      <c r="G28" s="18">
        <f>Reference!E170</f>
        <v>43.644599999999997</v>
      </c>
      <c r="H28" s="18">
        <f>Reference!F170</f>
        <v>179985.125</v>
      </c>
      <c r="I28" s="18">
        <f>Reference!G170</f>
        <v>27.050999999999998</v>
      </c>
      <c r="J28" s="19">
        <f t="shared" ref="J28:J46" si="8">H28/3600</f>
        <v>49.995868055555555</v>
      </c>
      <c r="L28" s="17">
        <f>Test!B170</f>
        <v>3031.3535999999999</v>
      </c>
      <c r="M28" s="18">
        <f>Test!C170</f>
        <v>38.538699999999999</v>
      </c>
      <c r="N28" s="18">
        <f>Test!D170</f>
        <v>42.936399999999999</v>
      </c>
      <c r="O28" s="18">
        <f>Test!E170</f>
        <v>43.659300000000002</v>
      </c>
      <c r="P28" s="18">
        <f>Test!F170</f>
        <v>180940.766</v>
      </c>
      <c r="Q28" s="18">
        <f>Test!G170</f>
        <v>26.728000000000002</v>
      </c>
      <c r="R28" s="19">
        <f t="shared" ref="R28:R46" si="9">P28/3600</f>
        <v>50.261323888888889</v>
      </c>
      <c r="S28" s="17">
        <f t="shared" si="7"/>
        <v>1.0053095554424289</v>
      </c>
      <c r="T28" s="18">
        <f t="shared" si="7"/>
        <v>0.98805959114265662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Reference!B171</f>
        <v>1476.2672</v>
      </c>
      <c r="E29" s="18">
        <f>Reference!C171</f>
        <v>36.7239</v>
      </c>
      <c r="F29" s="18">
        <f>Reference!D171</f>
        <v>41.8048</v>
      </c>
      <c r="G29" s="18">
        <f>Reference!E171</f>
        <v>42.381100000000004</v>
      </c>
      <c r="H29" s="18">
        <f>Reference!F171</f>
        <v>100214.891</v>
      </c>
      <c r="I29" s="18">
        <f>Reference!G171</f>
        <v>20.154</v>
      </c>
      <c r="J29" s="19">
        <f t="shared" si="8"/>
        <v>27.837469722222224</v>
      </c>
      <c r="L29" s="17">
        <f>Test!B171</f>
        <v>1460.3088</v>
      </c>
      <c r="M29" s="18">
        <f>Test!C171</f>
        <v>36.723599999999998</v>
      </c>
      <c r="N29" s="18">
        <f>Test!D171</f>
        <v>41.836799999999997</v>
      </c>
      <c r="O29" s="18">
        <f>Test!E171</f>
        <v>42.425899999999999</v>
      </c>
      <c r="P29" s="18">
        <f>Test!F171</f>
        <v>99857.351999999999</v>
      </c>
      <c r="Q29" s="18">
        <f>Test!G171</f>
        <v>20.503</v>
      </c>
      <c r="R29" s="19">
        <f t="shared" si="9"/>
        <v>27.738153333333333</v>
      </c>
      <c r="S29" s="17">
        <f t="shared" si="7"/>
        <v>0.99643227671624168</v>
      </c>
      <c r="T29" s="18">
        <f t="shared" si="7"/>
        <v>1.0173166617048726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Reference!B172</f>
        <v>694.14559999999994</v>
      </c>
      <c r="E30" s="23">
        <f>Reference!C172</f>
        <v>34.430700000000002</v>
      </c>
      <c r="F30" s="23">
        <f>Reference!D172</f>
        <v>40.651000000000003</v>
      </c>
      <c r="G30" s="23">
        <f>Reference!E172</f>
        <v>40.988500000000002</v>
      </c>
      <c r="H30" s="23">
        <f>Reference!F172</f>
        <v>53408.086000000003</v>
      </c>
      <c r="I30" s="23">
        <f>Reference!G172</f>
        <v>16.992999999999999</v>
      </c>
      <c r="J30" s="24">
        <f t="shared" si="8"/>
        <v>14.835579444444445</v>
      </c>
      <c r="L30" s="22">
        <f>Test!B172</f>
        <v>687.33920000000001</v>
      </c>
      <c r="M30" s="23">
        <f>Test!C172</f>
        <v>34.431399999999996</v>
      </c>
      <c r="N30" s="23">
        <f>Test!D172</f>
        <v>40.6614</v>
      </c>
      <c r="O30" s="23">
        <f>Test!E172</f>
        <v>41.065399999999997</v>
      </c>
      <c r="P30" s="23">
        <f>Test!F172</f>
        <v>52471.766000000003</v>
      </c>
      <c r="Q30" s="23">
        <f>Test!G172</f>
        <v>16.960999999999999</v>
      </c>
      <c r="R30" s="24">
        <f t="shared" si="9"/>
        <v>14.575490555555556</v>
      </c>
      <c r="S30" s="17">
        <f t="shared" si="7"/>
        <v>0.98246857226825168</v>
      </c>
      <c r="T30" s="18">
        <f t="shared" si="7"/>
        <v>0.99811687165303364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Reference!B173</f>
        <v>6793.9920000000002</v>
      </c>
      <c r="E31" s="13">
        <f>Reference!C173</f>
        <v>43.3842</v>
      </c>
      <c r="F31" s="13">
        <f>Reference!D173</f>
        <v>46.746200000000002</v>
      </c>
      <c r="G31" s="13">
        <f>Reference!E173</f>
        <v>47.341999999999999</v>
      </c>
      <c r="H31" s="13">
        <f>Reference!F173</f>
        <v>265504.625</v>
      </c>
      <c r="I31" s="13">
        <f>Reference!G173</f>
        <v>34.515000000000001</v>
      </c>
      <c r="J31" s="14">
        <f t="shared" si="8"/>
        <v>73.751284722222223</v>
      </c>
      <c r="L31" s="12">
        <f>Test!B173</f>
        <v>6711.8320000000003</v>
      </c>
      <c r="M31" s="13">
        <f>Test!C173</f>
        <v>43.387500000000003</v>
      </c>
      <c r="N31" s="13">
        <f>Test!D173</f>
        <v>46.724699999999999</v>
      </c>
      <c r="O31" s="13">
        <f>Test!E173</f>
        <v>47.313899999999997</v>
      </c>
      <c r="P31" s="13">
        <f>Test!F173</f>
        <v>256566.95300000001</v>
      </c>
      <c r="Q31" s="13">
        <f>Test!G173</f>
        <v>34.173000000000002</v>
      </c>
      <c r="R31" s="14">
        <f t="shared" si="9"/>
        <v>71.268598055555557</v>
      </c>
      <c r="S31" s="17">
        <f t="shared" si="7"/>
        <v>0.96633703838492457</v>
      </c>
      <c r="T31" s="18">
        <f t="shared" si="7"/>
        <v>0.99009126466753594</v>
      </c>
      <c r="U31" s="91"/>
      <c r="V31" s="37">
        <f>bdrate($D31:$D34,E31:E34,$L31:$L34,M31:M34)</f>
        <v>-1.6234215807290675E-2</v>
      </c>
      <c r="W31" s="42">
        <f>bdrate($D31:$D34,F31:F34,$L31:$L34,N31:N34)</f>
        <v>-7.5762897525861739E-3</v>
      </c>
      <c r="X31" s="42">
        <f>bdrate($D31:$D34,G31:G34,$L31:$L34,O31:O34)</f>
        <v>-2.1395880674971446E-3</v>
      </c>
      <c r="Y31" s="40">
        <f>bdrateOld($D31:$D34,E31:E34,$L31:$L34,M31:M34)</f>
        <v>-1.6167577676947098E-2</v>
      </c>
      <c r="Z31" s="44">
        <f>bdrateOld($D31:$D34,F31:F34,$L31:$L34,N31:N34)</f>
        <v>-7.4888294811887857E-3</v>
      </c>
      <c r="AA31" s="45">
        <f>bdrateOld($D31:$D34,G31:G34,$L31:$L34,O31:O34)</f>
        <v>-2.0919155770177111E-3</v>
      </c>
    </row>
    <row r="32" spans="1:27" x14ac:dyDescent="0.35">
      <c r="A32" s="16"/>
      <c r="B32" s="85"/>
      <c r="C32" s="16">
        <v>48</v>
      </c>
      <c r="D32" s="17">
        <f>Reference!B174</f>
        <v>4147.8559999999998</v>
      </c>
      <c r="E32" s="18">
        <f>Reference!C174</f>
        <v>41.066099999999999</v>
      </c>
      <c r="F32" s="18">
        <f>Reference!D174</f>
        <v>45.288400000000003</v>
      </c>
      <c r="G32" s="18">
        <f>Reference!E174</f>
        <v>45.682499999999997</v>
      </c>
      <c r="H32" s="18">
        <f>Reference!F174</f>
        <v>185583.92199999999</v>
      </c>
      <c r="I32" s="18">
        <f>Reference!G174</f>
        <v>30.748999999999999</v>
      </c>
      <c r="J32" s="19">
        <f t="shared" si="8"/>
        <v>51.551089444444443</v>
      </c>
      <c r="L32" s="17">
        <f>Test!B174</f>
        <v>4084.5023999999999</v>
      </c>
      <c r="M32" s="18">
        <f>Test!C174</f>
        <v>41.072800000000001</v>
      </c>
      <c r="N32" s="18">
        <f>Test!D174</f>
        <v>45.272300000000001</v>
      </c>
      <c r="O32" s="18">
        <f>Test!E174</f>
        <v>45.6404</v>
      </c>
      <c r="P32" s="18">
        <f>Test!F174</f>
        <v>180021.40599999999</v>
      </c>
      <c r="Q32" s="18">
        <f>Test!G174</f>
        <v>30.311</v>
      </c>
      <c r="R32" s="19">
        <f t="shared" si="9"/>
        <v>50.005946111111108</v>
      </c>
      <c r="S32" s="17">
        <f t="shared" si="7"/>
        <v>0.97002695093382063</v>
      </c>
      <c r="T32" s="18">
        <f t="shared" si="7"/>
        <v>0.98575563432957169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Reference!B175</f>
        <v>2298.3247999999999</v>
      </c>
      <c r="E33" s="18">
        <f>Reference!C175</f>
        <v>38.274700000000003</v>
      </c>
      <c r="F33" s="18">
        <f>Reference!D175</f>
        <v>43.639299999999999</v>
      </c>
      <c r="G33" s="18">
        <f>Reference!E175</f>
        <v>43.821800000000003</v>
      </c>
      <c r="H33" s="18">
        <f>Reference!F175</f>
        <v>114075.734</v>
      </c>
      <c r="I33" s="18">
        <f>Reference!G175</f>
        <v>24.501999999999999</v>
      </c>
      <c r="J33" s="19">
        <f t="shared" si="8"/>
        <v>31.687703888888887</v>
      </c>
      <c r="L33" s="17">
        <f>Test!B175</f>
        <v>2259.2303999999999</v>
      </c>
      <c r="M33" s="18">
        <f>Test!C175</f>
        <v>38.271599999999999</v>
      </c>
      <c r="N33" s="18">
        <f>Test!D175</f>
        <v>43.604100000000003</v>
      </c>
      <c r="O33" s="18">
        <f>Test!E175</f>
        <v>43.768000000000001</v>
      </c>
      <c r="P33" s="18">
        <f>Test!F175</f>
        <v>113617.04700000001</v>
      </c>
      <c r="Q33" s="18">
        <f>Test!G175</f>
        <v>24.745999999999999</v>
      </c>
      <c r="R33" s="19">
        <f t="shared" si="9"/>
        <v>31.560290833333337</v>
      </c>
      <c r="S33" s="17">
        <f t="shared" si="7"/>
        <v>0.99597910104176945</v>
      </c>
      <c r="T33" s="18">
        <f t="shared" si="7"/>
        <v>1.0099583707452453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Reference!B176</f>
        <v>1199.6864</v>
      </c>
      <c r="E34" s="23">
        <f>Reference!C176</f>
        <v>35.324399999999997</v>
      </c>
      <c r="F34" s="23">
        <f>Reference!D176</f>
        <v>42.023000000000003</v>
      </c>
      <c r="G34" s="23">
        <f>Reference!E176</f>
        <v>41.935400000000001</v>
      </c>
      <c r="H34" s="23">
        <f>Reference!F176</f>
        <v>67736.241999999998</v>
      </c>
      <c r="I34" s="23">
        <f>Reference!G176</f>
        <v>19.707999999999998</v>
      </c>
      <c r="J34" s="24">
        <f t="shared" si="8"/>
        <v>18.815622777777776</v>
      </c>
      <c r="L34" s="22">
        <f>Test!B176</f>
        <v>1174.152</v>
      </c>
      <c r="M34" s="23">
        <f>Test!C176</f>
        <v>35.306600000000003</v>
      </c>
      <c r="N34" s="23">
        <f>Test!D176</f>
        <v>42.008600000000001</v>
      </c>
      <c r="O34" s="23">
        <f>Test!E176</f>
        <v>41.898600000000002</v>
      </c>
      <c r="P34" s="23">
        <f>Test!F176</f>
        <v>65236.964999999997</v>
      </c>
      <c r="Q34" s="23">
        <f>Test!G176</f>
        <v>19.157</v>
      </c>
      <c r="R34" s="24">
        <f t="shared" si="9"/>
        <v>18.121379166666667</v>
      </c>
      <c r="S34" s="17">
        <f t="shared" si="7"/>
        <v>0.96310280986654084</v>
      </c>
      <c r="T34" s="18">
        <f t="shared" si="7"/>
        <v>0.97204181043231186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Reference!B177</f>
        <v>4754.4639999999999</v>
      </c>
      <c r="E35" s="13">
        <f>Reference!C177</f>
        <v>38.467199999999998</v>
      </c>
      <c r="F35" s="13">
        <f>Reference!D177</f>
        <v>45.532400000000003</v>
      </c>
      <c r="G35" s="13">
        <f>Reference!E177</f>
        <v>45.736699999999999</v>
      </c>
      <c r="H35" s="13">
        <f>Reference!F177</f>
        <v>180862.875</v>
      </c>
      <c r="I35" s="13">
        <f>Reference!G177</f>
        <v>15.359</v>
      </c>
      <c r="J35" s="14">
        <f t="shared" si="8"/>
        <v>50.239687500000002</v>
      </c>
      <c r="L35" s="12">
        <f>Test!B177</f>
        <v>4677.1135999999997</v>
      </c>
      <c r="M35" s="13">
        <f>Test!C177</f>
        <v>38.456499999999998</v>
      </c>
      <c r="N35" s="13">
        <f>Test!D177</f>
        <v>45.530299999999997</v>
      </c>
      <c r="O35" s="13">
        <f>Test!E177</f>
        <v>45.737400000000001</v>
      </c>
      <c r="P35" s="13">
        <f>Test!F177</f>
        <v>178078.984</v>
      </c>
      <c r="Q35" s="13">
        <f>Test!G177</f>
        <v>14.906000000000001</v>
      </c>
      <c r="R35" s="14">
        <f t="shared" si="9"/>
        <v>49.466384444444444</v>
      </c>
      <c r="S35" s="12">
        <f t="shared" si="7"/>
        <v>0.98460772560427334</v>
      </c>
      <c r="T35" s="13">
        <f t="shared" si="7"/>
        <v>0.97050589231069739</v>
      </c>
      <c r="U35" s="90"/>
      <c r="V35" s="37">
        <f>bdrate($D35:$D38,E35:E38,$L35:$L38,M35:M38)</f>
        <v>-1.3849445820100059E-2</v>
      </c>
      <c r="W35" s="42">
        <f>bdrate($D35:$D38,F35:F38,$L35:$L38,N35:N38)</f>
        <v>1.5354397724911539E-3</v>
      </c>
      <c r="X35" s="42">
        <f>bdrate($D35:$D38,G35:G38,$L35:$L38,O35:O38)</f>
        <v>-3.8023098899511831E-2</v>
      </c>
      <c r="Y35" s="40">
        <f>bdrateOld($D35:$D38,E35:E38,$L35:$L38,M35:M38)</f>
        <v>-1.3810042608730977E-2</v>
      </c>
      <c r="Z35" s="44">
        <f>bdrateOld($D35:$D38,F35:F38,$L35:$L38,N35:N38)</f>
        <v>1.8213639940818371E-3</v>
      </c>
      <c r="AA35" s="45">
        <f>bdrateOld($D35:$D38,G35:G38,$L35:$L38,O35:O38)</f>
        <v>-3.7393468527695983E-2</v>
      </c>
    </row>
    <row r="36" spans="1:27" x14ac:dyDescent="0.35">
      <c r="A36" s="16" t="s">
        <v>52</v>
      </c>
      <c r="B36" s="85"/>
      <c r="C36" s="16">
        <v>32</v>
      </c>
      <c r="D36" s="17">
        <f>Reference!B178</f>
        <v>1665.4464</v>
      </c>
      <c r="E36" s="18">
        <f>Reference!C178</f>
        <v>36.471600000000002</v>
      </c>
      <c r="F36" s="18">
        <f>Reference!D178</f>
        <v>44.544600000000003</v>
      </c>
      <c r="G36" s="18">
        <f>Reference!E178</f>
        <v>44.715699999999998</v>
      </c>
      <c r="H36" s="18">
        <f>Reference!F178</f>
        <v>90341.976999999999</v>
      </c>
      <c r="I36" s="18">
        <f>Reference!G178</f>
        <v>10.462999999999999</v>
      </c>
      <c r="J36" s="19">
        <f t="shared" si="8"/>
        <v>25.094993611111111</v>
      </c>
      <c r="L36" s="17">
        <f>Test!B178</f>
        <v>1631.8992000000001</v>
      </c>
      <c r="M36" s="18">
        <f>Test!C178</f>
        <v>36.4619</v>
      </c>
      <c r="N36" s="18">
        <f>Test!D178</f>
        <v>44.545099999999998</v>
      </c>
      <c r="O36" s="18">
        <f>Test!E178</f>
        <v>44.747</v>
      </c>
      <c r="P36" s="18">
        <f>Test!F178</f>
        <v>90250.577999999994</v>
      </c>
      <c r="Q36" s="18">
        <f>Test!G178</f>
        <v>10.013</v>
      </c>
      <c r="R36" s="19">
        <f t="shared" si="9"/>
        <v>25.069604999999999</v>
      </c>
      <c r="S36" s="17">
        <f t="shared" si="7"/>
        <v>0.9989882997579298</v>
      </c>
      <c r="T36" s="18">
        <f t="shared" si="7"/>
        <v>0.95699130268565424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Reference!B179</f>
        <v>657.73119999999994</v>
      </c>
      <c r="E37" s="18">
        <f>Reference!C179</f>
        <v>34.0182</v>
      </c>
      <c r="F37" s="18">
        <f>Reference!D179</f>
        <v>43.2057</v>
      </c>
      <c r="G37" s="18">
        <f>Reference!E179</f>
        <v>43.359200000000001</v>
      </c>
      <c r="H37" s="18">
        <f>Reference!F179</f>
        <v>51770.741999999998</v>
      </c>
      <c r="I37" s="18">
        <f>Reference!G179</f>
        <v>7.4279999999999999</v>
      </c>
      <c r="J37" s="19">
        <f t="shared" si="8"/>
        <v>14.380761666666666</v>
      </c>
      <c r="L37" s="17">
        <f>Test!B179</f>
        <v>651.77599999999995</v>
      </c>
      <c r="M37" s="18">
        <f>Test!C179</f>
        <v>34.034599999999998</v>
      </c>
      <c r="N37" s="18">
        <f>Test!D179</f>
        <v>43.172699999999999</v>
      </c>
      <c r="O37" s="18">
        <f>Test!E179</f>
        <v>43.4069</v>
      </c>
      <c r="P37" s="18">
        <f>Test!F179</f>
        <v>50835.641000000003</v>
      </c>
      <c r="Q37" s="18">
        <f>Test!G179</f>
        <v>7.2489999999999997</v>
      </c>
      <c r="R37" s="19">
        <f t="shared" si="9"/>
        <v>14.12101138888889</v>
      </c>
      <c r="S37" s="17">
        <f t="shared" si="7"/>
        <v>0.98193765505620922</v>
      </c>
      <c r="T37" s="18">
        <f t="shared" si="7"/>
        <v>0.97590199246095855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Reference!B180</f>
        <v>274.48480000000001</v>
      </c>
      <c r="E38" s="23">
        <f>Reference!C180</f>
        <v>30.979800000000001</v>
      </c>
      <c r="F38" s="23">
        <f>Reference!D180</f>
        <v>41.982500000000002</v>
      </c>
      <c r="G38" s="23">
        <f>Reference!E180</f>
        <v>41.9895</v>
      </c>
      <c r="H38" s="23">
        <f>Reference!F180</f>
        <v>29596.072</v>
      </c>
      <c r="I38" s="23">
        <f>Reference!G180</f>
        <v>5.6719999999999997</v>
      </c>
      <c r="J38" s="24">
        <f t="shared" si="8"/>
        <v>8.2211311111111112</v>
      </c>
      <c r="L38" s="22">
        <f>Test!B180</f>
        <v>274.48160000000001</v>
      </c>
      <c r="M38" s="23">
        <f>Test!C180</f>
        <v>31.023900000000001</v>
      </c>
      <c r="N38" s="23">
        <f>Test!D180</f>
        <v>41.927100000000003</v>
      </c>
      <c r="O38" s="23">
        <f>Test!E180</f>
        <v>42.039499999999997</v>
      </c>
      <c r="P38" s="23">
        <f>Test!F180</f>
        <v>28960.002</v>
      </c>
      <c r="Q38" s="23">
        <f>Test!G180</f>
        <v>5.5919999999999996</v>
      </c>
      <c r="R38" s="24">
        <f t="shared" si="9"/>
        <v>8.0444449999999996</v>
      </c>
      <c r="S38" s="17">
        <f t="shared" si="7"/>
        <v>0.97850829664152728</v>
      </c>
      <c r="T38" s="18">
        <f t="shared" si="7"/>
        <v>0.98589562764456984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Reference!B181</f>
        <v>3856.8928000000001</v>
      </c>
      <c r="E39" s="13">
        <f>Reference!C181</f>
        <v>40.522599999999997</v>
      </c>
      <c r="F39" s="13">
        <f>Reference!D181</f>
        <v>45.274700000000003</v>
      </c>
      <c r="G39" s="13">
        <f>Reference!E181</f>
        <v>46.122300000000003</v>
      </c>
      <c r="H39" s="13">
        <f>Reference!F181</f>
        <v>154672.07800000001</v>
      </c>
      <c r="I39" s="13">
        <f>Reference!G181</f>
        <v>15.018000000000001</v>
      </c>
      <c r="J39" s="14">
        <f t="shared" si="8"/>
        <v>42.964466111111115</v>
      </c>
      <c r="L39" s="12">
        <f>Test!B181</f>
        <v>3771.1792</v>
      </c>
      <c r="M39" s="13">
        <f>Test!C181</f>
        <v>40.532899999999998</v>
      </c>
      <c r="N39" s="13">
        <f>Test!D181</f>
        <v>45.254300000000001</v>
      </c>
      <c r="O39" s="13">
        <f>Test!E181</f>
        <v>46.063099999999999</v>
      </c>
      <c r="P39" s="13">
        <f>Test!F181</f>
        <v>151975.016</v>
      </c>
      <c r="Q39" s="13">
        <f>Test!G181</f>
        <v>14.920999999999999</v>
      </c>
      <c r="R39" s="14">
        <f t="shared" si="9"/>
        <v>42.215282222222221</v>
      </c>
      <c r="S39" s="17">
        <f t="shared" si="7"/>
        <v>0.98256270921762623</v>
      </c>
      <c r="T39" s="18">
        <f t="shared" si="7"/>
        <v>0.9935410840324943</v>
      </c>
      <c r="U39" s="91"/>
      <c r="V39" s="37">
        <f>bdrate($D39:$D42,E39:E42,$L39:$L42,M39:M42)</f>
        <v>-1.5707425055521695E-2</v>
      </c>
      <c r="W39" s="42">
        <f>bdrate($D39:$D42,F39:F42,$L39:$L42,N39:N42)</f>
        <v>-4.6064428985211903E-3</v>
      </c>
      <c r="X39" s="42">
        <f>bdrate($D39:$D42,G39:G42,$L39:$L42,O39:O42)</f>
        <v>-6.282909614111043E-3</v>
      </c>
      <c r="Y39" s="40">
        <f>bdrateOld($D39:$D42,E39:E42,$L39:$L42,M39:M42)</f>
        <v>-1.5658895265045603E-2</v>
      </c>
      <c r="Z39" s="44">
        <f>bdrateOld($D39:$D42,F39:F42,$L39:$L42,N39:N42)</f>
        <v>-4.4694089112586877E-3</v>
      </c>
      <c r="AA39" s="45">
        <f>bdrateOld($D39:$D42,G39:G42,$L39:$L42,O39:O42)</f>
        <v>-6.323219860924878E-3</v>
      </c>
    </row>
    <row r="40" spans="1:27" x14ac:dyDescent="0.35">
      <c r="A40" s="16"/>
      <c r="B40" s="85"/>
      <c r="C40" s="16">
        <v>32</v>
      </c>
      <c r="D40" s="17">
        <f>Reference!B182</f>
        <v>1752.1264000000001</v>
      </c>
      <c r="E40" s="18">
        <f>Reference!C182</f>
        <v>38.9011</v>
      </c>
      <c r="F40" s="18">
        <f>Reference!D182</f>
        <v>44.465800000000002</v>
      </c>
      <c r="G40" s="18">
        <f>Reference!E182</f>
        <v>44.581899999999997</v>
      </c>
      <c r="H40" s="18">
        <f>Reference!F182</f>
        <v>90416.804999999993</v>
      </c>
      <c r="I40" s="18">
        <f>Reference!G182</f>
        <v>12.539</v>
      </c>
      <c r="J40" s="19">
        <f t="shared" si="8"/>
        <v>25.115779166666666</v>
      </c>
      <c r="L40" s="17">
        <f>Test!B182</f>
        <v>1703.3807999999999</v>
      </c>
      <c r="M40" s="18">
        <f>Test!C182</f>
        <v>38.881700000000002</v>
      </c>
      <c r="N40" s="18">
        <f>Test!D182</f>
        <v>44.437399999999997</v>
      </c>
      <c r="O40" s="18">
        <f>Test!E182</f>
        <v>44.526400000000002</v>
      </c>
      <c r="P40" s="18">
        <f>Test!F182</f>
        <v>89355.797000000006</v>
      </c>
      <c r="Q40" s="18">
        <f>Test!G182</f>
        <v>11.941000000000001</v>
      </c>
      <c r="R40" s="19">
        <f t="shared" si="9"/>
        <v>24.821054722222225</v>
      </c>
      <c r="S40" s="17">
        <f t="shared" si="7"/>
        <v>0.98826536726220326</v>
      </c>
      <c r="T40" s="18">
        <f t="shared" si="7"/>
        <v>0.95230879655474931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Reference!B183</f>
        <v>838.48800000000006</v>
      </c>
      <c r="E41" s="18">
        <f>Reference!C183</f>
        <v>36.964300000000001</v>
      </c>
      <c r="F41" s="18">
        <f>Reference!D183</f>
        <v>43.447099999999999</v>
      </c>
      <c r="G41" s="18">
        <f>Reference!E183</f>
        <v>42.7881</v>
      </c>
      <c r="H41" s="18">
        <f>Reference!F183</f>
        <v>50956.379000000001</v>
      </c>
      <c r="I41" s="18">
        <f>Reference!G183</f>
        <v>9.5709999999999997</v>
      </c>
      <c r="J41" s="19">
        <f t="shared" si="8"/>
        <v>14.154549722222223</v>
      </c>
      <c r="L41" s="17">
        <f>Test!B183</f>
        <v>813.58879999999999</v>
      </c>
      <c r="M41" s="18">
        <f>Test!C183</f>
        <v>36.912100000000002</v>
      </c>
      <c r="N41" s="18">
        <f>Test!D183</f>
        <v>43.406599999999997</v>
      </c>
      <c r="O41" s="18">
        <f>Test!E183</f>
        <v>42.744700000000002</v>
      </c>
      <c r="P41" s="18">
        <f>Test!F183</f>
        <v>49850.688000000002</v>
      </c>
      <c r="Q41" s="18">
        <f>Test!G183</f>
        <v>8.8149999999999995</v>
      </c>
      <c r="R41" s="19">
        <f t="shared" si="9"/>
        <v>13.847413333333334</v>
      </c>
      <c r="S41" s="17">
        <f t="shared" si="7"/>
        <v>0.97830122505368766</v>
      </c>
      <c r="T41" s="18">
        <f t="shared" si="7"/>
        <v>0.92101138856963738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Reference!B184</f>
        <v>393.952</v>
      </c>
      <c r="E42" s="23">
        <f>Reference!C184</f>
        <v>34.745800000000003</v>
      </c>
      <c r="F42" s="23">
        <f>Reference!D184</f>
        <v>42.188699999999997</v>
      </c>
      <c r="G42" s="23">
        <f>Reference!E184</f>
        <v>40.735500000000002</v>
      </c>
      <c r="H42" s="23">
        <f>Reference!F184</f>
        <v>26480.48</v>
      </c>
      <c r="I42" s="23">
        <f>Reference!G184</f>
        <v>7.0869999999999997</v>
      </c>
      <c r="J42" s="24">
        <f t="shared" si="8"/>
        <v>7.3556888888888885</v>
      </c>
      <c r="L42" s="22">
        <f>Test!B184</f>
        <v>381.15359999999998</v>
      </c>
      <c r="M42" s="23">
        <f>Test!C184</f>
        <v>34.6753</v>
      </c>
      <c r="N42" s="23">
        <f>Test!D184</f>
        <v>42.148899999999998</v>
      </c>
      <c r="O42" s="23">
        <f>Test!E184</f>
        <v>40.6569</v>
      </c>
      <c r="P42" s="23">
        <f>Test!F184</f>
        <v>25988.396000000001</v>
      </c>
      <c r="Q42" s="23">
        <f>Test!G184</f>
        <v>7.1390000000000002</v>
      </c>
      <c r="R42" s="24">
        <f t="shared" si="9"/>
        <v>7.2189988888888887</v>
      </c>
      <c r="S42" s="17">
        <f t="shared" si="7"/>
        <v>0.98141710422167583</v>
      </c>
      <c r="T42" s="18">
        <f t="shared" si="7"/>
        <v>1.0073373782982926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Reference!B185</f>
        <v>958.8528</v>
      </c>
      <c r="E43" s="13">
        <f>Reference!C185</f>
        <v>42.993099999999998</v>
      </c>
      <c r="F43" s="13">
        <f>Reference!D185</f>
        <v>46.756900000000002</v>
      </c>
      <c r="G43" s="13">
        <f>Reference!E185</f>
        <v>47.552700000000002</v>
      </c>
      <c r="H43" s="13">
        <f>Reference!F185</f>
        <v>59932.383000000002</v>
      </c>
      <c r="I43" s="13">
        <f>Reference!G185</f>
        <v>7.9349999999999996</v>
      </c>
      <c r="J43" s="14">
        <f t="shared" si="8"/>
        <v>16.647884166666667</v>
      </c>
      <c r="L43" s="12">
        <f>Test!B185</f>
        <v>917.57759999999996</v>
      </c>
      <c r="M43" s="13">
        <f>Test!C185</f>
        <v>42.970300000000002</v>
      </c>
      <c r="N43" s="13">
        <f>Test!D185</f>
        <v>46.781399999999998</v>
      </c>
      <c r="O43" s="13">
        <f>Test!E185</f>
        <v>47.597499999999997</v>
      </c>
      <c r="P43" s="13">
        <f>Test!F185</f>
        <v>57858.34</v>
      </c>
      <c r="Q43" s="13">
        <f>Test!G185</f>
        <v>7.6779999999999999</v>
      </c>
      <c r="R43" s="14">
        <f t="shared" si="9"/>
        <v>16.071761111111112</v>
      </c>
      <c r="S43" s="17">
        <f t="shared" si="7"/>
        <v>0.96539361700334847</v>
      </c>
      <c r="T43" s="18">
        <f t="shared" si="7"/>
        <v>0.96761184625078767</v>
      </c>
      <c r="U43" s="91"/>
      <c r="V43" s="37">
        <f>bdrate($D43:$D46,E43:E46,$L43:$L46,M43:M46)</f>
        <v>-1.9083941639134405E-2</v>
      </c>
      <c r="W43" s="42">
        <f>bdrate($D43:$D46,F43:F46,$L43:$L46,N43:N46)</f>
        <v>-5.8129721920109678E-2</v>
      </c>
      <c r="X43" s="42">
        <f>bdrate($D43:$D46,G43:G46,$L43:$L46,O43:O46)</f>
        <v>-7.655176495935001E-2</v>
      </c>
      <c r="Y43" s="40">
        <f>bdrateOld($D43:$D46,E43:E46,$L43:$L46,M43:M46)</f>
        <v>-1.9154584366297689E-2</v>
      </c>
      <c r="Z43" s="44">
        <f>bdrateOld($D43:$D46,F43:F46,$L43:$L46,N43:N46)</f>
        <v>-5.7941180636170708E-2</v>
      </c>
      <c r="AA43" s="45">
        <f>bdrateOld($D43:$D46,G43:G46,$L43:$L46,O43:O46)</f>
        <v>-7.6511740228312308E-2</v>
      </c>
    </row>
    <row r="44" spans="1:27" x14ac:dyDescent="0.35">
      <c r="A44" s="16"/>
      <c r="B44" s="85"/>
      <c r="C44" s="16">
        <v>32</v>
      </c>
      <c r="D44" s="17">
        <f>Reference!B186</f>
        <v>490.2944</v>
      </c>
      <c r="E44" s="18">
        <f>Reference!C186</f>
        <v>41.365400000000001</v>
      </c>
      <c r="F44" s="18">
        <f>Reference!D186</f>
        <v>45.930100000000003</v>
      </c>
      <c r="G44" s="18">
        <f>Reference!E186</f>
        <v>46.506599999999999</v>
      </c>
      <c r="H44" s="18">
        <f>Reference!F186</f>
        <v>35471.762000000002</v>
      </c>
      <c r="I44" s="18">
        <f>Reference!G186</f>
        <v>5.6989999999999998</v>
      </c>
      <c r="J44" s="19">
        <f t="shared" si="8"/>
        <v>9.8532672222222235</v>
      </c>
      <c r="L44" s="17">
        <f>Test!B186</f>
        <v>468.22239999999999</v>
      </c>
      <c r="M44" s="18">
        <f>Test!C186</f>
        <v>41.296900000000001</v>
      </c>
      <c r="N44" s="18">
        <f>Test!D186</f>
        <v>45.950600000000001</v>
      </c>
      <c r="O44" s="18">
        <f>Test!E186</f>
        <v>46.571399999999997</v>
      </c>
      <c r="P44" s="18">
        <f>Test!F186</f>
        <v>34027.394999999997</v>
      </c>
      <c r="Q44" s="18">
        <f>Test!G186</f>
        <v>5.5</v>
      </c>
      <c r="R44" s="19">
        <f t="shared" si="9"/>
        <v>9.4520541666666666</v>
      </c>
      <c r="S44" s="17">
        <f t="shared" si="7"/>
        <v>0.95928121642223452</v>
      </c>
      <c r="T44" s="18">
        <f t="shared" si="7"/>
        <v>0.96508159326197585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Reference!B187</f>
        <v>261.99680000000001</v>
      </c>
      <c r="E45" s="18">
        <f>Reference!C187</f>
        <v>39.198399999999999</v>
      </c>
      <c r="F45" s="18">
        <f>Reference!D187</f>
        <v>44.691200000000002</v>
      </c>
      <c r="G45" s="18">
        <f>Reference!E187</f>
        <v>45.051299999999998</v>
      </c>
      <c r="H45" s="18">
        <f>Reference!F187</f>
        <v>20135.782999999999</v>
      </c>
      <c r="I45" s="18">
        <f>Reference!G187</f>
        <v>4.8109999999999999</v>
      </c>
      <c r="J45" s="19">
        <f t="shared" si="8"/>
        <v>5.5932730555555557</v>
      </c>
      <c r="L45" s="17">
        <f>Test!B187</f>
        <v>250.1952</v>
      </c>
      <c r="M45" s="18">
        <f>Test!C187</f>
        <v>39.0762</v>
      </c>
      <c r="N45" s="18">
        <f>Test!D187</f>
        <v>44.761800000000001</v>
      </c>
      <c r="O45" s="18">
        <f>Test!E187</f>
        <v>45.181800000000003</v>
      </c>
      <c r="P45" s="18">
        <f>Test!F187</f>
        <v>19982.282999999999</v>
      </c>
      <c r="Q45" s="18">
        <f>Test!G187</f>
        <v>4.6710000000000003</v>
      </c>
      <c r="R45" s="19">
        <f t="shared" si="9"/>
        <v>5.5506341666666668</v>
      </c>
      <c r="S45" s="17">
        <f t="shared" si="7"/>
        <v>0.99237675535140601</v>
      </c>
      <c r="T45" s="18">
        <f t="shared" si="7"/>
        <v>0.97090002078569948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Reference!B188</f>
        <v>142.51840000000001</v>
      </c>
      <c r="E46" s="23">
        <f>Reference!C188</f>
        <v>36.456200000000003</v>
      </c>
      <c r="F46" s="23">
        <f>Reference!D188</f>
        <v>43.139299999999999</v>
      </c>
      <c r="G46" s="23">
        <f>Reference!E188</f>
        <v>43.2943</v>
      </c>
      <c r="H46" s="23">
        <f>Reference!F188</f>
        <v>11749.114</v>
      </c>
      <c r="I46" s="23">
        <f>Reference!G188</f>
        <v>4.3550000000000004</v>
      </c>
      <c r="J46" s="24">
        <f t="shared" si="8"/>
        <v>3.2636427777777777</v>
      </c>
      <c r="L46" s="22">
        <f>Test!B188</f>
        <v>136.16480000000001</v>
      </c>
      <c r="M46" s="23">
        <f>Test!C188</f>
        <v>36.305399999999999</v>
      </c>
      <c r="N46" s="23">
        <f>Test!D188</f>
        <v>43.0002</v>
      </c>
      <c r="O46" s="23">
        <f>Test!E188</f>
        <v>43.238</v>
      </c>
      <c r="P46" s="23">
        <f>Test!F188</f>
        <v>11676.726000000001</v>
      </c>
      <c r="Q46" s="23">
        <f>Test!G188</f>
        <v>4.3639999999999999</v>
      </c>
      <c r="R46" s="24">
        <f t="shared" si="9"/>
        <v>3.2435350000000001</v>
      </c>
      <c r="S46" s="17">
        <f t="shared" si="7"/>
        <v>0.99383885457235333</v>
      </c>
      <c r="T46" s="18">
        <f t="shared" si="7"/>
        <v>1.0020665901262915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Reference!B189</f>
        <v>1336.0496000000001</v>
      </c>
      <c r="E47" s="13">
        <f>Reference!C189</f>
        <v>42.7179</v>
      </c>
      <c r="F47" s="13">
        <f>Reference!D189</f>
        <v>48.601199999999999</v>
      </c>
      <c r="G47" s="13">
        <f>Reference!E189</f>
        <v>47.652000000000001</v>
      </c>
      <c r="H47" s="13">
        <f>Reference!F189</f>
        <v>66374.718999999997</v>
      </c>
      <c r="I47" s="13">
        <f>Reference!G189</f>
        <v>8.4250000000000007</v>
      </c>
      <c r="J47" s="14">
        <f>H47/3600</f>
        <v>18.437421944444445</v>
      </c>
      <c r="L47" s="12">
        <f>Test!B189</f>
        <v>1257.5616</v>
      </c>
      <c r="M47" s="13">
        <f>Test!C189</f>
        <v>42.677999999999997</v>
      </c>
      <c r="N47" s="13">
        <f>Test!D189</f>
        <v>48.560400000000001</v>
      </c>
      <c r="O47" s="13">
        <f>Test!E189</f>
        <v>47.552300000000002</v>
      </c>
      <c r="P47" s="13">
        <f>Test!F189</f>
        <v>65129.141000000003</v>
      </c>
      <c r="Q47" s="13">
        <f>Test!G189</f>
        <v>8.7349999999999994</v>
      </c>
      <c r="R47" s="14">
        <f>P47/3600</f>
        <v>18.091428055555557</v>
      </c>
      <c r="S47" s="17">
        <f t="shared" ref="S47:T62" si="10">P47/H47</f>
        <v>0.98123415030954797</v>
      </c>
      <c r="T47" s="18">
        <f t="shared" si="10"/>
        <v>1.036795252225519</v>
      </c>
      <c r="U47" s="91"/>
      <c r="V47" s="37">
        <f>bdrate($D47:$D50,E47:E50,$L47:$L50,M47:M50)</f>
        <v>-2.42295602054865E-2</v>
      </c>
      <c r="W47" s="42">
        <f>bdrate($D47:$D50,F47:F50,$L47:$L50,N47:N50)</f>
        <v>-9.3990055358166957E-2</v>
      </c>
      <c r="X47" s="43">
        <f>bdrate($D47:$D50,G47:G50,$L47:$L50,O47:O50)</f>
        <v>-7.5691787255438125E-2</v>
      </c>
      <c r="Y47" s="37">
        <f>bdrateOld($D47:$D50,E47:E50,$L47:$L50,M47:M50)</f>
        <v>-2.4142989805737147E-2</v>
      </c>
      <c r="Z47" s="42">
        <f>bdrateOld($D47:$D50,F47:F50,$L47:$L50,N47:N50)</f>
        <v>-9.3875907475655773E-2</v>
      </c>
      <c r="AA47" s="43">
        <f>bdrateOld($D47:$D50,G47:G50,$L47:$L50,O47:O50)</f>
        <v>-6.6484289324612145E-2</v>
      </c>
    </row>
    <row r="48" spans="1:27" x14ac:dyDescent="0.35">
      <c r="A48" s="16"/>
      <c r="B48" s="85"/>
      <c r="C48" s="16">
        <v>32</v>
      </c>
      <c r="D48" s="17">
        <f>Reference!B190</f>
        <v>650.54079999999999</v>
      </c>
      <c r="E48" s="18">
        <f>Reference!C190</f>
        <v>41.020200000000003</v>
      </c>
      <c r="F48" s="18">
        <f>Reference!D190</f>
        <v>47.7761</v>
      </c>
      <c r="G48" s="18">
        <f>Reference!E190</f>
        <v>46.840800000000002</v>
      </c>
      <c r="H48" s="18">
        <f>Reference!F190</f>
        <v>38439.766000000003</v>
      </c>
      <c r="I48" s="18">
        <f>Reference!G190</f>
        <v>6.3040000000000003</v>
      </c>
      <c r="J48" s="19">
        <f t="shared" ref="J48:J70" si="11">H48/3600</f>
        <v>10.677712777777778</v>
      </c>
      <c r="L48" s="17">
        <f>Test!B190</f>
        <v>607.64160000000004</v>
      </c>
      <c r="M48" s="18">
        <f>Test!C190</f>
        <v>40.907299999999999</v>
      </c>
      <c r="N48" s="18">
        <f>Test!D190</f>
        <v>47.787500000000001</v>
      </c>
      <c r="O48" s="18">
        <f>Test!E190</f>
        <v>46.822699999999998</v>
      </c>
      <c r="P48" s="18">
        <f>Test!F190</f>
        <v>37047.129000000001</v>
      </c>
      <c r="Q48" s="18">
        <f>Test!G190</f>
        <v>6.1150000000000002</v>
      </c>
      <c r="R48" s="19">
        <f t="shared" ref="R48:R70" si="12">P48/3600</f>
        <v>10.290869166666667</v>
      </c>
      <c r="S48" s="17">
        <f t="shared" si="10"/>
        <v>0.96377092930274333</v>
      </c>
      <c r="T48" s="18">
        <f t="shared" si="10"/>
        <v>0.97001903553299496</v>
      </c>
      <c r="U48" s="91"/>
      <c r="V48" s="38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Reference!B191</f>
        <v>346.31200000000001</v>
      </c>
      <c r="E49" s="18">
        <f>Reference!C191</f>
        <v>38.745100000000001</v>
      </c>
      <c r="F49" s="18">
        <f>Reference!D191</f>
        <v>46.601199999999999</v>
      </c>
      <c r="G49" s="18">
        <f>Reference!E191</f>
        <v>45.368400000000001</v>
      </c>
      <c r="H49" s="18">
        <f>Reference!F191</f>
        <v>22142.578000000001</v>
      </c>
      <c r="I49" s="18">
        <f>Reference!G191</f>
        <v>5.0170000000000003</v>
      </c>
      <c r="J49" s="19">
        <f t="shared" si="11"/>
        <v>6.1507161111111115</v>
      </c>
      <c r="L49" s="17">
        <f>Test!B191</f>
        <v>322.9264</v>
      </c>
      <c r="M49" s="18">
        <f>Test!C191</f>
        <v>38.526400000000002</v>
      </c>
      <c r="N49" s="18">
        <f>Test!D191</f>
        <v>46.687600000000003</v>
      </c>
      <c r="O49" s="18">
        <f>Test!E191</f>
        <v>45.459800000000001</v>
      </c>
      <c r="P49" s="18">
        <f>Test!F191</f>
        <v>21884.697</v>
      </c>
      <c r="Q49" s="18">
        <f>Test!G191</f>
        <v>5.1760000000000002</v>
      </c>
      <c r="R49" s="19">
        <f t="shared" si="12"/>
        <v>6.0790825000000002</v>
      </c>
      <c r="S49" s="17">
        <f t="shared" si="10"/>
        <v>0.98835361447072689</v>
      </c>
      <c r="T49" s="18">
        <f t="shared" si="10"/>
        <v>1.0316922463623679</v>
      </c>
      <c r="U49" s="91"/>
      <c r="V49" s="38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Reference!B192</f>
        <v>189.2</v>
      </c>
      <c r="E50" s="23">
        <f>Reference!C192</f>
        <v>35.730200000000004</v>
      </c>
      <c r="F50" s="23">
        <f>Reference!D192</f>
        <v>44.9694</v>
      </c>
      <c r="G50" s="23">
        <f>Reference!E192</f>
        <v>43.404000000000003</v>
      </c>
      <c r="H50" s="23">
        <f>Reference!F192</f>
        <v>13790.1</v>
      </c>
      <c r="I50" s="23">
        <f>Reference!G192</f>
        <v>4.5549999999999997</v>
      </c>
      <c r="J50" s="24">
        <f t="shared" si="11"/>
        <v>3.8305833333333332</v>
      </c>
      <c r="L50" s="22">
        <f>Test!B192</f>
        <v>175.952</v>
      </c>
      <c r="M50" s="23">
        <f>Test!C192</f>
        <v>35.429900000000004</v>
      </c>
      <c r="N50" s="23">
        <f>Test!D192</f>
        <v>45.198999999999998</v>
      </c>
      <c r="O50" s="23">
        <f>Test!E192</f>
        <v>43.421599999999998</v>
      </c>
      <c r="P50" s="23">
        <f>Test!F192</f>
        <v>13473.629000000001</v>
      </c>
      <c r="Q50" s="23">
        <f>Test!G192</f>
        <v>4.57</v>
      </c>
      <c r="R50" s="24">
        <f t="shared" si="12"/>
        <v>3.7426747222222225</v>
      </c>
      <c r="S50" s="22">
        <f t="shared" si="10"/>
        <v>0.9770508553237468</v>
      </c>
      <c r="T50" s="23">
        <f t="shared" si="10"/>
        <v>1.0032930845225028</v>
      </c>
      <c r="U50" s="92"/>
      <c r="V50" s="39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>
        <f>GEOMEAN(I3:I18)</f>
        <v>19.770550118972896</v>
      </c>
      <c r="J75" s="15">
        <f>GEOMEAN(J3:J18)</f>
        <v>31.242391075208584</v>
      </c>
      <c r="Q75" s="15">
        <f>GEOMEAN(Q3:Q18)</f>
        <v>19.717864268274379</v>
      </c>
      <c r="R75" s="15">
        <f>GEOMEAN(R3:R18)</f>
        <v>30.837087160395441</v>
      </c>
      <c r="S75" s="15">
        <f>GEOMEAN(S3:S18)</f>
        <v>0.98702711601562543</v>
      </c>
      <c r="T75" s="15">
        <f>GEOMEAN(T3:T18)</f>
        <v>0.99733513481509273</v>
      </c>
      <c r="V75" s="37">
        <f>AVERAGE(V3:V18)</f>
        <v>-8.9674183118999551E-3</v>
      </c>
      <c r="W75" s="42">
        <f t="shared" ref="W75:AA75" si="17">AVERAGE(W3:W18)</f>
        <v>-1.2262310041718322E-2</v>
      </c>
      <c r="X75" s="42">
        <f t="shared" si="17"/>
        <v>-1.7306850061501761E-2</v>
      </c>
      <c r="Y75" s="37">
        <f>AVERAGE(Y3:Y18)</f>
        <v>-8.4217175927879528E-3</v>
      </c>
      <c r="Z75" s="42">
        <f t="shared" si="17"/>
        <v>-1.254778581064242E-2</v>
      </c>
      <c r="AA75" s="43">
        <f t="shared" si="17"/>
        <v>-1.6958755980443441E-2</v>
      </c>
    </row>
    <row r="76" spans="1:27" ht="12" x14ac:dyDescent="0.35">
      <c r="B76" s="89" t="s">
        <v>47</v>
      </c>
      <c r="I76" s="15">
        <f>GEOMEAN(I19:I34)</f>
        <v>23.215983956187028</v>
      </c>
      <c r="J76" s="15">
        <f>GEOMEAN(J19:J34)</f>
        <v>40.390826459326419</v>
      </c>
      <c r="Q76" s="15">
        <f>GEOMEAN(Q19:Q34)</f>
        <v>23.12966122984232</v>
      </c>
      <c r="R76" s="15">
        <f>GEOMEAN(R19:R34)</f>
        <v>39.773873944744608</v>
      </c>
      <c r="S76" s="15">
        <f>GEOMEAN(S19:S34)</f>
        <v>0.98472542979027455</v>
      </c>
      <c r="T76" s="15">
        <f>GEOMEAN(T19:T34)</f>
        <v>0.99628175456583634</v>
      </c>
      <c r="V76" s="38">
        <f>AVERAGE(V19:V34)</f>
        <v>-1.6382679874177575E-2</v>
      </c>
      <c r="W76" s="25">
        <f t="shared" ref="W76:AA76" si="18">AVERAGE(W19:W34)</f>
        <v>-1.4911470899741069E-2</v>
      </c>
      <c r="X76" s="25">
        <f t="shared" si="18"/>
        <v>-1.5110832606736402E-2</v>
      </c>
      <c r="Y76" s="38">
        <f t="shared" si="18"/>
        <v>-1.6136738510041687E-2</v>
      </c>
      <c r="Z76" s="25">
        <f t="shared" si="18"/>
        <v>-1.4931833516139553E-2</v>
      </c>
      <c r="AA76" s="50">
        <f t="shared" si="18"/>
        <v>-1.5392437217755128E-2</v>
      </c>
    </row>
    <row r="77" spans="1:27" ht="12" x14ac:dyDescent="0.35">
      <c r="B77" s="89" t="s">
        <v>51</v>
      </c>
      <c r="I77" s="15">
        <f>GEOMEAN(I35:I50)</f>
        <v>7.4963629999484374</v>
      </c>
      <c r="J77" s="15">
        <f>GEOMEAN(J35:J50)</f>
        <v>12.173416921350478</v>
      </c>
      <c r="Q77" s="15">
        <f>GEOMEAN(Q35:Q50)</f>
        <v>7.3577751265072875</v>
      </c>
      <c r="R77" s="15">
        <f>GEOMEAN(R35:R50)</f>
        <v>11.941343397301081</v>
      </c>
      <c r="S77" s="15">
        <f>GEOMEAN(S35:S50)</f>
        <v>0.98093604075595475</v>
      </c>
      <c r="T77" s="15">
        <f>GEOMEAN(T35:T50)</f>
        <v>0.98151265174297153</v>
      </c>
      <c r="V77" s="38">
        <f>AVERAGE(V35:V50)</f>
        <v>-1.8217593180060665E-2</v>
      </c>
      <c r="W77" s="25">
        <f t="shared" ref="W77:AA77" si="19">AVERAGE(W35:W50)</f>
        <v>-3.8797695101076668E-2</v>
      </c>
      <c r="X77" s="25">
        <f t="shared" si="19"/>
        <v>-4.9137390182102753E-2</v>
      </c>
      <c r="Y77" s="38">
        <f t="shared" si="19"/>
        <v>-1.8191628011452854E-2</v>
      </c>
      <c r="Z77" s="25">
        <f t="shared" si="19"/>
        <v>-3.8616283257250833E-2</v>
      </c>
      <c r="AA77" s="50">
        <f t="shared" si="19"/>
        <v>-4.6678179485386329E-2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15.096820304719344</v>
      </c>
      <c r="J80" s="54">
        <f xml:space="preserve"> GEOMEAN(J3:J50)</f>
        <v>24.858781289582385</v>
      </c>
      <c r="K80" s="4"/>
      <c r="L80" s="4"/>
      <c r="M80" s="4"/>
      <c r="N80" s="4"/>
      <c r="O80" s="4"/>
      <c r="P80" s="4"/>
      <c r="Q80" s="54">
        <f xml:space="preserve"> GEOMEAN(Q3:Q50)</f>
        <v>14.971266862000215</v>
      </c>
      <c r="R80" s="54">
        <f xml:space="preserve"> GEOMEAN(R3:R50)</f>
        <v>24.466666915345463</v>
      </c>
      <c r="S80" s="54">
        <f>GEOMEAN(S3:S50)</f>
        <v>0.9842263235003702</v>
      </c>
      <c r="T80" s="54">
        <f>GEOMEAN(T3:T50)</f>
        <v>0.99168345120463008</v>
      </c>
      <c r="U80" s="4"/>
      <c r="V80" s="41">
        <f>AVERAGE(V3:V50)</f>
        <v>-1.4522563788712731E-2</v>
      </c>
      <c r="W80" s="46">
        <f t="shared" ref="W80:AA80" si="23">AVERAGE(W3:W50)</f>
        <v>-2.1990492014178686E-2</v>
      </c>
      <c r="X80" s="47">
        <f t="shared" si="23"/>
        <v>-2.7185024283446973E-2</v>
      </c>
      <c r="Y80" s="46">
        <f t="shared" si="23"/>
        <v>-1.4250028038094165E-2</v>
      </c>
      <c r="Z80" s="46">
        <f t="shared" si="23"/>
        <v>-2.2031967528010937E-2</v>
      </c>
      <c r="AA80" s="47">
        <f t="shared" si="23"/>
        <v>-2.6343124227861631E-2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1.65" x14ac:dyDescent="0.35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" thickBot="1" x14ac:dyDescent="0.4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4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ht="12" x14ac:dyDescent="0.35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35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35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4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35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35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35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4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35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35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35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4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35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35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35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4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ht="12" x14ac:dyDescent="0.35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35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35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4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35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35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35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4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35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35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35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4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35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35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35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4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ht="12" x14ac:dyDescent="0.35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35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35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4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35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35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35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4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35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35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35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4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35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35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35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4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ht="12" x14ac:dyDescent="0.35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35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35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4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35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35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35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4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35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35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35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4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35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35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35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4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35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35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35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4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35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35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35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4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ht="12" x14ac:dyDescent="0.35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ht="12" x14ac:dyDescent="0.35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ht="12" x14ac:dyDescent="0.35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ht="12" x14ac:dyDescent="0.35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4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4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35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35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35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topLeftCell="A127" workbookViewId="0">
      <selection activeCell="B145" sqref="B145:G192"/>
    </sheetView>
  </sheetViews>
  <sheetFormatPr defaultColWidth="9" defaultRowHeight="15.75" x14ac:dyDescent="0.4"/>
  <cols>
    <col min="1" max="1" width="25" bestFit="1" customWidth="1"/>
    <col min="6" max="6" width="14" customWidth="1"/>
  </cols>
  <sheetData>
    <row r="1" spans="1:7" x14ac:dyDescent="0.4">
      <c r="A1" s="141" t="s">
        <v>190</v>
      </c>
      <c r="B1">
        <v>76977.924299999999</v>
      </c>
      <c r="C1">
        <v>40.813200000000002</v>
      </c>
      <c r="D1">
        <v>49.239899999999999</v>
      </c>
      <c r="E1">
        <v>47.741799999999998</v>
      </c>
      <c r="F1">
        <v>126306.484</v>
      </c>
      <c r="G1">
        <v>24.777999999999999</v>
      </c>
    </row>
    <row r="2" spans="1:7" x14ac:dyDescent="0.4">
      <c r="A2" s="141" t="s">
        <v>191</v>
      </c>
      <c r="B2">
        <v>41592.674599999998</v>
      </c>
      <c r="C2">
        <v>40.165199999999999</v>
      </c>
      <c r="D2">
        <v>48.546599999999998</v>
      </c>
      <c r="E2">
        <v>46.670299999999997</v>
      </c>
      <c r="F2">
        <v>70801.25</v>
      </c>
      <c r="G2">
        <v>22.263000000000002</v>
      </c>
    </row>
    <row r="3" spans="1:7" x14ac:dyDescent="0.4">
      <c r="A3" s="141" t="s">
        <v>192</v>
      </c>
      <c r="B3">
        <v>24882.694100000001</v>
      </c>
      <c r="C3">
        <v>39.441800000000001</v>
      </c>
      <c r="D3">
        <v>47.625700000000002</v>
      </c>
      <c r="E3">
        <v>45.378100000000003</v>
      </c>
      <c r="F3">
        <v>42545.887000000002</v>
      </c>
      <c r="G3">
        <v>19.888000000000002</v>
      </c>
    </row>
    <row r="4" spans="1:7" x14ac:dyDescent="0.4">
      <c r="A4" s="141" t="s">
        <v>193</v>
      </c>
      <c r="B4">
        <v>14204.938399999999</v>
      </c>
      <c r="C4">
        <v>38.231999999999999</v>
      </c>
      <c r="D4">
        <v>46.125</v>
      </c>
      <c r="E4">
        <v>43.594900000000003</v>
      </c>
      <c r="F4">
        <v>23813.493999999999</v>
      </c>
      <c r="G4">
        <v>18.36</v>
      </c>
    </row>
    <row r="5" spans="1:7" x14ac:dyDescent="0.4">
      <c r="A5" s="141" t="s">
        <v>194</v>
      </c>
      <c r="B5">
        <v>325287.90529999998</v>
      </c>
      <c r="C5">
        <v>44.789000000000001</v>
      </c>
      <c r="D5">
        <v>39.1554</v>
      </c>
      <c r="E5">
        <v>39.6539</v>
      </c>
      <c r="F5">
        <v>210831.609</v>
      </c>
      <c r="G5">
        <v>37.585000000000001</v>
      </c>
    </row>
    <row r="6" spans="1:7" x14ac:dyDescent="0.4">
      <c r="A6" s="141" t="s">
        <v>195</v>
      </c>
      <c r="B6">
        <v>207672.69469999999</v>
      </c>
      <c r="C6">
        <v>41.9998</v>
      </c>
      <c r="D6">
        <v>36.6599</v>
      </c>
      <c r="E6">
        <v>37.472900000000003</v>
      </c>
      <c r="F6">
        <v>164433.484</v>
      </c>
      <c r="G6">
        <v>33.835000000000001</v>
      </c>
    </row>
    <row r="7" spans="1:7" x14ac:dyDescent="0.4">
      <c r="A7" s="141" t="s">
        <v>196</v>
      </c>
      <c r="B7">
        <v>118796.5053</v>
      </c>
      <c r="C7">
        <v>38.742699999999999</v>
      </c>
      <c r="D7">
        <v>34.3947</v>
      </c>
      <c r="E7">
        <v>35.549900000000001</v>
      </c>
      <c r="F7">
        <v>122873.039</v>
      </c>
      <c r="G7">
        <v>28.763999999999999</v>
      </c>
    </row>
    <row r="8" spans="1:7" x14ac:dyDescent="0.4">
      <c r="A8" s="141" t="s">
        <v>197</v>
      </c>
      <c r="B8">
        <v>56180.410499999998</v>
      </c>
      <c r="C8">
        <v>35.255000000000003</v>
      </c>
      <c r="D8">
        <v>32.0319</v>
      </c>
      <c r="E8">
        <v>33.708199999999998</v>
      </c>
      <c r="F8">
        <v>80492.468999999997</v>
      </c>
      <c r="G8">
        <v>23.77</v>
      </c>
    </row>
    <row r="9" spans="1:7" x14ac:dyDescent="0.4">
      <c r="A9" s="141" t="s">
        <v>198</v>
      </c>
      <c r="B9">
        <v>125469.3726</v>
      </c>
      <c r="C9">
        <v>41.588299999999997</v>
      </c>
      <c r="D9">
        <v>44.0441</v>
      </c>
      <c r="E9">
        <v>42.918799999999997</v>
      </c>
      <c r="F9">
        <v>170395.31200000001</v>
      </c>
      <c r="G9">
        <v>32.226999999999997</v>
      </c>
    </row>
    <row r="10" spans="1:7" x14ac:dyDescent="0.4">
      <c r="A10" s="141" t="s">
        <v>199</v>
      </c>
      <c r="B10">
        <v>56447.065300000002</v>
      </c>
      <c r="C10">
        <v>38.893900000000002</v>
      </c>
      <c r="D10">
        <v>41.416600000000003</v>
      </c>
      <c r="E10">
        <v>41.7866</v>
      </c>
      <c r="F10">
        <v>118688.883</v>
      </c>
      <c r="G10">
        <v>24.643999999999998</v>
      </c>
    </row>
    <row r="11" spans="1:7" x14ac:dyDescent="0.4">
      <c r="A11" s="141" t="s">
        <v>200</v>
      </c>
      <c r="B11">
        <v>25580.4568</v>
      </c>
      <c r="C11">
        <v>37.319099999999999</v>
      </c>
      <c r="D11">
        <v>39.092700000000001</v>
      </c>
      <c r="E11">
        <v>40.7072</v>
      </c>
      <c r="F11">
        <v>68382.835999999996</v>
      </c>
      <c r="G11">
        <v>19.913</v>
      </c>
    </row>
    <row r="12" spans="1:7" x14ac:dyDescent="0.4">
      <c r="A12" s="141" t="s">
        <v>201</v>
      </c>
      <c r="B12">
        <v>12393.4547</v>
      </c>
      <c r="C12">
        <v>35.935499999999998</v>
      </c>
      <c r="D12">
        <v>36.371899999999997</v>
      </c>
      <c r="E12">
        <v>39.213099999999997</v>
      </c>
      <c r="F12">
        <v>37865.828000000001</v>
      </c>
      <c r="G12">
        <v>16.809999999999999</v>
      </c>
    </row>
    <row r="13" spans="1:7" x14ac:dyDescent="0.4">
      <c r="A13" s="141" t="s">
        <v>202</v>
      </c>
      <c r="B13">
        <v>178731.27160000001</v>
      </c>
      <c r="C13">
        <v>38.624600000000001</v>
      </c>
      <c r="D13">
        <v>45.663600000000002</v>
      </c>
      <c r="E13">
        <v>43.488300000000002</v>
      </c>
      <c r="F13">
        <v>203390.96900000001</v>
      </c>
      <c r="G13">
        <v>32.292999999999999</v>
      </c>
    </row>
    <row r="14" spans="1:7" x14ac:dyDescent="0.4">
      <c r="A14" s="141" t="s">
        <v>203</v>
      </c>
      <c r="B14">
        <v>87221.482099999994</v>
      </c>
      <c r="C14">
        <v>37.688000000000002</v>
      </c>
      <c r="D14">
        <v>44.792900000000003</v>
      </c>
      <c r="E14">
        <v>42.494500000000002</v>
      </c>
      <c r="F14">
        <v>125270.477</v>
      </c>
      <c r="G14">
        <v>25.164999999999999</v>
      </c>
    </row>
    <row r="15" spans="1:7" x14ac:dyDescent="0.4">
      <c r="A15" s="141" t="s">
        <v>204</v>
      </c>
      <c r="B15">
        <v>50211.498899999999</v>
      </c>
      <c r="C15">
        <v>36.772300000000001</v>
      </c>
      <c r="D15">
        <v>43.823500000000003</v>
      </c>
      <c r="E15">
        <v>41.475299999999997</v>
      </c>
      <c r="F15">
        <v>78406.218999999997</v>
      </c>
      <c r="G15">
        <v>21.780999999999999</v>
      </c>
    </row>
    <row r="16" spans="1:7" x14ac:dyDescent="0.4">
      <c r="A16" s="141" t="s">
        <v>205</v>
      </c>
      <c r="B16">
        <v>26556.858899999999</v>
      </c>
      <c r="C16">
        <v>35.277999999999999</v>
      </c>
      <c r="D16">
        <v>42.434199999999997</v>
      </c>
      <c r="E16">
        <v>40.212000000000003</v>
      </c>
      <c r="F16">
        <v>48871.800999999999</v>
      </c>
      <c r="G16">
        <v>19.443999999999999</v>
      </c>
    </row>
    <row r="17" spans="1:7" x14ac:dyDescent="0.4">
      <c r="A17" s="141" t="s">
        <v>94</v>
      </c>
      <c r="B17">
        <v>68145.206300000005</v>
      </c>
      <c r="C17">
        <v>39.584200000000003</v>
      </c>
      <c r="D17">
        <v>40.530099999999997</v>
      </c>
      <c r="E17">
        <v>43.541400000000003</v>
      </c>
      <c r="F17">
        <v>85833.781000000003</v>
      </c>
      <c r="G17">
        <v>15.492000000000001</v>
      </c>
    </row>
    <row r="18" spans="1:7" x14ac:dyDescent="0.4">
      <c r="A18" s="141" t="s">
        <v>95</v>
      </c>
      <c r="B18">
        <v>40656.685700000002</v>
      </c>
      <c r="C18">
        <v>37.9497</v>
      </c>
      <c r="D18">
        <v>39.5685</v>
      </c>
      <c r="E18">
        <v>42.1601</v>
      </c>
      <c r="F18">
        <v>64558.315999999999</v>
      </c>
      <c r="G18">
        <v>12.842000000000001</v>
      </c>
    </row>
    <row r="19" spans="1:7" x14ac:dyDescent="0.4">
      <c r="A19" s="141" t="s">
        <v>96</v>
      </c>
      <c r="B19">
        <v>23422.1587</v>
      </c>
      <c r="C19">
        <v>36.0366</v>
      </c>
      <c r="D19">
        <v>38.718000000000004</v>
      </c>
      <c r="E19">
        <v>40.772300000000001</v>
      </c>
      <c r="F19">
        <v>47807.883000000002</v>
      </c>
      <c r="G19">
        <v>10.89</v>
      </c>
    </row>
    <row r="20" spans="1:7" x14ac:dyDescent="0.4">
      <c r="A20" s="141" t="s">
        <v>97</v>
      </c>
      <c r="B20">
        <v>11937.263499999999</v>
      </c>
      <c r="C20">
        <v>33.559600000000003</v>
      </c>
      <c r="D20">
        <v>37.5291</v>
      </c>
      <c r="E20">
        <v>38.927399999999999</v>
      </c>
      <c r="F20">
        <v>32747.741999999998</v>
      </c>
      <c r="G20">
        <v>9.3629999999999995</v>
      </c>
    </row>
    <row r="21" spans="1:7" x14ac:dyDescent="0.4">
      <c r="A21" s="141" t="s">
        <v>98</v>
      </c>
      <c r="B21">
        <v>42866.1397</v>
      </c>
      <c r="C21">
        <v>40.217799999999997</v>
      </c>
      <c r="D21">
        <v>44.216799999999999</v>
      </c>
      <c r="E21">
        <v>45.6892</v>
      </c>
      <c r="F21">
        <v>76328.804999999993</v>
      </c>
      <c r="G21">
        <v>13.321999999999999</v>
      </c>
    </row>
    <row r="22" spans="1:7" x14ac:dyDescent="0.4">
      <c r="A22" s="141" t="s">
        <v>99</v>
      </c>
      <c r="B22">
        <v>23329.047600000002</v>
      </c>
      <c r="C22">
        <v>38.747300000000003</v>
      </c>
      <c r="D22">
        <v>43.260800000000003</v>
      </c>
      <c r="E22">
        <v>44.24</v>
      </c>
      <c r="F22">
        <v>53177.262000000002</v>
      </c>
      <c r="G22">
        <v>11.19</v>
      </c>
    </row>
    <row r="23" spans="1:7" x14ac:dyDescent="0.4">
      <c r="A23" s="141" t="s">
        <v>100</v>
      </c>
      <c r="B23">
        <v>13127.2</v>
      </c>
      <c r="C23">
        <v>37.303400000000003</v>
      </c>
      <c r="D23">
        <v>42.1843</v>
      </c>
      <c r="E23">
        <v>42.680999999999997</v>
      </c>
      <c r="F23">
        <v>35029.504000000001</v>
      </c>
      <c r="G23">
        <v>9.5050000000000008</v>
      </c>
    </row>
    <row r="24" spans="1:7" x14ac:dyDescent="0.4">
      <c r="A24" s="141" t="s">
        <v>101</v>
      </c>
      <c r="B24">
        <v>7008.4444000000003</v>
      </c>
      <c r="C24">
        <v>35.383400000000002</v>
      </c>
      <c r="D24">
        <v>40.682099999999998</v>
      </c>
      <c r="E24">
        <v>40.6584</v>
      </c>
      <c r="F24">
        <v>21554.113000000001</v>
      </c>
      <c r="G24">
        <v>8.1999999999999993</v>
      </c>
    </row>
    <row r="25" spans="1:7" x14ac:dyDescent="0.4">
      <c r="A25" s="141" t="s">
        <v>206</v>
      </c>
      <c r="B25">
        <v>65342.995199999998</v>
      </c>
      <c r="C25">
        <v>41.7637</v>
      </c>
      <c r="D25">
        <v>44.456600000000002</v>
      </c>
      <c r="E25">
        <v>45.168999999999997</v>
      </c>
      <c r="F25">
        <v>90372.008000000002</v>
      </c>
      <c r="G25">
        <v>16.248000000000001</v>
      </c>
    </row>
    <row r="26" spans="1:7" x14ac:dyDescent="0.4">
      <c r="A26" s="141" t="s">
        <v>207</v>
      </c>
      <c r="B26">
        <v>42100.703999999998</v>
      </c>
      <c r="C26">
        <v>39.957099999999997</v>
      </c>
      <c r="D26">
        <v>43.034700000000001</v>
      </c>
      <c r="E26">
        <v>43.925400000000003</v>
      </c>
      <c r="F26">
        <v>68296.054999999993</v>
      </c>
      <c r="G26">
        <v>14.271000000000001</v>
      </c>
    </row>
    <row r="27" spans="1:7" x14ac:dyDescent="0.4">
      <c r="A27" s="141" t="s">
        <v>208</v>
      </c>
      <c r="B27">
        <v>24764.7808</v>
      </c>
      <c r="C27">
        <v>37.729999999999997</v>
      </c>
      <c r="D27">
        <v>41.726300000000002</v>
      </c>
      <c r="E27">
        <v>42.641100000000002</v>
      </c>
      <c r="F27">
        <v>49855.336000000003</v>
      </c>
      <c r="G27">
        <v>12.176</v>
      </c>
    </row>
    <row r="28" spans="1:7" x14ac:dyDescent="0.4">
      <c r="A28" s="141" t="s">
        <v>209</v>
      </c>
      <c r="B28">
        <v>12509.376</v>
      </c>
      <c r="C28">
        <v>35.034100000000002</v>
      </c>
      <c r="D28">
        <v>40.157600000000002</v>
      </c>
      <c r="E28">
        <v>41.0137</v>
      </c>
      <c r="F28">
        <v>31850.826000000001</v>
      </c>
      <c r="G28">
        <v>10.554</v>
      </c>
    </row>
    <row r="29" spans="1:7" x14ac:dyDescent="0.4">
      <c r="A29" s="141" t="s">
        <v>210</v>
      </c>
      <c r="B29">
        <v>39885.868799999997</v>
      </c>
      <c r="C29">
        <v>44.966799999999999</v>
      </c>
      <c r="D29">
        <v>47.611699999999999</v>
      </c>
      <c r="E29">
        <v>48.335799999999999</v>
      </c>
      <c r="F29">
        <v>62446.156000000003</v>
      </c>
      <c r="G29">
        <v>14.507999999999999</v>
      </c>
    </row>
    <row r="30" spans="1:7" x14ac:dyDescent="0.4">
      <c r="A30" s="141" t="s">
        <v>211</v>
      </c>
      <c r="B30">
        <v>26300.729599999999</v>
      </c>
      <c r="C30">
        <v>42.801400000000001</v>
      </c>
      <c r="D30">
        <v>46.006599999999999</v>
      </c>
      <c r="E30">
        <v>46.540500000000002</v>
      </c>
      <c r="F30">
        <v>50035.633000000002</v>
      </c>
      <c r="G30">
        <v>12.776999999999999</v>
      </c>
    </row>
    <row r="31" spans="1:7" x14ac:dyDescent="0.4">
      <c r="A31" s="141" t="s">
        <v>212</v>
      </c>
      <c r="B31">
        <v>15577.062400000001</v>
      </c>
      <c r="C31">
        <v>40.109099999999998</v>
      </c>
      <c r="D31">
        <v>44.475200000000001</v>
      </c>
      <c r="E31">
        <v>44.719700000000003</v>
      </c>
      <c r="F31">
        <v>37083.195</v>
      </c>
      <c r="G31">
        <v>11.143000000000001</v>
      </c>
    </row>
    <row r="32" spans="1:7" x14ac:dyDescent="0.4">
      <c r="A32" s="141" t="s">
        <v>213</v>
      </c>
      <c r="B32">
        <v>8128.1535999999996</v>
      </c>
      <c r="C32">
        <v>37.033099999999997</v>
      </c>
      <c r="D32">
        <v>42.467399999999998</v>
      </c>
      <c r="E32">
        <v>42.491999999999997</v>
      </c>
      <c r="F32">
        <v>24071.43</v>
      </c>
      <c r="G32">
        <v>9.7279999999999998</v>
      </c>
    </row>
    <row r="33" spans="1:7" x14ac:dyDescent="0.4">
      <c r="A33" s="141" t="s">
        <v>102</v>
      </c>
      <c r="B33">
        <v>54311.891199999998</v>
      </c>
      <c r="C33">
        <v>41.7911</v>
      </c>
      <c r="D33">
        <v>46.079099999999997</v>
      </c>
      <c r="E33">
        <v>46.3795</v>
      </c>
      <c r="F33">
        <v>52484.445</v>
      </c>
      <c r="G33">
        <v>9.1669999999999998</v>
      </c>
    </row>
    <row r="34" spans="1:7" x14ac:dyDescent="0.4">
      <c r="A34" s="141" t="s">
        <v>103</v>
      </c>
      <c r="B34">
        <v>37097.670400000003</v>
      </c>
      <c r="C34">
        <v>38.857799999999997</v>
      </c>
      <c r="D34">
        <v>44.326300000000003</v>
      </c>
      <c r="E34">
        <v>44.656300000000002</v>
      </c>
      <c r="F34">
        <v>44976.464999999997</v>
      </c>
      <c r="G34">
        <v>8.0649999999999995</v>
      </c>
    </row>
    <row r="35" spans="1:7" x14ac:dyDescent="0.4">
      <c r="A35" s="141" t="s">
        <v>104</v>
      </c>
      <c r="B35">
        <v>22070.272000000001</v>
      </c>
      <c r="C35">
        <v>35.467799999999997</v>
      </c>
      <c r="D35">
        <v>42.880400000000002</v>
      </c>
      <c r="E35">
        <v>43.21</v>
      </c>
      <c r="F35">
        <v>36480.065999999999</v>
      </c>
      <c r="G35">
        <v>6.8390000000000004</v>
      </c>
    </row>
    <row r="36" spans="1:7" x14ac:dyDescent="0.4">
      <c r="A36" s="141" t="s">
        <v>105</v>
      </c>
      <c r="B36">
        <v>10883.468800000001</v>
      </c>
      <c r="C36">
        <v>31.8308</v>
      </c>
      <c r="D36">
        <v>41.508099999999999</v>
      </c>
      <c r="E36">
        <v>41.683300000000003</v>
      </c>
      <c r="F36">
        <v>25924.891</v>
      </c>
      <c r="G36">
        <v>5.4489999999999998</v>
      </c>
    </row>
    <row r="37" spans="1:7" x14ac:dyDescent="0.4">
      <c r="A37" s="141" t="s">
        <v>106</v>
      </c>
      <c r="B37">
        <v>20345.894400000001</v>
      </c>
      <c r="C37">
        <v>42.721299999999999</v>
      </c>
      <c r="D37">
        <v>45.483499999999999</v>
      </c>
      <c r="E37">
        <v>47.045699999999997</v>
      </c>
      <c r="F37">
        <v>34573.527000000002</v>
      </c>
      <c r="G37">
        <v>6.3310000000000004</v>
      </c>
    </row>
    <row r="38" spans="1:7" x14ac:dyDescent="0.4">
      <c r="A38" s="141" t="s">
        <v>107</v>
      </c>
      <c r="B38">
        <v>11544.6976</v>
      </c>
      <c r="C38">
        <v>40.692</v>
      </c>
      <c r="D38">
        <v>44.566499999999998</v>
      </c>
      <c r="E38">
        <v>45.411900000000003</v>
      </c>
      <c r="F38">
        <v>24981.219000000001</v>
      </c>
      <c r="G38">
        <v>5.3390000000000004</v>
      </c>
    </row>
    <row r="39" spans="1:7" x14ac:dyDescent="0.4">
      <c r="A39" s="141" t="s">
        <v>108</v>
      </c>
      <c r="B39">
        <v>6390.5856000000003</v>
      </c>
      <c r="C39">
        <v>38.687199999999997</v>
      </c>
      <c r="D39">
        <v>43.623100000000001</v>
      </c>
      <c r="E39">
        <v>43.628900000000002</v>
      </c>
      <c r="F39">
        <v>17156.363000000001</v>
      </c>
      <c r="G39">
        <v>4.8460000000000001</v>
      </c>
    </row>
    <row r="40" spans="1:7" x14ac:dyDescent="0.4">
      <c r="A40" s="141" t="s">
        <v>109</v>
      </c>
      <c r="B40">
        <v>3257.3760000000002</v>
      </c>
      <c r="C40">
        <v>36.308300000000003</v>
      </c>
      <c r="D40">
        <v>42.318100000000001</v>
      </c>
      <c r="E40">
        <v>41.470599999999997</v>
      </c>
      <c r="F40">
        <v>10689.63</v>
      </c>
      <c r="G40">
        <v>4.0170000000000003</v>
      </c>
    </row>
    <row r="41" spans="1:7" x14ac:dyDescent="0.4">
      <c r="A41" s="141" t="s">
        <v>110</v>
      </c>
      <c r="B41">
        <v>15254.316800000001</v>
      </c>
      <c r="C41">
        <v>44.251600000000003</v>
      </c>
      <c r="D41">
        <v>47.072600000000001</v>
      </c>
      <c r="E41">
        <v>47.968499999999999</v>
      </c>
      <c r="F41">
        <v>27545.645</v>
      </c>
      <c r="G41">
        <v>6.1420000000000003</v>
      </c>
    </row>
    <row r="42" spans="1:7" x14ac:dyDescent="0.4">
      <c r="A42" s="141" t="s">
        <v>111</v>
      </c>
      <c r="B42">
        <v>10340.563200000001</v>
      </c>
      <c r="C42">
        <v>42.521999999999998</v>
      </c>
      <c r="D42">
        <v>45.932099999999998</v>
      </c>
      <c r="E42">
        <v>46.647500000000001</v>
      </c>
      <c r="F42">
        <v>21533.053</v>
      </c>
      <c r="G42">
        <v>5.4619999999999997</v>
      </c>
    </row>
    <row r="43" spans="1:7" x14ac:dyDescent="0.4">
      <c r="A43" s="141" t="s">
        <v>112</v>
      </c>
      <c r="B43">
        <v>6521.3440000000001</v>
      </c>
      <c r="C43">
        <v>40.183799999999998</v>
      </c>
      <c r="D43">
        <v>44.602200000000003</v>
      </c>
      <c r="E43">
        <v>45.1096</v>
      </c>
      <c r="F43">
        <v>15882.450999999999</v>
      </c>
      <c r="G43">
        <v>4.8620000000000001</v>
      </c>
    </row>
    <row r="44" spans="1:7" x14ac:dyDescent="0.4">
      <c r="A44" s="141" t="s">
        <v>113</v>
      </c>
      <c r="B44">
        <v>3780.0511999999999</v>
      </c>
      <c r="C44">
        <v>37.201799999999999</v>
      </c>
      <c r="D44">
        <v>42.876100000000001</v>
      </c>
      <c r="E44">
        <v>43.076500000000003</v>
      </c>
      <c r="F44">
        <v>10810.636</v>
      </c>
      <c r="G44">
        <v>4.2249999999999996</v>
      </c>
    </row>
    <row r="45" spans="1:7" x14ac:dyDescent="0.4">
      <c r="A45" s="141" t="s">
        <v>114</v>
      </c>
      <c r="B45">
        <v>16541.024000000001</v>
      </c>
      <c r="C45">
        <v>44.197899999999997</v>
      </c>
      <c r="D45">
        <v>48.792700000000004</v>
      </c>
      <c r="E45">
        <v>48.464700000000001</v>
      </c>
      <c r="F45">
        <v>27634.607</v>
      </c>
      <c r="G45">
        <v>5.6909999999999998</v>
      </c>
    </row>
    <row r="46" spans="1:7" x14ac:dyDescent="0.4">
      <c r="A46" s="141" t="s">
        <v>115</v>
      </c>
      <c r="B46">
        <v>11481.785599999999</v>
      </c>
      <c r="C46">
        <v>42.458399999999997</v>
      </c>
      <c r="D46">
        <v>47.803199999999997</v>
      </c>
      <c r="E46">
        <v>46.982100000000003</v>
      </c>
      <c r="F46">
        <v>21886.168000000001</v>
      </c>
      <c r="G46">
        <v>5.1349999999999998</v>
      </c>
    </row>
    <row r="47" spans="1:7" x14ac:dyDescent="0.4">
      <c r="A47" s="141" t="s">
        <v>116</v>
      </c>
      <c r="B47">
        <v>7469.8047999999999</v>
      </c>
      <c r="C47">
        <v>40.0837</v>
      </c>
      <c r="D47">
        <v>46.613700000000001</v>
      </c>
      <c r="E47">
        <v>45.299399999999999</v>
      </c>
      <c r="F47">
        <v>16169.558000000001</v>
      </c>
      <c r="G47">
        <v>4.47</v>
      </c>
    </row>
    <row r="48" spans="1:7" x14ac:dyDescent="0.4">
      <c r="A48" s="141" t="s">
        <v>117</v>
      </c>
      <c r="B48">
        <v>4347.5328</v>
      </c>
      <c r="C48">
        <v>36.869</v>
      </c>
      <c r="D48">
        <v>44.725700000000003</v>
      </c>
      <c r="E48">
        <v>43.040999999999997</v>
      </c>
      <c r="F48">
        <v>11323.312</v>
      </c>
      <c r="G48">
        <v>3.9540000000000002</v>
      </c>
    </row>
    <row r="49" spans="1:1" x14ac:dyDescent="0.4">
      <c r="A49" s="141" t="s">
        <v>214</v>
      </c>
    </row>
    <row r="50" spans="1:1" x14ac:dyDescent="0.4">
      <c r="A50" s="141" t="s">
        <v>215</v>
      </c>
    </row>
    <row r="51" spans="1:1" x14ac:dyDescent="0.4">
      <c r="A51" s="141" t="s">
        <v>216</v>
      </c>
    </row>
    <row r="52" spans="1:1" x14ac:dyDescent="0.4">
      <c r="A52" s="141" t="s">
        <v>217</v>
      </c>
    </row>
    <row r="53" spans="1:1" x14ac:dyDescent="0.4">
      <c r="A53" s="141" t="s">
        <v>218</v>
      </c>
    </row>
    <row r="54" spans="1:1" x14ac:dyDescent="0.4">
      <c r="A54" s="141" t="s">
        <v>219</v>
      </c>
    </row>
    <row r="55" spans="1:1" x14ac:dyDescent="0.4">
      <c r="A55" s="141" t="s">
        <v>220</v>
      </c>
    </row>
    <row r="56" spans="1:1" x14ac:dyDescent="0.4">
      <c r="A56" s="141" t="s">
        <v>221</v>
      </c>
    </row>
    <row r="57" spans="1:1" x14ac:dyDescent="0.4">
      <c r="A57" s="141" t="s">
        <v>318</v>
      </c>
    </row>
    <row r="58" spans="1:1" x14ac:dyDescent="0.4">
      <c r="A58" s="141" t="s">
        <v>319</v>
      </c>
    </row>
    <row r="59" spans="1:1" x14ac:dyDescent="0.4">
      <c r="A59" s="141" t="s">
        <v>320</v>
      </c>
    </row>
    <row r="60" spans="1:1" x14ac:dyDescent="0.4">
      <c r="A60" s="141" t="s">
        <v>321</v>
      </c>
    </row>
    <row r="61" spans="1:1" x14ac:dyDescent="0.4">
      <c r="A61" s="141" t="s">
        <v>322</v>
      </c>
    </row>
    <row r="62" spans="1:1" x14ac:dyDescent="0.4">
      <c r="A62" s="141" t="s">
        <v>323</v>
      </c>
    </row>
    <row r="63" spans="1:1" x14ac:dyDescent="0.4">
      <c r="A63" s="141" t="s">
        <v>324</v>
      </c>
    </row>
    <row r="64" spans="1:1" x14ac:dyDescent="0.4">
      <c r="A64" s="141" t="s">
        <v>325</v>
      </c>
    </row>
    <row r="65" spans="1:7" x14ac:dyDescent="0.4">
      <c r="A65" s="141" t="s">
        <v>326</v>
      </c>
    </row>
    <row r="66" spans="1:7" x14ac:dyDescent="0.4">
      <c r="A66" s="141" t="s">
        <v>327</v>
      </c>
    </row>
    <row r="67" spans="1:7" x14ac:dyDescent="0.4">
      <c r="A67" s="141" t="s">
        <v>328</v>
      </c>
    </row>
    <row r="68" spans="1:7" x14ac:dyDescent="0.4">
      <c r="A68" s="141" t="s">
        <v>329</v>
      </c>
    </row>
    <row r="69" spans="1:7" x14ac:dyDescent="0.4">
      <c r="A69" s="141" t="s">
        <v>330</v>
      </c>
    </row>
    <row r="70" spans="1:7" x14ac:dyDescent="0.4">
      <c r="A70" s="141" t="s">
        <v>331</v>
      </c>
    </row>
    <row r="71" spans="1:7" x14ac:dyDescent="0.4">
      <c r="A71" s="141" t="s">
        <v>332</v>
      </c>
    </row>
    <row r="72" spans="1:7" x14ac:dyDescent="0.4">
      <c r="A72" s="141" t="s">
        <v>333</v>
      </c>
    </row>
    <row r="73" spans="1:7" x14ac:dyDescent="0.4">
      <c r="A73" s="141" t="s">
        <v>222</v>
      </c>
      <c r="B73">
        <v>14763.407999999999</v>
      </c>
      <c r="C73">
        <v>40.089300000000001</v>
      </c>
      <c r="D73">
        <v>49.062399999999997</v>
      </c>
      <c r="E73">
        <v>47.046599999999998</v>
      </c>
      <c r="F73">
        <v>366821.38400000002</v>
      </c>
      <c r="G73">
        <v>59.463999999999999</v>
      </c>
    </row>
    <row r="74" spans="1:7" x14ac:dyDescent="0.4">
      <c r="A74" s="141" t="s">
        <v>223</v>
      </c>
      <c r="B74">
        <v>6742.152</v>
      </c>
      <c r="C74">
        <v>39.597700000000003</v>
      </c>
      <c r="D74">
        <v>48.465000000000003</v>
      </c>
      <c r="E74">
        <v>46.137799999999999</v>
      </c>
      <c r="F74">
        <v>197570.022</v>
      </c>
      <c r="G74">
        <v>51.302999999999997</v>
      </c>
    </row>
    <row r="75" spans="1:7" x14ac:dyDescent="0.4">
      <c r="A75" s="141" t="s">
        <v>224</v>
      </c>
      <c r="B75">
        <v>3661.2</v>
      </c>
      <c r="C75">
        <v>38.757899999999999</v>
      </c>
      <c r="D75">
        <v>47.614699999999999</v>
      </c>
      <c r="E75">
        <v>44.914700000000003</v>
      </c>
      <c r="F75">
        <v>99339.097999999998</v>
      </c>
      <c r="G75">
        <v>45.55</v>
      </c>
    </row>
    <row r="76" spans="1:7" x14ac:dyDescent="0.4">
      <c r="A76" s="141" t="s">
        <v>225</v>
      </c>
      <c r="B76">
        <v>1935.9280000000001</v>
      </c>
      <c r="C76">
        <v>37.2669</v>
      </c>
      <c r="D76">
        <v>46.255899999999997</v>
      </c>
      <c r="E76">
        <v>43.153500000000001</v>
      </c>
      <c r="F76">
        <v>49165.866999999998</v>
      </c>
      <c r="G76">
        <v>40.576000000000001</v>
      </c>
    </row>
    <row r="77" spans="1:7" x14ac:dyDescent="0.4">
      <c r="A77" s="141" t="s">
        <v>226</v>
      </c>
      <c r="B77">
        <v>76259.063999999998</v>
      </c>
      <c r="C77">
        <v>41.668399999999998</v>
      </c>
      <c r="D77">
        <v>36.490900000000003</v>
      </c>
      <c r="E77">
        <v>37.620699999999999</v>
      </c>
      <c r="F77">
        <v>679587.41799999995</v>
      </c>
      <c r="G77">
        <v>64.613</v>
      </c>
    </row>
    <row r="78" spans="1:7" x14ac:dyDescent="0.4">
      <c r="A78" s="141" t="s">
        <v>227</v>
      </c>
      <c r="B78">
        <v>39371.923999999999</v>
      </c>
      <c r="C78">
        <v>39.066099999999999</v>
      </c>
      <c r="D78">
        <v>34.557499999999997</v>
      </c>
      <c r="E78">
        <v>35.960500000000003</v>
      </c>
      <c r="F78">
        <v>446824.17099999997</v>
      </c>
      <c r="G78">
        <v>58.262999999999998</v>
      </c>
    </row>
    <row r="79" spans="1:7" x14ac:dyDescent="0.4">
      <c r="A79" s="141" t="s">
        <v>228</v>
      </c>
      <c r="B79">
        <v>18909.2</v>
      </c>
      <c r="C79">
        <v>36.162399999999998</v>
      </c>
      <c r="D79">
        <v>32.9208</v>
      </c>
      <c r="E79">
        <v>34.591299999999997</v>
      </c>
      <c r="F79">
        <v>276631.65100000001</v>
      </c>
      <c r="G79">
        <v>50.966000000000001</v>
      </c>
    </row>
    <row r="80" spans="1:7" x14ac:dyDescent="0.4">
      <c r="A80" s="141" t="s">
        <v>229</v>
      </c>
      <c r="B80">
        <v>7794.5280000000002</v>
      </c>
      <c r="C80">
        <v>33.096699999999998</v>
      </c>
      <c r="D80">
        <v>31.262499999999999</v>
      </c>
      <c r="E80">
        <v>33.161900000000003</v>
      </c>
      <c r="F80">
        <v>154792.36600000001</v>
      </c>
      <c r="G80">
        <v>46.21</v>
      </c>
    </row>
    <row r="81" spans="1:7" x14ac:dyDescent="0.4">
      <c r="A81" s="141" t="s">
        <v>230</v>
      </c>
      <c r="B81">
        <v>38316.627999999997</v>
      </c>
      <c r="C81">
        <v>38.3215</v>
      </c>
      <c r="D81">
        <v>40.5062</v>
      </c>
      <c r="E81">
        <v>41.562199999999997</v>
      </c>
      <c r="F81">
        <v>384117.70799999998</v>
      </c>
      <c r="G81">
        <v>36.012</v>
      </c>
    </row>
    <row r="82" spans="1:7" x14ac:dyDescent="0.4">
      <c r="A82" s="141" t="s">
        <v>231</v>
      </c>
      <c r="B82">
        <v>18782.304</v>
      </c>
      <c r="C82">
        <v>37.213900000000002</v>
      </c>
      <c r="D82">
        <v>37.963700000000003</v>
      </c>
      <c r="E82">
        <v>40.341999999999999</v>
      </c>
      <c r="F82">
        <v>235891.51800000001</v>
      </c>
      <c r="G82">
        <v>29.952999999999999</v>
      </c>
    </row>
    <row r="83" spans="1:7" x14ac:dyDescent="0.4">
      <c r="A83" s="141" t="s">
        <v>232</v>
      </c>
      <c r="B83">
        <v>9297.36</v>
      </c>
      <c r="C83">
        <v>35.853099999999998</v>
      </c>
      <c r="D83">
        <v>35.748100000000001</v>
      </c>
      <c r="E83">
        <v>39.033000000000001</v>
      </c>
      <c r="F83">
        <v>138531.068</v>
      </c>
      <c r="G83">
        <v>26.038</v>
      </c>
    </row>
    <row r="84" spans="1:7" x14ac:dyDescent="0.4">
      <c r="A84" s="141" t="s">
        <v>233</v>
      </c>
      <c r="B84">
        <v>4706.5280000000002</v>
      </c>
      <c r="C84">
        <v>34.017699999999998</v>
      </c>
      <c r="D84">
        <v>33.844099999999997</v>
      </c>
      <c r="E84">
        <v>37.481499999999997</v>
      </c>
      <c r="F84">
        <v>79946.664000000004</v>
      </c>
      <c r="G84">
        <v>23.048999999999999</v>
      </c>
    </row>
    <row r="85" spans="1:7" x14ac:dyDescent="0.4">
      <c r="A85" s="141" t="s">
        <v>234</v>
      </c>
      <c r="B85">
        <v>26744.02</v>
      </c>
      <c r="C85">
        <v>37.641500000000001</v>
      </c>
      <c r="D85">
        <v>45.340699999999998</v>
      </c>
      <c r="E85">
        <v>43.0276</v>
      </c>
      <c r="F85">
        <v>522695.538</v>
      </c>
      <c r="G85">
        <v>60.942</v>
      </c>
    </row>
    <row r="86" spans="1:7" x14ac:dyDescent="0.4">
      <c r="A86" s="141" t="s">
        <v>235</v>
      </c>
      <c r="B86">
        <v>9177.2559999999994</v>
      </c>
      <c r="C86">
        <v>37.090800000000002</v>
      </c>
      <c r="D86">
        <v>44.7547</v>
      </c>
      <c r="E86">
        <v>42.399500000000003</v>
      </c>
      <c r="F86">
        <v>275787.71100000001</v>
      </c>
      <c r="G86">
        <v>52.319000000000003</v>
      </c>
    </row>
    <row r="87" spans="1:7" x14ac:dyDescent="0.4">
      <c r="A87" s="141" t="s">
        <v>236</v>
      </c>
      <c r="B87">
        <v>4542.576</v>
      </c>
      <c r="C87">
        <v>36.246299999999998</v>
      </c>
      <c r="D87">
        <v>43.987499999999997</v>
      </c>
      <c r="E87">
        <v>41.611499999999999</v>
      </c>
      <c r="F87">
        <v>140878.163</v>
      </c>
      <c r="G87">
        <v>43.274999999999999</v>
      </c>
    </row>
    <row r="88" spans="1:7" x14ac:dyDescent="0.4">
      <c r="A88" s="141" t="s">
        <v>237</v>
      </c>
      <c r="B88">
        <v>2200.288</v>
      </c>
      <c r="C88">
        <v>34.799199999999999</v>
      </c>
      <c r="D88">
        <v>42.677999999999997</v>
      </c>
      <c r="E88">
        <v>40.433100000000003</v>
      </c>
      <c r="F88">
        <v>67644.524999999994</v>
      </c>
      <c r="G88">
        <v>37.088000000000001</v>
      </c>
    </row>
    <row r="89" spans="1:7" x14ac:dyDescent="0.4">
      <c r="A89" s="141" t="s">
        <v>118</v>
      </c>
      <c r="B89">
        <v>9844.6759999999995</v>
      </c>
      <c r="C89">
        <v>38.017699999999998</v>
      </c>
      <c r="D89">
        <v>39.849800000000002</v>
      </c>
      <c r="E89">
        <v>43.371600000000001</v>
      </c>
      <c r="F89">
        <v>114609.334</v>
      </c>
      <c r="G89">
        <v>12.637</v>
      </c>
    </row>
    <row r="90" spans="1:7" x14ac:dyDescent="0.4">
      <c r="A90" s="141" t="s">
        <v>119</v>
      </c>
      <c r="B90">
        <v>4577.9960000000001</v>
      </c>
      <c r="C90">
        <v>36.927700000000002</v>
      </c>
      <c r="D90">
        <v>39.351199999999999</v>
      </c>
      <c r="E90">
        <v>42.241799999999998</v>
      </c>
      <c r="F90">
        <v>70311.585000000006</v>
      </c>
      <c r="G90">
        <v>10.747</v>
      </c>
    </row>
    <row r="91" spans="1:7" x14ac:dyDescent="0.4">
      <c r="A91" s="141" t="s">
        <v>120</v>
      </c>
      <c r="B91">
        <v>2330.8200000000002</v>
      </c>
      <c r="C91">
        <v>35.383299999999998</v>
      </c>
      <c r="D91">
        <v>38.738799999999998</v>
      </c>
      <c r="E91">
        <v>40.959800000000001</v>
      </c>
      <c r="F91">
        <v>39916.529000000002</v>
      </c>
      <c r="G91">
        <v>8.9049999999999994</v>
      </c>
    </row>
    <row r="92" spans="1:7" x14ac:dyDescent="0.4">
      <c r="A92" s="141" t="s">
        <v>121</v>
      </c>
      <c r="B92">
        <v>1115.3520000000001</v>
      </c>
      <c r="C92">
        <v>33.19</v>
      </c>
      <c r="D92">
        <v>37.696599999999997</v>
      </c>
      <c r="E92">
        <v>39.2089</v>
      </c>
      <c r="F92">
        <v>21791.995999999999</v>
      </c>
      <c r="G92">
        <v>8.0239999999999991</v>
      </c>
    </row>
    <row r="93" spans="1:7" x14ac:dyDescent="0.4">
      <c r="A93" s="141" t="s">
        <v>122</v>
      </c>
      <c r="B93">
        <v>8681.732</v>
      </c>
      <c r="C93">
        <v>38.9527</v>
      </c>
      <c r="D93">
        <v>44.057099999999998</v>
      </c>
      <c r="E93">
        <v>45.224200000000003</v>
      </c>
      <c r="F93">
        <v>121415.514</v>
      </c>
      <c r="G93">
        <v>13.441000000000001</v>
      </c>
    </row>
    <row r="94" spans="1:7" x14ac:dyDescent="0.4">
      <c r="A94" s="141" t="s">
        <v>123</v>
      </c>
      <c r="B94">
        <v>4333.5519999999997</v>
      </c>
      <c r="C94">
        <v>37.9238</v>
      </c>
      <c r="D94">
        <v>43.206899999999997</v>
      </c>
      <c r="E94">
        <v>43.7624</v>
      </c>
      <c r="F94">
        <v>75152.356</v>
      </c>
      <c r="G94">
        <v>11.381</v>
      </c>
    </row>
    <row r="95" spans="1:7" x14ac:dyDescent="0.4">
      <c r="A95" s="141" t="s">
        <v>124</v>
      </c>
      <c r="B95">
        <v>2209.8200000000002</v>
      </c>
      <c r="C95">
        <v>36.4313</v>
      </c>
      <c r="D95">
        <v>42.2012</v>
      </c>
      <c r="E95">
        <v>42.212299999999999</v>
      </c>
      <c r="F95">
        <v>41659.635999999999</v>
      </c>
      <c r="G95">
        <v>9.8339999999999996</v>
      </c>
    </row>
    <row r="96" spans="1:7" x14ac:dyDescent="0.4">
      <c r="A96" s="141" t="s">
        <v>125</v>
      </c>
      <c r="B96">
        <v>1085.9480000000001</v>
      </c>
      <c r="C96">
        <v>34.369900000000001</v>
      </c>
      <c r="D96">
        <v>40.806199999999997</v>
      </c>
      <c r="E96">
        <v>40.295699999999997</v>
      </c>
      <c r="F96">
        <v>22437.027999999998</v>
      </c>
      <c r="G96">
        <v>8.5020000000000007</v>
      </c>
    </row>
    <row r="97" spans="1:7" x14ac:dyDescent="0.4">
      <c r="A97" s="141" t="s">
        <v>238</v>
      </c>
      <c r="B97">
        <v>6800.92</v>
      </c>
      <c r="C97">
        <v>39.707900000000002</v>
      </c>
      <c r="D97">
        <v>43.904499999999999</v>
      </c>
      <c r="E97">
        <v>45.047899999999998</v>
      </c>
      <c r="F97">
        <v>111715.72900000001</v>
      </c>
      <c r="G97">
        <v>13.504</v>
      </c>
    </row>
    <row r="98" spans="1:7" x14ac:dyDescent="0.4">
      <c r="A98" s="141" t="s">
        <v>239</v>
      </c>
      <c r="B98">
        <v>3230.7</v>
      </c>
      <c r="C98">
        <v>38.563000000000002</v>
      </c>
      <c r="D98">
        <v>43.1477</v>
      </c>
      <c r="E98">
        <v>44.365200000000002</v>
      </c>
      <c r="F98">
        <v>67172.410999999993</v>
      </c>
      <c r="G98">
        <v>11.651999999999999</v>
      </c>
    </row>
    <row r="99" spans="1:7" x14ac:dyDescent="0.4">
      <c r="A99" s="141" t="s">
        <v>240</v>
      </c>
      <c r="B99">
        <v>1555.912</v>
      </c>
      <c r="C99">
        <v>36.895099999999999</v>
      </c>
      <c r="D99">
        <v>42.293199999999999</v>
      </c>
      <c r="E99">
        <v>43.479199999999999</v>
      </c>
      <c r="F99">
        <v>35723.650999999998</v>
      </c>
      <c r="G99">
        <v>9.7210000000000001</v>
      </c>
    </row>
    <row r="100" spans="1:7" x14ac:dyDescent="0.4">
      <c r="A100" s="141" t="s">
        <v>241</v>
      </c>
      <c r="B100">
        <v>702.90800000000002</v>
      </c>
      <c r="C100">
        <v>34.664200000000001</v>
      </c>
      <c r="D100">
        <v>40.995899999999999</v>
      </c>
      <c r="E100">
        <v>42.131700000000002</v>
      </c>
      <c r="F100">
        <v>18092.179</v>
      </c>
      <c r="G100">
        <v>8.8469999999999995</v>
      </c>
    </row>
    <row r="101" spans="1:7" x14ac:dyDescent="0.4">
      <c r="A101" s="141" t="s">
        <v>242</v>
      </c>
      <c r="B101">
        <v>5630.64</v>
      </c>
      <c r="C101">
        <v>44.932899999999997</v>
      </c>
      <c r="D101">
        <v>47.741199999999999</v>
      </c>
      <c r="E101">
        <v>48.540799999999997</v>
      </c>
      <c r="F101">
        <v>86230.822</v>
      </c>
      <c r="G101">
        <v>13.483000000000001</v>
      </c>
    </row>
    <row r="102" spans="1:7" x14ac:dyDescent="0.4">
      <c r="A102" s="141" t="s">
        <v>243</v>
      </c>
      <c r="B102">
        <v>3453.0520000000001</v>
      </c>
      <c r="C102">
        <v>42.690100000000001</v>
      </c>
      <c r="D102">
        <v>46.180599999999998</v>
      </c>
      <c r="E102">
        <v>46.751600000000003</v>
      </c>
      <c r="F102">
        <v>58015.894999999997</v>
      </c>
      <c r="G102">
        <v>12.11</v>
      </c>
    </row>
    <row r="103" spans="1:7" x14ac:dyDescent="0.4">
      <c r="A103" s="141" t="s">
        <v>244</v>
      </c>
      <c r="B103">
        <v>1931.944</v>
      </c>
      <c r="C103">
        <v>39.8782</v>
      </c>
      <c r="D103">
        <v>44.638800000000003</v>
      </c>
      <c r="E103">
        <v>44.979100000000003</v>
      </c>
      <c r="F103">
        <v>36158.737000000001</v>
      </c>
      <c r="G103">
        <v>10.662000000000001</v>
      </c>
    </row>
    <row r="104" spans="1:7" x14ac:dyDescent="0.4">
      <c r="A104" s="141" t="s">
        <v>245</v>
      </c>
      <c r="B104">
        <v>985.77200000000005</v>
      </c>
      <c r="C104">
        <v>36.700600000000001</v>
      </c>
      <c r="D104">
        <v>42.816800000000001</v>
      </c>
      <c r="E104">
        <v>42.8962</v>
      </c>
      <c r="F104">
        <v>20317.983</v>
      </c>
      <c r="G104">
        <v>8.9</v>
      </c>
    </row>
    <row r="105" spans="1:7" x14ac:dyDescent="0.4">
      <c r="A105" s="141" t="s">
        <v>126</v>
      </c>
      <c r="B105">
        <v>4138.4319999999998</v>
      </c>
      <c r="C105">
        <v>38.619799999999998</v>
      </c>
      <c r="D105">
        <v>46.238199999999999</v>
      </c>
      <c r="E105">
        <v>46.437199999999997</v>
      </c>
      <c r="F105">
        <v>53627.192999999999</v>
      </c>
      <c r="G105">
        <v>5.5739999999999998</v>
      </c>
    </row>
    <row r="106" spans="1:7" x14ac:dyDescent="0.4">
      <c r="A106" s="141" t="s">
        <v>127</v>
      </c>
      <c r="B106">
        <v>1802.72</v>
      </c>
      <c r="C106">
        <v>37.117199999999997</v>
      </c>
      <c r="D106">
        <v>45.167000000000002</v>
      </c>
      <c r="E106">
        <v>45.365200000000002</v>
      </c>
      <c r="F106">
        <v>28804.276000000002</v>
      </c>
      <c r="G106">
        <v>4.4640000000000004</v>
      </c>
    </row>
    <row r="107" spans="1:7" x14ac:dyDescent="0.4">
      <c r="A107" s="141" t="s">
        <v>128</v>
      </c>
      <c r="B107">
        <v>848.88800000000003</v>
      </c>
      <c r="C107">
        <v>35.169400000000003</v>
      </c>
      <c r="D107">
        <v>43.891199999999998</v>
      </c>
      <c r="E107">
        <v>44.170400000000001</v>
      </c>
      <c r="F107">
        <v>15663.921</v>
      </c>
      <c r="G107">
        <v>3.8180000000000001</v>
      </c>
    </row>
    <row r="108" spans="1:7" x14ac:dyDescent="0.4">
      <c r="A108" s="141" t="s">
        <v>129</v>
      </c>
      <c r="B108">
        <v>402.17200000000003</v>
      </c>
      <c r="C108">
        <v>32.494399999999999</v>
      </c>
      <c r="D108">
        <v>42.176699999999997</v>
      </c>
      <c r="E108">
        <v>42.419600000000003</v>
      </c>
      <c r="F108">
        <v>8015.5649999999996</v>
      </c>
      <c r="G108">
        <v>3.2469999999999999</v>
      </c>
    </row>
    <row r="109" spans="1:7" x14ac:dyDescent="0.4">
      <c r="A109" s="141" t="s">
        <v>130</v>
      </c>
      <c r="B109">
        <v>2461.5079999999998</v>
      </c>
      <c r="C109">
        <v>40.6524</v>
      </c>
      <c r="D109">
        <v>46.1462</v>
      </c>
      <c r="E109">
        <v>47.343200000000003</v>
      </c>
      <c r="F109">
        <v>42456.999000000003</v>
      </c>
      <c r="G109">
        <v>5.4</v>
      </c>
    </row>
    <row r="110" spans="1:7" x14ac:dyDescent="0.4">
      <c r="A110" s="141" t="s">
        <v>131</v>
      </c>
      <c r="B110">
        <v>1112.212</v>
      </c>
      <c r="C110">
        <v>39.526699999999998</v>
      </c>
      <c r="D110">
        <v>45.580599999999997</v>
      </c>
      <c r="E110">
        <v>46.042200000000001</v>
      </c>
      <c r="F110">
        <v>23403.623</v>
      </c>
      <c r="G110">
        <v>4.7130000000000001</v>
      </c>
    </row>
    <row r="111" spans="1:7" x14ac:dyDescent="0.4">
      <c r="A111" s="141" t="s">
        <v>132</v>
      </c>
      <c r="B111">
        <v>525.67600000000004</v>
      </c>
      <c r="C111">
        <v>37.983499999999999</v>
      </c>
      <c r="D111">
        <v>44.839799999999997</v>
      </c>
      <c r="E111">
        <v>44.5533</v>
      </c>
      <c r="F111">
        <v>12181.304</v>
      </c>
      <c r="G111">
        <v>4.0170000000000003</v>
      </c>
    </row>
    <row r="112" spans="1:7" x14ac:dyDescent="0.4">
      <c r="A112" s="141" t="s">
        <v>133</v>
      </c>
      <c r="B112">
        <v>238.37200000000001</v>
      </c>
      <c r="C112">
        <v>35.9026</v>
      </c>
      <c r="D112">
        <v>43.616100000000003</v>
      </c>
      <c r="E112">
        <v>42.4711</v>
      </c>
      <c r="F112">
        <v>6030.1270000000004</v>
      </c>
      <c r="G112">
        <v>3.5209999999999999</v>
      </c>
    </row>
    <row r="113" spans="1:7" x14ac:dyDescent="0.4">
      <c r="A113" s="141" t="s">
        <v>134</v>
      </c>
      <c r="B113">
        <v>942.22799999999995</v>
      </c>
      <c r="C113">
        <v>43.558599999999998</v>
      </c>
      <c r="D113">
        <v>47.289900000000003</v>
      </c>
      <c r="E113">
        <v>48.281300000000002</v>
      </c>
      <c r="F113">
        <v>18775.862000000001</v>
      </c>
      <c r="G113">
        <v>3.9460000000000002</v>
      </c>
    </row>
    <row r="114" spans="1:7" x14ac:dyDescent="0.4">
      <c r="A114" s="141" t="s">
        <v>135</v>
      </c>
      <c r="B114">
        <v>516.41600000000005</v>
      </c>
      <c r="C114">
        <v>42.304600000000001</v>
      </c>
      <c r="D114">
        <v>46.505899999999997</v>
      </c>
      <c r="E114">
        <v>47.3</v>
      </c>
      <c r="F114">
        <v>10639.919</v>
      </c>
      <c r="G114">
        <v>3.6480000000000001</v>
      </c>
    </row>
    <row r="115" spans="1:7" x14ac:dyDescent="0.4">
      <c r="A115" s="141" t="s">
        <v>136</v>
      </c>
      <c r="B115">
        <v>295.61200000000002</v>
      </c>
      <c r="C115">
        <v>40.546199999999999</v>
      </c>
      <c r="D115">
        <v>45.524500000000003</v>
      </c>
      <c r="E115">
        <v>46.107900000000001</v>
      </c>
      <c r="F115">
        <v>5954.9470000000001</v>
      </c>
      <c r="G115">
        <v>3.5670000000000002</v>
      </c>
    </row>
    <row r="116" spans="1:7" x14ac:dyDescent="0.4">
      <c r="A116" s="141" t="s">
        <v>137</v>
      </c>
      <c r="B116">
        <v>165.3</v>
      </c>
      <c r="C116">
        <v>38.006300000000003</v>
      </c>
      <c r="D116">
        <v>43.829700000000003</v>
      </c>
      <c r="E116">
        <v>44.186300000000003</v>
      </c>
      <c r="F116">
        <v>3502.3180000000002</v>
      </c>
      <c r="G116">
        <v>3.4710000000000001</v>
      </c>
    </row>
    <row r="117" spans="1:7" x14ac:dyDescent="0.4">
      <c r="A117" s="141" t="s">
        <v>138</v>
      </c>
      <c r="B117">
        <v>1314.42</v>
      </c>
      <c r="C117">
        <v>42.926600000000001</v>
      </c>
      <c r="D117">
        <v>49.058700000000002</v>
      </c>
      <c r="E117">
        <v>48.747799999999998</v>
      </c>
      <c r="F117">
        <v>21340.274000000001</v>
      </c>
      <c r="G117">
        <v>3.9820000000000002</v>
      </c>
    </row>
    <row r="118" spans="1:7" x14ac:dyDescent="0.4">
      <c r="A118" s="141" t="s">
        <v>139</v>
      </c>
      <c r="B118">
        <v>711.84799999999996</v>
      </c>
      <c r="C118">
        <v>41.689300000000003</v>
      </c>
      <c r="D118">
        <v>48.258400000000002</v>
      </c>
      <c r="E118">
        <v>47.74</v>
      </c>
      <c r="F118">
        <v>12180.382</v>
      </c>
      <c r="G118">
        <v>3.601</v>
      </c>
    </row>
    <row r="119" spans="1:7" x14ac:dyDescent="0.4">
      <c r="A119" s="141" t="s">
        <v>140</v>
      </c>
      <c r="B119">
        <v>404.79199999999997</v>
      </c>
      <c r="C119">
        <v>39.8538</v>
      </c>
      <c r="D119">
        <v>47.148899999999998</v>
      </c>
      <c r="E119">
        <v>46.288499999999999</v>
      </c>
      <c r="F119">
        <v>7221.7550000000001</v>
      </c>
      <c r="G119">
        <v>3.5630000000000002</v>
      </c>
    </row>
    <row r="120" spans="1:7" x14ac:dyDescent="0.4">
      <c r="A120" s="141" t="s">
        <v>141</v>
      </c>
      <c r="B120">
        <v>225.93199999999999</v>
      </c>
      <c r="C120">
        <v>37.163400000000003</v>
      </c>
      <c r="D120">
        <v>45.773499999999999</v>
      </c>
      <c r="E120">
        <v>44.056100000000001</v>
      </c>
      <c r="F120">
        <v>4160.5519999999997</v>
      </c>
      <c r="G120">
        <v>3.3490000000000002</v>
      </c>
    </row>
    <row r="121" spans="1:7" x14ac:dyDescent="0.4">
      <c r="A121" s="141" t="s">
        <v>246</v>
      </c>
    </row>
    <row r="122" spans="1:7" x14ac:dyDescent="0.4">
      <c r="A122" s="141" t="s">
        <v>247</v>
      </c>
    </row>
    <row r="123" spans="1:7" x14ac:dyDescent="0.4">
      <c r="A123" s="141" t="s">
        <v>248</v>
      </c>
    </row>
    <row r="124" spans="1:7" x14ac:dyDescent="0.4">
      <c r="A124" s="141" t="s">
        <v>249</v>
      </c>
    </row>
    <row r="125" spans="1:7" x14ac:dyDescent="0.4">
      <c r="A125" s="141" t="s">
        <v>250</v>
      </c>
    </row>
    <row r="126" spans="1:7" x14ac:dyDescent="0.4">
      <c r="A126" s="141" t="s">
        <v>251</v>
      </c>
    </row>
    <row r="127" spans="1:7" x14ac:dyDescent="0.4">
      <c r="A127" s="141" t="s">
        <v>252</v>
      </c>
    </row>
    <row r="128" spans="1:7" x14ac:dyDescent="0.4">
      <c r="A128" s="141" t="s">
        <v>253</v>
      </c>
    </row>
    <row r="129" spans="1:1" x14ac:dyDescent="0.4">
      <c r="A129" s="141" t="s">
        <v>334</v>
      </c>
    </row>
    <row r="130" spans="1:1" x14ac:dyDescent="0.4">
      <c r="A130" s="141" t="s">
        <v>335</v>
      </c>
    </row>
    <row r="131" spans="1:1" x14ac:dyDescent="0.4">
      <c r="A131" s="141" t="s">
        <v>336</v>
      </c>
    </row>
    <row r="132" spans="1:1" x14ac:dyDescent="0.4">
      <c r="A132" s="141" t="s">
        <v>337</v>
      </c>
    </row>
    <row r="133" spans="1:1" x14ac:dyDescent="0.4">
      <c r="A133" s="141" t="s">
        <v>338</v>
      </c>
    </row>
    <row r="134" spans="1:1" x14ac:dyDescent="0.4">
      <c r="A134" s="141" t="s">
        <v>339</v>
      </c>
    </row>
    <row r="135" spans="1:1" x14ac:dyDescent="0.4">
      <c r="A135" s="141" t="s">
        <v>340</v>
      </c>
    </row>
    <row r="136" spans="1:1" x14ac:dyDescent="0.4">
      <c r="A136" s="141" t="s">
        <v>341</v>
      </c>
    </row>
    <row r="137" spans="1:1" x14ac:dyDescent="0.4">
      <c r="A137" s="141" t="s">
        <v>342</v>
      </c>
    </row>
    <row r="138" spans="1:1" x14ac:dyDescent="0.4">
      <c r="A138" s="141" t="s">
        <v>343</v>
      </c>
    </row>
    <row r="139" spans="1:1" x14ac:dyDescent="0.4">
      <c r="A139" s="141" t="s">
        <v>344</v>
      </c>
    </row>
    <row r="140" spans="1:1" x14ac:dyDescent="0.4">
      <c r="A140" s="141" t="s">
        <v>345</v>
      </c>
    </row>
    <row r="141" spans="1:1" x14ac:dyDescent="0.4">
      <c r="A141" s="141" t="s">
        <v>346</v>
      </c>
    </row>
    <row r="142" spans="1:1" x14ac:dyDescent="0.4">
      <c r="A142" s="141" t="s">
        <v>347</v>
      </c>
    </row>
    <row r="143" spans="1:1" x14ac:dyDescent="0.4">
      <c r="A143" s="141" t="s">
        <v>348</v>
      </c>
    </row>
    <row r="144" spans="1:1" x14ac:dyDescent="0.4">
      <c r="A144" s="141" t="s">
        <v>349</v>
      </c>
    </row>
    <row r="145" spans="1:7" x14ac:dyDescent="0.4">
      <c r="A145" s="141" t="s">
        <v>254</v>
      </c>
      <c r="B145">
        <v>16800.727999999999</v>
      </c>
      <c r="C145">
        <v>40.163800000000002</v>
      </c>
      <c r="D145">
        <v>48.757199999999997</v>
      </c>
      <c r="E145">
        <v>46.677900000000001</v>
      </c>
      <c r="F145">
        <v>208636.984</v>
      </c>
      <c r="G145">
        <v>28.577000000000002</v>
      </c>
    </row>
    <row r="146" spans="1:7" x14ac:dyDescent="0.4">
      <c r="A146" s="141" t="s">
        <v>255</v>
      </c>
      <c r="B146">
        <v>8418.1440000000002</v>
      </c>
      <c r="C146">
        <v>39.5563</v>
      </c>
      <c r="D146">
        <v>47.9377</v>
      </c>
      <c r="E146">
        <v>45.532499999999999</v>
      </c>
      <c r="F146">
        <v>114819.469</v>
      </c>
      <c r="G146">
        <v>24.527999999999999</v>
      </c>
    </row>
    <row r="147" spans="1:7" x14ac:dyDescent="0.4">
      <c r="A147" s="141" t="s">
        <v>256</v>
      </c>
      <c r="B147">
        <v>4599.76</v>
      </c>
      <c r="C147">
        <v>38.561700000000002</v>
      </c>
      <c r="D147">
        <v>46.8902</v>
      </c>
      <c r="E147">
        <v>44.153399999999998</v>
      </c>
      <c r="F147">
        <v>60627.565999999999</v>
      </c>
      <c r="G147">
        <v>21.425000000000001</v>
      </c>
    </row>
    <row r="148" spans="1:7" x14ac:dyDescent="0.4">
      <c r="A148" s="141" t="s">
        <v>257</v>
      </c>
      <c r="B148">
        <v>2495.7759999999998</v>
      </c>
      <c r="C148">
        <v>37.010899999999999</v>
      </c>
      <c r="D148">
        <v>45.453499999999998</v>
      </c>
      <c r="E148">
        <v>42.488500000000002</v>
      </c>
      <c r="F148">
        <v>31465.893</v>
      </c>
      <c r="G148">
        <v>17.669</v>
      </c>
    </row>
    <row r="149" spans="1:7" x14ac:dyDescent="0.4">
      <c r="A149" s="141" t="s">
        <v>258</v>
      </c>
      <c r="B149">
        <v>91793.728000000003</v>
      </c>
      <c r="C149">
        <v>41.755600000000001</v>
      </c>
      <c r="D149">
        <v>36.713799999999999</v>
      </c>
      <c r="E149">
        <v>37.714500000000001</v>
      </c>
      <c r="F149">
        <v>365463.25</v>
      </c>
      <c r="G149">
        <v>30.574999999999999</v>
      </c>
    </row>
    <row r="150" spans="1:7" x14ac:dyDescent="0.4">
      <c r="A150" s="141" t="s">
        <v>259</v>
      </c>
      <c r="B150">
        <v>46961.735999999997</v>
      </c>
      <c r="C150">
        <v>38.959899999999998</v>
      </c>
      <c r="D150">
        <v>34.424399999999999</v>
      </c>
      <c r="E150">
        <v>35.789900000000003</v>
      </c>
      <c r="F150">
        <v>249458.82800000001</v>
      </c>
      <c r="G150">
        <v>25.664999999999999</v>
      </c>
    </row>
    <row r="151" spans="1:7" x14ac:dyDescent="0.4">
      <c r="A151" s="141" t="s">
        <v>260</v>
      </c>
      <c r="B151">
        <v>21795.151999999998</v>
      </c>
      <c r="C151">
        <v>35.851900000000001</v>
      </c>
      <c r="D151">
        <v>32.499899999999997</v>
      </c>
      <c r="E151">
        <v>34.174999999999997</v>
      </c>
      <c r="F151">
        <v>163005.81200000001</v>
      </c>
      <c r="G151">
        <v>23.324000000000002</v>
      </c>
    </row>
    <row r="152" spans="1:7" x14ac:dyDescent="0.4">
      <c r="A152" s="141" t="s">
        <v>261</v>
      </c>
      <c r="B152">
        <v>9183.6720000000005</v>
      </c>
      <c r="C152">
        <v>32.822299999999998</v>
      </c>
      <c r="D152">
        <v>30.793500000000002</v>
      </c>
      <c r="E152">
        <v>32.807299999999998</v>
      </c>
      <c r="F152">
        <v>91742.133000000002</v>
      </c>
      <c r="G152">
        <v>18.951000000000001</v>
      </c>
    </row>
    <row r="153" spans="1:7" x14ac:dyDescent="0.4">
      <c r="A153" s="141" t="s">
        <v>262</v>
      </c>
      <c r="B153">
        <v>46670.584000000003</v>
      </c>
      <c r="C153">
        <v>38.933199999999999</v>
      </c>
      <c r="D153">
        <v>41.298999999999999</v>
      </c>
      <c r="E153">
        <v>41.524799999999999</v>
      </c>
      <c r="F153">
        <v>193211.391</v>
      </c>
      <c r="G153">
        <v>19.385000000000002</v>
      </c>
    </row>
    <row r="154" spans="1:7" x14ac:dyDescent="0.4">
      <c r="A154" s="141" t="s">
        <v>263</v>
      </c>
      <c r="B154">
        <v>22977.288</v>
      </c>
      <c r="C154">
        <v>37.563800000000001</v>
      </c>
      <c r="D154">
        <v>38.728499999999997</v>
      </c>
      <c r="E154">
        <v>40.136200000000002</v>
      </c>
      <c r="F154">
        <v>119168.94500000001</v>
      </c>
      <c r="G154">
        <v>14.209</v>
      </c>
    </row>
    <row r="155" spans="1:7" x14ac:dyDescent="0.4">
      <c r="A155" s="141" t="s">
        <v>264</v>
      </c>
      <c r="B155">
        <v>11945.72</v>
      </c>
      <c r="C155">
        <v>36.014400000000002</v>
      </c>
      <c r="D155">
        <v>36.494100000000003</v>
      </c>
      <c r="E155">
        <v>38.707500000000003</v>
      </c>
      <c r="F155">
        <v>74148.585999999996</v>
      </c>
      <c r="G155">
        <v>11.849</v>
      </c>
    </row>
    <row r="156" spans="1:7" x14ac:dyDescent="0.4">
      <c r="A156" s="141" t="s">
        <v>265</v>
      </c>
      <c r="B156">
        <v>5886.8720000000003</v>
      </c>
      <c r="C156">
        <v>34.104599999999998</v>
      </c>
      <c r="D156">
        <v>34.057299999999998</v>
      </c>
      <c r="E156">
        <v>36.954599999999999</v>
      </c>
      <c r="F156">
        <v>43638.688000000002</v>
      </c>
      <c r="G156">
        <v>10.759</v>
      </c>
    </row>
    <row r="157" spans="1:7" x14ac:dyDescent="0.4">
      <c r="A157" s="141" t="s">
        <v>266</v>
      </c>
      <c r="B157">
        <v>24349.439999999999</v>
      </c>
      <c r="C157">
        <v>37.537700000000001</v>
      </c>
      <c r="D157">
        <v>45.0259</v>
      </c>
      <c r="E157">
        <v>42.779000000000003</v>
      </c>
      <c r="F157">
        <v>277737.56199999998</v>
      </c>
      <c r="G157">
        <v>27.452000000000002</v>
      </c>
    </row>
    <row r="158" spans="1:7" x14ac:dyDescent="0.4">
      <c r="A158" s="141" t="s">
        <v>267</v>
      </c>
      <c r="B158">
        <v>10282.208000000001</v>
      </c>
      <c r="C158">
        <v>36.9009</v>
      </c>
      <c r="D158">
        <v>44.352600000000002</v>
      </c>
      <c r="E158">
        <v>42.046399999999998</v>
      </c>
      <c r="F158">
        <v>152437.25</v>
      </c>
      <c r="G158">
        <v>22.835000000000001</v>
      </c>
    </row>
    <row r="159" spans="1:7" x14ac:dyDescent="0.4">
      <c r="A159" s="141" t="s">
        <v>268</v>
      </c>
      <c r="B159">
        <v>5160.8559999999998</v>
      </c>
      <c r="C159">
        <v>35.883699999999997</v>
      </c>
      <c r="D159">
        <v>43.427100000000003</v>
      </c>
      <c r="E159">
        <v>41.083500000000001</v>
      </c>
      <c r="F159">
        <v>81555.858999999997</v>
      </c>
      <c r="G159">
        <v>18.581</v>
      </c>
    </row>
    <row r="160" spans="1:7" x14ac:dyDescent="0.4">
      <c r="A160" s="141" t="s">
        <v>269</v>
      </c>
      <c r="B160">
        <v>2569.96</v>
      </c>
      <c r="C160">
        <v>34.305500000000002</v>
      </c>
      <c r="D160">
        <v>42.134399999999999</v>
      </c>
      <c r="E160">
        <v>39.943300000000001</v>
      </c>
      <c r="F160">
        <v>40913.387000000002</v>
      </c>
      <c r="G160">
        <v>14.475</v>
      </c>
    </row>
    <row r="161" spans="1:7" x14ac:dyDescent="0.4">
      <c r="A161" s="141" t="s">
        <v>142</v>
      </c>
      <c r="B161">
        <v>8039.9759999999997</v>
      </c>
      <c r="C161">
        <v>38.011200000000002</v>
      </c>
      <c r="D161">
        <v>39.738300000000002</v>
      </c>
      <c r="E161">
        <v>42.842700000000001</v>
      </c>
      <c r="F161">
        <v>321360.15600000002</v>
      </c>
      <c r="G161">
        <v>26.683</v>
      </c>
    </row>
    <row r="162" spans="1:7" x14ac:dyDescent="0.4">
      <c r="A162" s="141" t="s">
        <v>143</v>
      </c>
      <c r="B162">
        <v>3824.2303999999999</v>
      </c>
      <c r="C162">
        <v>36.673099999999998</v>
      </c>
      <c r="D162">
        <v>39.110999999999997</v>
      </c>
      <c r="E162">
        <v>41.689399999999999</v>
      </c>
      <c r="F162">
        <v>197218.20300000001</v>
      </c>
      <c r="G162">
        <v>21.96</v>
      </c>
    </row>
    <row r="163" spans="1:7" x14ac:dyDescent="0.4">
      <c r="A163" s="141" t="s">
        <v>144</v>
      </c>
      <c r="B163">
        <v>1876.3456000000001</v>
      </c>
      <c r="C163">
        <v>34.838299999999997</v>
      </c>
      <c r="D163">
        <v>38.301000000000002</v>
      </c>
      <c r="E163">
        <v>40.186199999999999</v>
      </c>
      <c r="F163">
        <v>116984.44500000001</v>
      </c>
      <c r="G163">
        <v>17.068000000000001</v>
      </c>
    </row>
    <row r="164" spans="1:7" x14ac:dyDescent="0.4">
      <c r="A164" s="141" t="s">
        <v>145</v>
      </c>
      <c r="B164">
        <v>898.83360000000005</v>
      </c>
      <c r="C164">
        <v>32.534999999999997</v>
      </c>
      <c r="D164">
        <v>37.257899999999999</v>
      </c>
      <c r="E164">
        <v>38.508000000000003</v>
      </c>
      <c r="F164">
        <v>67617.968999999997</v>
      </c>
      <c r="G164">
        <v>13.291</v>
      </c>
    </row>
    <row r="165" spans="1:7" x14ac:dyDescent="0.4">
      <c r="A165" s="141" t="s">
        <v>146</v>
      </c>
      <c r="B165">
        <v>9378.9567999999999</v>
      </c>
      <c r="C165">
        <v>38.738999999999997</v>
      </c>
      <c r="D165">
        <v>43.691099999999999</v>
      </c>
      <c r="E165">
        <v>44.6389</v>
      </c>
      <c r="F165">
        <v>347890.40600000002</v>
      </c>
      <c r="G165">
        <v>31.283000000000001</v>
      </c>
    </row>
    <row r="166" spans="1:7" x14ac:dyDescent="0.4">
      <c r="A166" s="141" t="s">
        <v>147</v>
      </c>
      <c r="B166">
        <v>4792.84</v>
      </c>
      <c r="C166">
        <v>37.513399999999997</v>
      </c>
      <c r="D166">
        <v>42.715699999999998</v>
      </c>
      <c r="E166">
        <v>43.136000000000003</v>
      </c>
      <c r="F166">
        <v>216368.79699999999</v>
      </c>
      <c r="G166">
        <v>26.914000000000001</v>
      </c>
    </row>
    <row r="167" spans="1:7" x14ac:dyDescent="0.4">
      <c r="A167" s="141" t="s">
        <v>148</v>
      </c>
      <c r="B167">
        <v>2441.6608000000001</v>
      </c>
      <c r="C167">
        <v>35.833399999999997</v>
      </c>
      <c r="D167">
        <v>41.480400000000003</v>
      </c>
      <c r="E167">
        <v>41.3949</v>
      </c>
      <c r="F167">
        <v>129258.352</v>
      </c>
      <c r="G167">
        <v>22.349</v>
      </c>
    </row>
    <row r="168" spans="1:7" x14ac:dyDescent="0.4">
      <c r="A168" s="141" t="s">
        <v>149</v>
      </c>
      <c r="B168">
        <v>1215.0192</v>
      </c>
      <c r="C168">
        <v>33.751199999999997</v>
      </c>
      <c r="D168">
        <v>40.075000000000003</v>
      </c>
      <c r="E168">
        <v>39.457700000000003</v>
      </c>
      <c r="F168">
        <v>71552.883000000002</v>
      </c>
      <c r="G168">
        <v>18.079999999999998</v>
      </c>
    </row>
    <row r="169" spans="1:7" x14ac:dyDescent="0.4">
      <c r="A169" s="141" t="s">
        <v>270</v>
      </c>
      <c r="B169">
        <v>6406.8015999999998</v>
      </c>
      <c r="C169">
        <v>39.8367</v>
      </c>
      <c r="D169">
        <v>43.800800000000002</v>
      </c>
      <c r="E169">
        <v>44.497999999999998</v>
      </c>
      <c r="F169">
        <v>311967.28100000002</v>
      </c>
      <c r="G169">
        <v>33.17</v>
      </c>
    </row>
    <row r="170" spans="1:7" x14ac:dyDescent="0.4">
      <c r="A170" s="141" t="s">
        <v>271</v>
      </c>
      <c r="B170">
        <v>3059.96</v>
      </c>
      <c r="C170">
        <v>38.539200000000001</v>
      </c>
      <c r="D170">
        <v>42.923999999999999</v>
      </c>
      <c r="E170">
        <v>43.644599999999997</v>
      </c>
      <c r="F170">
        <v>179985.125</v>
      </c>
      <c r="G170">
        <v>27.050999999999998</v>
      </c>
    </row>
    <row r="171" spans="1:7" x14ac:dyDescent="0.4">
      <c r="A171" s="141" t="s">
        <v>272</v>
      </c>
      <c r="B171">
        <v>1476.2672</v>
      </c>
      <c r="C171">
        <v>36.7239</v>
      </c>
      <c r="D171">
        <v>41.8048</v>
      </c>
      <c r="E171">
        <v>42.381100000000004</v>
      </c>
      <c r="F171">
        <v>100214.891</v>
      </c>
      <c r="G171">
        <v>20.154</v>
      </c>
    </row>
    <row r="172" spans="1:7" x14ac:dyDescent="0.4">
      <c r="A172" s="141" t="s">
        <v>273</v>
      </c>
      <c r="B172">
        <v>694.14559999999994</v>
      </c>
      <c r="C172">
        <v>34.430700000000002</v>
      </c>
      <c r="D172">
        <v>40.651000000000003</v>
      </c>
      <c r="E172">
        <v>40.988500000000002</v>
      </c>
      <c r="F172">
        <v>53408.086000000003</v>
      </c>
      <c r="G172">
        <v>16.992999999999999</v>
      </c>
    </row>
    <row r="173" spans="1:7" x14ac:dyDescent="0.4">
      <c r="A173" s="141" t="s">
        <v>274</v>
      </c>
      <c r="B173">
        <v>6793.9920000000002</v>
      </c>
      <c r="C173">
        <v>43.3842</v>
      </c>
      <c r="D173">
        <v>46.746200000000002</v>
      </c>
      <c r="E173">
        <v>47.341999999999999</v>
      </c>
      <c r="F173">
        <v>265504.625</v>
      </c>
      <c r="G173">
        <v>34.515000000000001</v>
      </c>
    </row>
    <row r="174" spans="1:7" x14ac:dyDescent="0.4">
      <c r="A174" s="141" t="s">
        <v>275</v>
      </c>
      <c r="B174">
        <v>4147.8559999999998</v>
      </c>
      <c r="C174">
        <v>41.066099999999999</v>
      </c>
      <c r="D174">
        <v>45.288400000000003</v>
      </c>
      <c r="E174">
        <v>45.682499999999997</v>
      </c>
      <c r="F174">
        <v>185583.92199999999</v>
      </c>
      <c r="G174">
        <v>30.748999999999999</v>
      </c>
    </row>
    <row r="175" spans="1:7" x14ac:dyDescent="0.4">
      <c r="A175" s="141" t="s">
        <v>276</v>
      </c>
      <c r="B175">
        <v>2298.3247999999999</v>
      </c>
      <c r="C175">
        <v>38.274700000000003</v>
      </c>
      <c r="D175">
        <v>43.639299999999999</v>
      </c>
      <c r="E175">
        <v>43.821800000000003</v>
      </c>
      <c r="F175">
        <v>114075.734</v>
      </c>
      <c r="G175">
        <v>24.501999999999999</v>
      </c>
    </row>
    <row r="176" spans="1:7" x14ac:dyDescent="0.4">
      <c r="A176" s="141" t="s">
        <v>277</v>
      </c>
      <c r="B176">
        <v>1199.6864</v>
      </c>
      <c r="C176">
        <v>35.324399999999997</v>
      </c>
      <c r="D176">
        <v>42.023000000000003</v>
      </c>
      <c r="E176">
        <v>41.935400000000001</v>
      </c>
      <c r="F176">
        <v>67736.241999999998</v>
      </c>
      <c r="G176">
        <v>19.707999999999998</v>
      </c>
    </row>
    <row r="177" spans="1:7" x14ac:dyDescent="0.4">
      <c r="A177" s="141" t="s">
        <v>150</v>
      </c>
      <c r="B177" s="71">
        <v>4754.4639999999999</v>
      </c>
      <c r="C177" s="71">
        <v>38.467199999999998</v>
      </c>
      <c r="D177" s="71">
        <v>45.532400000000003</v>
      </c>
      <c r="E177" s="71">
        <v>45.736699999999999</v>
      </c>
      <c r="F177" s="71">
        <v>180862.875</v>
      </c>
      <c r="G177" s="71">
        <v>15.359</v>
      </c>
    </row>
    <row r="178" spans="1:7" x14ac:dyDescent="0.4">
      <c r="A178" s="141" t="s">
        <v>151</v>
      </c>
      <c r="B178" s="71">
        <v>1665.4464</v>
      </c>
      <c r="C178" s="71">
        <v>36.471600000000002</v>
      </c>
      <c r="D178" s="71">
        <v>44.544600000000003</v>
      </c>
      <c r="E178" s="71">
        <v>44.715699999999998</v>
      </c>
      <c r="F178" s="71">
        <v>90341.976999999999</v>
      </c>
      <c r="G178" s="71">
        <v>10.462999999999999</v>
      </c>
    </row>
    <row r="179" spans="1:7" x14ac:dyDescent="0.4">
      <c r="A179" s="141" t="s">
        <v>152</v>
      </c>
      <c r="B179" s="71">
        <v>657.73119999999994</v>
      </c>
      <c r="C179" s="71">
        <v>34.0182</v>
      </c>
      <c r="D179" s="71">
        <v>43.2057</v>
      </c>
      <c r="E179" s="71">
        <v>43.359200000000001</v>
      </c>
      <c r="F179" s="71">
        <v>51770.741999999998</v>
      </c>
      <c r="G179" s="71">
        <v>7.4279999999999999</v>
      </c>
    </row>
    <row r="180" spans="1:7" x14ac:dyDescent="0.4">
      <c r="A180" s="141" t="s">
        <v>153</v>
      </c>
      <c r="B180" s="71">
        <v>274.48480000000001</v>
      </c>
      <c r="C180" s="71">
        <v>30.979800000000001</v>
      </c>
      <c r="D180" s="71">
        <v>41.982500000000002</v>
      </c>
      <c r="E180" s="71">
        <v>41.9895</v>
      </c>
      <c r="F180" s="71">
        <v>29596.072</v>
      </c>
      <c r="G180" s="71">
        <v>5.6719999999999997</v>
      </c>
    </row>
    <row r="181" spans="1:7" x14ac:dyDescent="0.4">
      <c r="A181" s="141" t="s">
        <v>154</v>
      </c>
      <c r="B181" s="71">
        <v>3856.8928000000001</v>
      </c>
      <c r="C181" s="71">
        <v>40.522599999999997</v>
      </c>
      <c r="D181" s="71">
        <v>45.274700000000003</v>
      </c>
      <c r="E181" s="71">
        <v>46.122300000000003</v>
      </c>
      <c r="F181" s="71">
        <v>154672.07800000001</v>
      </c>
      <c r="G181" s="71">
        <v>15.018000000000001</v>
      </c>
    </row>
    <row r="182" spans="1:7" x14ac:dyDescent="0.4">
      <c r="A182" s="141" t="s">
        <v>155</v>
      </c>
      <c r="B182" s="71">
        <v>1752.1264000000001</v>
      </c>
      <c r="C182" s="71">
        <v>38.9011</v>
      </c>
      <c r="D182" s="71">
        <v>44.465800000000002</v>
      </c>
      <c r="E182" s="71">
        <v>44.581899999999997</v>
      </c>
      <c r="F182" s="71">
        <v>90416.804999999993</v>
      </c>
      <c r="G182" s="71">
        <v>12.539</v>
      </c>
    </row>
    <row r="183" spans="1:7" x14ac:dyDescent="0.4">
      <c r="A183" s="141" t="s">
        <v>156</v>
      </c>
      <c r="B183" s="71">
        <v>838.48800000000006</v>
      </c>
      <c r="C183" s="71">
        <v>36.964300000000001</v>
      </c>
      <c r="D183" s="71">
        <v>43.447099999999999</v>
      </c>
      <c r="E183" s="71">
        <v>42.7881</v>
      </c>
      <c r="F183" s="71">
        <v>50956.379000000001</v>
      </c>
      <c r="G183" s="71">
        <v>9.5709999999999997</v>
      </c>
    </row>
    <row r="184" spans="1:7" x14ac:dyDescent="0.4">
      <c r="A184" s="141" t="s">
        <v>157</v>
      </c>
      <c r="B184" s="71">
        <v>393.952</v>
      </c>
      <c r="C184" s="71">
        <v>34.745800000000003</v>
      </c>
      <c r="D184" s="71">
        <v>42.188699999999997</v>
      </c>
      <c r="E184" s="71">
        <v>40.735500000000002</v>
      </c>
      <c r="F184" s="71">
        <v>26480.48</v>
      </c>
      <c r="G184" s="71">
        <v>7.0869999999999997</v>
      </c>
    </row>
    <row r="185" spans="1:7" x14ac:dyDescent="0.4">
      <c r="A185" s="141" t="s">
        <v>158</v>
      </c>
      <c r="B185" s="71">
        <v>958.8528</v>
      </c>
      <c r="C185" s="71">
        <v>42.993099999999998</v>
      </c>
      <c r="D185" s="71">
        <v>46.756900000000002</v>
      </c>
      <c r="E185" s="71">
        <v>47.552700000000002</v>
      </c>
      <c r="F185" s="71">
        <v>59932.383000000002</v>
      </c>
      <c r="G185" s="71">
        <v>7.9349999999999996</v>
      </c>
    </row>
    <row r="186" spans="1:7" x14ac:dyDescent="0.4">
      <c r="A186" s="141" t="s">
        <v>159</v>
      </c>
      <c r="B186" s="71">
        <v>490.2944</v>
      </c>
      <c r="C186" s="71">
        <v>41.365400000000001</v>
      </c>
      <c r="D186" s="71">
        <v>45.930100000000003</v>
      </c>
      <c r="E186" s="71">
        <v>46.506599999999999</v>
      </c>
      <c r="F186" s="71">
        <v>35471.762000000002</v>
      </c>
      <c r="G186" s="71">
        <v>5.6989999999999998</v>
      </c>
    </row>
    <row r="187" spans="1:7" x14ac:dyDescent="0.4">
      <c r="A187" s="141" t="s">
        <v>160</v>
      </c>
      <c r="B187" s="71">
        <v>261.99680000000001</v>
      </c>
      <c r="C187" s="71">
        <v>39.198399999999999</v>
      </c>
      <c r="D187" s="71">
        <v>44.691200000000002</v>
      </c>
      <c r="E187" s="71">
        <v>45.051299999999998</v>
      </c>
      <c r="F187" s="71">
        <v>20135.782999999999</v>
      </c>
      <c r="G187" s="71">
        <v>4.8109999999999999</v>
      </c>
    </row>
    <row r="188" spans="1:7" x14ac:dyDescent="0.4">
      <c r="A188" s="141" t="s">
        <v>161</v>
      </c>
      <c r="B188" s="71">
        <v>142.51840000000001</v>
      </c>
      <c r="C188" s="71">
        <v>36.456200000000003</v>
      </c>
      <c r="D188" s="71">
        <v>43.139299999999999</v>
      </c>
      <c r="E188" s="71">
        <v>43.2943</v>
      </c>
      <c r="F188" s="71">
        <v>11749.114</v>
      </c>
      <c r="G188" s="71">
        <v>4.3550000000000004</v>
      </c>
    </row>
    <row r="189" spans="1:7" x14ac:dyDescent="0.4">
      <c r="A189" s="141" t="s">
        <v>162</v>
      </c>
      <c r="B189" s="71">
        <v>1336.0496000000001</v>
      </c>
      <c r="C189" s="71">
        <v>42.7179</v>
      </c>
      <c r="D189" s="71">
        <v>48.601199999999999</v>
      </c>
      <c r="E189" s="71">
        <v>47.652000000000001</v>
      </c>
      <c r="F189" s="71">
        <v>66374.718999999997</v>
      </c>
      <c r="G189" s="71">
        <v>8.4250000000000007</v>
      </c>
    </row>
    <row r="190" spans="1:7" x14ac:dyDescent="0.4">
      <c r="A190" s="141" t="s">
        <v>163</v>
      </c>
      <c r="B190" s="71">
        <v>650.54079999999999</v>
      </c>
      <c r="C190" s="71">
        <v>41.020200000000003</v>
      </c>
      <c r="D190" s="71">
        <v>47.7761</v>
      </c>
      <c r="E190" s="71">
        <v>46.840800000000002</v>
      </c>
      <c r="F190" s="71">
        <v>38439.766000000003</v>
      </c>
      <c r="G190" s="71">
        <v>6.3040000000000003</v>
      </c>
    </row>
    <row r="191" spans="1:7" x14ac:dyDescent="0.4">
      <c r="A191" s="141" t="s">
        <v>164</v>
      </c>
      <c r="B191" s="71">
        <v>346.31200000000001</v>
      </c>
      <c r="C191" s="71">
        <v>38.745100000000001</v>
      </c>
      <c r="D191" s="71">
        <v>46.601199999999999</v>
      </c>
      <c r="E191" s="71">
        <v>45.368400000000001</v>
      </c>
      <c r="F191" s="71">
        <v>22142.578000000001</v>
      </c>
      <c r="G191" s="71">
        <v>5.0170000000000003</v>
      </c>
    </row>
    <row r="192" spans="1:7" x14ac:dyDescent="0.4">
      <c r="A192" s="141" t="s">
        <v>165</v>
      </c>
      <c r="B192" s="71">
        <v>189.2</v>
      </c>
      <c r="C192" s="71">
        <v>35.730200000000004</v>
      </c>
      <c r="D192" s="71">
        <v>44.9694</v>
      </c>
      <c r="E192" s="71">
        <v>43.404000000000003</v>
      </c>
      <c r="F192" s="71">
        <v>13790.1</v>
      </c>
      <c r="G192" s="71">
        <v>4.5549999999999997</v>
      </c>
    </row>
    <row r="193" spans="1:7" x14ac:dyDescent="0.4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4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4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4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4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4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4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4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4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4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4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4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4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4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4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4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4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4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4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4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4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4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4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4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4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4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4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4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4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4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4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4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4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4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4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4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4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4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4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4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4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4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4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4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4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4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4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4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4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4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4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4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4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4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4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4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4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4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4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4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4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4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4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4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4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4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4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4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4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4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4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4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4">
      <c r="A265" s="141" t="s">
        <v>310</v>
      </c>
    </row>
    <row r="266" spans="1:7" x14ac:dyDescent="0.4">
      <c r="A266" s="141" t="s">
        <v>311</v>
      </c>
    </row>
    <row r="267" spans="1:7" x14ac:dyDescent="0.4">
      <c r="A267" s="141" t="s">
        <v>312</v>
      </c>
    </row>
    <row r="268" spans="1:7" x14ac:dyDescent="0.4">
      <c r="A268" s="141" t="s">
        <v>313</v>
      </c>
    </row>
    <row r="269" spans="1:7" x14ac:dyDescent="0.4">
      <c r="A269" s="141" t="s">
        <v>314</v>
      </c>
    </row>
    <row r="270" spans="1:7" x14ac:dyDescent="0.4">
      <c r="A270" s="141" t="s">
        <v>315</v>
      </c>
    </row>
    <row r="271" spans="1:7" x14ac:dyDescent="0.4">
      <c r="A271" s="141" t="s">
        <v>316</v>
      </c>
    </row>
    <row r="272" spans="1:7" x14ac:dyDescent="0.4">
      <c r="A272" s="141" t="s">
        <v>317</v>
      </c>
    </row>
    <row r="273" spans="1:1" x14ac:dyDescent="0.4">
      <c r="A273" s="141" t="s">
        <v>374</v>
      </c>
    </row>
    <row r="274" spans="1:1" x14ac:dyDescent="0.4">
      <c r="A274" s="141" t="s">
        <v>375</v>
      </c>
    </row>
    <row r="275" spans="1:1" x14ac:dyDescent="0.4">
      <c r="A275" s="141" t="s">
        <v>376</v>
      </c>
    </row>
    <row r="276" spans="1:1" x14ac:dyDescent="0.4">
      <c r="A276" s="141" t="s">
        <v>377</v>
      </c>
    </row>
    <row r="277" spans="1:1" x14ac:dyDescent="0.4">
      <c r="A277" s="141" t="s">
        <v>378</v>
      </c>
    </row>
    <row r="278" spans="1:1" x14ac:dyDescent="0.4">
      <c r="A278" s="141" t="s">
        <v>379</v>
      </c>
    </row>
    <row r="279" spans="1:1" x14ac:dyDescent="0.4">
      <c r="A279" s="141" t="s">
        <v>380</v>
      </c>
    </row>
    <row r="280" spans="1:1" x14ac:dyDescent="0.4">
      <c r="A280" s="141" t="s">
        <v>381</v>
      </c>
    </row>
    <row r="281" spans="1:1" x14ac:dyDescent="0.4">
      <c r="A281" s="141" t="s">
        <v>382</v>
      </c>
    </row>
    <row r="282" spans="1:1" x14ac:dyDescent="0.4">
      <c r="A282" s="141" t="s">
        <v>383</v>
      </c>
    </row>
    <row r="283" spans="1:1" x14ac:dyDescent="0.4">
      <c r="A283" s="141" t="s">
        <v>384</v>
      </c>
    </row>
    <row r="284" spans="1:1" x14ac:dyDescent="0.4">
      <c r="A284" s="141" t="s">
        <v>385</v>
      </c>
    </row>
    <row r="285" spans="1:1" x14ac:dyDescent="0.4">
      <c r="A285" s="141" t="s">
        <v>386</v>
      </c>
    </row>
    <row r="286" spans="1:1" x14ac:dyDescent="0.4">
      <c r="A286" s="141" t="s">
        <v>387</v>
      </c>
    </row>
    <row r="287" spans="1:1" x14ac:dyDescent="0.4">
      <c r="A287" s="141" t="s">
        <v>388</v>
      </c>
    </row>
    <row r="288" spans="1:1" x14ac:dyDescent="0.4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zoomScaleNormal="100" workbookViewId="0">
      <selection activeCell="B1" sqref="B1:G1048576"/>
    </sheetView>
  </sheetViews>
  <sheetFormatPr defaultColWidth="9" defaultRowHeight="15.75" x14ac:dyDescent="0.4"/>
  <cols>
    <col min="1" max="1" width="25" bestFit="1" customWidth="1"/>
    <col min="6" max="6" width="14" customWidth="1"/>
  </cols>
  <sheetData>
    <row r="1" spans="1:7" x14ac:dyDescent="0.4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127518.43</v>
      </c>
      <c r="G1">
        <v>24.683</v>
      </c>
    </row>
    <row r="2" spans="1:7" x14ac:dyDescent="0.4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69434.304999999993</v>
      </c>
      <c r="G2">
        <v>22.055</v>
      </c>
    </row>
    <row r="3" spans="1:7" x14ac:dyDescent="0.4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41304.425999999999</v>
      </c>
      <c r="G3">
        <v>19.655000000000001</v>
      </c>
    </row>
    <row r="4" spans="1:7" x14ac:dyDescent="0.4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23288.631000000001</v>
      </c>
      <c r="G4">
        <v>18.501999999999999</v>
      </c>
    </row>
    <row r="5" spans="1:7" x14ac:dyDescent="0.4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202097.5</v>
      </c>
      <c r="G5">
        <v>37.69</v>
      </c>
    </row>
    <row r="6" spans="1:7" x14ac:dyDescent="0.4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159862.18799999999</v>
      </c>
      <c r="G6">
        <v>33.058999999999997</v>
      </c>
    </row>
    <row r="7" spans="1:7" x14ac:dyDescent="0.4">
      <c r="A7" s="141" t="s">
        <v>196</v>
      </c>
      <c r="B7">
        <v>117444.0316</v>
      </c>
      <c r="C7">
        <v>38.709000000000003</v>
      </c>
      <c r="D7">
        <v>34.3626</v>
      </c>
      <c r="E7">
        <v>35.525500000000001</v>
      </c>
      <c r="F7">
        <v>119638.82</v>
      </c>
      <c r="G7">
        <v>28.542000000000002</v>
      </c>
    </row>
    <row r="8" spans="1:7" x14ac:dyDescent="0.4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78833.491999999998</v>
      </c>
      <c r="G8">
        <v>23.873000000000001</v>
      </c>
    </row>
    <row r="9" spans="1:7" x14ac:dyDescent="0.4">
      <c r="A9" s="141" t="s">
        <v>198</v>
      </c>
      <c r="B9">
        <v>124771.59789999999</v>
      </c>
      <c r="C9">
        <v>41.574300000000001</v>
      </c>
      <c r="D9">
        <v>44.012099999999997</v>
      </c>
      <c r="E9">
        <v>42.909799999999997</v>
      </c>
      <c r="F9">
        <v>165640.04699999999</v>
      </c>
      <c r="G9">
        <v>31.683</v>
      </c>
    </row>
    <row r="10" spans="1:7" x14ac:dyDescent="0.4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113239.57</v>
      </c>
      <c r="G10">
        <v>23.995000000000001</v>
      </c>
    </row>
    <row r="11" spans="1:7" x14ac:dyDescent="0.4">
      <c r="A11" s="141" t="s">
        <v>200</v>
      </c>
      <c r="B11">
        <v>25285.187399999999</v>
      </c>
      <c r="C11">
        <v>37.308300000000003</v>
      </c>
      <c r="D11">
        <v>39.062800000000003</v>
      </c>
      <c r="E11">
        <v>40.705399999999997</v>
      </c>
      <c r="F11">
        <v>66267.547000000006</v>
      </c>
      <c r="G11">
        <v>19.864000000000001</v>
      </c>
    </row>
    <row r="12" spans="1:7" x14ac:dyDescent="0.4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37261.964999999997</v>
      </c>
      <c r="G12">
        <v>16.809999999999999</v>
      </c>
    </row>
    <row r="13" spans="1:7" x14ac:dyDescent="0.4">
      <c r="A13" s="141" t="s">
        <v>202</v>
      </c>
      <c r="B13">
        <v>177370.93890000001</v>
      </c>
      <c r="C13">
        <v>38.624200000000002</v>
      </c>
      <c r="D13">
        <v>45.659500000000001</v>
      </c>
      <c r="E13">
        <v>43.478000000000002</v>
      </c>
      <c r="F13">
        <v>203703.90599999999</v>
      </c>
      <c r="G13">
        <v>32.055999999999997</v>
      </c>
    </row>
    <row r="14" spans="1:7" x14ac:dyDescent="0.4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120885.031</v>
      </c>
      <c r="G14">
        <v>25.251000000000001</v>
      </c>
    </row>
    <row r="15" spans="1:7" x14ac:dyDescent="0.4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78678.648000000001</v>
      </c>
      <c r="G15">
        <v>21.933</v>
      </c>
    </row>
    <row r="16" spans="1:7" x14ac:dyDescent="0.4">
      <c r="A16" s="141" t="s">
        <v>205</v>
      </c>
      <c r="B16">
        <v>26284.4084</v>
      </c>
      <c r="C16">
        <v>35.2605</v>
      </c>
      <c r="D16">
        <v>42.428100000000001</v>
      </c>
      <c r="E16">
        <v>40.2164</v>
      </c>
      <c r="F16">
        <v>47273.483999999997</v>
      </c>
      <c r="G16">
        <v>18.896999999999998</v>
      </c>
    </row>
    <row r="17" spans="1:7" x14ac:dyDescent="0.4">
      <c r="A17" s="141" t="s">
        <v>94</v>
      </c>
      <c r="B17">
        <v>67494.952399999995</v>
      </c>
      <c r="C17">
        <v>39.563000000000002</v>
      </c>
      <c r="D17">
        <v>40.538800000000002</v>
      </c>
      <c r="E17">
        <v>43.534300000000002</v>
      </c>
      <c r="F17">
        <v>84432.554999999993</v>
      </c>
      <c r="G17">
        <v>15.435</v>
      </c>
    </row>
    <row r="18" spans="1:7" x14ac:dyDescent="0.4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64881.796999999999</v>
      </c>
      <c r="G18">
        <v>12.856999999999999</v>
      </c>
    </row>
    <row r="19" spans="1:7" x14ac:dyDescent="0.4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47225.101999999999</v>
      </c>
      <c r="G19">
        <v>10.587999999999999</v>
      </c>
    </row>
    <row r="20" spans="1:7" x14ac:dyDescent="0.4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32155.671999999999</v>
      </c>
      <c r="G20">
        <v>9.1329999999999991</v>
      </c>
    </row>
    <row r="21" spans="1:7" x14ac:dyDescent="0.4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74549.648000000001</v>
      </c>
      <c r="G21">
        <v>13.351000000000001</v>
      </c>
    </row>
    <row r="22" spans="1:7" x14ac:dyDescent="0.4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51914.421999999999</v>
      </c>
      <c r="G22">
        <v>11.010999999999999</v>
      </c>
    </row>
    <row r="23" spans="1:7" x14ac:dyDescent="0.4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34281.055</v>
      </c>
      <c r="G23">
        <v>9.4329999999999998</v>
      </c>
    </row>
    <row r="24" spans="1:7" x14ac:dyDescent="0.4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21537.136999999999</v>
      </c>
      <c r="G24">
        <v>8.2490000000000006</v>
      </c>
    </row>
    <row r="25" spans="1:7" x14ac:dyDescent="0.4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88387.57</v>
      </c>
      <c r="G25">
        <v>16.071999999999999</v>
      </c>
    </row>
    <row r="26" spans="1:7" x14ac:dyDescent="0.4">
      <c r="A26" s="141" t="s">
        <v>207</v>
      </c>
      <c r="B26">
        <v>41712.671999999999</v>
      </c>
      <c r="C26">
        <v>39.930900000000001</v>
      </c>
      <c r="D26">
        <v>43.0349</v>
      </c>
      <c r="E26">
        <v>43.9268</v>
      </c>
      <c r="F26">
        <v>68051.133000000002</v>
      </c>
      <c r="G26">
        <v>14.127000000000001</v>
      </c>
    </row>
    <row r="27" spans="1:7" x14ac:dyDescent="0.4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48899.413999999997</v>
      </c>
      <c r="G27">
        <v>12.211</v>
      </c>
    </row>
    <row r="28" spans="1:7" x14ac:dyDescent="0.4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30714.335999999999</v>
      </c>
      <c r="G28">
        <v>10.015000000000001</v>
      </c>
    </row>
    <row r="29" spans="1:7" x14ac:dyDescent="0.4">
      <c r="A29" s="141" t="s">
        <v>210</v>
      </c>
      <c r="B29">
        <v>39540.710400000004</v>
      </c>
      <c r="C29">
        <v>44.935200000000002</v>
      </c>
      <c r="D29">
        <v>47.607900000000001</v>
      </c>
      <c r="E29">
        <v>48.338799999999999</v>
      </c>
      <c r="F29">
        <v>59737.93</v>
      </c>
      <c r="G29">
        <v>14.448</v>
      </c>
    </row>
    <row r="30" spans="1:7" x14ac:dyDescent="0.4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48638.25</v>
      </c>
      <c r="G30">
        <v>12.475</v>
      </c>
    </row>
    <row r="31" spans="1:7" x14ac:dyDescent="0.4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36367.332000000002</v>
      </c>
      <c r="G31">
        <v>11.272</v>
      </c>
    </row>
    <row r="32" spans="1:7" x14ac:dyDescent="0.4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23584.373</v>
      </c>
      <c r="G32">
        <v>9.5470000000000006</v>
      </c>
    </row>
    <row r="33" spans="1:7" x14ac:dyDescent="0.4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50666.574000000001</v>
      </c>
      <c r="G33">
        <v>9.2739999999999991</v>
      </c>
    </row>
    <row r="34" spans="1:7" x14ac:dyDescent="0.4">
      <c r="A34" s="141" t="s">
        <v>103</v>
      </c>
      <c r="B34">
        <v>36759.289599999996</v>
      </c>
      <c r="C34">
        <v>38.811300000000003</v>
      </c>
      <c r="D34">
        <v>44.322299999999998</v>
      </c>
      <c r="E34">
        <v>44.660899999999998</v>
      </c>
      <c r="F34">
        <v>42978.366999999998</v>
      </c>
      <c r="G34">
        <v>7.8810000000000002</v>
      </c>
    </row>
    <row r="35" spans="1:7" x14ac:dyDescent="0.4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35277.605000000003</v>
      </c>
      <c r="G35">
        <v>6.8090000000000002</v>
      </c>
    </row>
    <row r="36" spans="1:7" x14ac:dyDescent="0.4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25701.65</v>
      </c>
      <c r="G36">
        <v>5.4219999999999997</v>
      </c>
    </row>
    <row r="37" spans="1:7" x14ac:dyDescent="0.4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33568.300999999999</v>
      </c>
      <c r="G37">
        <v>6.2670000000000003</v>
      </c>
    </row>
    <row r="38" spans="1:7" x14ac:dyDescent="0.4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25169.565999999999</v>
      </c>
      <c r="G38">
        <v>5.3280000000000003</v>
      </c>
    </row>
    <row r="39" spans="1:7" x14ac:dyDescent="0.4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17199.063999999998</v>
      </c>
      <c r="G39">
        <v>4.6230000000000002</v>
      </c>
    </row>
    <row r="40" spans="1:7" x14ac:dyDescent="0.4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10532.496999999999</v>
      </c>
      <c r="G40">
        <v>3.9590000000000001</v>
      </c>
    </row>
    <row r="41" spans="1:7" x14ac:dyDescent="0.4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26691.456999999999</v>
      </c>
      <c r="G41">
        <v>6.0449999999999999</v>
      </c>
    </row>
    <row r="42" spans="1:7" x14ac:dyDescent="0.4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20802.195</v>
      </c>
      <c r="G42">
        <v>5.319</v>
      </c>
    </row>
    <row r="43" spans="1:7" x14ac:dyDescent="0.4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15636.183999999999</v>
      </c>
      <c r="G43">
        <v>4.8369999999999997</v>
      </c>
    </row>
    <row r="44" spans="1:7" x14ac:dyDescent="0.4">
      <c r="A44" s="141" t="s">
        <v>113</v>
      </c>
      <c r="B44">
        <v>3752.7424000000001</v>
      </c>
      <c r="C44">
        <v>37.174399999999999</v>
      </c>
      <c r="D44">
        <v>42.877600000000001</v>
      </c>
      <c r="E44">
        <v>43.065100000000001</v>
      </c>
      <c r="F44">
        <v>10640.387000000001</v>
      </c>
      <c r="G44">
        <v>4.2830000000000004</v>
      </c>
    </row>
    <row r="45" spans="1:7" x14ac:dyDescent="0.4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27058.868999999999</v>
      </c>
      <c r="G45">
        <v>5.7690000000000001</v>
      </c>
    </row>
    <row r="46" spans="1:7" x14ac:dyDescent="0.4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21453.752</v>
      </c>
      <c r="G46">
        <v>5.1100000000000003</v>
      </c>
    </row>
    <row r="47" spans="1:7" x14ac:dyDescent="0.4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16203.743</v>
      </c>
      <c r="G47">
        <v>4.718</v>
      </c>
    </row>
    <row r="48" spans="1:7" x14ac:dyDescent="0.4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11340.72</v>
      </c>
      <c r="G48">
        <v>3.988</v>
      </c>
    </row>
    <row r="49" spans="1:1" x14ac:dyDescent="0.4">
      <c r="A49" s="141" t="s">
        <v>214</v>
      </c>
    </row>
    <row r="50" spans="1:1" x14ac:dyDescent="0.4">
      <c r="A50" s="141" t="s">
        <v>215</v>
      </c>
    </row>
    <row r="51" spans="1:1" x14ac:dyDescent="0.4">
      <c r="A51" s="141" t="s">
        <v>216</v>
      </c>
    </row>
    <row r="52" spans="1:1" x14ac:dyDescent="0.4">
      <c r="A52" s="141" t="s">
        <v>217</v>
      </c>
    </row>
    <row r="53" spans="1:1" x14ac:dyDescent="0.4">
      <c r="A53" s="141" t="s">
        <v>218</v>
      </c>
    </row>
    <row r="54" spans="1:1" x14ac:dyDescent="0.4">
      <c r="A54" s="141" t="s">
        <v>219</v>
      </c>
    </row>
    <row r="55" spans="1:1" x14ac:dyDescent="0.4">
      <c r="A55" s="141" t="s">
        <v>220</v>
      </c>
    </row>
    <row r="56" spans="1:1" x14ac:dyDescent="0.4">
      <c r="A56" s="141" t="s">
        <v>221</v>
      </c>
    </row>
    <row r="57" spans="1:1" x14ac:dyDescent="0.4">
      <c r="A57" s="141" t="s">
        <v>318</v>
      </c>
    </row>
    <row r="58" spans="1:1" x14ac:dyDescent="0.4">
      <c r="A58" s="141" t="s">
        <v>319</v>
      </c>
    </row>
    <row r="59" spans="1:1" x14ac:dyDescent="0.4">
      <c r="A59" s="141" t="s">
        <v>320</v>
      </c>
    </row>
    <row r="60" spans="1:1" x14ac:dyDescent="0.4">
      <c r="A60" s="141" t="s">
        <v>321</v>
      </c>
    </row>
    <row r="61" spans="1:1" x14ac:dyDescent="0.4">
      <c r="A61" s="141" t="s">
        <v>322</v>
      </c>
    </row>
    <row r="62" spans="1:1" x14ac:dyDescent="0.4">
      <c r="A62" s="141" t="s">
        <v>323</v>
      </c>
    </row>
    <row r="63" spans="1:1" x14ac:dyDescent="0.4">
      <c r="A63" s="141" t="s">
        <v>324</v>
      </c>
    </row>
    <row r="64" spans="1:1" x14ac:dyDescent="0.4">
      <c r="A64" s="141" t="s">
        <v>325</v>
      </c>
    </row>
    <row r="65" spans="1:7" x14ac:dyDescent="0.4">
      <c r="A65" s="141" t="s">
        <v>326</v>
      </c>
    </row>
    <row r="66" spans="1:7" x14ac:dyDescent="0.4">
      <c r="A66" s="141" t="s">
        <v>327</v>
      </c>
    </row>
    <row r="67" spans="1:7" x14ac:dyDescent="0.4">
      <c r="A67" s="141" t="s">
        <v>328</v>
      </c>
    </row>
    <row r="68" spans="1:7" x14ac:dyDescent="0.4">
      <c r="A68" s="141" t="s">
        <v>329</v>
      </c>
    </row>
    <row r="69" spans="1:7" x14ac:dyDescent="0.4">
      <c r="A69" s="141" t="s">
        <v>330</v>
      </c>
    </row>
    <row r="70" spans="1:7" x14ac:dyDescent="0.4">
      <c r="A70" s="141" t="s">
        <v>331</v>
      </c>
    </row>
    <row r="71" spans="1:7" x14ac:dyDescent="0.4">
      <c r="A71" s="141" t="s">
        <v>332</v>
      </c>
    </row>
    <row r="72" spans="1:7" x14ac:dyDescent="0.4">
      <c r="A72" s="141" t="s">
        <v>333</v>
      </c>
    </row>
    <row r="73" spans="1:7" x14ac:dyDescent="0.4">
      <c r="A73" s="141" t="s">
        <v>222</v>
      </c>
      <c r="B73">
        <v>14742.592000000001</v>
      </c>
      <c r="C73">
        <v>40.090200000000003</v>
      </c>
      <c r="D73">
        <v>49.067500000000003</v>
      </c>
      <c r="E73">
        <v>47.053199999999997</v>
      </c>
      <c r="F73">
        <v>364363.00400000002</v>
      </c>
      <c r="G73">
        <v>58.819000000000003</v>
      </c>
    </row>
    <row r="74" spans="1:7" x14ac:dyDescent="0.4">
      <c r="A74" s="141" t="s">
        <v>223</v>
      </c>
      <c r="B74">
        <v>6720.652</v>
      </c>
      <c r="C74">
        <v>39.601500000000001</v>
      </c>
      <c r="D74">
        <v>48.47</v>
      </c>
      <c r="E74">
        <v>46.152299999999997</v>
      </c>
      <c r="F74">
        <v>196751.84400000001</v>
      </c>
      <c r="G74">
        <v>51.542000000000002</v>
      </c>
    </row>
    <row r="75" spans="1:7" x14ac:dyDescent="0.4">
      <c r="A75" s="141" t="s">
        <v>224</v>
      </c>
      <c r="B75">
        <v>3648.4720000000002</v>
      </c>
      <c r="C75">
        <v>38.759700000000002</v>
      </c>
      <c r="D75">
        <v>47.696300000000001</v>
      </c>
      <c r="E75">
        <v>44.931899999999999</v>
      </c>
      <c r="F75">
        <v>98666.062999999995</v>
      </c>
      <c r="G75">
        <v>45.31</v>
      </c>
    </row>
    <row r="76" spans="1:7" x14ac:dyDescent="0.4">
      <c r="A76" s="141" t="s">
        <v>225</v>
      </c>
      <c r="B76">
        <v>1931.28</v>
      </c>
      <c r="C76">
        <v>37.2712</v>
      </c>
      <c r="D76">
        <v>46.288699999999999</v>
      </c>
      <c r="E76">
        <v>43.176400000000001</v>
      </c>
      <c r="F76">
        <v>49506.703999999998</v>
      </c>
      <c r="G76">
        <v>40.98</v>
      </c>
    </row>
    <row r="77" spans="1:7" x14ac:dyDescent="0.4">
      <c r="A77" s="141" t="s">
        <v>226</v>
      </c>
      <c r="B77">
        <v>75669.179999999993</v>
      </c>
      <c r="C77">
        <v>41.652900000000002</v>
      </c>
      <c r="D77">
        <v>36.478099999999998</v>
      </c>
      <c r="E77">
        <v>37.613900000000001</v>
      </c>
      <c r="F77">
        <v>666785.32999999996</v>
      </c>
      <c r="G77">
        <v>65.447000000000003</v>
      </c>
    </row>
    <row r="78" spans="1:7" x14ac:dyDescent="0.4">
      <c r="A78" s="141" t="s">
        <v>227</v>
      </c>
      <c r="B78">
        <v>39107.42</v>
      </c>
      <c r="C78">
        <v>39.052</v>
      </c>
      <c r="D78">
        <v>34.555999999999997</v>
      </c>
      <c r="E78">
        <v>35.959099999999999</v>
      </c>
      <c r="F78">
        <v>443913.054</v>
      </c>
      <c r="G78">
        <v>58.368000000000002</v>
      </c>
    </row>
    <row r="79" spans="1:7" x14ac:dyDescent="0.4">
      <c r="A79" s="141" t="s">
        <v>228</v>
      </c>
      <c r="B79">
        <v>18793.392</v>
      </c>
      <c r="C79">
        <v>36.145099999999999</v>
      </c>
      <c r="D79">
        <v>32.928699999999999</v>
      </c>
      <c r="E79">
        <v>34.586199999999998</v>
      </c>
      <c r="F79">
        <v>275395.234</v>
      </c>
      <c r="G79">
        <v>50.887999999999998</v>
      </c>
    </row>
    <row r="80" spans="1:7" x14ac:dyDescent="0.4">
      <c r="A80" s="141" t="s">
        <v>229</v>
      </c>
      <c r="B80">
        <v>7757.4359999999997</v>
      </c>
      <c r="C80">
        <v>33.085000000000001</v>
      </c>
      <c r="D80">
        <v>31.2608</v>
      </c>
      <c r="E80">
        <v>33.1646</v>
      </c>
      <c r="F80">
        <v>154100.02299999999</v>
      </c>
      <c r="G80">
        <v>46.171999999999997</v>
      </c>
    </row>
    <row r="81" spans="1:7" x14ac:dyDescent="0.4">
      <c r="A81" s="141" t="s">
        <v>230</v>
      </c>
      <c r="B81">
        <v>37745.207999999999</v>
      </c>
      <c r="C81">
        <v>38.307400000000001</v>
      </c>
      <c r="D81">
        <v>40.467799999999997</v>
      </c>
      <c r="E81">
        <v>41.555</v>
      </c>
      <c r="F81">
        <v>383765.47200000001</v>
      </c>
      <c r="G81">
        <v>36.676000000000002</v>
      </c>
    </row>
    <row r="82" spans="1:7" x14ac:dyDescent="0.4">
      <c r="A82" s="141" t="s">
        <v>231</v>
      </c>
      <c r="B82">
        <v>18403.867999999999</v>
      </c>
      <c r="C82">
        <v>37.199100000000001</v>
      </c>
      <c r="D82">
        <v>37.921199999999999</v>
      </c>
      <c r="E82">
        <v>40.338500000000003</v>
      </c>
      <c r="F82">
        <v>228447.34700000001</v>
      </c>
      <c r="G82">
        <v>29.850999999999999</v>
      </c>
    </row>
    <row r="83" spans="1:7" x14ac:dyDescent="0.4">
      <c r="A83" s="141" t="s">
        <v>232</v>
      </c>
      <c r="B83">
        <v>9147.8719999999994</v>
      </c>
      <c r="C83">
        <v>35.838099999999997</v>
      </c>
      <c r="D83">
        <v>35.712000000000003</v>
      </c>
      <c r="E83">
        <v>39.015500000000003</v>
      </c>
      <c r="F83">
        <v>137812.649</v>
      </c>
      <c r="G83">
        <v>26.300999999999998</v>
      </c>
    </row>
    <row r="84" spans="1:7" x14ac:dyDescent="0.4">
      <c r="A84" s="141" t="s">
        <v>233</v>
      </c>
      <c r="B84">
        <v>4625.4120000000003</v>
      </c>
      <c r="C84">
        <v>34.000399999999999</v>
      </c>
      <c r="D84">
        <v>33.808</v>
      </c>
      <c r="E84">
        <v>37.469200000000001</v>
      </c>
      <c r="F84">
        <v>78218.356</v>
      </c>
      <c r="G84">
        <v>23.042999999999999</v>
      </c>
    </row>
    <row r="85" spans="1:7" x14ac:dyDescent="0.4">
      <c r="A85" s="141" t="s">
        <v>234</v>
      </c>
      <c r="B85">
        <v>26224.648000000001</v>
      </c>
      <c r="C85">
        <v>37.639800000000001</v>
      </c>
      <c r="D85">
        <v>45.344000000000001</v>
      </c>
      <c r="E85">
        <v>43.030700000000003</v>
      </c>
      <c r="F85">
        <v>516777.39399999997</v>
      </c>
      <c r="G85">
        <v>61.027000000000001</v>
      </c>
    </row>
    <row r="86" spans="1:7" x14ac:dyDescent="0.4">
      <c r="A86" s="141" t="s">
        <v>235</v>
      </c>
      <c r="B86">
        <v>9143.4480000000003</v>
      </c>
      <c r="C86">
        <v>37.099800000000002</v>
      </c>
      <c r="D86">
        <v>44.747999999999998</v>
      </c>
      <c r="E86">
        <v>42.4039</v>
      </c>
      <c r="F86">
        <v>278222.80200000003</v>
      </c>
      <c r="G86">
        <v>52.243000000000002</v>
      </c>
    </row>
    <row r="87" spans="1:7" x14ac:dyDescent="0.4">
      <c r="A87" s="141" t="s">
        <v>236</v>
      </c>
      <c r="B87">
        <v>4501.1279999999997</v>
      </c>
      <c r="C87">
        <v>36.249600000000001</v>
      </c>
      <c r="D87">
        <v>43.984999999999999</v>
      </c>
      <c r="E87">
        <v>41.611199999999997</v>
      </c>
      <c r="F87">
        <v>139490.75200000001</v>
      </c>
      <c r="G87">
        <v>43.807000000000002</v>
      </c>
    </row>
    <row r="88" spans="1:7" x14ac:dyDescent="0.4">
      <c r="A88" s="141" t="s">
        <v>237</v>
      </c>
      <c r="B88">
        <v>2179.4879999999998</v>
      </c>
      <c r="C88">
        <v>34.795400000000001</v>
      </c>
      <c r="D88">
        <v>42.691200000000002</v>
      </c>
      <c r="E88">
        <v>40.4803</v>
      </c>
      <c r="F88">
        <v>66730.822</v>
      </c>
      <c r="G88">
        <v>36.347999999999999</v>
      </c>
    </row>
    <row r="89" spans="1:7" x14ac:dyDescent="0.4">
      <c r="A89" s="141" t="s">
        <v>118</v>
      </c>
      <c r="B89">
        <v>9767.1319999999996</v>
      </c>
      <c r="C89">
        <v>38.015999999999998</v>
      </c>
      <c r="D89">
        <v>39.848500000000001</v>
      </c>
      <c r="E89">
        <v>43.339500000000001</v>
      </c>
      <c r="F89">
        <v>113603.03</v>
      </c>
      <c r="G89">
        <v>12.545</v>
      </c>
    </row>
    <row r="90" spans="1:7" x14ac:dyDescent="0.4">
      <c r="A90" s="141" t="s">
        <v>119</v>
      </c>
      <c r="B90">
        <v>4526.12</v>
      </c>
      <c r="C90">
        <v>36.916800000000002</v>
      </c>
      <c r="D90">
        <v>39.341900000000003</v>
      </c>
      <c r="E90">
        <v>42.22</v>
      </c>
      <c r="F90">
        <v>68948.740999999995</v>
      </c>
      <c r="G90">
        <v>10.444000000000001</v>
      </c>
    </row>
    <row r="91" spans="1:7" x14ac:dyDescent="0.4">
      <c r="A91" s="141" t="s">
        <v>120</v>
      </c>
      <c r="B91">
        <v>2303.7640000000001</v>
      </c>
      <c r="C91">
        <v>35.365099999999998</v>
      </c>
      <c r="D91">
        <v>38.730400000000003</v>
      </c>
      <c r="E91">
        <v>40.958199999999998</v>
      </c>
      <c r="F91">
        <v>39812.582000000002</v>
      </c>
      <c r="G91">
        <v>8.9290000000000003</v>
      </c>
    </row>
    <row r="92" spans="1:7" x14ac:dyDescent="0.4">
      <c r="A92" s="141" t="s">
        <v>121</v>
      </c>
      <c r="B92">
        <v>1104.7439999999999</v>
      </c>
      <c r="C92">
        <v>33.171599999999998</v>
      </c>
      <c r="D92">
        <v>37.701599999999999</v>
      </c>
      <c r="E92">
        <v>39.229199999999999</v>
      </c>
      <c r="F92">
        <v>21477.379000000001</v>
      </c>
      <c r="G92">
        <v>7.9109999999999996</v>
      </c>
    </row>
    <row r="93" spans="1:7" x14ac:dyDescent="0.4">
      <c r="A93" s="141" t="s">
        <v>122</v>
      </c>
      <c r="B93">
        <v>8546.9439999999995</v>
      </c>
      <c r="C93">
        <v>38.949300000000001</v>
      </c>
      <c r="D93">
        <v>44.055399999999999</v>
      </c>
      <c r="E93">
        <v>45.213700000000003</v>
      </c>
      <c r="F93">
        <v>121153.34600000001</v>
      </c>
      <c r="G93">
        <v>13.395</v>
      </c>
    </row>
    <row r="94" spans="1:7" x14ac:dyDescent="0.4">
      <c r="A94" s="141" t="s">
        <v>123</v>
      </c>
      <c r="B94">
        <v>4281.116</v>
      </c>
      <c r="C94">
        <v>37.919499999999999</v>
      </c>
      <c r="D94">
        <v>43.224400000000003</v>
      </c>
      <c r="E94">
        <v>43.785299999999999</v>
      </c>
      <c r="F94">
        <v>74159.172999999995</v>
      </c>
      <c r="G94">
        <v>11.298</v>
      </c>
    </row>
    <row r="95" spans="1:7" x14ac:dyDescent="0.4">
      <c r="A95" s="141" t="s">
        <v>124</v>
      </c>
      <c r="B95">
        <v>2186.2399999999998</v>
      </c>
      <c r="C95">
        <v>36.4221</v>
      </c>
      <c r="D95">
        <v>42.197499999999998</v>
      </c>
      <c r="E95">
        <v>42.196100000000001</v>
      </c>
      <c r="F95">
        <v>41169.413</v>
      </c>
      <c r="G95">
        <v>9.9169999999999998</v>
      </c>
    </row>
    <row r="96" spans="1:7" x14ac:dyDescent="0.4">
      <c r="A96" s="141" t="s">
        <v>125</v>
      </c>
      <c r="B96">
        <v>1079.904</v>
      </c>
      <c r="C96">
        <v>34.361400000000003</v>
      </c>
      <c r="D96">
        <v>40.8384</v>
      </c>
      <c r="E96">
        <v>40.280900000000003</v>
      </c>
      <c r="F96">
        <v>22058.519</v>
      </c>
      <c r="G96">
        <v>8.3369999999999997</v>
      </c>
    </row>
    <row r="97" spans="1:7" x14ac:dyDescent="0.4">
      <c r="A97" s="141" t="s">
        <v>238</v>
      </c>
      <c r="B97">
        <v>6744.1760000000004</v>
      </c>
      <c r="C97">
        <v>39.7059</v>
      </c>
      <c r="D97">
        <v>43.91</v>
      </c>
      <c r="E97">
        <v>45.054400000000001</v>
      </c>
      <c r="F97">
        <v>110670.54</v>
      </c>
      <c r="G97">
        <v>13.522</v>
      </c>
    </row>
    <row r="98" spans="1:7" x14ac:dyDescent="0.4">
      <c r="A98" s="141" t="s">
        <v>239</v>
      </c>
      <c r="B98">
        <v>3207.4720000000002</v>
      </c>
      <c r="C98">
        <v>38.562800000000003</v>
      </c>
      <c r="D98">
        <v>43.149299999999997</v>
      </c>
      <c r="E98">
        <v>44.3703</v>
      </c>
      <c r="F98">
        <v>66200.164999999994</v>
      </c>
      <c r="G98">
        <v>11.375</v>
      </c>
    </row>
    <row r="99" spans="1:7" x14ac:dyDescent="0.4">
      <c r="A99" s="141" t="s">
        <v>240</v>
      </c>
      <c r="B99">
        <v>1545.54</v>
      </c>
      <c r="C99">
        <v>36.8934</v>
      </c>
      <c r="D99">
        <v>42.28</v>
      </c>
      <c r="E99">
        <v>43.473599999999998</v>
      </c>
      <c r="F99">
        <v>35492.752999999997</v>
      </c>
      <c r="G99">
        <v>9.9649999999999999</v>
      </c>
    </row>
    <row r="100" spans="1:7" x14ac:dyDescent="0.4">
      <c r="A100" s="141" t="s">
        <v>241</v>
      </c>
      <c r="B100">
        <v>693.98800000000006</v>
      </c>
      <c r="C100">
        <v>34.637500000000003</v>
      </c>
      <c r="D100">
        <v>41.049399999999999</v>
      </c>
      <c r="E100">
        <v>42.143900000000002</v>
      </c>
      <c r="F100">
        <v>17969.673999999999</v>
      </c>
      <c r="G100">
        <v>8.9109999999999996</v>
      </c>
    </row>
    <row r="101" spans="1:7" x14ac:dyDescent="0.4">
      <c r="A101" s="141" t="s">
        <v>242</v>
      </c>
      <c r="B101">
        <v>5565.5280000000002</v>
      </c>
      <c r="C101">
        <v>44.886499999999998</v>
      </c>
      <c r="D101">
        <v>47.720799999999997</v>
      </c>
      <c r="E101">
        <v>48.515700000000002</v>
      </c>
      <c r="F101">
        <v>83291.383000000002</v>
      </c>
      <c r="G101">
        <v>13.3</v>
      </c>
    </row>
    <row r="102" spans="1:7" x14ac:dyDescent="0.4">
      <c r="A102" s="141" t="s">
        <v>243</v>
      </c>
      <c r="B102">
        <v>3416.42</v>
      </c>
      <c r="C102">
        <v>42.646500000000003</v>
      </c>
      <c r="D102">
        <v>46.142299999999999</v>
      </c>
      <c r="E102">
        <v>46.7331</v>
      </c>
      <c r="F102">
        <v>57057.375</v>
      </c>
      <c r="G102">
        <v>12.122</v>
      </c>
    </row>
    <row r="103" spans="1:7" x14ac:dyDescent="0.4">
      <c r="A103" s="141" t="s">
        <v>244</v>
      </c>
      <c r="B103">
        <v>1908.088</v>
      </c>
      <c r="C103">
        <v>39.822000000000003</v>
      </c>
      <c r="D103">
        <v>44.595500000000001</v>
      </c>
      <c r="E103">
        <v>44.923900000000003</v>
      </c>
      <c r="F103">
        <v>35783.165999999997</v>
      </c>
      <c r="G103">
        <v>10.705</v>
      </c>
    </row>
    <row r="104" spans="1:7" x14ac:dyDescent="0.4">
      <c r="A104" s="141" t="s">
        <v>245</v>
      </c>
      <c r="B104">
        <v>973.60799999999995</v>
      </c>
      <c r="C104">
        <v>36.646599999999999</v>
      </c>
      <c r="D104">
        <v>42.771999999999998</v>
      </c>
      <c r="E104">
        <v>42.858800000000002</v>
      </c>
      <c r="F104">
        <v>20374.384999999998</v>
      </c>
      <c r="G104">
        <v>9.1340000000000003</v>
      </c>
    </row>
    <row r="105" spans="1:7" x14ac:dyDescent="0.4">
      <c r="A105" s="141" t="s">
        <v>126</v>
      </c>
      <c r="B105">
        <v>4096.6400000000003</v>
      </c>
      <c r="C105">
        <v>38.610300000000002</v>
      </c>
      <c r="D105">
        <v>46.2393</v>
      </c>
      <c r="E105">
        <v>46.451300000000003</v>
      </c>
      <c r="F105">
        <v>53839.41</v>
      </c>
      <c r="G105">
        <v>5.5110000000000001</v>
      </c>
    </row>
    <row r="106" spans="1:7" x14ac:dyDescent="0.4">
      <c r="A106" s="141" t="s">
        <v>127</v>
      </c>
      <c r="B106">
        <v>1779.5719999999999</v>
      </c>
      <c r="C106">
        <v>37.102899999999998</v>
      </c>
      <c r="D106">
        <v>45.186500000000002</v>
      </c>
      <c r="E106">
        <v>45.392099999999999</v>
      </c>
      <c r="F106">
        <v>28659.824000000001</v>
      </c>
      <c r="G106">
        <v>4.5549999999999997</v>
      </c>
    </row>
    <row r="107" spans="1:7" x14ac:dyDescent="0.4">
      <c r="A107" s="141" t="s">
        <v>128</v>
      </c>
      <c r="B107">
        <v>836.64</v>
      </c>
      <c r="C107">
        <v>35.144199999999998</v>
      </c>
      <c r="D107">
        <v>43.879800000000003</v>
      </c>
      <c r="E107">
        <v>44.150100000000002</v>
      </c>
      <c r="F107">
        <v>15713.391</v>
      </c>
      <c r="G107">
        <v>3.7440000000000002</v>
      </c>
    </row>
    <row r="108" spans="1:7" x14ac:dyDescent="0.4">
      <c r="A108" s="141" t="s">
        <v>129</v>
      </c>
      <c r="B108">
        <v>399.34800000000001</v>
      </c>
      <c r="C108">
        <v>32.474200000000003</v>
      </c>
      <c r="D108">
        <v>42.229500000000002</v>
      </c>
      <c r="E108">
        <v>42.521799999999999</v>
      </c>
      <c r="F108">
        <v>7994.42</v>
      </c>
      <c r="G108">
        <v>3.2480000000000002</v>
      </c>
    </row>
    <row r="109" spans="1:7" x14ac:dyDescent="0.4">
      <c r="A109" s="141" t="s">
        <v>130</v>
      </c>
      <c r="B109">
        <v>2421.8159999999998</v>
      </c>
      <c r="C109">
        <v>40.650399999999998</v>
      </c>
      <c r="D109">
        <v>46.144799999999996</v>
      </c>
      <c r="E109">
        <v>47.317999999999998</v>
      </c>
      <c r="F109">
        <v>42193.911</v>
      </c>
      <c r="G109">
        <v>5.415</v>
      </c>
    </row>
    <row r="110" spans="1:7" x14ac:dyDescent="0.4">
      <c r="A110" s="141" t="s">
        <v>131</v>
      </c>
      <c r="B110">
        <v>1089.56</v>
      </c>
      <c r="C110">
        <v>39.506100000000004</v>
      </c>
      <c r="D110">
        <v>45.563299999999998</v>
      </c>
      <c r="E110">
        <v>46.064700000000002</v>
      </c>
      <c r="F110">
        <v>23061.541000000001</v>
      </c>
      <c r="G110">
        <v>4.5119999999999996</v>
      </c>
    </row>
    <row r="111" spans="1:7" x14ac:dyDescent="0.4">
      <c r="A111" s="141" t="s">
        <v>132</v>
      </c>
      <c r="B111">
        <v>515.19200000000001</v>
      </c>
      <c r="C111">
        <v>37.945900000000002</v>
      </c>
      <c r="D111">
        <v>44.8065</v>
      </c>
      <c r="E111">
        <v>44.481000000000002</v>
      </c>
      <c r="F111">
        <v>12140.004999999999</v>
      </c>
      <c r="G111">
        <v>4.0220000000000002</v>
      </c>
    </row>
    <row r="112" spans="1:7" x14ac:dyDescent="0.4">
      <c r="A112" s="141" t="s">
        <v>133</v>
      </c>
      <c r="B112">
        <v>233.82400000000001</v>
      </c>
      <c r="C112">
        <v>35.859200000000001</v>
      </c>
      <c r="D112">
        <v>43.630499999999998</v>
      </c>
      <c r="E112">
        <v>42.408000000000001</v>
      </c>
      <c r="F112">
        <v>5906.777</v>
      </c>
      <c r="G112">
        <v>3.5009999999999999</v>
      </c>
    </row>
    <row r="113" spans="1:7" x14ac:dyDescent="0.4">
      <c r="A113" s="141" t="s">
        <v>134</v>
      </c>
      <c r="B113">
        <v>922.13199999999995</v>
      </c>
      <c r="C113">
        <v>43.538499999999999</v>
      </c>
      <c r="D113">
        <v>47.260800000000003</v>
      </c>
      <c r="E113">
        <v>48.302199999999999</v>
      </c>
      <c r="F113">
        <v>18724.75</v>
      </c>
      <c r="G113">
        <v>4.1310000000000002</v>
      </c>
    </row>
    <row r="114" spans="1:7" x14ac:dyDescent="0.4">
      <c r="A114" s="141" t="s">
        <v>135</v>
      </c>
      <c r="B114">
        <v>505.52</v>
      </c>
      <c r="C114">
        <v>42.264699999999998</v>
      </c>
      <c r="D114">
        <v>46.525599999999997</v>
      </c>
      <c r="E114">
        <v>47.301099999999998</v>
      </c>
      <c r="F114">
        <v>10667.953</v>
      </c>
      <c r="G114">
        <v>3.8050000000000002</v>
      </c>
    </row>
    <row r="115" spans="1:7" x14ac:dyDescent="0.4">
      <c r="A115" s="141" t="s">
        <v>136</v>
      </c>
      <c r="B115">
        <v>290.05200000000002</v>
      </c>
      <c r="C115">
        <v>40.4786</v>
      </c>
      <c r="D115">
        <v>45.565600000000003</v>
      </c>
      <c r="E115">
        <v>46.0794</v>
      </c>
      <c r="F115">
        <v>5969.5720000000001</v>
      </c>
      <c r="G115">
        <v>3.5019999999999998</v>
      </c>
    </row>
    <row r="116" spans="1:7" x14ac:dyDescent="0.4">
      <c r="A116" s="141" t="s">
        <v>137</v>
      </c>
      <c r="B116">
        <v>162.524</v>
      </c>
      <c r="C116">
        <v>37.934899999999999</v>
      </c>
      <c r="D116">
        <v>43.9133</v>
      </c>
      <c r="E116">
        <v>44.023699999999998</v>
      </c>
      <c r="F116">
        <v>3417.8870000000002</v>
      </c>
      <c r="G116">
        <v>3.4409999999999998</v>
      </c>
    </row>
    <row r="117" spans="1:7" x14ac:dyDescent="0.4">
      <c r="A117" s="141" t="s">
        <v>138</v>
      </c>
      <c r="B117">
        <v>1282.808</v>
      </c>
      <c r="C117">
        <v>42.911499999999997</v>
      </c>
      <c r="D117">
        <v>49.037500000000001</v>
      </c>
      <c r="E117">
        <v>48.690899999999999</v>
      </c>
      <c r="F117">
        <v>21191.635999999999</v>
      </c>
      <c r="G117">
        <v>4.0979999999999999</v>
      </c>
    </row>
    <row r="118" spans="1:7" x14ac:dyDescent="0.4">
      <c r="A118" s="141" t="s">
        <v>139</v>
      </c>
      <c r="B118">
        <v>691.27200000000005</v>
      </c>
      <c r="C118">
        <v>41.632599999999996</v>
      </c>
      <c r="D118">
        <v>48.215800000000002</v>
      </c>
      <c r="E118">
        <v>47.690300000000001</v>
      </c>
      <c r="F118">
        <v>12305.73</v>
      </c>
      <c r="G118">
        <v>3.573</v>
      </c>
    </row>
    <row r="119" spans="1:7" x14ac:dyDescent="0.4">
      <c r="A119" s="141" t="s">
        <v>140</v>
      </c>
      <c r="B119">
        <v>394.3</v>
      </c>
      <c r="C119">
        <v>39.772300000000001</v>
      </c>
      <c r="D119">
        <v>47.298999999999999</v>
      </c>
      <c r="E119">
        <v>46.280999999999999</v>
      </c>
      <c r="F119">
        <v>7180.07</v>
      </c>
      <c r="G119">
        <v>3.524</v>
      </c>
    </row>
    <row r="120" spans="1:7" x14ac:dyDescent="0.4">
      <c r="A120" s="141" t="s">
        <v>141</v>
      </c>
      <c r="B120">
        <v>219.536</v>
      </c>
      <c r="C120">
        <v>37.061399999999999</v>
      </c>
      <c r="D120">
        <v>45.698500000000003</v>
      </c>
      <c r="E120">
        <v>43.969700000000003</v>
      </c>
      <c r="F120">
        <v>4172.6689999999999</v>
      </c>
      <c r="G120">
        <v>3.4009999999999998</v>
      </c>
    </row>
    <row r="121" spans="1:7" x14ac:dyDescent="0.4">
      <c r="A121" s="141" t="s">
        <v>246</v>
      </c>
    </row>
    <row r="122" spans="1:7" x14ac:dyDescent="0.4">
      <c r="A122" s="141" t="s">
        <v>247</v>
      </c>
    </row>
    <row r="123" spans="1:7" x14ac:dyDescent="0.4">
      <c r="A123" s="141" t="s">
        <v>248</v>
      </c>
    </row>
    <row r="124" spans="1:7" x14ac:dyDescent="0.4">
      <c r="A124" s="141" t="s">
        <v>249</v>
      </c>
    </row>
    <row r="125" spans="1:7" x14ac:dyDescent="0.4">
      <c r="A125" s="141" t="s">
        <v>250</v>
      </c>
    </row>
    <row r="126" spans="1:7" x14ac:dyDescent="0.4">
      <c r="A126" s="141" t="s">
        <v>251</v>
      </c>
    </row>
    <row r="127" spans="1:7" x14ac:dyDescent="0.4">
      <c r="A127" s="141" t="s">
        <v>252</v>
      </c>
    </row>
    <row r="128" spans="1:7" x14ac:dyDescent="0.4">
      <c r="A128" s="141" t="s">
        <v>253</v>
      </c>
    </row>
    <row r="129" spans="1:1" x14ac:dyDescent="0.4">
      <c r="A129" s="141" t="s">
        <v>334</v>
      </c>
    </row>
    <row r="130" spans="1:1" x14ac:dyDescent="0.4">
      <c r="A130" s="141" t="s">
        <v>335</v>
      </c>
    </row>
    <row r="131" spans="1:1" x14ac:dyDescent="0.4">
      <c r="A131" s="141" t="s">
        <v>336</v>
      </c>
    </row>
    <row r="132" spans="1:1" x14ac:dyDescent="0.4">
      <c r="A132" s="141" t="s">
        <v>337</v>
      </c>
    </row>
    <row r="133" spans="1:1" x14ac:dyDescent="0.4">
      <c r="A133" s="141" t="s">
        <v>338</v>
      </c>
    </row>
    <row r="134" spans="1:1" x14ac:dyDescent="0.4">
      <c r="A134" s="141" t="s">
        <v>339</v>
      </c>
    </row>
    <row r="135" spans="1:1" x14ac:dyDescent="0.4">
      <c r="A135" s="141" t="s">
        <v>340</v>
      </c>
    </row>
    <row r="136" spans="1:1" x14ac:dyDescent="0.4">
      <c r="A136" s="141" t="s">
        <v>341</v>
      </c>
    </row>
    <row r="137" spans="1:1" x14ac:dyDescent="0.4">
      <c r="A137" s="141" t="s">
        <v>342</v>
      </c>
    </row>
    <row r="138" spans="1:1" x14ac:dyDescent="0.4">
      <c r="A138" s="141" t="s">
        <v>343</v>
      </c>
    </row>
    <row r="139" spans="1:1" x14ac:dyDescent="0.4">
      <c r="A139" s="141" t="s">
        <v>344</v>
      </c>
    </row>
    <row r="140" spans="1:1" x14ac:dyDescent="0.4">
      <c r="A140" s="141" t="s">
        <v>345</v>
      </c>
    </row>
    <row r="141" spans="1:1" x14ac:dyDescent="0.4">
      <c r="A141" s="141" t="s">
        <v>346</v>
      </c>
    </row>
    <row r="142" spans="1:1" x14ac:dyDescent="0.4">
      <c r="A142" s="141" t="s">
        <v>347</v>
      </c>
    </row>
    <row r="143" spans="1:1" x14ac:dyDescent="0.4">
      <c r="A143" s="141" t="s">
        <v>348</v>
      </c>
    </row>
    <row r="144" spans="1:1" x14ac:dyDescent="0.4">
      <c r="A144" s="141" t="s">
        <v>349</v>
      </c>
    </row>
    <row r="145" spans="1:7" x14ac:dyDescent="0.4">
      <c r="A145" s="141" t="s">
        <v>254</v>
      </c>
      <c r="B145">
        <v>17057.792000000001</v>
      </c>
      <c r="C145">
        <v>40.170499999999997</v>
      </c>
      <c r="D145">
        <v>48.763500000000001</v>
      </c>
      <c r="E145">
        <v>46.6828</v>
      </c>
      <c r="F145">
        <v>204820.79699999999</v>
      </c>
      <c r="G145">
        <v>28.68</v>
      </c>
    </row>
    <row r="146" spans="1:7" x14ac:dyDescent="0.4">
      <c r="A146" s="141" t="s">
        <v>255</v>
      </c>
      <c r="B146">
        <v>8444.7440000000006</v>
      </c>
      <c r="C146">
        <v>39.565100000000001</v>
      </c>
      <c r="D146">
        <v>47.920299999999997</v>
      </c>
      <c r="E146">
        <v>45.557299999999998</v>
      </c>
      <c r="F146">
        <v>115506.008</v>
      </c>
      <c r="G146">
        <v>24.882999999999999</v>
      </c>
    </row>
    <row r="147" spans="1:7" x14ac:dyDescent="0.4">
      <c r="A147" s="141" t="s">
        <v>256</v>
      </c>
      <c r="B147">
        <v>4595.4799999999996</v>
      </c>
      <c r="C147">
        <v>38.576000000000001</v>
      </c>
      <c r="D147">
        <v>46.935699999999997</v>
      </c>
      <c r="E147">
        <v>44.166800000000002</v>
      </c>
      <c r="F147">
        <v>60715.601999999999</v>
      </c>
      <c r="G147">
        <v>21.108000000000001</v>
      </c>
    </row>
    <row r="148" spans="1:7" x14ac:dyDescent="0.4">
      <c r="A148" s="141" t="s">
        <v>257</v>
      </c>
      <c r="B148">
        <v>2496.6559999999999</v>
      </c>
      <c r="C148">
        <v>37.037199999999999</v>
      </c>
      <c r="D148">
        <v>45.553600000000003</v>
      </c>
      <c r="E148">
        <v>42.494399999999999</v>
      </c>
      <c r="F148">
        <v>31359.516</v>
      </c>
      <c r="G148">
        <v>17.863</v>
      </c>
    </row>
    <row r="149" spans="1:7" x14ac:dyDescent="0.4">
      <c r="A149" s="141" t="s">
        <v>258</v>
      </c>
      <c r="B149">
        <v>91139.024000000005</v>
      </c>
      <c r="C149">
        <v>41.737099999999998</v>
      </c>
      <c r="D149">
        <v>36.692500000000003</v>
      </c>
      <c r="E149">
        <v>37.707299999999996</v>
      </c>
      <c r="F149">
        <v>354860.125</v>
      </c>
      <c r="G149">
        <v>30.43</v>
      </c>
    </row>
    <row r="150" spans="1:7" x14ac:dyDescent="0.4">
      <c r="A150" s="141" t="s">
        <v>259</v>
      </c>
      <c r="B150">
        <v>46634.92</v>
      </c>
      <c r="C150">
        <v>38.941699999999997</v>
      </c>
      <c r="D150">
        <v>34.4193</v>
      </c>
      <c r="E150">
        <v>35.801099999999998</v>
      </c>
      <c r="F150">
        <v>248097.21900000001</v>
      </c>
      <c r="G150">
        <v>25.98</v>
      </c>
    </row>
    <row r="151" spans="1:7" x14ac:dyDescent="0.4">
      <c r="A151" s="141" t="s">
        <v>260</v>
      </c>
      <c r="B151">
        <v>21688.351999999999</v>
      </c>
      <c r="C151">
        <v>35.844299999999997</v>
      </c>
      <c r="D151">
        <v>32.509799999999998</v>
      </c>
      <c r="E151">
        <v>34.190800000000003</v>
      </c>
      <c r="F151">
        <v>160255.016</v>
      </c>
      <c r="G151">
        <v>23.01</v>
      </c>
    </row>
    <row r="152" spans="1:7" x14ac:dyDescent="0.4">
      <c r="A152" s="141" t="s">
        <v>261</v>
      </c>
      <c r="B152">
        <v>9157.3359999999993</v>
      </c>
      <c r="C152">
        <v>32.828899999999997</v>
      </c>
      <c r="D152">
        <v>30.808800000000002</v>
      </c>
      <c r="E152">
        <v>32.818100000000001</v>
      </c>
      <c r="F152">
        <v>90759.57</v>
      </c>
      <c r="G152">
        <v>18.635999999999999</v>
      </c>
    </row>
    <row r="153" spans="1:7" x14ac:dyDescent="0.4">
      <c r="A153" s="141" t="s">
        <v>262</v>
      </c>
      <c r="B153">
        <v>45118.648000000001</v>
      </c>
      <c r="C153">
        <v>38.879899999999999</v>
      </c>
      <c r="D153">
        <v>41.2179</v>
      </c>
      <c r="E153">
        <v>41.486600000000003</v>
      </c>
      <c r="F153">
        <v>188798.31200000001</v>
      </c>
      <c r="G153">
        <v>17.460999999999999</v>
      </c>
    </row>
    <row r="154" spans="1:7" x14ac:dyDescent="0.4">
      <c r="A154" s="141" t="s">
        <v>263</v>
      </c>
      <c r="B154">
        <v>22144.088</v>
      </c>
      <c r="C154">
        <v>37.519399999999997</v>
      </c>
      <c r="D154">
        <v>38.645899999999997</v>
      </c>
      <c r="E154">
        <v>40.108600000000003</v>
      </c>
      <c r="F154">
        <v>113006.211</v>
      </c>
      <c r="G154">
        <v>13.808999999999999</v>
      </c>
    </row>
    <row r="155" spans="1:7" x14ac:dyDescent="0.4">
      <c r="A155" s="141" t="s">
        <v>264</v>
      </c>
      <c r="B155">
        <v>11576.944</v>
      </c>
      <c r="C155">
        <v>35.971699999999998</v>
      </c>
      <c r="D155">
        <v>36.412100000000002</v>
      </c>
      <c r="E155">
        <v>38.6751</v>
      </c>
      <c r="F155">
        <v>72377.233999999997</v>
      </c>
      <c r="G155">
        <v>11.884</v>
      </c>
    </row>
    <row r="156" spans="1:7" x14ac:dyDescent="0.4">
      <c r="A156" s="141" t="s">
        <v>265</v>
      </c>
      <c r="B156">
        <v>5684.28</v>
      </c>
      <c r="C156">
        <v>34.054000000000002</v>
      </c>
      <c r="D156">
        <v>33.984499999999997</v>
      </c>
      <c r="E156">
        <v>36.925899999999999</v>
      </c>
      <c r="F156">
        <v>41804.059000000001</v>
      </c>
      <c r="G156">
        <v>10.738</v>
      </c>
    </row>
    <row r="157" spans="1:7" x14ac:dyDescent="0.4">
      <c r="A157" s="141" t="s">
        <v>266</v>
      </c>
      <c r="B157">
        <v>24494.016</v>
      </c>
      <c r="C157">
        <v>37.539900000000003</v>
      </c>
      <c r="D157">
        <v>45.031100000000002</v>
      </c>
      <c r="E157">
        <v>42.793399999999998</v>
      </c>
      <c r="F157">
        <v>281457.65600000002</v>
      </c>
      <c r="G157">
        <v>27.954999999999998</v>
      </c>
    </row>
    <row r="158" spans="1:7" x14ac:dyDescent="0.4">
      <c r="A158" s="141" t="s">
        <v>267</v>
      </c>
      <c r="B158">
        <v>10320.52</v>
      </c>
      <c r="C158">
        <v>36.917999999999999</v>
      </c>
      <c r="D158">
        <v>44.376100000000001</v>
      </c>
      <c r="E158">
        <v>42.082900000000002</v>
      </c>
      <c r="F158">
        <v>150826.96900000001</v>
      </c>
      <c r="G158">
        <v>22.835999999999999</v>
      </c>
    </row>
    <row r="159" spans="1:7" x14ac:dyDescent="0.4">
      <c r="A159" s="141" t="s">
        <v>268</v>
      </c>
      <c r="B159">
        <v>5150.5680000000002</v>
      </c>
      <c r="C159">
        <v>35.905099999999997</v>
      </c>
      <c r="D159">
        <v>43.468400000000003</v>
      </c>
      <c r="E159">
        <v>41.138399999999997</v>
      </c>
      <c r="F159">
        <v>81628.983999999997</v>
      </c>
      <c r="G159">
        <v>19.050999999999998</v>
      </c>
    </row>
    <row r="160" spans="1:7" x14ac:dyDescent="0.4">
      <c r="A160" s="141" t="s">
        <v>269</v>
      </c>
      <c r="B160">
        <v>2561.44</v>
      </c>
      <c r="C160">
        <v>34.330800000000004</v>
      </c>
      <c r="D160">
        <v>42.138800000000003</v>
      </c>
      <c r="E160">
        <v>40.01</v>
      </c>
      <c r="F160">
        <v>41240.586000000003</v>
      </c>
      <c r="G160">
        <v>15.295</v>
      </c>
    </row>
    <row r="161" spans="1:7" x14ac:dyDescent="0.4">
      <c r="A161" s="141" t="s">
        <v>142</v>
      </c>
      <c r="B161">
        <v>7974.0432000000001</v>
      </c>
      <c r="C161">
        <v>38.0244</v>
      </c>
      <c r="D161">
        <v>39.740400000000001</v>
      </c>
      <c r="E161">
        <v>42.826700000000002</v>
      </c>
      <c r="F161">
        <v>316156.31199999998</v>
      </c>
      <c r="G161">
        <v>25.91</v>
      </c>
    </row>
    <row r="162" spans="1:7" x14ac:dyDescent="0.4">
      <c r="A162" s="141" t="s">
        <v>143</v>
      </c>
      <c r="B162">
        <v>3761.5167999999999</v>
      </c>
      <c r="C162">
        <v>36.682499999999997</v>
      </c>
      <c r="D162">
        <v>39.1</v>
      </c>
      <c r="E162">
        <v>41.654400000000003</v>
      </c>
      <c r="F162">
        <v>195110.43799999999</v>
      </c>
      <c r="G162">
        <v>22.050999999999998</v>
      </c>
    </row>
    <row r="163" spans="1:7" x14ac:dyDescent="0.4">
      <c r="A163" s="141" t="s">
        <v>144</v>
      </c>
      <c r="B163">
        <v>1845.1407999999999</v>
      </c>
      <c r="C163">
        <v>34.811799999999998</v>
      </c>
      <c r="D163">
        <v>38.271700000000003</v>
      </c>
      <c r="E163">
        <v>40.188000000000002</v>
      </c>
      <c r="F163">
        <v>117148.234</v>
      </c>
      <c r="G163">
        <v>17.722999999999999</v>
      </c>
    </row>
    <row r="164" spans="1:7" x14ac:dyDescent="0.4">
      <c r="A164" s="141" t="s">
        <v>145</v>
      </c>
      <c r="B164">
        <v>882.79039999999998</v>
      </c>
      <c r="C164">
        <v>32.496099999999998</v>
      </c>
      <c r="D164">
        <v>37.267400000000002</v>
      </c>
      <c r="E164">
        <v>38.519399999999997</v>
      </c>
      <c r="F164">
        <v>65970.851999999999</v>
      </c>
      <c r="G164">
        <v>13.356999999999999</v>
      </c>
    </row>
    <row r="165" spans="1:7" x14ac:dyDescent="0.4">
      <c r="A165" s="141" t="s">
        <v>146</v>
      </c>
      <c r="B165">
        <v>9100.6016</v>
      </c>
      <c r="C165">
        <v>38.741</v>
      </c>
      <c r="D165">
        <v>43.689700000000002</v>
      </c>
      <c r="E165">
        <v>44.619500000000002</v>
      </c>
      <c r="F165">
        <v>345959.28100000002</v>
      </c>
      <c r="G165">
        <v>31.969000000000001</v>
      </c>
    </row>
    <row r="166" spans="1:7" x14ac:dyDescent="0.4">
      <c r="A166" s="141" t="s">
        <v>147</v>
      </c>
      <c r="B166">
        <v>4702.4143999999997</v>
      </c>
      <c r="C166">
        <v>37.535200000000003</v>
      </c>
      <c r="D166">
        <v>42.712800000000001</v>
      </c>
      <c r="E166">
        <v>43.117100000000001</v>
      </c>
      <c r="F166">
        <v>213648.81200000001</v>
      </c>
      <c r="G166">
        <v>27.268999999999998</v>
      </c>
    </row>
    <row r="167" spans="1:7" x14ac:dyDescent="0.4">
      <c r="A167" s="141" t="s">
        <v>148</v>
      </c>
      <c r="B167">
        <v>2398.5007999999998</v>
      </c>
      <c r="C167">
        <v>35.858800000000002</v>
      </c>
      <c r="D167">
        <v>41.496000000000002</v>
      </c>
      <c r="E167">
        <v>41.405200000000001</v>
      </c>
      <c r="F167">
        <v>125487.57</v>
      </c>
      <c r="G167">
        <v>21.513000000000002</v>
      </c>
    </row>
    <row r="168" spans="1:7" x14ac:dyDescent="0.4">
      <c r="A168" s="141" t="s">
        <v>149</v>
      </c>
      <c r="B168">
        <v>1188.5024000000001</v>
      </c>
      <c r="C168">
        <v>33.763399999999997</v>
      </c>
      <c r="D168">
        <v>40.119199999999999</v>
      </c>
      <c r="E168">
        <v>39.460799999999999</v>
      </c>
      <c r="F168">
        <v>69540.843999999997</v>
      </c>
      <c r="G168">
        <v>17.777000000000001</v>
      </c>
    </row>
    <row r="169" spans="1:7" x14ac:dyDescent="0.4">
      <c r="A169" s="141" t="s">
        <v>270</v>
      </c>
      <c r="B169">
        <v>6358.0320000000002</v>
      </c>
      <c r="C169">
        <v>39.833100000000002</v>
      </c>
      <c r="D169">
        <v>43.806399999999996</v>
      </c>
      <c r="E169">
        <v>44.503999999999998</v>
      </c>
      <c r="F169">
        <v>312799.25</v>
      </c>
      <c r="G169">
        <v>32.603000000000002</v>
      </c>
    </row>
    <row r="170" spans="1:7" x14ac:dyDescent="0.4">
      <c r="A170" s="141" t="s">
        <v>271</v>
      </c>
      <c r="B170">
        <v>3031.3535999999999</v>
      </c>
      <c r="C170">
        <v>38.538699999999999</v>
      </c>
      <c r="D170">
        <v>42.936399999999999</v>
      </c>
      <c r="E170">
        <v>43.659300000000002</v>
      </c>
      <c r="F170">
        <v>180940.766</v>
      </c>
      <c r="G170">
        <v>26.728000000000002</v>
      </c>
    </row>
    <row r="171" spans="1:7" x14ac:dyDescent="0.4">
      <c r="A171" s="141" t="s">
        <v>272</v>
      </c>
      <c r="B171">
        <v>1460.3088</v>
      </c>
      <c r="C171">
        <v>36.723599999999998</v>
      </c>
      <c r="D171">
        <v>41.836799999999997</v>
      </c>
      <c r="E171">
        <v>42.425899999999999</v>
      </c>
      <c r="F171">
        <v>99857.351999999999</v>
      </c>
      <c r="G171">
        <v>20.503</v>
      </c>
    </row>
    <row r="172" spans="1:7" x14ac:dyDescent="0.4">
      <c r="A172" s="141" t="s">
        <v>273</v>
      </c>
      <c r="B172">
        <v>687.33920000000001</v>
      </c>
      <c r="C172">
        <v>34.431399999999996</v>
      </c>
      <c r="D172">
        <v>40.6614</v>
      </c>
      <c r="E172">
        <v>41.065399999999997</v>
      </c>
      <c r="F172">
        <v>52471.766000000003</v>
      </c>
      <c r="G172">
        <v>16.960999999999999</v>
      </c>
    </row>
    <row r="173" spans="1:7" x14ac:dyDescent="0.4">
      <c r="A173" s="141" t="s">
        <v>274</v>
      </c>
      <c r="B173">
        <v>6711.8320000000003</v>
      </c>
      <c r="C173">
        <v>43.387500000000003</v>
      </c>
      <c r="D173">
        <v>46.724699999999999</v>
      </c>
      <c r="E173">
        <v>47.313899999999997</v>
      </c>
      <c r="F173">
        <v>256566.95300000001</v>
      </c>
      <c r="G173">
        <v>34.173000000000002</v>
      </c>
    </row>
    <row r="174" spans="1:7" x14ac:dyDescent="0.4">
      <c r="A174" s="141" t="s">
        <v>275</v>
      </c>
      <c r="B174">
        <v>4084.5023999999999</v>
      </c>
      <c r="C174">
        <v>41.072800000000001</v>
      </c>
      <c r="D174">
        <v>45.272300000000001</v>
      </c>
      <c r="E174">
        <v>45.6404</v>
      </c>
      <c r="F174">
        <v>180021.40599999999</v>
      </c>
      <c r="G174">
        <v>30.311</v>
      </c>
    </row>
    <row r="175" spans="1:7" x14ac:dyDescent="0.4">
      <c r="A175" s="141" t="s">
        <v>276</v>
      </c>
      <c r="B175">
        <v>2259.2303999999999</v>
      </c>
      <c r="C175">
        <v>38.271599999999999</v>
      </c>
      <c r="D175">
        <v>43.604100000000003</v>
      </c>
      <c r="E175">
        <v>43.768000000000001</v>
      </c>
      <c r="F175">
        <v>113617.04700000001</v>
      </c>
      <c r="G175">
        <v>24.745999999999999</v>
      </c>
    </row>
    <row r="176" spans="1:7" x14ac:dyDescent="0.4">
      <c r="A176" s="141" t="s">
        <v>277</v>
      </c>
      <c r="B176">
        <v>1174.152</v>
      </c>
      <c r="C176">
        <v>35.306600000000003</v>
      </c>
      <c r="D176">
        <v>42.008600000000001</v>
      </c>
      <c r="E176">
        <v>41.898600000000002</v>
      </c>
      <c r="F176">
        <v>65236.964999999997</v>
      </c>
      <c r="G176">
        <v>19.157</v>
      </c>
    </row>
    <row r="177" spans="1:7" x14ac:dyDescent="0.4">
      <c r="A177" s="141" t="s">
        <v>150</v>
      </c>
      <c r="B177" s="71">
        <v>4677.1135999999997</v>
      </c>
      <c r="C177" s="71">
        <v>38.456499999999998</v>
      </c>
      <c r="D177" s="71">
        <v>45.530299999999997</v>
      </c>
      <c r="E177" s="71">
        <v>45.737400000000001</v>
      </c>
      <c r="F177" s="71">
        <v>178078.984</v>
      </c>
      <c r="G177" s="71">
        <v>14.906000000000001</v>
      </c>
    </row>
    <row r="178" spans="1:7" x14ac:dyDescent="0.4">
      <c r="A178" s="141" t="s">
        <v>151</v>
      </c>
      <c r="B178" s="71">
        <v>1631.8992000000001</v>
      </c>
      <c r="C178" s="71">
        <v>36.4619</v>
      </c>
      <c r="D178" s="71">
        <v>44.545099999999998</v>
      </c>
      <c r="E178" s="71">
        <v>44.747</v>
      </c>
      <c r="F178" s="71">
        <v>90250.577999999994</v>
      </c>
      <c r="G178" s="71">
        <v>10.013</v>
      </c>
    </row>
    <row r="179" spans="1:7" x14ac:dyDescent="0.4">
      <c r="A179" s="141" t="s">
        <v>152</v>
      </c>
      <c r="B179" s="71">
        <v>651.77599999999995</v>
      </c>
      <c r="C179" s="71">
        <v>34.034599999999998</v>
      </c>
      <c r="D179" s="71">
        <v>43.172699999999999</v>
      </c>
      <c r="E179" s="71">
        <v>43.4069</v>
      </c>
      <c r="F179" s="71">
        <v>50835.641000000003</v>
      </c>
      <c r="G179" s="71">
        <v>7.2489999999999997</v>
      </c>
    </row>
    <row r="180" spans="1:7" x14ac:dyDescent="0.4">
      <c r="A180" s="141" t="s">
        <v>153</v>
      </c>
      <c r="B180" s="71">
        <v>274.48160000000001</v>
      </c>
      <c r="C180" s="71">
        <v>31.023900000000001</v>
      </c>
      <c r="D180" s="71">
        <v>41.927100000000003</v>
      </c>
      <c r="E180" s="71">
        <v>42.039499999999997</v>
      </c>
      <c r="F180" s="71">
        <v>28960.002</v>
      </c>
      <c r="G180" s="71">
        <v>5.5919999999999996</v>
      </c>
    </row>
    <row r="181" spans="1:7" x14ac:dyDescent="0.4">
      <c r="A181" s="141" t="s">
        <v>154</v>
      </c>
      <c r="B181" s="71">
        <v>3771.1792</v>
      </c>
      <c r="C181" s="71">
        <v>40.532899999999998</v>
      </c>
      <c r="D181" s="71">
        <v>45.254300000000001</v>
      </c>
      <c r="E181" s="71">
        <v>46.063099999999999</v>
      </c>
      <c r="F181" s="71">
        <v>151975.016</v>
      </c>
      <c r="G181" s="71">
        <v>14.920999999999999</v>
      </c>
    </row>
    <row r="182" spans="1:7" x14ac:dyDescent="0.4">
      <c r="A182" s="141" t="s">
        <v>155</v>
      </c>
      <c r="B182" s="71">
        <v>1703.3807999999999</v>
      </c>
      <c r="C182" s="71">
        <v>38.881700000000002</v>
      </c>
      <c r="D182" s="71">
        <v>44.437399999999997</v>
      </c>
      <c r="E182" s="71">
        <v>44.526400000000002</v>
      </c>
      <c r="F182" s="71">
        <v>89355.797000000006</v>
      </c>
      <c r="G182" s="71">
        <v>11.941000000000001</v>
      </c>
    </row>
    <row r="183" spans="1:7" x14ac:dyDescent="0.4">
      <c r="A183" s="141" t="s">
        <v>156</v>
      </c>
      <c r="B183" s="71">
        <v>813.58879999999999</v>
      </c>
      <c r="C183" s="71">
        <v>36.912100000000002</v>
      </c>
      <c r="D183" s="71">
        <v>43.406599999999997</v>
      </c>
      <c r="E183" s="71">
        <v>42.744700000000002</v>
      </c>
      <c r="F183" s="71">
        <v>49850.688000000002</v>
      </c>
      <c r="G183" s="71">
        <v>8.8149999999999995</v>
      </c>
    </row>
    <row r="184" spans="1:7" x14ac:dyDescent="0.4">
      <c r="A184" s="141" t="s">
        <v>157</v>
      </c>
      <c r="B184" s="71">
        <v>381.15359999999998</v>
      </c>
      <c r="C184" s="71">
        <v>34.6753</v>
      </c>
      <c r="D184" s="71">
        <v>42.148899999999998</v>
      </c>
      <c r="E184" s="71">
        <v>40.6569</v>
      </c>
      <c r="F184" s="71">
        <v>25988.396000000001</v>
      </c>
      <c r="G184" s="71">
        <v>7.1390000000000002</v>
      </c>
    </row>
    <row r="185" spans="1:7" x14ac:dyDescent="0.4">
      <c r="A185" s="141" t="s">
        <v>158</v>
      </c>
      <c r="B185" s="71">
        <v>917.57759999999996</v>
      </c>
      <c r="C185" s="71">
        <v>42.970300000000002</v>
      </c>
      <c r="D185" s="71">
        <v>46.781399999999998</v>
      </c>
      <c r="E185" s="71">
        <v>47.597499999999997</v>
      </c>
      <c r="F185" s="71">
        <v>57858.34</v>
      </c>
      <c r="G185" s="71">
        <v>7.6779999999999999</v>
      </c>
    </row>
    <row r="186" spans="1:7" x14ac:dyDescent="0.4">
      <c r="A186" s="141" t="s">
        <v>159</v>
      </c>
      <c r="B186" s="71">
        <v>468.22239999999999</v>
      </c>
      <c r="C186" s="71">
        <v>41.296900000000001</v>
      </c>
      <c r="D186" s="71">
        <v>45.950600000000001</v>
      </c>
      <c r="E186" s="71">
        <v>46.571399999999997</v>
      </c>
      <c r="F186" s="71">
        <v>34027.394999999997</v>
      </c>
      <c r="G186" s="71">
        <v>5.5</v>
      </c>
    </row>
    <row r="187" spans="1:7" x14ac:dyDescent="0.4">
      <c r="A187" s="141" t="s">
        <v>160</v>
      </c>
      <c r="B187" s="71">
        <v>250.1952</v>
      </c>
      <c r="C187" s="71">
        <v>39.0762</v>
      </c>
      <c r="D187" s="71">
        <v>44.761800000000001</v>
      </c>
      <c r="E187" s="71">
        <v>45.181800000000003</v>
      </c>
      <c r="F187" s="71">
        <v>19982.282999999999</v>
      </c>
      <c r="G187" s="71">
        <v>4.6710000000000003</v>
      </c>
    </row>
    <row r="188" spans="1:7" x14ac:dyDescent="0.4">
      <c r="A188" s="141" t="s">
        <v>161</v>
      </c>
      <c r="B188" s="71">
        <v>136.16480000000001</v>
      </c>
      <c r="C188" s="71">
        <v>36.305399999999999</v>
      </c>
      <c r="D188" s="71">
        <v>43.0002</v>
      </c>
      <c r="E188" s="71">
        <v>43.238</v>
      </c>
      <c r="F188" s="71">
        <v>11676.726000000001</v>
      </c>
      <c r="G188" s="71">
        <v>4.3639999999999999</v>
      </c>
    </row>
    <row r="189" spans="1:7" x14ac:dyDescent="0.4">
      <c r="A189" s="141" t="s">
        <v>162</v>
      </c>
      <c r="B189" s="71">
        <v>1257.5616</v>
      </c>
      <c r="C189" s="71">
        <v>42.677999999999997</v>
      </c>
      <c r="D189" s="71">
        <v>48.560400000000001</v>
      </c>
      <c r="E189" s="71">
        <v>47.552300000000002</v>
      </c>
      <c r="F189" s="71">
        <v>65129.141000000003</v>
      </c>
      <c r="G189" s="71">
        <v>8.7349999999999994</v>
      </c>
    </row>
    <row r="190" spans="1:7" x14ac:dyDescent="0.4">
      <c r="A190" s="141" t="s">
        <v>163</v>
      </c>
      <c r="B190" s="71">
        <v>607.64160000000004</v>
      </c>
      <c r="C190" s="71">
        <v>40.907299999999999</v>
      </c>
      <c r="D190" s="71">
        <v>47.787500000000001</v>
      </c>
      <c r="E190" s="71">
        <v>46.822699999999998</v>
      </c>
      <c r="F190" s="71">
        <v>37047.129000000001</v>
      </c>
      <c r="G190" s="71">
        <v>6.1150000000000002</v>
      </c>
    </row>
    <row r="191" spans="1:7" x14ac:dyDescent="0.4">
      <c r="A191" s="141" t="s">
        <v>164</v>
      </c>
      <c r="B191" s="71">
        <v>322.9264</v>
      </c>
      <c r="C191" s="71">
        <v>38.526400000000002</v>
      </c>
      <c r="D191" s="71">
        <v>46.687600000000003</v>
      </c>
      <c r="E191" s="71">
        <v>45.459800000000001</v>
      </c>
      <c r="F191" s="71">
        <v>21884.697</v>
      </c>
      <c r="G191" s="71">
        <v>5.1760000000000002</v>
      </c>
    </row>
    <row r="192" spans="1:7" x14ac:dyDescent="0.4">
      <c r="A192" s="141" t="s">
        <v>165</v>
      </c>
      <c r="B192" s="71">
        <v>175.952</v>
      </c>
      <c r="C192" s="71">
        <v>35.429900000000004</v>
      </c>
      <c r="D192" s="71">
        <v>45.198999999999998</v>
      </c>
      <c r="E192" s="71">
        <v>43.421599999999998</v>
      </c>
      <c r="F192" s="71">
        <v>13473.629000000001</v>
      </c>
      <c r="G192" s="71">
        <v>4.57</v>
      </c>
    </row>
    <row r="193" spans="1:7" x14ac:dyDescent="0.4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4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4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4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4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4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4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4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4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4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4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4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4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4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4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4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4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4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4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4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4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4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4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4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4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4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4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4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4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4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4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4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4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4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4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4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4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4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4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4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4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4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4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4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4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4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4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4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4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4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4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4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4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4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4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4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4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4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4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4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4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4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4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4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4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4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4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4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4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4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4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4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4">
      <c r="A265" s="141" t="s">
        <v>310</v>
      </c>
    </row>
    <row r="266" spans="1:7" x14ac:dyDescent="0.4">
      <c r="A266" s="141" t="s">
        <v>311</v>
      </c>
    </row>
    <row r="267" spans="1:7" x14ac:dyDescent="0.4">
      <c r="A267" s="141" t="s">
        <v>312</v>
      </c>
    </row>
    <row r="268" spans="1:7" x14ac:dyDescent="0.4">
      <c r="A268" s="141" t="s">
        <v>313</v>
      </c>
    </row>
    <row r="269" spans="1:7" x14ac:dyDescent="0.4">
      <c r="A269" s="141" t="s">
        <v>314</v>
      </c>
    </row>
    <row r="270" spans="1:7" x14ac:dyDescent="0.4">
      <c r="A270" s="141" t="s">
        <v>315</v>
      </c>
    </row>
    <row r="271" spans="1:7" x14ac:dyDescent="0.4">
      <c r="A271" s="141" t="s">
        <v>316</v>
      </c>
    </row>
    <row r="272" spans="1:7" x14ac:dyDescent="0.4">
      <c r="A272" s="141" t="s">
        <v>317</v>
      </c>
    </row>
    <row r="273" spans="1:1" x14ac:dyDescent="0.4">
      <c r="A273" s="141" t="s">
        <v>390</v>
      </c>
    </row>
    <row r="274" spans="1:1" x14ac:dyDescent="0.4">
      <c r="A274" s="141" t="s">
        <v>391</v>
      </c>
    </row>
    <row r="275" spans="1:1" x14ac:dyDescent="0.4">
      <c r="A275" s="141" t="s">
        <v>392</v>
      </c>
    </row>
    <row r="276" spans="1:1" x14ac:dyDescent="0.4">
      <c r="A276" s="141" t="s">
        <v>393</v>
      </c>
    </row>
    <row r="277" spans="1:1" x14ac:dyDescent="0.4">
      <c r="A277" s="141" t="s">
        <v>394</v>
      </c>
    </row>
    <row r="278" spans="1:1" x14ac:dyDescent="0.4">
      <c r="A278" s="141" t="s">
        <v>395</v>
      </c>
    </row>
    <row r="279" spans="1:1" x14ac:dyDescent="0.4">
      <c r="A279" s="141" t="s">
        <v>396</v>
      </c>
    </row>
    <row r="280" spans="1:1" x14ac:dyDescent="0.4">
      <c r="A280" s="141" t="s">
        <v>397</v>
      </c>
    </row>
    <row r="281" spans="1:1" x14ac:dyDescent="0.4">
      <c r="A281" s="141" t="s">
        <v>398</v>
      </c>
    </row>
    <row r="282" spans="1:1" x14ac:dyDescent="0.4">
      <c r="A282" s="141" t="s">
        <v>399</v>
      </c>
    </row>
    <row r="283" spans="1:1" x14ac:dyDescent="0.4">
      <c r="A283" s="141" t="s">
        <v>400</v>
      </c>
    </row>
    <row r="284" spans="1:1" x14ac:dyDescent="0.4">
      <c r="A284" s="141" t="s">
        <v>401</v>
      </c>
    </row>
    <row r="285" spans="1:1" x14ac:dyDescent="0.4">
      <c r="A285" s="141" t="s">
        <v>402</v>
      </c>
    </row>
    <row r="286" spans="1:1" x14ac:dyDescent="0.4">
      <c r="A286" s="141" t="s">
        <v>403</v>
      </c>
    </row>
    <row r="287" spans="1:1" x14ac:dyDescent="0.4">
      <c r="A287" s="141" t="s">
        <v>404</v>
      </c>
    </row>
    <row r="288" spans="1:1" x14ac:dyDescent="0.4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Admin</cp:lastModifiedBy>
  <dcterms:created xsi:type="dcterms:W3CDTF">2011-06-30T00:09:01Z</dcterms:created>
  <dcterms:modified xsi:type="dcterms:W3CDTF">2021-08-09T07:07:49Z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