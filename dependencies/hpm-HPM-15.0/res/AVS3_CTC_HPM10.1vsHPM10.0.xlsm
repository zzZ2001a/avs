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10.0_debug\res\"/>
    </mc:Choice>
  </mc:AlternateContent>
  <xr:revisionPtr revIDLastSave="0" documentId="13_ncr:1_{8E875CD5-81EE-4A89-AE26-115BBFB2E458}" xr6:coauthVersionLast="36" xr6:coauthVersionMax="36" xr10:uidLastSave="{00000000-0000-0000-0000-000000000000}"/>
  <bookViews>
    <workbookView xWindow="0" yWindow="15600" windowWidth="28215" windowHeight="7305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I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T50" i="29" s="1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G59" i="25"/>
  <c r="F59" i="25"/>
  <c r="E59" i="25"/>
  <c r="D59" i="25"/>
  <c r="I4" i="25"/>
  <c r="R6" i="25"/>
  <c r="H7" i="25"/>
  <c r="J7" i="25" s="1"/>
  <c r="H8" i="25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E56" i="20"/>
  <c r="F56" i="20"/>
  <c r="G56" i="20"/>
  <c r="H56" i="20"/>
  <c r="J56" i="20" s="1"/>
  <c r="E57" i="20"/>
  <c r="F57" i="20"/>
  <c r="G57" i="20"/>
  <c r="H57" i="20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J60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J47" i="25"/>
  <c r="J52" i="25"/>
  <c r="J9" i="20"/>
  <c r="J57" i="20"/>
  <c r="AB4" i="10"/>
  <c r="AB5" i="10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12" i="25"/>
  <c r="J24" i="25"/>
  <c r="J8" i="25"/>
  <c r="J36" i="25"/>
  <c r="J50" i="20"/>
  <c r="J45" i="20"/>
  <c r="J48" i="25"/>
  <c r="J3" i="29"/>
  <c r="J63" i="20"/>
  <c r="J37" i="25"/>
  <c r="J13" i="20"/>
  <c r="J59" i="25"/>
  <c r="S62" i="29"/>
  <c r="S47" i="25"/>
  <c r="J55" i="20"/>
  <c r="J42" i="20"/>
  <c r="J3" i="25"/>
  <c r="J47" i="20"/>
  <c r="S53" i="25"/>
  <c r="T57" i="29"/>
  <c r="J48" i="29"/>
  <c r="R56" i="25"/>
  <c r="S31" i="29"/>
  <c r="M12" i="30" s="1"/>
  <c r="S50" i="29"/>
  <c r="J31" i="29"/>
  <c r="J22" i="25"/>
  <c r="T59" i="29"/>
  <c r="T79" i="29" s="1"/>
  <c r="N28" i="30" s="1"/>
  <c r="J10" i="25"/>
  <c r="J61" i="29"/>
  <c r="J4" i="25"/>
  <c r="R25" i="29"/>
  <c r="Y7" i="29"/>
  <c r="W63" i="25"/>
  <c r="X55" i="29"/>
  <c r="V67" i="25"/>
  <c r="Y43" i="29"/>
  <c r="W27" i="29"/>
  <c r="AA63" i="29"/>
  <c r="W67" i="27"/>
  <c r="X67" i="29"/>
  <c r="Z7" i="29"/>
  <c r="V67" i="27"/>
  <c r="X55" i="27"/>
  <c r="Z23" i="29"/>
  <c r="W55" i="20"/>
  <c r="Y59" i="27"/>
  <c r="Z19" i="29"/>
  <c r="Y59" i="25"/>
  <c r="Y11" i="29"/>
  <c r="AA67" i="29"/>
  <c r="AA3" i="29"/>
  <c r="W7" i="29"/>
  <c r="Z55" i="29"/>
  <c r="V59" i="27"/>
  <c r="Y71" i="25"/>
  <c r="Z63" i="29"/>
  <c r="X23" i="29"/>
  <c r="W71" i="25"/>
  <c r="Y23" i="29"/>
  <c r="W63" i="27"/>
  <c r="Z59" i="29"/>
  <c r="Z55" i="20"/>
  <c r="W43" i="29"/>
  <c r="V11" i="29"/>
  <c r="Z43" i="29"/>
  <c r="Y59" i="29"/>
  <c r="AA63" i="25"/>
  <c r="W67" i="29"/>
  <c r="X19" i="29"/>
  <c r="V59" i="25"/>
  <c r="AA71" i="20"/>
  <c r="W71" i="29"/>
  <c r="V63" i="25"/>
  <c r="AA31" i="29"/>
  <c r="Z59" i="20"/>
  <c r="V39" i="29"/>
  <c r="Y39" i="29"/>
  <c r="V31" i="29"/>
  <c r="V63" i="20"/>
  <c r="Y35" i="29"/>
  <c r="V71" i="25"/>
  <c r="Y47" i="29"/>
  <c r="V55" i="29"/>
  <c r="W55" i="25"/>
  <c r="AA55" i="25"/>
  <c r="V63" i="27"/>
  <c r="V27" i="29"/>
  <c r="W31" i="29"/>
  <c r="Y67" i="20"/>
  <c r="AA63" i="27"/>
  <c r="Y71" i="27"/>
  <c r="X63" i="29"/>
  <c r="W67" i="20"/>
  <c r="Z63" i="27"/>
  <c r="V59" i="20"/>
  <c r="AA71" i="25"/>
  <c r="Y55" i="25"/>
  <c r="W35" i="29"/>
  <c r="W71" i="20"/>
  <c r="AA55" i="29"/>
  <c r="AA71" i="27"/>
  <c r="X55" i="20"/>
  <c r="Y15" i="29"/>
  <c r="Y27" i="29"/>
  <c r="X35" i="29"/>
  <c r="X15" i="29"/>
  <c r="V3" i="29"/>
  <c r="Y3" i="29"/>
  <c r="Y55" i="29"/>
  <c r="AA35" i="29"/>
  <c r="V71" i="29"/>
  <c r="Y67" i="25"/>
  <c r="Y31" i="29"/>
  <c r="AA19" i="29"/>
  <c r="Z39" i="29"/>
  <c r="X39" i="29"/>
  <c r="AA67" i="27"/>
  <c r="AA55" i="20"/>
  <c r="Z35" i="29"/>
  <c r="Z67" i="27"/>
  <c r="X51" i="29"/>
  <c r="Y63" i="25"/>
  <c r="W67" i="25"/>
  <c r="Z67" i="20"/>
  <c r="X59" i="29"/>
  <c r="X7" i="29"/>
  <c r="AA55" i="27"/>
  <c r="W23" i="29"/>
  <c r="AA11" i="29"/>
  <c r="Y55" i="27"/>
  <c r="Z63" i="25"/>
  <c r="V23" i="29"/>
  <c r="AA59" i="20"/>
  <c r="V43" i="29"/>
  <c r="W71" i="27"/>
  <c r="W59" i="20"/>
  <c r="X67" i="25"/>
  <c r="V51" i="29"/>
  <c r="Z59" i="25"/>
  <c r="Y67" i="29"/>
  <c r="X11" i="29"/>
  <c r="W59" i="29"/>
  <c r="AA63" i="20"/>
  <c r="X67" i="20"/>
  <c r="AA47" i="29"/>
  <c r="Z55" i="25"/>
  <c r="AA59" i="29"/>
  <c r="AA27" i="29"/>
  <c r="Y59" i="20"/>
  <c r="Y63" i="29"/>
  <c r="AA51" i="29"/>
  <c r="Z15" i="29"/>
  <c r="X71" i="27"/>
  <c r="X31" i="29"/>
  <c r="X63" i="25"/>
  <c r="Y63" i="20"/>
  <c r="W11" i="29"/>
  <c r="V15" i="29"/>
  <c r="W15" i="29"/>
  <c r="W63" i="20"/>
  <c r="AA39" i="29"/>
  <c r="X47" i="29"/>
  <c r="W59" i="27"/>
  <c r="Z59" i="27"/>
  <c r="V47" i="29"/>
  <c r="V67" i="29"/>
  <c r="Z11" i="29"/>
  <c r="Y51" i="29"/>
  <c r="X59" i="25"/>
  <c r="Y55" i="20"/>
  <c r="Y67" i="27"/>
  <c r="Y71" i="29"/>
  <c r="AA59" i="27"/>
  <c r="Z67" i="29"/>
  <c r="V59" i="29"/>
  <c r="X27" i="29"/>
  <c r="W51" i="29"/>
  <c r="V35" i="29"/>
  <c r="V55" i="27"/>
  <c r="X71" i="29"/>
  <c r="AA23" i="29"/>
  <c r="X63" i="20"/>
  <c r="Y19" i="29"/>
  <c r="W55" i="27"/>
  <c r="AA15" i="29"/>
  <c r="X59" i="27"/>
  <c r="W39" i="29"/>
  <c r="V67" i="20"/>
  <c r="Z55" i="27"/>
  <c r="V19" i="29"/>
  <c r="W63" i="29"/>
  <c r="Z71" i="25"/>
  <c r="X63" i="27"/>
  <c r="X43" i="29"/>
  <c r="W19" i="29"/>
  <c r="AA67" i="20"/>
  <c r="W47" i="29"/>
  <c r="Z71" i="29"/>
  <c r="Z3" i="29"/>
  <c r="W55" i="29"/>
  <c r="Z63" i="20"/>
  <c r="X59" i="20"/>
  <c r="X71" i="25"/>
  <c r="X3" i="29"/>
  <c r="X67" i="27"/>
  <c r="Z27" i="29"/>
  <c r="AA7" i="29"/>
  <c r="Z67" i="25"/>
  <c r="V55" i="25"/>
  <c r="W59" i="25"/>
  <c r="V7" i="29"/>
  <c r="W3" i="29"/>
  <c r="X55" i="25"/>
  <c r="Z31" i="29"/>
  <c r="AA43" i="29"/>
  <c r="Y63" i="27"/>
  <c r="Z71" i="20"/>
  <c r="AA59" i="25"/>
  <c r="V71" i="20"/>
  <c r="AA71" i="29"/>
  <c r="Z47" i="29"/>
  <c r="V63" i="29"/>
  <c r="Z51" i="29"/>
  <c r="Y71" i="20"/>
  <c r="V71" i="27"/>
  <c r="AA67" i="25"/>
  <c r="V55" i="20"/>
  <c r="Z71" i="27"/>
  <c r="X71" i="20"/>
  <c r="AA39" i="25"/>
  <c r="Z11" i="25"/>
  <c r="W39" i="25"/>
  <c r="V31" i="25"/>
  <c r="X23" i="25"/>
  <c r="W31" i="25"/>
  <c r="Y39" i="25"/>
  <c r="Y47" i="25"/>
  <c r="W15" i="25"/>
  <c r="Z43" i="25"/>
  <c r="AA43" i="25"/>
  <c r="Y3" i="25"/>
  <c r="W3" i="25"/>
  <c r="Z47" i="25"/>
  <c r="W35" i="25"/>
  <c r="AA31" i="25"/>
  <c r="V43" i="25"/>
  <c r="V35" i="25"/>
  <c r="Y23" i="25"/>
  <c r="W19" i="25"/>
  <c r="V39" i="25"/>
  <c r="Z19" i="25"/>
  <c r="Y15" i="25"/>
  <c r="W43" i="25"/>
  <c r="Y31" i="25"/>
  <c r="W11" i="25"/>
  <c r="V15" i="25"/>
  <c r="Y11" i="25"/>
  <c r="AA19" i="25"/>
  <c r="Z27" i="25"/>
  <c r="W51" i="25"/>
  <c r="X51" i="25"/>
  <c r="Z51" i="25"/>
  <c r="X31" i="25"/>
  <c r="V7" i="25"/>
  <c r="X19" i="25"/>
  <c r="AA27" i="25"/>
  <c r="Z7" i="25"/>
  <c r="AA3" i="25"/>
  <c r="AA7" i="25"/>
  <c r="Z3" i="25"/>
  <c r="AA23" i="25"/>
  <c r="Y19" i="25"/>
  <c r="X15" i="25"/>
  <c r="AA47" i="25"/>
  <c r="X43" i="25"/>
  <c r="AA51" i="25"/>
  <c r="Z23" i="25"/>
  <c r="X7" i="25"/>
  <c r="Z35" i="25"/>
  <c r="W47" i="25"/>
  <c r="Z31" i="25"/>
  <c r="X3" i="25"/>
  <c r="W27" i="25"/>
  <c r="X35" i="25"/>
  <c r="X39" i="25"/>
  <c r="Z39" i="25"/>
  <c r="X47" i="25"/>
  <c r="V27" i="25"/>
  <c r="Z15" i="25"/>
  <c r="V47" i="25"/>
  <c r="AA11" i="25"/>
  <c r="Y7" i="25"/>
  <c r="V11" i="25"/>
  <c r="AA15" i="25"/>
  <c r="V3" i="25"/>
  <c r="V51" i="25"/>
  <c r="Y35" i="25"/>
  <c r="V19" i="25"/>
  <c r="Y51" i="25"/>
  <c r="X11" i="25"/>
  <c r="V23" i="25"/>
  <c r="Y27" i="25"/>
  <c r="X27" i="25"/>
  <c r="AA35" i="25"/>
  <c r="Y43" i="25"/>
  <c r="W7" i="25"/>
  <c r="W23" i="25"/>
  <c r="W23" i="27"/>
  <c r="Z47" i="27"/>
  <c r="W43" i="27"/>
  <c r="X19" i="27"/>
  <c r="Y19" i="27"/>
  <c r="W19" i="27"/>
  <c r="V15" i="27"/>
  <c r="Z39" i="27"/>
  <c r="Z31" i="27"/>
  <c r="Y39" i="27"/>
  <c r="X43" i="27"/>
  <c r="V51" i="27"/>
  <c r="Y31" i="27"/>
  <c r="AA51" i="27"/>
  <c r="W31" i="27"/>
  <c r="X51" i="27"/>
  <c r="Z7" i="27"/>
  <c r="AA39" i="27"/>
  <c r="X27" i="27"/>
  <c r="Y3" i="27"/>
  <c r="V23" i="27"/>
  <c r="V39" i="27"/>
  <c r="V31" i="27"/>
  <c r="AA11" i="27"/>
  <c r="AA43" i="27"/>
  <c r="V11" i="27"/>
  <c r="AA31" i="27"/>
  <c r="W47" i="27"/>
  <c r="AA47" i="27"/>
  <c r="X3" i="27"/>
  <c r="Y15" i="27"/>
  <c r="Y43" i="27"/>
  <c r="V43" i="27"/>
  <c r="V19" i="27"/>
  <c r="X15" i="27"/>
  <c r="Y47" i="27"/>
  <c r="Y23" i="27"/>
  <c r="X23" i="27"/>
  <c r="V35" i="27"/>
  <c r="X39" i="27"/>
  <c r="X11" i="27"/>
  <c r="Y7" i="27"/>
  <c r="Y11" i="27"/>
  <c r="W27" i="27"/>
  <c r="V27" i="27"/>
  <c r="AA3" i="27"/>
  <c r="X7" i="27"/>
  <c r="Z51" i="27"/>
  <c r="W11" i="27"/>
  <c r="V47" i="27"/>
  <c r="Z15" i="27"/>
  <c r="Z35" i="27"/>
  <c r="Z3" i="27"/>
  <c r="X47" i="27"/>
  <c r="V3" i="27"/>
  <c r="AA23" i="27"/>
  <c r="W35" i="27"/>
  <c r="W3" i="27"/>
  <c r="Z23" i="27"/>
  <c r="Z19" i="27"/>
  <c r="X31" i="27"/>
  <c r="Y51" i="27"/>
  <c r="Z27" i="27"/>
  <c r="AA27" i="27"/>
  <c r="Z11" i="27"/>
  <c r="AA15" i="27"/>
  <c r="V7" i="27"/>
  <c r="W51" i="27"/>
  <c r="X35" i="27"/>
  <c r="AA35" i="27"/>
  <c r="Y27" i="27"/>
  <c r="W15" i="27"/>
  <c r="W7" i="27"/>
  <c r="AA19" i="27"/>
  <c r="W39" i="27"/>
  <c r="AA7" i="27"/>
  <c r="Y35" i="27"/>
  <c r="Z43" i="27"/>
  <c r="X27" i="20"/>
  <c r="Y19" i="20"/>
  <c r="Y27" i="20"/>
  <c r="Z51" i="20"/>
  <c r="W35" i="20"/>
  <c r="X43" i="20"/>
  <c r="V51" i="20"/>
  <c r="X35" i="20"/>
  <c r="Z15" i="20"/>
  <c r="Y31" i="20"/>
  <c r="V15" i="20"/>
  <c r="AA43" i="20"/>
  <c r="AA19" i="20"/>
  <c r="X47" i="20"/>
  <c r="AA3" i="20"/>
  <c r="Z35" i="20"/>
  <c r="V47" i="20"/>
  <c r="Z43" i="20"/>
  <c r="Z3" i="20"/>
  <c r="Y15" i="20"/>
  <c r="Y11" i="20"/>
  <c r="V11" i="20"/>
  <c r="V39" i="20"/>
  <c r="AA27" i="20"/>
  <c r="AA23" i="20"/>
  <c r="W15" i="20"/>
  <c r="AA35" i="20"/>
  <c r="V19" i="20"/>
  <c r="X31" i="20"/>
  <c r="Z19" i="20"/>
  <c r="V43" i="20"/>
  <c r="Y39" i="20"/>
  <c r="X15" i="20"/>
  <c r="V7" i="20"/>
  <c r="Z23" i="20"/>
  <c r="V23" i="20"/>
  <c r="AA51" i="20"/>
  <c r="AA15" i="20"/>
  <c r="W19" i="20"/>
  <c r="W11" i="20"/>
  <c r="X39" i="20"/>
  <c r="Z39" i="20"/>
  <c r="V35" i="20"/>
  <c r="Z11" i="20"/>
  <c r="X7" i="20"/>
  <c r="W31" i="20"/>
  <c r="X51" i="20"/>
  <c r="X11" i="20"/>
  <c r="Y43" i="20"/>
  <c r="Y7" i="20"/>
  <c r="Z31" i="20"/>
  <c r="W23" i="20"/>
  <c r="X3" i="20"/>
  <c r="Y35" i="20"/>
  <c r="X23" i="20"/>
  <c r="AA47" i="20"/>
  <c r="V3" i="20"/>
  <c r="Z7" i="20"/>
  <c r="Z47" i="20"/>
  <c r="X19" i="20"/>
  <c r="W7" i="20"/>
  <c r="Z27" i="20"/>
  <c r="W51" i="20"/>
  <c r="AA11" i="20"/>
  <c r="W47" i="20"/>
  <c r="W39" i="20"/>
  <c r="W3" i="20"/>
  <c r="Y47" i="20"/>
  <c r="AA7" i="20"/>
  <c r="V31" i="20"/>
  <c r="W43" i="20"/>
  <c r="AA39" i="20"/>
  <c r="Y3" i="20"/>
  <c r="V27" i="20"/>
  <c r="AA31" i="20"/>
  <c r="W27" i="20"/>
  <c r="Y23" i="20"/>
  <c r="Y51" i="20"/>
  <c r="T57" i="25" l="1"/>
  <c r="S48" i="29"/>
  <c r="T54" i="29"/>
  <c r="T48" i="29"/>
  <c r="T18" i="29"/>
  <c r="T4" i="29"/>
  <c r="T51" i="20"/>
  <c r="T78" i="2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G45" i="30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F48" i="30" s="1"/>
  <c r="T62" i="20"/>
  <c r="T65" i="20"/>
  <c r="S59" i="20"/>
  <c r="T72" i="20"/>
  <c r="S60" i="27"/>
  <c r="S66" i="27"/>
  <c r="T64" i="27"/>
  <c r="S69" i="20"/>
  <c r="J60" i="27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J79" i="27"/>
  <c r="T62" i="27"/>
  <c r="T68" i="27"/>
  <c r="S63" i="27"/>
  <c r="T60" i="27"/>
  <c r="S72" i="27"/>
  <c r="S62" i="27"/>
  <c r="G19" i="9"/>
  <c r="G55" i="30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S78" i="25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Q82" i="20" s="1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F49" i="30" l="1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M55" i="30"/>
  <c r="F29" i="9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E3" i="10"/>
  <c r="AP3" i="10"/>
  <c r="AO3" i="10"/>
  <c r="AD3" i="10"/>
  <c r="AQ3" i="10"/>
  <c r="AJ3" i="10"/>
  <c r="AN3" i="10"/>
  <c r="AG3" i="10"/>
  <c r="AF3" i="10"/>
  <c r="AI3" i="10"/>
  <c r="AK3" i="10"/>
  <c r="AL3" i="10"/>
  <c r="G36" i="9" l="1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G4" i="10"/>
  <c r="AL4" i="10"/>
  <c r="AQ4" i="10"/>
  <c r="AO4" i="10"/>
  <c r="AJ4" i="10"/>
  <c r="AP4" i="10"/>
  <c r="AN4" i="10"/>
  <c r="AK4" i="10"/>
  <c r="AD4" i="10"/>
  <c r="AI4" i="10"/>
  <c r="AF4" i="10"/>
  <c r="AE4" i="10"/>
  <c r="AC6" i="10" l="1"/>
  <c r="AQ5" i="10"/>
  <c r="AN5" i="10"/>
  <c r="AP6" i="10"/>
  <c r="AK6" i="10"/>
  <c r="AD6" i="10"/>
  <c r="AD5" i="10"/>
  <c r="AK5" i="10"/>
  <c r="AG6" i="10"/>
  <c r="AI5" i="10"/>
  <c r="AO6" i="10"/>
  <c r="AQ6" i="10"/>
  <c r="AF6" i="10"/>
  <c r="AJ6" i="10"/>
  <c r="AG5" i="10"/>
  <c r="AI6" i="10"/>
  <c r="AO5" i="10"/>
  <c r="AL6" i="10"/>
  <c r="AN6" i="10"/>
  <c r="AF5" i="10"/>
  <c r="AE5" i="10"/>
  <c r="AJ5" i="10"/>
  <c r="AP5" i="10"/>
  <c r="AE6" i="10"/>
  <c r="AL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<sst xmlns="http://schemas.openxmlformats.org/spreadsheetml/2006/main" count="974" uniqueCount="408">
  <si>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</si>
  <si>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</si>
  <si>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</si>
  <si>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</si>
  <si>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</si>
  <si>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</si>
  <si>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</si>
  <si>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</si>
  <si>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</si>
  <si>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</si>
  <si>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</si>
  <si>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</si>
  <si>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</si>
  <si>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</si>
  <si>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</si>
  <si>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</si>
  <si>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</si>
  <si>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</si>
  <si>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</si>
  <si>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</si>
  <si>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</si>
  <si>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</si>
  <si>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</si>
  <si>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</si>
  <si>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</si>
  <si>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</si>
  <si>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</si>
  <si>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</si>
  <si>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</si>
  <si>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</si>
  <si>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</si>
  <si>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</si>
  <si>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</si>
  <si>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</si>
  <si>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</si>
  <si>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</si>
  <si>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</si>
  <si>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</si>
  <si>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</si>
  <si>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</si>
  <si>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</si>
  <si>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</si>
  <si>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</si>
  <si>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</si>
  <si>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</si>
  <si>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</si>
  <si>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</si>
  <si>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</si>
  <si>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</si>
  <si>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</si>
  <si>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</si>
  <si>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</si>
  <si>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</si>
  <si>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</si>
  <si>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</si>
  <si>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</si>
  <si>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</si>
  <si>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</si>
  <si>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</si>
  <si>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</si>
  <si>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</si>
  <si>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</si>
  <si>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</si>
  <si>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</si>
  <si>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</si>
  <si>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</si>
  <si>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</si>
  <si>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</si>
  <si>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</si>
  <si>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</si>
  <si>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</si>
  <si>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</si>
  <si>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</si>
  <si>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</si>
  <si>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</si>
  <si>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</si>
  <si>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</si>
  <si>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</si>
  <si>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</si>
  <si>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</si>
  <si>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</si>
  <si>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</si>
  <si>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</si>
  <si>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</si>
  <si>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</si>
  <si>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</si>
  <si>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</si>
  <si>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</si>
  <si>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</si>
  <si>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</si>
  <si>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</si>
  <si>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</si>
  <si>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</si>
  <si>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</si>
  <si>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</si>
  <si>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</si>
  <si>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</si>
  <si>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</si>
  <si>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</si>
  <si>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</si>
  <si>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</si>
  <si>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</si>
  <si>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</si>
  <si>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</si>
  <si>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</si>
  <si>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</si>
  <si>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</si>
  <si>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</si>
  <si>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</si>
  <si>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</si>
  <si>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</si>
  <si>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</si>
  <si>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</si>
  <si>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</si>
  <si>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</si>
  <si>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</si>
  <si>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</si>
  <si>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</si>
  <si>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</si>
  <si>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</si>
  <si>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</si>
  <si>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</si>
  <si>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</si>
  <si>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</si>
  <si>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</si>
  <si>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</si>
  <si>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</si>
  <si>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</si>
  <si>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</si>
  <si>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</si>
  <si>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</si>
  <si>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</si>
  <si>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</si>
  <si>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</si>
  <si>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</si>
  <si>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</si>
  <si>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</si>
  <si>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</si>
  <si>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</si>
  <si>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</si>
  <si>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</si>
  <si>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</si>
  <si>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</si>
  <si>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</si>
  <si>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</si>
  <si>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</si>
  <si>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</si>
  <si>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</si>
  <si>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</si>
  <si>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</si>
  <si>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</si>
  <si>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</si>
  <si>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</si>
  <si>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</si>
  <si>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</si>
  <si>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</si>
  <si>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</si>
  <si>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</si>
  <si>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</si>
  <si>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</si>
  <si>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</si>
  <si>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</si>
  <si>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</si>
  <si>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</si>
  <si>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</si>
  <si>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</si>
  <si>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</si>
  <si>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</si>
  <si>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</si>
  <si>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</si>
  <si>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</si>
  <si>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</si>
  <si>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</si>
  <si>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</si>
  <si>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</si>
  <si>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</si>
  <si>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</si>
  <si>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</si>
  <si>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</si>
  <si>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</si>
  <si>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</si>
  <si>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</si>
  <si>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</si>
  <si>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</si>
  <si>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</si>
  <si>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</si>
  <si>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</si>
  <si>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</si>
  <si>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</si>
  <si>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</si>
  <si>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</si>
  <si>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</si>
  <si>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</si>
  <si>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</si>
  <si>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</si>
  <si>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</si>
  <si>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</si>
  <si>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</si>
  <si>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</si>
  <si>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</si>
  <si>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</si>
  <si>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</si>
  <si>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</si>
  <si>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</si>
  <si>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</si>
  <si>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</si>
  <si>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</si>
  <si>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</si>
  <si>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</si>
  <si>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</si>
  <si>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</si>
  <si>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</si>
  <si>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</si>
  <si>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</si>
  <si>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</si>
  <si>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</si>
  <si>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</si>
  <si>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</si>
  <si>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</si>
  <si>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</si>
  <si>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</si>
  <si>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</si>
  <si>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</si>
  <si>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</si>
  <si>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</si>
  <si>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</si>
  <si>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</si>
  <si>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</si>
  <si>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</si>
  <si>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</si>
  <si>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</si>
  <si>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</si>
  <si>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</si>
  <si>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</si>
  <si>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</si>
  <si>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</si>
  <si>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</si>
  <si>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</si>
  <si>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</si>
  <si>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</si>
  <si>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</si>
  <si>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</si>
  <si>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</si>
  <si>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</si>
  <si>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</si>
  <si>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</si>
  <si>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</si>
  <si>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</si>
  <si>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</si>
  <si>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</si>
  <si>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</si>
  <si>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</si>
  <si>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</si>
  <si>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</si>
  <si>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</si>
  <si>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</si>
  <si>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</si>
  <si>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</si>
  <si>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</si>
  <si>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</si>
  <si>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</si>
  <si>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</si>
  <si>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</si>
  <si>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</si>
  <si>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</si>
  <si>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</si>
  <si>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</si>
  <si>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</si>
  <si>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</si>
  <si>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</si>
  <si>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</si>
  <si>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</si>
  <si>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</si>
  <si>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</si>
  <si>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</si>
  <si>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</si>
  <si>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</si>
  <si>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</si>
  <si>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</si>
  <si>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</si>
  <si>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</si>
  <si>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</si>
  <si>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</si>
  <si>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</si>
  <si>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</si>
  <si>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</si>
  <si>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</si>
  <si>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</si>
  <si>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</si>
  <si>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</si>
  <si>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</si>
  <si>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</si>
  <si>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</si>
  <si>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</si>
  <si>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</si>
  <si>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</si>
  <si>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</si>
  <si>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</si>
  <si>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</si>
  <si>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</si>
  <si>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</si>
  <si>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</si>
  <si>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</si>
  <si>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</si>
  <si>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</si>
  <si>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</si>
  <si>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</si>
  <si>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</si>
  <si>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</si>
  <si>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</si>
  <si>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</si>
  <si>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</si>
  <si>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</si>
  <si>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</si>
  <si>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</si>
  <si>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</si>
  <si>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</si>
  <si>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</si>
  <si>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</si>
  <si>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</si>
  <si>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</si>
  <si>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</si>
  <si>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</si>
  <si>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</si>
  <si>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</si>
  <si>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</si>
  <si>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</si>
  <si>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</si>
  <si>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</si>
  <si>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</si>
  <si>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</si>
  <si>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</si>
  <si>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</si>
  <si>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</si>
  <si>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</si>
  <si>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</si>
  <si>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</si>
  <si>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</si>
  <si>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</si>
  <si>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</si>
  <si>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</si>
  <si>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</si>
  <si>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</si>
  <si>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</si>
  <si>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</si>
  <si>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</si>
  <si>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</si>
  <si>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</si>
  <si>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</si>
  <si>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</si>
  <si>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</si>
  <si>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</si>
  <si>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</si>
  <si>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</si>
  <si>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</si>
  <si>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</si>
  <si>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</si>
  <si>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</si>
  <si>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</si>
  <si>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</si>
  <si>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</si>
  <si>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</si>
  <si>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</si>
  <si>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</si>
  <si>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</si>
  <si>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</si>
  <si>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</si>
  <si>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</si>
  <si>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</si>
  <si>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</si>
  <si>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</si>
  <si>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</si>
  <si>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</si>
  <si>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</si>
  <si>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</si>
  <si>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</si>
  <si>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</si>
  <si>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</si>
  <si>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</si>
  <si>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</si>
  <si>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</si>
  <si>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</si>
  <si>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</si>
  <si>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</si>
  <si>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</si>
  <si>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</si>
  <si>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</si>
  <si>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</si>
  <si>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</si>
  <si>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</si>
  <si>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</si>
  <si>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</si>
  <si>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</si>
  <si>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</si>
  <si>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</si>
  <si>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</si>
  <si>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</si>
  <si>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</si>
  <si>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</si>
  <si>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</si>
  <si>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</si>
  <si>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</si>
  <si>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</si>
  <si>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</si>
  <si>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</si>
  <si>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</si>
  <si>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HPM10.0</t>
    <phoneticPr fontId="1" type="noConversion"/>
  </si>
  <si>
    <t>HPM10.1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</si>
</sst>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HPM10.0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HPM10.1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HPM10.0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HPM10.1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HPM10.0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HPM10.1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HPM10.0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HPM10.1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topLeftCell="A7" zoomScale="85" zoomScaleNormal="85" workbookViewId="0">
      <selection activeCell="Q13" sqref="Q13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HPM10.0</v>
      </c>
      <c r="D3" s="151"/>
      <c r="E3" s="151"/>
      <c r="F3" s="151"/>
      <c r="G3" s="152"/>
      <c r="I3" s="102"/>
      <c r="J3" s="150" t="str">
        <f>CONCATENATE("Over ", Summary!$J$3)</f>
        <v>Over HPM10.0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>
        <f>'AI-10'!$V$3</f>
        <v>-5.5428861158309806E-3</v>
      </c>
      <c r="D5" s="112">
        <f>'AI-10'!$W$3</f>
        <v>-4.474654239480913E-2</v>
      </c>
      <c r="E5" s="113">
        <f>'AI-10'!$X$3</f>
        <v>-2.5611250462889368E-2</v>
      </c>
      <c r="F5" s="114">
        <f>GEOMEAN('AI-10'!$S$3:'AI-10'!$S$6)</f>
        <v>1.264987719234308</v>
      </c>
      <c r="G5" s="115">
        <f>GEOMEAN('AI-10'!$T$3:'AI-10'!$T$6)</f>
        <v>1.0912186319236772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>
        <f>'AI-10'!$V$7</f>
        <v>-9.9359131300473802E-3</v>
      </c>
      <c r="D6" s="118">
        <f>'AI-10'!$W$7</f>
        <v>-7.0414094748458167E-2</v>
      </c>
      <c r="E6" s="119">
        <f>'AI-10'!$X$7</f>
        <v>-9.2896479440512825E-2</v>
      </c>
      <c r="F6" s="120">
        <f>GEOMEAN('AI-10'!$S$7:'AI-10'!$S$10)</f>
        <v>1.300155170566708</v>
      </c>
      <c r="G6" s="121">
        <f>GEOMEAN('AI-10'!$T$7:'AI-10'!$T$10)</f>
        <v>1.090406013148324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>
        <f>'AI-10'!$V$11</f>
        <v>-1.14541182890181E-2</v>
      </c>
      <c r="D7" s="118">
        <f>'AI-10'!$W$11</f>
        <v>-2.1195832298007034E-2</v>
      </c>
      <c r="E7" s="119">
        <f>'AI-10'!$X$11</f>
        <v>-8.116890007842581E-2</v>
      </c>
      <c r="F7" s="130">
        <f>GEOMEAN('AI-10'!$S$11:'AI-10'!$S$14)</f>
        <v>1.305181848952784</v>
      </c>
      <c r="G7" s="121">
        <f>GEOMEAN('AI-10'!$T$11:'AI-10'!$T$14)</f>
        <v>1.1023586468612809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>
        <f>'AI-10'!$V$15</f>
        <v>-1.0707527217446833E-2</v>
      </c>
      <c r="D8" s="124">
        <f>'AI-10'!$W$15</f>
        <v>-7.5678704183012813E-2</v>
      </c>
      <c r="E8" s="125">
        <f>'AI-10'!$X$15</f>
        <v>-0.1764999109353006</v>
      </c>
      <c r="F8" s="126">
        <f>GEOMEAN('AI-10'!$S$15:'AI-10'!$S$18)</f>
        <v>1.2653345437508636</v>
      </c>
      <c r="G8" s="127">
        <f>GEOMEAN('AI-10'!$T$15:'AI-10'!$T$18)</f>
        <v>1.0955976949954651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>
        <f>'AI-10'!$V$19</f>
        <v>-8.7102964230303392E-3</v>
      </c>
      <c r="D9" s="112">
        <f>'AI-10'!$W$19</f>
        <v>-9.5354458850809731E-2</v>
      </c>
      <c r="E9" s="113">
        <f>'AI-10'!$X$19</f>
        <v>-7.6112362261240851E-2</v>
      </c>
      <c r="F9" s="114">
        <f>GEOMEAN('AI-10'!$S$19:'AI-10'!$S$22)</f>
        <v>1.2729216955404119</v>
      </c>
      <c r="G9" s="115">
        <f>GEOMEAN('AI-10'!$T$19:'AI-10'!$T$22)</f>
        <v>1.1281803901199141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>
        <f>'AI-10'!$V$23</f>
        <v>-7.961582414355628E-3</v>
      </c>
      <c r="D10" s="118">
        <f>'AI-10'!$W$23</f>
        <v>-5.712498968723323E-2</v>
      </c>
      <c r="E10" s="119">
        <f>'AI-10'!$X$23</f>
        <v>-4.3240249971889688E-2</v>
      </c>
      <c r="F10" s="120">
        <f>GEOMEAN('AI-10'!$S$23:'AI-10'!$S$26)</f>
        <v>1.2749271605680117</v>
      </c>
      <c r="G10" s="121">
        <f>GEOMEAN('AI-10'!$T$23:'AI-10'!$T$26)</f>
        <v>1.1118686575075007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>
        <f>'AI-10'!$V$27</f>
        <v>-4.0973074128202169E-3</v>
      </c>
      <c r="D11" s="118">
        <f>'AI-10'!$W$27</f>
        <v>-7.284840848377494E-2</v>
      </c>
      <c r="E11" s="119">
        <f>'AI-10'!$X$27</f>
        <v>-1.3874720078966951E-2</v>
      </c>
      <c r="F11" s="120">
        <f>GEOMEAN('AI-10'!$S$27:'AI-10'!$S$30)</f>
        <v>1.2729906096546002</v>
      </c>
      <c r="G11" s="121">
        <f>GEOMEAN('AI-10'!$T$27:'AI-10'!$T$30)</f>
        <v>1.0944678799478731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-8.3331843650085169E-3</v>
      </c>
      <c r="D12" s="124">
        <f>'AI-10'!$W$31</f>
        <v>-0.1504567442040704</v>
      </c>
      <c r="E12" s="125">
        <f>'AI-10'!$X$31</f>
        <v>-2.9673428194133766E-2</v>
      </c>
      <c r="F12" s="126">
        <f>GEOMEAN('AI-10'!$S$31:'AI-10'!$S$34)</f>
        <v>1.2971991015622049</v>
      </c>
      <c r="G12" s="127">
        <f>GEOMEAN('AI-10'!$T$31:'AI-10'!$T$34)</f>
        <v>1.1266846691730423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-3.8709821042586245E-3</v>
      </c>
      <c r="D13" s="112">
        <f>'AI-10'!$W$35</f>
        <v>-2.22151058586888E-2</v>
      </c>
      <c r="E13" s="113">
        <f>'AI-10'!$X$35</f>
        <v>-5.430195886848399E-2</v>
      </c>
      <c r="F13" s="114">
        <f>GEOMEAN('AI-10'!$S$35:'AI-10'!$S$38)</f>
        <v>1.2683874469603009</v>
      </c>
      <c r="G13" s="115">
        <f>GEOMEAN('AI-10'!$T$35:'AI-10'!$T$38)</f>
        <v>1.0867236252030039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-7.4417783205872334E-3</v>
      </c>
      <c r="D14" s="118">
        <f>'AI-10'!$W$39</f>
        <v>-2.1510420399258434E-2</v>
      </c>
      <c r="E14" s="119">
        <f>'AI-10'!$X$39</f>
        <v>-3.206005846204929E-2</v>
      </c>
      <c r="F14" s="120">
        <f>GEOMEAN('AI-10'!$S$39:'AI-10'!$S$42)</f>
        <v>1.2782971017550402</v>
      </c>
      <c r="G14" s="121">
        <f>GEOMEAN('AI-10'!$T$39:'AI-10'!$T$42)</f>
        <v>1.078074103822023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-1.2847841805554094E-2</v>
      </c>
      <c r="D15" s="118">
        <f>'AI-10'!$W$43</f>
        <v>-1.6664601036673665E-2</v>
      </c>
      <c r="E15" s="119">
        <f>'AI-10'!$X$43</f>
        <v>-5.8280956850601751E-2</v>
      </c>
      <c r="F15" s="120">
        <f>GEOMEAN('AI-10'!$S$43:'AI-10'!$S$46)</f>
        <v>1.277787444724872</v>
      </c>
      <c r="G15" s="121">
        <f>GEOMEAN('AI-10'!$T$43:'AI-10'!$T$46)</f>
        <v>1.117987200479531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-1.2053557679581273E-2</v>
      </c>
      <c r="D16" s="124">
        <f>'AI-10'!$W$47</f>
        <v>-4.3718011360273645E-2</v>
      </c>
      <c r="E16" s="125">
        <f>'AI-10'!$X$47</f>
        <v>5.3499875318374635E-4</v>
      </c>
      <c r="F16" s="126">
        <f>GEOMEAN('AI-10'!$S$47:'AI-10'!$S$50)</f>
        <v>1.2796797630825343</v>
      </c>
      <c r="G16" s="127">
        <f>GEOMEAN('AI-10'!$T$47:'AI-10'!$T$50)</f>
        <v>1.1078396335728391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>
        <f>'AI-10'!$V75</f>
        <v>-9.4101111880858235E-3</v>
      </c>
      <c r="D23" s="112">
        <f>'AI-10'!$W75</f>
        <v>-5.3008793406071786E-2</v>
      </c>
      <c r="E23" s="113">
        <f>'AI-10'!$X75</f>
        <v>-9.404413522928215E-2</v>
      </c>
      <c r="F23" s="128">
        <f>'AI-10'!$S75</f>
        <v>1.2837766483255457</v>
      </c>
      <c r="G23" s="115">
        <f>'AI-10'!$T75</f>
        <v>1.0948850060710758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>
        <f>'AI-10'!$V76</f>
        <v>-7.2755926538036753E-3</v>
      </c>
      <c r="D24" s="118">
        <f>'AI-10'!$W76</f>
        <v>-9.3946150306472076E-2</v>
      </c>
      <c r="E24" s="119">
        <f>'AI-10'!$X76</f>
        <v>-4.0725190126557814E-2</v>
      </c>
      <c r="F24" s="130">
        <f>'AI-10'!$S76</f>
        <v>1.2794688744064198</v>
      </c>
      <c r="G24" s="121">
        <f>'AI-10'!$T76</f>
        <v>1.1152169460490631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-9.0535399774953063E-3</v>
      </c>
      <c r="D25" s="118">
        <f>'AI-10'!$W77</f>
        <v>-2.6027034663723636E-2</v>
      </c>
      <c r="E25" s="119">
        <f>'AI-10'!$X77</f>
        <v>-3.6026993856987821E-2</v>
      </c>
      <c r="F25" s="130">
        <f>'AI-10'!$S77</f>
        <v>1.2760300868699341</v>
      </c>
      <c r="G25" s="121">
        <f>'AI-10'!$T77</f>
        <v>1.0975400151022634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-8.579747939794935E-3</v>
      </c>
      <c r="D26" s="137">
        <f>'AI-10'!$W80</f>
        <v>-5.7660659458755835E-2</v>
      </c>
      <c r="E26" s="136">
        <f>'AI-10'!$X80</f>
        <v>-5.6932106404275928E-2</v>
      </c>
      <c r="F26" s="135">
        <f>'AI-10'!$S80</f>
        <v>1.2797546134274957</v>
      </c>
      <c r="G26" s="134">
        <f>'AI-10'!$T80</f>
        <v>1.1025105243006716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HPM10.0</v>
      </c>
      <c r="D31" s="151"/>
      <c r="E31" s="151"/>
      <c r="F31" s="151"/>
      <c r="G31" s="152"/>
      <c r="I31" s="102"/>
      <c r="J31" s="150" t="str">
        <f>CONCATENATE("Over ", Summary!$J$3)</f>
        <v>Over HPM10.0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-1.0294012000780839E-2</v>
      </c>
      <c r="D33" s="112">
        <f>'RA-10'!$W$3</f>
        <v>-4.9661999595350226E-2</v>
      </c>
      <c r="E33" s="113">
        <f>'RA-10'!$X$3</f>
        <v>-2.3910928644826468E-2</v>
      </c>
      <c r="F33" s="114">
        <f>GEOMEAN('RA-10'!$S$3:'RA-10'!$S$6)</f>
        <v>1.0452853297166196</v>
      </c>
      <c r="G33" s="115">
        <f>GEOMEAN('RA-10'!$T$3:'RA-10'!$T$6)</f>
        <v>1.075739929094917</v>
      </c>
      <c r="I33" s="110" t="str">
        <f>'AI-10'!$B$3</f>
        <v>Tango2</v>
      </c>
      <c r="J33" s="111">
        <f>'LDB-10'!$V$3</f>
        <v>-1.1006037720759476E-2</v>
      </c>
      <c r="K33" s="112">
        <f>'LDB-10'!$W$3</f>
        <v>-5.6916699634881884E-2</v>
      </c>
      <c r="L33" s="113">
        <f>'LDB-10'!$X$3</f>
        <v>-4.340018899971787E-2</v>
      </c>
      <c r="M33" s="114">
        <f>GEOMEAN('LDB-10'!$S$3:'LDB-10'!$S$6)</f>
        <v>1.0212874642292016</v>
      </c>
      <c r="N33" s="115">
        <f>GEOMEAN('LDB-10'!$T$3:'LDB-10'!$T$6)</f>
        <v>1.0933892198182102</v>
      </c>
    </row>
    <row r="34" spans="2:14" ht="12.75" customHeight="1" x14ac:dyDescent="0.2">
      <c r="B34" s="116" t="str">
        <f>'AI-10'!$B$7</f>
        <v>ParkRunning3</v>
      </c>
      <c r="C34" s="117">
        <f>'RA-10'!$V$7</f>
        <v>-1.2565986194214895E-2</v>
      </c>
      <c r="D34" s="118">
        <f>'RA-10'!$W$7</f>
        <v>-9.0819493241434013E-2</v>
      </c>
      <c r="E34" s="119">
        <f>'RA-10'!$X$7</f>
        <v>-0.14046208875504573</v>
      </c>
      <c r="F34" s="120">
        <f>GEOMEAN('RA-10'!$S$7:'RA-10'!$S$10)</f>
        <v>1.023327803010871</v>
      </c>
      <c r="G34" s="121">
        <f>GEOMEAN('RA-10'!$T$7:'RA-10'!$T$10)</f>
        <v>1.1151172636750586</v>
      </c>
      <c r="I34" s="116" t="str">
        <f>'AI-10'!$B$7</f>
        <v>ParkRunning3</v>
      </c>
      <c r="J34" s="117">
        <f>'LDB-10'!$V$7</f>
        <v>-1.4185951519438356E-2</v>
      </c>
      <c r="K34" s="118">
        <f>'LDB-10'!$W$7</f>
        <v>-8.6151066735001836E-2</v>
      </c>
      <c r="L34" s="119">
        <f>'LDB-10'!$X$7</f>
        <v>-0.11089636132011726</v>
      </c>
      <c r="M34" s="120">
        <f>GEOMEAN('LDB-10'!$S$7:'LDB-10'!$S$10)</f>
        <v>1.0766101990042831</v>
      </c>
      <c r="N34" s="121">
        <f>GEOMEAN('LDB-10'!$T$7:'LDB-10'!$T$10)</f>
        <v>1.1378206917373761</v>
      </c>
    </row>
    <row r="35" spans="2:14" ht="12.75" customHeight="1" x14ac:dyDescent="0.2">
      <c r="B35" s="116" t="str">
        <f>'AI-10'!$B$11</f>
        <v>Campfire</v>
      </c>
      <c r="C35" s="117">
        <f>'RA-10'!$V$11</f>
        <v>-2.0909908734928373E-2</v>
      </c>
      <c r="D35" s="118">
        <f>'RA-10'!$W$11</f>
        <v>-1.3151160500429082E-2</v>
      </c>
      <c r="E35" s="119">
        <f>'RA-10'!$X$11</f>
        <v>-7.6133484828451725E-2</v>
      </c>
      <c r="F35" s="130">
        <f>GEOMEAN('RA-10'!$S$11:'RA-10'!$S$14)</f>
        <v>1.0194353197541557</v>
      </c>
      <c r="G35" s="121">
        <f>GEOMEAN('RA-10'!$T$11:'RA-10'!$T$14)</f>
        <v>1.0916337312004059</v>
      </c>
      <c r="I35" s="116" t="str">
        <f>'AI-10'!$B$11</f>
        <v>Campfire</v>
      </c>
      <c r="J35" s="117">
        <f>'LDB-10'!$V$11</f>
        <v>-2.332298141907907E-2</v>
      </c>
      <c r="K35" s="118">
        <f>'LDB-10'!$W$11</f>
        <v>-1.9294208737400731E-2</v>
      </c>
      <c r="L35" s="119">
        <f>'LDB-10'!$X$11</f>
        <v>-7.5768758825916049E-2</v>
      </c>
      <c r="M35" s="130">
        <f>GEOMEAN('LDB-10'!$S$11:'LDB-10'!$S$14)</f>
        <v>1.0682434549942912</v>
      </c>
      <c r="N35" s="121">
        <f>GEOMEAN('LDB-10'!$T$11:'LDB-10'!$T$14)</f>
        <v>1.1621190851412959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-1.0134083699271046E-2</v>
      </c>
      <c r="D36" s="124">
        <f>'RA-10'!$W$15</f>
        <v>-0.11797890468124239</v>
      </c>
      <c r="E36" s="125">
        <f>'RA-10'!$X$15</f>
        <v>-0.2411159251028655</v>
      </c>
      <c r="F36" s="126">
        <f>GEOMEAN('RA-10'!$S$15:'RA-10'!$S$18)</f>
        <v>1.0511855099728022</v>
      </c>
      <c r="G36" s="127">
        <f>GEOMEAN('RA-10'!$T$15:'RA-10'!$T$18)</f>
        <v>1.0920973199594628</v>
      </c>
      <c r="I36" s="122" t="str">
        <f>'AI-10'!$B$15</f>
        <v>DaylightRoad2</v>
      </c>
      <c r="J36" s="123">
        <f>'LDB-10'!$V$15</f>
        <v>-8.8731180270830157E-3</v>
      </c>
      <c r="K36" s="124">
        <f>'LDB-10'!$W$15</f>
        <v>-0.12525077791439498</v>
      </c>
      <c r="L36" s="125">
        <f>'LDB-10'!$X$15</f>
        <v>-0.22469205931098546</v>
      </c>
      <c r="M36" s="126">
        <f>GEOMEAN('LDB-10'!$S$15:'LDB-10'!$S$18)</f>
        <v>1.0684270408810799</v>
      </c>
      <c r="N36" s="127">
        <f>GEOMEAN('LDB-10'!$T$15:'LDB-10'!$T$18)</f>
        <v>1.1748785887949718</v>
      </c>
    </row>
    <row r="37" spans="2:14" ht="12.75" customHeight="1" x14ac:dyDescent="0.2">
      <c r="B37" s="110" t="str">
        <f>'AI-10'!$B$19</f>
        <v>Cactus</v>
      </c>
      <c r="C37" s="111">
        <f>'RA-10'!$V$19</f>
        <v>-9.87778779768822E-3</v>
      </c>
      <c r="D37" s="112">
        <f>'RA-10'!$W$19</f>
        <v>-0.12644450866766177</v>
      </c>
      <c r="E37" s="113">
        <f>'RA-10'!$X$19</f>
        <v>-8.1662762798304755E-2</v>
      </c>
      <c r="F37" s="114">
        <f>GEOMEAN('RA-10'!$S$19:'RA-10'!$S$22)</f>
        <v>1.0683277131768267</v>
      </c>
      <c r="G37" s="115">
        <f>GEOMEAN('RA-10'!$T$19:'RA-10'!$T$22)</f>
        <v>1.0874438506451611</v>
      </c>
      <c r="I37" s="110" t="str">
        <f>'AI-10'!$B$19</f>
        <v>Cactus</v>
      </c>
      <c r="J37" s="111">
        <f>'LDB-10'!$V$19</f>
        <v>-1.2017574106340967E-2</v>
      </c>
      <c r="K37" s="112">
        <f>'LDB-10'!$W$19</f>
        <v>-8.5602377596942669E-2</v>
      </c>
      <c r="L37" s="113">
        <f>'LDB-10'!$X$19</f>
        <v>-6.0666981966284728E-2</v>
      </c>
      <c r="M37" s="114">
        <f>GEOMEAN('LDB-10'!$S$19:'LDB-10'!$S$22)</f>
        <v>1.0495580787633687</v>
      </c>
      <c r="N37" s="115">
        <f>GEOMEAN('LDB-10'!$T$19:'LDB-10'!$T$22)</f>
        <v>1.0644381879722862</v>
      </c>
    </row>
    <row r="38" spans="2:14" ht="12.75" customHeight="1" x14ac:dyDescent="0.2">
      <c r="B38" s="116" t="str">
        <f>'AI-10'!$B$23</f>
        <v>BasketballDrive</v>
      </c>
      <c r="C38" s="117">
        <f>'RA-10'!$V$23</f>
        <v>-1.0725211675553625E-2</v>
      </c>
      <c r="D38" s="118">
        <f>'RA-10'!$W$23</f>
        <v>-4.7998989614127407E-2</v>
      </c>
      <c r="E38" s="119">
        <f>'RA-10'!$X$23</f>
        <v>-3.1153665043822665E-2</v>
      </c>
      <c r="F38" s="120">
        <f>GEOMEAN('RA-10'!$S$23:'RA-10'!$S$26)</f>
        <v>1.0533417645294414</v>
      </c>
      <c r="G38" s="121">
        <f>GEOMEAN('RA-10'!$T$23:'RA-10'!$T$26)</f>
        <v>1.1251858820061151</v>
      </c>
      <c r="I38" s="116" t="str">
        <f>'AI-10'!$B$23</f>
        <v>BasketballDrive</v>
      </c>
      <c r="J38" s="117">
        <f>'LDB-10'!$V$23</f>
        <v>-1.0077644550890441E-2</v>
      </c>
      <c r="K38" s="118">
        <f>'LDB-10'!$W$23</f>
        <v>-5.2847826176627866E-2</v>
      </c>
      <c r="L38" s="119">
        <f>'LDB-10'!$X$23</f>
        <v>-5.1939121582063597E-2</v>
      </c>
      <c r="M38" s="120">
        <f>GEOMEAN('LDB-10'!$S$23:'LDB-10'!$S$26)</f>
        <v>1.0461420695781125</v>
      </c>
      <c r="N38" s="121">
        <f>GEOMEAN('LDB-10'!$T$23:'LDB-10'!$T$26)</f>
        <v>1.1082525497259554</v>
      </c>
    </row>
    <row r="39" spans="2:14" ht="12.75" customHeight="1" x14ac:dyDescent="0.2">
      <c r="B39" s="116" t="str">
        <f>'AI-10'!$B$27</f>
        <v>MarketPlace</v>
      </c>
      <c r="C39" s="117">
        <f>'RA-10'!$V$27</f>
        <v>-1.6022340592287687E-2</v>
      </c>
      <c r="D39" s="118">
        <f>'RA-10'!$W$27</f>
        <v>-9.5429322922829241E-2</v>
      </c>
      <c r="E39" s="119">
        <f>'RA-10'!$X$27</f>
        <v>-3.9030698955393461E-2</v>
      </c>
      <c r="F39" s="120">
        <f>GEOMEAN('RA-10'!$S$27:'RA-10'!$S$30)</f>
        <v>1.0574152865974922</v>
      </c>
      <c r="G39" s="121">
        <f>GEOMEAN('RA-10'!$T$27:'RA-10'!$T$30)</f>
        <v>1.1106250447992869</v>
      </c>
      <c r="I39" s="116" t="str">
        <f>'AI-10'!$B$27</f>
        <v>MarketPlace</v>
      </c>
      <c r="J39" s="117">
        <f>'LDB-10'!$V$27</f>
        <v>-9.7780108686016387E-3</v>
      </c>
      <c r="K39" s="118">
        <f>'LDB-10'!$W$27</f>
        <v>-9.9871860026676362E-2</v>
      </c>
      <c r="L39" s="119">
        <f>'LDB-10'!$X$27</f>
        <v>-3.4032075875029433E-2</v>
      </c>
      <c r="M39" s="120">
        <f>GEOMEAN('LDB-10'!$S$27:'LDB-10'!$S$30)</f>
        <v>1.0338587287072061</v>
      </c>
      <c r="N39" s="121">
        <f>GEOMEAN('LDB-10'!$T$27:'LDB-10'!$T$30)</f>
        <v>1.0707762854406546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-2.4329056057924903E-2</v>
      </c>
      <c r="D40" s="124">
        <f>'RA-10'!$W$31</f>
        <v>-0.12215412827432492</v>
      </c>
      <c r="E40" s="125">
        <f>'RA-10'!$X$31</f>
        <v>-4.2704072706523322E-2</v>
      </c>
      <c r="F40" s="126">
        <f>GEOMEAN('RA-10'!$S$31:'RA-10'!$S$34)</f>
        <v>1.0405764251748428</v>
      </c>
      <c r="G40" s="127">
        <f>GEOMEAN('RA-10'!$T$31:'RA-10'!$T$34)</f>
        <v>1.0885543623472957</v>
      </c>
      <c r="I40" s="122" t="str">
        <f>'AI-10'!$B$31</f>
        <v>RitualDance</v>
      </c>
      <c r="J40" s="123">
        <f>'LDB-10'!$V$31</f>
        <v>-1.4284989667052939E-2</v>
      </c>
      <c r="K40" s="124">
        <f>'LDB-10'!$W$31</f>
        <v>-0.12953741626792725</v>
      </c>
      <c r="L40" s="125">
        <f>'LDB-10'!$X$31</f>
        <v>-5.4937973314097444E-2</v>
      </c>
      <c r="M40" s="126">
        <f>GEOMEAN('LDB-10'!$S$31:'LDB-10'!$S$34)</f>
        <v>1.0393914376720215</v>
      </c>
      <c r="N40" s="127">
        <f>GEOMEAN('LDB-10'!$T$31:'LDB-10'!$T$34)</f>
        <v>1.0788792060666501</v>
      </c>
    </row>
    <row r="41" spans="2:14" ht="12.75" customHeight="1" x14ac:dyDescent="0.2">
      <c r="B41" s="110" t="str">
        <f>'AI-10'!$B$35</f>
        <v>City</v>
      </c>
      <c r="C41" s="111">
        <f>'RA-10'!$V$35</f>
        <v>-1.1069996516397174E-2</v>
      </c>
      <c r="D41" s="112">
        <f>'RA-10'!$W$35</f>
        <v>-8.5042586770714079E-2</v>
      </c>
      <c r="E41" s="113">
        <f>'RA-10'!$X$35</f>
        <v>-0.12818269145657957</v>
      </c>
      <c r="F41" s="114">
        <f>GEOMEAN('RA-10'!$S$35:'RA-10'!$S$38)</f>
        <v>1.0812845785571221</v>
      </c>
      <c r="G41" s="115">
        <f>GEOMEAN('RA-10'!$T$35:'RA-10'!$T$38)</f>
        <v>1.0977243266711085</v>
      </c>
      <c r="I41" s="110" t="str">
        <f>'AI-10'!$B$35</f>
        <v>City</v>
      </c>
      <c r="J41" s="111">
        <f>'LDB-10'!$V$35</f>
        <v>-1.6119377917552802E-3</v>
      </c>
      <c r="K41" s="112">
        <f>'LDB-10'!$W$35</f>
        <v>-0.10187728867802248</v>
      </c>
      <c r="L41" s="113">
        <f>'LDB-10'!$X$35</f>
        <v>-8.0600645496384349E-2</v>
      </c>
      <c r="M41" s="114">
        <f>GEOMEAN('LDB-10'!$S$35:'LDB-10'!$S$38)</f>
        <v>1.0821224882109357</v>
      </c>
      <c r="N41" s="115">
        <f>GEOMEAN('LDB-10'!$T$35:'LDB-10'!$T$38)</f>
        <v>1.1016340642538678</v>
      </c>
    </row>
    <row r="42" spans="2:14" ht="12.75" customHeight="1" x14ac:dyDescent="0.2">
      <c r="B42" s="116" t="str">
        <f>'AI-10'!$B$39</f>
        <v>Crew</v>
      </c>
      <c r="C42" s="117">
        <f>'RA-10'!$V$39</f>
        <v>-2.7408535796185962E-2</v>
      </c>
      <c r="D42" s="118">
        <f>'RA-10'!$W$39</f>
        <v>-2.4880915618727184E-2</v>
      </c>
      <c r="E42" s="119">
        <f>'RA-10'!$X$39</f>
        <v>-4.8845333055421825E-2</v>
      </c>
      <c r="F42" s="120">
        <f>GEOMEAN('RA-10'!$S$39:'RA-10'!$S$42)</f>
        <v>1.0585583076146334</v>
      </c>
      <c r="G42" s="121">
        <f>GEOMEAN('RA-10'!$T$39:'RA-10'!$T$42)</f>
        <v>1.038555673828043</v>
      </c>
      <c r="I42" s="116" t="str">
        <f>'AI-10'!$B$39</f>
        <v>Crew</v>
      </c>
      <c r="J42" s="117">
        <f>'LDB-10'!$V$39</f>
        <v>-2.5686357076878941E-2</v>
      </c>
      <c r="K42" s="118">
        <f>'LDB-10'!$W$39</f>
        <v>-4.4296730703625498E-2</v>
      </c>
      <c r="L42" s="119">
        <f>'LDB-10'!$X$39</f>
        <v>-3.8745084391179074E-2</v>
      </c>
      <c r="M42" s="120">
        <f>GEOMEAN('LDB-10'!$S$39:'LDB-10'!$S$42)</f>
        <v>1.0719328289205665</v>
      </c>
      <c r="N42" s="121">
        <f>GEOMEAN('LDB-10'!$T$39:'LDB-10'!$T$42)</f>
        <v>1.1065108444727676</v>
      </c>
    </row>
    <row r="43" spans="2:14" ht="12.75" customHeight="1" x14ac:dyDescent="0.2">
      <c r="B43" s="116" t="str">
        <f>'AI-10'!$B$43</f>
        <v>vidyo1</v>
      </c>
      <c r="C43" s="117">
        <f>'RA-10'!$V$43</f>
        <v>-1.09856925721038E-2</v>
      </c>
      <c r="D43" s="118">
        <f>'RA-10'!$W$43</f>
        <v>-5.868315739595853E-2</v>
      </c>
      <c r="E43" s="119">
        <f>'RA-10'!$X$43</f>
        <v>-7.2597644975116782E-2</v>
      </c>
      <c r="F43" s="120">
        <f>GEOMEAN('RA-10'!$S$43:'RA-10'!$S$46)</f>
        <v>1.0946703088388858</v>
      </c>
      <c r="G43" s="121">
        <f>GEOMEAN('RA-10'!$T$43:'RA-10'!$T$46)</f>
        <v>1.0688285479076218</v>
      </c>
      <c r="I43" s="116" t="str">
        <f>'AI-10'!$B$43</f>
        <v>vidyo1</v>
      </c>
      <c r="J43" s="117">
        <f>'LDB-10'!$V$43</f>
        <v>-7.5477451930878736E-3</v>
      </c>
      <c r="K43" s="118">
        <f>'LDB-10'!$W$43</f>
        <v>-3.7473465851712962E-2</v>
      </c>
      <c r="L43" s="119">
        <f>'LDB-10'!$X$43</f>
        <v>-7.1570926029751458E-2</v>
      </c>
      <c r="M43" s="120">
        <f>GEOMEAN('LDB-10'!$S$43:'LDB-10'!$S$46)</f>
        <v>1.0949437956904198</v>
      </c>
      <c r="N43" s="121">
        <f>GEOMEAN('LDB-10'!$T$43:'LDB-10'!$T$46)</f>
        <v>1.1184041725344831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-1.0148971090366499E-2</v>
      </c>
      <c r="D44" s="124">
        <f>'RA-10'!$W$47</f>
        <v>-4.3902750806624313E-2</v>
      </c>
      <c r="E44" s="125">
        <f>'RA-10'!$X$47</f>
        <v>-1.4665056457686787E-2</v>
      </c>
      <c r="F44" s="126">
        <f>GEOMEAN('RA-10'!$S$47:'RA-10'!$S$50)</f>
        <v>1.0883734858412051</v>
      </c>
      <c r="G44" s="127">
        <f>GEOMEAN('RA-10'!$T$47:'RA-10'!$T$50)</f>
        <v>1.0603548720949278</v>
      </c>
      <c r="I44" s="122" t="str">
        <f>'AI-10'!$B$47</f>
        <v>vidyo3</v>
      </c>
      <c r="J44" s="123">
        <f>'LDB-10'!$V$47</f>
        <v>-7.0797652013033785E-3</v>
      </c>
      <c r="K44" s="124">
        <f>'LDB-10'!$W$47</f>
        <v>-5.8325225821417082E-2</v>
      </c>
      <c r="L44" s="125">
        <f>'LDB-10'!$X$47</f>
        <v>3.0585611628689113E-2</v>
      </c>
      <c r="M44" s="126">
        <f>GEOMEAN('LDB-10'!$S$47:'LDB-10'!$S$50)</f>
        <v>1.0901759132034186</v>
      </c>
      <c r="N44" s="127">
        <f>GEOMEAN('LDB-10'!$T$47:'LDB-10'!$T$50)</f>
        <v>1.0979800162970956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-1.3475997657298788E-2</v>
      </c>
      <c r="D51" s="112">
        <f>'RA-10'!$W75</f>
        <v>-6.7902889504613928E-2</v>
      </c>
      <c r="E51" s="113">
        <f>'RA-10'!$X75</f>
        <v>-0.12040560683279736</v>
      </c>
      <c r="F51" s="128">
        <f>'RA-10'!$S75</f>
        <v>1.0347183897341734</v>
      </c>
      <c r="G51" s="115">
        <f>'RA-10'!$T75</f>
        <v>1.0935572624255689</v>
      </c>
      <c r="I51" s="132" t="s">
        <v>78</v>
      </c>
      <c r="J51" s="111">
        <f>'LDB-10'!$V75</f>
        <v>-1.4347022171589979E-2</v>
      </c>
      <c r="K51" s="112">
        <f>'LDB-10'!$W75</f>
        <v>-7.1903188255419859E-2</v>
      </c>
      <c r="L51" s="113">
        <f>'LDB-10'!$X75</f>
        <v>-0.11368934211418416</v>
      </c>
      <c r="M51" s="128">
        <f>'LDB-10'!$S75</f>
        <v>1.0584135731876112</v>
      </c>
      <c r="N51" s="115">
        <f>'LDB-10'!$T75</f>
        <v>1.1416239190420698</v>
      </c>
    </row>
    <row r="52" spans="2:14" ht="12.75" customHeight="1" x14ac:dyDescent="0.2">
      <c r="B52" s="133" t="s">
        <v>79</v>
      </c>
      <c r="C52" s="117">
        <f>'RA-10'!$V76</f>
        <v>-1.5238599030863609E-2</v>
      </c>
      <c r="D52" s="118">
        <f>'RA-10'!$W76</f>
        <v>-9.8006737369735836E-2</v>
      </c>
      <c r="E52" s="119">
        <f>'RA-10'!$X76</f>
        <v>-4.8637799876011051E-2</v>
      </c>
      <c r="F52" s="130">
        <f>'RA-10'!$S76</f>
        <v>1.0548685426837388</v>
      </c>
      <c r="G52" s="121">
        <f>'RA-10'!$T76</f>
        <v>1.1028391511963789</v>
      </c>
      <c r="I52" s="133" t="s">
        <v>79</v>
      </c>
      <c r="J52" s="117">
        <f>'LDB-10'!$V76</f>
        <v>-1.1539554798221496E-2</v>
      </c>
      <c r="K52" s="118">
        <f>'LDB-10'!$W76</f>
        <v>-9.1964870017043537E-2</v>
      </c>
      <c r="L52" s="119">
        <f>'LDB-10'!$X76</f>
        <v>-5.03940381843688E-2</v>
      </c>
      <c r="M52" s="130">
        <f>'LDB-10'!$S76</f>
        <v>1.0422199189703536</v>
      </c>
      <c r="N52" s="121">
        <f>'LDB-10'!$T76</f>
        <v>1.0804574994642508</v>
      </c>
    </row>
    <row r="53" spans="2:14" ht="12.75" customHeight="1" thickBot="1" x14ac:dyDescent="0.25">
      <c r="B53" s="133" t="s">
        <v>51</v>
      </c>
      <c r="C53" s="117">
        <f>'RA-10'!$V77</f>
        <v>-1.4903298993763359E-2</v>
      </c>
      <c r="D53" s="118">
        <f>'RA-10'!$W77</f>
        <v>-5.3127352648006027E-2</v>
      </c>
      <c r="E53" s="119">
        <f>'RA-10'!$X77</f>
        <v>-6.607268148620124E-2</v>
      </c>
      <c r="F53" s="130">
        <f>'RA-10'!$S77</f>
        <v>1.0806349799903598</v>
      </c>
      <c r="G53" s="121">
        <f>'RA-10'!$T77</f>
        <v>1.0661555896583756</v>
      </c>
      <c r="I53" s="133" t="s">
        <v>80</v>
      </c>
      <c r="J53" s="117">
        <f>'LDB-10'!$V77</f>
        <v>-1.0481451315756368E-2</v>
      </c>
      <c r="K53" s="118">
        <f>'LDB-10'!$W77</f>
        <v>-6.0493177763694506E-2</v>
      </c>
      <c r="L53" s="119">
        <f>'LDB-10'!$X77</f>
        <v>-4.0082761072156442E-2</v>
      </c>
      <c r="M53" s="130">
        <f>'LDB-10'!$S77</f>
        <v>1.0847585974893788</v>
      </c>
      <c r="N53" s="121">
        <f>'LDB-10'!$T77</f>
        <v>1.1061055244468221</v>
      </c>
    </row>
    <row r="54" spans="2:14" ht="12.75" customHeight="1" thickBot="1" x14ac:dyDescent="0.25">
      <c r="B54" s="139" t="s">
        <v>37</v>
      </c>
      <c r="C54" s="138">
        <f>'RA-10'!$V80</f>
        <v>-1.4539298560641919E-2</v>
      </c>
      <c r="D54" s="137">
        <f>'RA-10'!$W80</f>
        <v>-7.301232650745193E-2</v>
      </c>
      <c r="E54" s="136">
        <f>'RA-10'!$X80</f>
        <v>-7.8372029398336554E-2</v>
      </c>
      <c r="F54" s="135">
        <f>'RA-10'!$S80</f>
        <v>1.056573815349936</v>
      </c>
      <c r="G54" s="134">
        <f>'RA-10'!$T80</f>
        <v>1.0874052635900211</v>
      </c>
      <c r="I54" s="139" t="s">
        <v>37</v>
      </c>
      <c r="J54" s="138">
        <f>'LDB-10'!$V80</f>
        <v>-1.2122676095189281E-2</v>
      </c>
      <c r="K54" s="137">
        <f>'LDB-10'!$W80</f>
        <v>-7.4787078678719296E-2</v>
      </c>
      <c r="L54" s="136">
        <f>'LDB-10'!$X80</f>
        <v>-6.8055380456903139E-2</v>
      </c>
      <c r="M54" s="135">
        <f>'LDB-10'!$S80</f>
        <v>1.06165307887139</v>
      </c>
      <c r="N54" s="134">
        <f>'LDB-10'!$T80</f>
        <v>1.1091129335785612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I12" sqref="I12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 t="str">
        <f>CONCATENATE("Over ", $J$3)</f>
        <v>Over HPM10.0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>
        <f>'AI-10'!V75</f>
        <v>-9.4101111880858235E-3</v>
      </c>
      <c r="D5" s="61">
        <f>'AI-10'!W75</f>
        <v>-5.3008793406071786E-2</v>
      </c>
      <c r="E5" s="62">
        <f>'AI-10'!X75</f>
        <v>-9.404413522928215E-2</v>
      </c>
      <c r="F5" s="63">
        <f>'AI-10'!S75</f>
        <v>1.2837766483255457</v>
      </c>
      <c r="G5" s="64">
        <f>'AI-10'!T75</f>
        <v>1.0948850060710758</v>
      </c>
      <c r="H5" s="25"/>
      <c r="J5" s="28"/>
    </row>
    <row r="6" spans="2:10" ht="12.75" customHeight="1" x14ac:dyDescent="0.2">
      <c r="B6" s="94" t="s">
        <v>91</v>
      </c>
      <c r="C6" s="65">
        <f>'AI-10'!V76</f>
        <v>-7.2755926538036753E-3</v>
      </c>
      <c r="D6" s="66">
        <f>'AI-10'!W76</f>
        <v>-9.3946150306472076E-2</v>
      </c>
      <c r="E6" s="67">
        <f>'AI-10'!X76</f>
        <v>-4.0725190126557814E-2</v>
      </c>
      <c r="F6" s="68">
        <f>'AI-10'!S76</f>
        <v>1.2794688744064198</v>
      </c>
      <c r="G6" s="69">
        <f>'AI-10'!T76</f>
        <v>1.1152169460490631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-9.0535399774953063E-3</v>
      </c>
      <c r="D7" s="66">
        <f>'AI-10'!W77</f>
        <v>-2.6027034663723636E-2</v>
      </c>
      <c r="E7" s="67">
        <f>'AI-10'!X77</f>
        <v>-3.6026993856987821E-2</v>
      </c>
      <c r="F7" s="68">
        <f>'AI-10'!S77</f>
        <v>1.2760300868699341</v>
      </c>
      <c r="G7" s="69">
        <f>'AI-10'!T77</f>
        <v>1.0975400151022634</v>
      </c>
      <c r="H7" s="25"/>
    </row>
    <row r="8" spans="2:10" s="20" customFormat="1" ht="12.75" customHeight="1" thickBot="1" x14ac:dyDescent="0.25">
      <c r="B8" s="81" t="s">
        <v>37</v>
      </c>
      <c r="C8" s="60">
        <f>'AI-10'!V80</f>
        <v>-8.579747939794935E-3</v>
      </c>
      <c r="D8" s="61">
        <f>'AI-10'!W80</f>
        <v>-5.7660659458755835E-2</v>
      </c>
      <c r="E8" s="61">
        <f>'AI-10'!X80</f>
        <v>-5.6932106404275928E-2</v>
      </c>
      <c r="F8" s="100">
        <f>'AI-10'!S80</f>
        <v>1.2797546134274957</v>
      </c>
      <c r="G8" s="101">
        <f>'AI-10'!T80</f>
        <v>1.1025105243006716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 t="str">
        <f>CONCATENATE("Over ", $J$3)</f>
        <v>Over HPM10.0</v>
      </c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>
        <f>'RA-10'!V75</f>
        <v>-1.3475997657298788E-2</v>
      </c>
      <c r="D15" s="61">
        <f>'RA-10'!W75</f>
        <v>-6.7902889504613928E-2</v>
      </c>
      <c r="E15" s="62">
        <f>'RA-10'!X75</f>
        <v>-0.12040560683279736</v>
      </c>
      <c r="F15" s="63">
        <f>'RA-10'!S75</f>
        <v>1.0347183897341734</v>
      </c>
      <c r="G15" s="64">
        <f>'RA-10'!T75</f>
        <v>1.0935572624255689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-1.5238599030863609E-2</v>
      </c>
      <c r="D16" s="66">
        <f>'RA-10'!W76</f>
        <v>-9.8006737369735836E-2</v>
      </c>
      <c r="E16" s="67">
        <f>'RA-10'!X76</f>
        <v>-4.8637799876011051E-2</v>
      </c>
      <c r="F16" s="68">
        <f>'RA-10'!S76</f>
        <v>1.0548685426837388</v>
      </c>
      <c r="G16" s="69">
        <f>'RA-10'!T76</f>
        <v>1.1028391511963789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-1.4903298993763359E-2</v>
      </c>
      <c r="D17" s="66">
        <f>'RA-10'!W77</f>
        <v>-5.3127352648006027E-2</v>
      </c>
      <c r="E17" s="67">
        <f>'RA-10'!X77</f>
        <v>-6.607268148620124E-2</v>
      </c>
      <c r="F17" s="68">
        <f>'RA-10'!S77</f>
        <v>1.0806349799903598</v>
      </c>
      <c r="G17" s="69">
        <f>'RA-10'!T77</f>
        <v>1.0661555896583756</v>
      </c>
      <c r="H17" s="25"/>
    </row>
    <row r="18" spans="2:9" ht="12.75" customHeight="1" thickBot="1" x14ac:dyDescent="0.25">
      <c r="B18" s="81" t="s">
        <v>37</v>
      </c>
      <c r="C18" s="60">
        <f>'RA-10'!V80</f>
        <v>-1.4539298560641919E-2</v>
      </c>
      <c r="D18" s="61">
        <f>'RA-10'!W80</f>
        <v>-7.301232650745193E-2</v>
      </c>
      <c r="E18" s="61">
        <f>'RA-10'!X80</f>
        <v>-7.8372029398336554E-2</v>
      </c>
      <c r="F18" s="100">
        <f>'RA-10'!S80</f>
        <v>1.056573815349936</v>
      </c>
      <c r="G18" s="101">
        <f>'RA-10'!T80</f>
        <v>1.0874052635900211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HPM10.0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>
        <f>'LDB-10'!V75</f>
        <v>-1.4347022171589979E-2</v>
      </c>
      <c r="D25" s="61">
        <f>'LDB-10'!W75</f>
        <v>-7.1903188255419859E-2</v>
      </c>
      <c r="E25" s="62">
        <f>'LDB-10'!X75</f>
        <v>-0.11368934211418416</v>
      </c>
      <c r="F25" s="63">
        <f>'LDB-10'!S75</f>
        <v>1.0584135731876112</v>
      </c>
      <c r="G25" s="64">
        <f>'LDB-10'!T75</f>
        <v>1.1416239190420698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-1.1539554798221496E-2</v>
      </c>
      <c r="D26" s="66">
        <f>'LDB-10'!W76</f>
        <v>-9.1964870017043537E-2</v>
      </c>
      <c r="E26" s="67">
        <f>'LDB-10'!X76</f>
        <v>-5.03940381843688E-2</v>
      </c>
      <c r="F26" s="68">
        <f>'LDB-10'!S76</f>
        <v>1.0422199189703536</v>
      </c>
      <c r="G26" s="69">
        <f>'LDB-10'!T76</f>
        <v>1.0804574994642508</v>
      </c>
      <c r="H26" s="25"/>
    </row>
    <row r="27" spans="2:9" ht="12.75" customHeight="1" thickBot="1" x14ac:dyDescent="0.25">
      <c r="B27" s="95" t="s">
        <v>93</v>
      </c>
      <c r="C27" s="65">
        <f>'LDB-10'!V77</f>
        <v>-1.0481451315756368E-2</v>
      </c>
      <c r="D27" s="66">
        <f>'LDB-10'!W77</f>
        <v>-6.0493177763694506E-2</v>
      </c>
      <c r="E27" s="67">
        <f>'LDB-10'!X77</f>
        <v>-4.0082761072156442E-2</v>
      </c>
      <c r="F27" s="68">
        <f>'LDB-10'!S77</f>
        <v>1.0847585974893788</v>
      </c>
      <c r="G27" s="69">
        <f>'LDB-10'!T77</f>
        <v>1.1061055244468221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-1.2122676095189281E-2</v>
      </c>
      <c r="D28" s="61">
        <f>'LDB-10'!W80</f>
        <v>-7.4787078678719296E-2</v>
      </c>
      <c r="E28" s="61">
        <f>'LDB-10'!X80</f>
        <v>-6.8055380456903139E-2</v>
      </c>
      <c r="F28" s="100">
        <f>'LDB-10'!S80</f>
        <v>1.06165307887139</v>
      </c>
      <c r="G28" s="101">
        <f>'LDB-10'!T80</f>
        <v>1.1091129335785612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HPM10.0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M30" sqref="M3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77021.915699999998</v>
      </c>
      <c r="E3" s="13">
        <f>Reference!C1</f>
        <v>40.809899999999999</v>
      </c>
      <c r="F3" s="13">
        <f>Reference!D1</f>
        <v>49.187199999999997</v>
      </c>
      <c r="G3" s="13">
        <f>Reference!E1</f>
        <v>47.707500000000003</v>
      </c>
      <c r="H3" s="13">
        <f>Reference!F1</f>
        <v>116099.383</v>
      </c>
      <c r="I3" s="13">
        <f>Reference!G1</f>
        <v>29.303000000000001</v>
      </c>
      <c r="J3" s="14">
        <f>H3/3600</f>
        <v>32.249828611111113</v>
      </c>
      <c r="L3" s="12">
        <f>Test!B1</f>
        <v>77017.193499999994</v>
      </c>
      <c r="M3" s="13">
        <f>Test!C1</f>
        <v>40.813899999999997</v>
      </c>
      <c r="N3" s="13">
        <f>Test!D1</f>
        <v>49.240099999999998</v>
      </c>
      <c r="O3" s="13">
        <f>Test!E1</f>
        <v>47.754100000000001</v>
      </c>
      <c r="P3" s="13">
        <f>Test!F1</f>
        <v>146417.31200000001</v>
      </c>
      <c r="Q3" s="13">
        <f>Test!G1</f>
        <v>31.78</v>
      </c>
      <c r="R3" s="13">
        <f>P3/3600</f>
        <v>40.67147555555556</v>
      </c>
      <c r="S3" s="12">
        <f>P3/H3</f>
        <v>1.2611377271488171</v>
      </c>
      <c r="T3" s="13">
        <f>Q3/I3</f>
        <v>1.0845305941371191</v>
      </c>
      <c r="U3" s="90"/>
      <c r="V3" s="42">
        <f>bdrate($D3:$D6,E3:E6,$L3:$L6,M3:M6)</f>
        <v>-5.5428861158309806E-3</v>
      </c>
      <c r="W3" s="42">
        <f>bdrate($D3:$D6,F3:F6,$L3:$L6,N3:N6)</f>
        <v>-4.474654239480913E-2</v>
      </c>
      <c r="X3" s="43">
        <f>bdrate($D3:$D6,G3:G6,$L3:$L6,O3:O6)</f>
        <v>-2.5611250462889368E-2</v>
      </c>
      <c r="Y3" s="37">
        <f>bdrateOld($D3:$D6,E3:E6,$L3:$L6,M3:M6)</f>
        <v>-5.8645355493215368E-3</v>
      </c>
      <c r="Z3" s="42">
        <f>bdrateOld($D3:$D6,F3:F6,$L3:$L6,N3:N6)</f>
        <v>-4.0026727195193734E-2</v>
      </c>
      <c r="AA3" s="43">
        <f>bdrateOld($D3:$D6,G3:G6,$L3:$L6,O3:O6)</f>
        <v>-2.5256064449301396E-2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41648.419500000004</v>
      </c>
      <c r="E4" s="18">
        <f>Reference!C2</f>
        <v>40.162399999999998</v>
      </c>
      <c r="F4" s="18">
        <f>Reference!D2</f>
        <v>48.4407</v>
      </c>
      <c r="G4" s="18">
        <f>Reference!E2</f>
        <v>46.614899999999999</v>
      </c>
      <c r="H4" s="18">
        <f>Reference!F2</f>
        <v>64593.004000000001</v>
      </c>
      <c r="I4" s="18">
        <f>Reference!G2</f>
        <v>26.18</v>
      </c>
      <c r="J4" s="19">
        <f t="shared" ref="J4:J14" si="0">H4/3600</f>
        <v>17.94250111111111</v>
      </c>
      <c r="L4" s="17">
        <f>Test!B2</f>
        <v>41584.397799999999</v>
      </c>
      <c r="M4" s="18">
        <f>Test!C2</f>
        <v>40.165100000000002</v>
      </c>
      <c r="N4" s="18">
        <f>Test!D2</f>
        <v>48.5441</v>
      </c>
      <c r="O4" s="18">
        <f>Test!E2</f>
        <v>46.677</v>
      </c>
      <c r="P4" s="18">
        <f>Test!F2</f>
        <v>83689.476999999999</v>
      </c>
      <c r="Q4" s="18">
        <f>Test!G2</f>
        <v>29.452999999999999</v>
      </c>
      <c r="R4" s="18">
        <f t="shared" ref="R4:R14" si="1">P4/3600</f>
        <v>23.247076944444444</v>
      </c>
      <c r="S4" s="17">
        <f t="shared" ref="S4:T14" si="2">P4/H4</f>
        <v>1.2956430544707287</v>
      </c>
      <c r="T4" s="18">
        <f t="shared" si="2"/>
        <v>1.1250190985485102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24974.724300000002</v>
      </c>
      <c r="E5" s="18">
        <f>Reference!C3</f>
        <v>39.437199999999997</v>
      </c>
      <c r="F5" s="18">
        <f>Reference!D3</f>
        <v>47.550800000000002</v>
      </c>
      <c r="G5" s="18">
        <f>Reference!E3</f>
        <v>45.335900000000002</v>
      </c>
      <c r="H5" s="18">
        <f>Reference!F3</f>
        <v>39183.733999999997</v>
      </c>
      <c r="I5" s="18">
        <f>Reference!G3</f>
        <v>25.306000000000001</v>
      </c>
      <c r="J5" s="19">
        <f t="shared" si="0"/>
        <v>10.884370555555554</v>
      </c>
      <c r="L5" s="17">
        <f>Test!B3</f>
        <v>24885.587</v>
      </c>
      <c r="M5" s="18">
        <f>Test!C3</f>
        <v>39.442</v>
      </c>
      <c r="N5" s="18">
        <f>Test!D3</f>
        <v>47.628999999999998</v>
      </c>
      <c r="O5" s="18">
        <f>Test!E3</f>
        <v>45.395600000000002</v>
      </c>
      <c r="P5" s="18">
        <f>Test!F3</f>
        <v>50013.315999999999</v>
      </c>
      <c r="Q5" s="18">
        <f>Test!G3</f>
        <v>27.57</v>
      </c>
      <c r="R5" s="18">
        <f t="shared" si="1"/>
        <v>13.892587777777777</v>
      </c>
      <c r="S5" s="17">
        <f t="shared" si="2"/>
        <v>1.2763795303428713</v>
      </c>
      <c r="T5" s="18">
        <f t="shared" si="2"/>
        <v>1.089464949023947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14235.710300000001</v>
      </c>
      <c r="E6" s="23">
        <f>Reference!C4</f>
        <v>38.220300000000002</v>
      </c>
      <c r="F6" s="23">
        <f>Reference!D4</f>
        <v>46.0732</v>
      </c>
      <c r="G6" s="23">
        <f>Reference!E4</f>
        <v>43.532499999999999</v>
      </c>
      <c r="H6" s="23">
        <f>Reference!F4</f>
        <v>21951.947</v>
      </c>
      <c r="I6" s="23">
        <f>Reference!G4</f>
        <v>23.937000000000001</v>
      </c>
      <c r="J6" s="24">
        <f t="shared" si="0"/>
        <v>6.0977630555555553</v>
      </c>
      <c r="L6" s="22">
        <f>Test!B4</f>
        <v>14213.7989</v>
      </c>
      <c r="M6" s="23">
        <f>Test!C4</f>
        <v>38.234099999999998</v>
      </c>
      <c r="N6" s="23">
        <f>Test!D4</f>
        <v>46.125500000000002</v>
      </c>
      <c r="O6" s="23">
        <f>Test!E4</f>
        <v>43.589799999999997</v>
      </c>
      <c r="P6" s="23">
        <f>Test!F4</f>
        <v>26951.973000000002</v>
      </c>
      <c r="Q6" s="23">
        <f>Test!G4</f>
        <v>25.533000000000001</v>
      </c>
      <c r="R6" s="23">
        <f t="shared" si="1"/>
        <v>7.4866591666666675</v>
      </c>
      <c r="S6" s="17">
        <f t="shared" si="2"/>
        <v>1.2277714136244955</v>
      </c>
      <c r="T6" s="18">
        <f t="shared" si="2"/>
        <v>1.0666750219325729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325668.84210000001</v>
      </c>
      <c r="E7" s="13">
        <f>Reference!C5</f>
        <v>44.723300000000002</v>
      </c>
      <c r="F7" s="13">
        <f>Reference!D5</f>
        <v>38.966000000000001</v>
      </c>
      <c r="G7" s="13">
        <f>Reference!E5</f>
        <v>39.462299999999999</v>
      </c>
      <c r="H7" s="13">
        <f>Reference!F5</f>
        <v>181246.17199999999</v>
      </c>
      <c r="I7" s="13">
        <f>Reference!G5</f>
        <v>43.972000000000001</v>
      </c>
      <c r="J7" s="14">
        <f t="shared" si="0"/>
        <v>50.346158888888887</v>
      </c>
      <c r="L7" s="12">
        <f>Test!B5</f>
        <v>325219.14740000002</v>
      </c>
      <c r="M7" s="13">
        <f>Test!C5</f>
        <v>44.7883</v>
      </c>
      <c r="N7" s="13">
        <f>Test!D5</f>
        <v>39.192</v>
      </c>
      <c r="O7" s="13">
        <f>Test!E5</f>
        <v>39.666400000000003</v>
      </c>
      <c r="P7" s="13">
        <f>Test!F5</f>
        <v>238960.93799999999</v>
      </c>
      <c r="Q7" s="13">
        <f>Test!G5</f>
        <v>46.723999999999997</v>
      </c>
      <c r="R7" s="13">
        <f t="shared" si="1"/>
        <v>66.378038333333336</v>
      </c>
      <c r="S7" s="17">
        <f t="shared" si="2"/>
        <v>1.3184330204778063</v>
      </c>
      <c r="T7" s="18">
        <f t="shared" si="2"/>
        <v>1.0625852815427999</v>
      </c>
      <c r="U7" s="91"/>
      <c r="V7" s="42">
        <f>bdrate($D7:$D10,E7:E10,$L7:$L10,M7:M10)</f>
        <v>-9.9359131300473802E-3</v>
      </c>
      <c r="W7" s="42">
        <f>bdrate($D7:$D10,F7:F10,$L7:$L10,N7:N10)</f>
        <v>-7.0414094748458167E-2</v>
      </c>
      <c r="X7" s="42">
        <f>bdrate($D7:$D10,G7:G10,$L7:$L10,O7:O10)</f>
        <v>-9.2896479440512825E-2</v>
      </c>
      <c r="Y7" s="40">
        <f>bdrateOld($D7:$D10,E7:E10,$L7:$L10,M7:M10)</f>
        <v>-9.9314478803672612E-3</v>
      </c>
      <c r="Z7" s="44">
        <f>bdrateOld($D7:$D10,F7:F10,$L7:$L10,N7:N10)</f>
        <v>-7.0428991127373108E-2</v>
      </c>
      <c r="AA7" s="45">
        <f>bdrateOld($D7:$D10,G7:G10,$L7:$L10,O7:O10)</f>
        <v>-9.2645451529002165E-2</v>
      </c>
    </row>
    <row r="8" spans="1:27" x14ac:dyDescent="0.2">
      <c r="A8" s="16"/>
      <c r="B8" s="85"/>
      <c r="C8" s="16">
        <v>48</v>
      </c>
      <c r="D8" s="17">
        <f>Reference!B6</f>
        <v>208104.7789</v>
      </c>
      <c r="E8" s="18">
        <f>Reference!C6</f>
        <v>41.950499999999998</v>
      </c>
      <c r="F8" s="18">
        <f>Reference!D6</f>
        <v>36.403599999999997</v>
      </c>
      <c r="G8" s="18">
        <f>Reference!E6</f>
        <v>37.210700000000003</v>
      </c>
      <c r="H8" s="18">
        <f>Reference!F6</f>
        <v>144649.56200000001</v>
      </c>
      <c r="I8" s="18">
        <f>Reference!G6</f>
        <v>38.107999999999997</v>
      </c>
      <c r="J8" s="19">
        <f t="shared" si="0"/>
        <v>40.180433888888892</v>
      </c>
      <c r="L8" s="17">
        <f>Test!B6</f>
        <v>207623.54740000001</v>
      </c>
      <c r="M8" s="18">
        <f>Test!C6</f>
        <v>42.001199999999997</v>
      </c>
      <c r="N8" s="18">
        <f>Test!D6</f>
        <v>36.7074</v>
      </c>
      <c r="O8" s="18">
        <f>Test!E6</f>
        <v>37.483199999999997</v>
      </c>
      <c r="P8" s="18">
        <f>Test!F6</f>
        <v>192128.34400000001</v>
      </c>
      <c r="Q8" s="18">
        <f>Test!G6</f>
        <v>42.923000000000002</v>
      </c>
      <c r="R8" s="18">
        <f t="shared" si="1"/>
        <v>53.36898444444445</v>
      </c>
      <c r="S8" s="17">
        <f t="shared" si="2"/>
        <v>1.3282331542766788</v>
      </c>
      <c r="T8" s="18">
        <f t="shared" si="2"/>
        <v>1.1263514222735385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119094.7895</v>
      </c>
      <c r="E9" s="18">
        <f>Reference!C7</f>
        <v>38.707999999999998</v>
      </c>
      <c r="F9" s="18">
        <f>Reference!D7</f>
        <v>34.122500000000002</v>
      </c>
      <c r="G9" s="18">
        <f>Reference!E7</f>
        <v>35.174599999999998</v>
      </c>
      <c r="H9" s="18">
        <f>Reference!F7</f>
        <v>108629.07799999999</v>
      </c>
      <c r="I9" s="18">
        <f>Reference!G7</f>
        <v>33.520000000000003</v>
      </c>
      <c r="J9" s="19">
        <f t="shared" si="0"/>
        <v>30.174743888888887</v>
      </c>
      <c r="L9" s="17">
        <f>Test!B7</f>
        <v>118774.4421</v>
      </c>
      <c r="M9" s="18">
        <f>Test!C7</f>
        <v>38.7438</v>
      </c>
      <c r="N9" s="18">
        <f>Test!D7</f>
        <v>34.416600000000003</v>
      </c>
      <c r="O9" s="18">
        <f>Test!E7</f>
        <v>35.545999999999999</v>
      </c>
      <c r="P9" s="18">
        <f>Test!F7</f>
        <v>138515.92199999999</v>
      </c>
      <c r="Q9" s="18">
        <f>Test!G7</f>
        <v>36.97</v>
      </c>
      <c r="R9" s="18">
        <f t="shared" si="1"/>
        <v>38.476644999999998</v>
      </c>
      <c r="S9" s="17">
        <f t="shared" si="2"/>
        <v>1.2751274755365225</v>
      </c>
      <c r="T9" s="18">
        <f t="shared" si="2"/>
        <v>1.1029236276849641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56287.8842</v>
      </c>
      <c r="E10" s="23">
        <f>Reference!C8</f>
        <v>35.231000000000002</v>
      </c>
      <c r="F10" s="23">
        <f>Reference!D8</f>
        <v>31.7742</v>
      </c>
      <c r="G10" s="23">
        <f>Reference!E8</f>
        <v>33.236800000000002</v>
      </c>
      <c r="H10" s="23">
        <f>Reference!F8</f>
        <v>71228.641000000003</v>
      </c>
      <c r="I10" s="23">
        <f>Reference!G8</f>
        <v>28.597000000000001</v>
      </c>
      <c r="J10" s="24">
        <f t="shared" si="0"/>
        <v>19.785733611111112</v>
      </c>
      <c r="L10" s="22">
        <f>Test!B8</f>
        <v>56161.4</v>
      </c>
      <c r="M10" s="23">
        <f>Test!C8</f>
        <v>35.257399999999997</v>
      </c>
      <c r="N10" s="23">
        <f>Test!D8</f>
        <v>32.0486</v>
      </c>
      <c r="O10" s="23">
        <f>Test!E8</f>
        <v>33.689599999999999</v>
      </c>
      <c r="P10" s="23">
        <f>Test!F8</f>
        <v>91148.476999999999</v>
      </c>
      <c r="Q10" s="23">
        <f>Test!G8</f>
        <v>30.626000000000001</v>
      </c>
      <c r="R10" s="23">
        <f t="shared" si="1"/>
        <v>25.319021388888888</v>
      </c>
      <c r="S10" s="17">
        <f t="shared" si="2"/>
        <v>1.2796604809573722</v>
      </c>
      <c r="T10" s="18">
        <f t="shared" si="2"/>
        <v>1.0709514984089239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125661.85890000001</v>
      </c>
      <c r="E11" s="13">
        <f>Reference!C9</f>
        <v>41.569499999999998</v>
      </c>
      <c r="F11" s="13">
        <f>Reference!D9</f>
        <v>43.9527</v>
      </c>
      <c r="G11" s="13">
        <f>Reference!E9</f>
        <v>42.842100000000002</v>
      </c>
      <c r="H11" s="13">
        <f>Reference!F9</f>
        <v>151437.40599999999</v>
      </c>
      <c r="I11" s="13">
        <f>Reference!G9</f>
        <v>35.847999999999999</v>
      </c>
      <c r="J11" s="14">
        <f t="shared" si="0"/>
        <v>42.06594611111111</v>
      </c>
      <c r="L11" s="12">
        <f>Test!B9</f>
        <v>125452.74950000001</v>
      </c>
      <c r="M11" s="13">
        <f>Test!C9</f>
        <v>41.589399999999998</v>
      </c>
      <c r="N11" s="13">
        <f>Test!D9</f>
        <v>44.042299999999997</v>
      </c>
      <c r="O11" s="13">
        <f>Test!E9</f>
        <v>42.925600000000003</v>
      </c>
      <c r="P11" s="13">
        <f>Test!F9</f>
        <v>196779.71900000001</v>
      </c>
      <c r="Q11" s="13">
        <f>Test!G9</f>
        <v>38.840000000000003</v>
      </c>
      <c r="R11" s="13">
        <f t="shared" si="1"/>
        <v>54.661033055555556</v>
      </c>
      <c r="S11" s="17">
        <f t="shared" si="2"/>
        <v>1.2994129006673558</v>
      </c>
      <c r="T11" s="18">
        <f t="shared" si="2"/>
        <v>1.0834635126087928</v>
      </c>
      <c r="U11" s="91"/>
      <c r="V11" s="42">
        <f>bdrate($D11:$D14,E11:E14,$L11:$L14,M11:M14)</f>
        <v>-1.14541182890181E-2</v>
      </c>
      <c r="W11" s="42">
        <f>bdrate($D11:$D14,F11:F14,$L11:$L14,N11:N14)</f>
        <v>-2.1195832298007034E-2</v>
      </c>
      <c r="X11" s="42">
        <f>bdrate($D11:$D14,G11:G14,$L11:$L14,O11:O14)</f>
        <v>-8.116890007842581E-2</v>
      </c>
      <c r="Y11" s="40">
        <f>bdrateOld($D11:$D14,E11:E14,$L11:$L14,M11:M14)</f>
        <v>-1.1553826955242874E-2</v>
      </c>
      <c r="Z11" s="44">
        <f>bdrateOld($D11:$D14,F11:F14,$L11:$L14,N11:N14)</f>
        <v>-2.1226539436390301E-2</v>
      </c>
      <c r="AA11" s="45">
        <f>bdrateOld($D11:$D14,G11:G14,$L11:$L14,O11:O14)</f>
        <v>-8.2880241438223035E-2</v>
      </c>
    </row>
    <row r="12" spans="1:27" x14ac:dyDescent="0.2">
      <c r="A12" s="34"/>
      <c r="B12" s="83"/>
      <c r="C12" s="16">
        <v>48</v>
      </c>
      <c r="D12" s="17">
        <f>Reference!B10</f>
        <v>56584.945299999999</v>
      </c>
      <c r="E12" s="18">
        <f>Reference!C10</f>
        <v>38.874000000000002</v>
      </c>
      <c r="F12" s="18">
        <f>Reference!D10</f>
        <v>41.349299999999999</v>
      </c>
      <c r="G12" s="18">
        <f>Reference!E10</f>
        <v>41.681800000000003</v>
      </c>
      <c r="H12" s="18">
        <f>Reference!F10</f>
        <v>104476.969</v>
      </c>
      <c r="I12" s="18">
        <f>Reference!G10</f>
        <v>28.556000000000001</v>
      </c>
      <c r="J12" s="19">
        <f t="shared" si="0"/>
        <v>29.021380277777777</v>
      </c>
      <c r="L12" s="17">
        <f>Test!B10</f>
        <v>56416.635799999996</v>
      </c>
      <c r="M12" s="18">
        <f>Test!C10</f>
        <v>38.893500000000003</v>
      </c>
      <c r="N12" s="18">
        <f>Test!D10</f>
        <v>41.417299999999997</v>
      </c>
      <c r="O12" s="18">
        <f>Test!E10</f>
        <v>41.796700000000001</v>
      </c>
      <c r="P12" s="18">
        <f>Test!F10</f>
        <v>140144.484</v>
      </c>
      <c r="Q12" s="18">
        <f>Test!G10</f>
        <v>32.006</v>
      </c>
      <c r="R12" s="18">
        <f t="shared" si="1"/>
        <v>38.929023333333333</v>
      </c>
      <c r="S12" s="17">
        <f t="shared" si="2"/>
        <v>1.3413911730153658</v>
      </c>
      <c r="T12" s="18">
        <f t="shared" si="2"/>
        <v>1.120815240229724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25718.987400000002</v>
      </c>
      <c r="E13" s="18">
        <f>Reference!C11</f>
        <v>37.304099999999998</v>
      </c>
      <c r="F13" s="18">
        <f>Reference!D11</f>
        <v>39.045299999999997</v>
      </c>
      <c r="G13" s="18">
        <f>Reference!E11</f>
        <v>40.561799999999998</v>
      </c>
      <c r="H13" s="18">
        <f>Reference!F11</f>
        <v>61651.559000000001</v>
      </c>
      <c r="I13" s="18">
        <f>Reference!G11</f>
        <v>24.568999999999999</v>
      </c>
      <c r="J13" s="19">
        <f t="shared" si="0"/>
        <v>17.125433055555558</v>
      </c>
      <c r="L13" s="17">
        <f>Test!B11</f>
        <v>25564.743200000001</v>
      </c>
      <c r="M13" s="18">
        <f>Test!C11</f>
        <v>37.320500000000003</v>
      </c>
      <c r="N13" s="18">
        <f>Test!D11</f>
        <v>39.088099999999997</v>
      </c>
      <c r="O13" s="18">
        <f>Test!E11</f>
        <v>40.714399999999998</v>
      </c>
      <c r="P13" s="18">
        <f>Test!F11</f>
        <v>79046.601999999999</v>
      </c>
      <c r="Q13" s="18">
        <f>Test!G11</f>
        <v>27.079000000000001</v>
      </c>
      <c r="R13" s="18">
        <f t="shared" si="1"/>
        <v>21.957389444444445</v>
      </c>
      <c r="S13" s="17">
        <f t="shared" si="2"/>
        <v>1.2821509022991615</v>
      </c>
      <c r="T13" s="18">
        <f t="shared" si="2"/>
        <v>1.1021612601245472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12475.484200000001</v>
      </c>
      <c r="E14" s="23">
        <f>Reference!C12</f>
        <v>35.918799999999997</v>
      </c>
      <c r="F14" s="23">
        <f>Reference!D12</f>
        <v>36.352600000000002</v>
      </c>
      <c r="G14" s="23">
        <f>Reference!E12</f>
        <v>39.089500000000001</v>
      </c>
      <c r="H14" s="23">
        <f>Reference!F12</f>
        <v>34967.190999999999</v>
      </c>
      <c r="I14" s="23">
        <f>Reference!G12</f>
        <v>21.952999999999999</v>
      </c>
      <c r="J14" s="24">
        <f t="shared" si="0"/>
        <v>9.7131086111111102</v>
      </c>
      <c r="L14" s="22">
        <f>Test!B12</f>
        <v>12388.4905</v>
      </c>
      <c r="M14" s="23">
        <f>Test!C12</f>
        <v>35.940300000000001</v>
      </c>
      <c r="N14" s="23">
        <f>Test!D12</f>
        <v>36.371600000000001</v>
      </c>
      <c r="O14" s="23">
        <f>Test!E12</f>
        <v>39.220999999999997</v>
      </c>
      <c r="P14" s="23">
        <f>Test!F12</f>
        <v>45404.938000000002</v>
      </c>
      <c r="Q14" s="23">
        <f>Test!G12</f>
        <v>24.221</v>
      </c>
      <c r="R14" s="23">
        <f t="shared" si="1"/>
        <v>12.612482777777778</v>
      </c>
      <c r="S14" s="17">
        <f t="shared" si="2"/>
        <v>1.2985011578425045</v>
      </c>
      <c r="T14" s="18">
        <f t="shared" si="2"/>
        <v>1.1033116202796884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179126.4253</v>
      </c>
      <c r="E15" s="13">
        <f>Reference!C13</f>
        <v>38.617400000000004</v>
      </c>
      <c r="F15" s="13">
        <f>Reference!D13</f>
        <v>45.573500000000003</v>
      </c>
      <c r="G15" s="13">
        <f>Reference!E13</f>
        <v>43.353200000000001</v>
      </c>
      <c r="H15" s="13">
        <f>Reference!F13</f>
        <v>179450.859</v>
      </c>
      <c r="I15" s="13">
        <f>Reference!G13</f>
        <v>37.904000000000003</v>
      </c>
      <c r="J15" s="14">
        <f>H15/3600</f>
        <v>49.847460833333329</v>
      </c>
      <c r="L15" s="12">
        <f>Test!B13</f>
        <v>178677.85260000001</v>
      </c>
      <c r="M15" s="13">
        <f>Test!C13</f>
        <v>38.624299999999998</v>
      </c>
      <c r="N15" s="13">
        <f>Test!D13</f>
        <v>45.672699999999999</v>
      </c>
      <c r="O15" s="13">
        <f>Test!E13</f>
        <v>43.500599999999999</v>
      </c>
      <c r="P15" s="13">
        <f>Test!F13</f>
        <v>230761.04699999999</v>
      </c>
      <c r="Q15" s="13">
        <f>Test!G13</f>
        <v>40.509</v>
      </c>
      <c r="R15" s="13">
        <f>P15/3600</f>
        <v>64.100290833333332</v>
      </c>
      <c r="S15" s="17">
        <f>P15/H15</f>
        <v>1.2859289071444344</v>
      </c>
      <c r="T15" s="18">
        <f>Q15/I15</f>
        <v>1.0687262558041366</v>
      </c>
      <c r="U15" s="91"/>
      <c r="V15" s="42">
        <f>bdrate($D15:$D18,E15:E18,$L15:$L18,M15:M18)</f>
        <v>-1.0707527217446833E-2</v>
      </c>
      <c r="W15" s="42">
        <f>bdrate($D15:$D18,F15:F18,$L15:$L18,N15:N18)</f>
        <v>-7.5678704183012813E-2</v>
      </c>
      <c r="X15" s="43">
        <f>bdrate($D15:$D18,G15:G18,$L15:$L18,O15:O18)</f>
        <v>-0.1764999109353006</v>
      </c>
      <c r="Y15" s="37">
        <f>bdrateOld($D15:$D18,E15:E18,$L15:$L18,M15:M18)</f>
        <v>-1.0813135007015195E-2</v>
      </c>
      <c r="Z15" s="42">
        <f>bdrateOld($D15:$D18,F15:F18,$L15:$L18,N15:N18)</f>
        <v>-7.4283213748314925E-2</v>
      </c>
      <c r="AA15" s="43">
        <f>bdrateOld($D15:$D18,G15:G18,$L15:$L18,O15:O18)</f>
        <v>-0.17488303821889806</v>
      </c>
    </row>
    <row r="16" spans="1:27" x14ac:dyDescent="0.2">
      <c r="A16" s="16"/>
      <c r="B16" s="85"/>
      <c r="C16" s="16">
        <v>48</v>
      </c>
      <c r="D16" s="17">
        <f>Reference!B14</f>
        <v>87553.288400000005</v>
      </c>
      <c r="E16" s="18">
        <f>Reference!C14</f>
        <v>37.679400000000001</v>
      </c>
      <c r="F16" s="18">
        <f>Reference!D14</f>
        <v>44.670099999999998</v>
      </c>
      <c r="G16" s="18">
        <f>Reference!E14</f>
        <v>42.222299999999997</v>
      </c>
      <c r="H16" s="18">
        <f>Reference!F14</f>
        <v>114663.79700000001</v>
      </c>
      <c r="I16" s="18">
        <f>Reference!G14</f>
        <v>30.193000000000001</v>
      </c>
      <c r="J16" s="19">
        <f t="shared" ref="J16:J26" si="3">H16/3600</f>
        <v>31.851054722222223</v>
      </c>
      <c r="L16" s="17">
        <f>Test!B14</f>
        <v>87167.570500000002</v>
      </c>
      <c r="M16" s="18">
        <f>Test!C14</f>
        <v>37.688200000000002</v>
      </c>
      <c r="N16" s="18">
        <f>Test!D14</f>
        <v>44.805700000000002</v>
      </c>
      <c r="O16" s="18">
        <f>Test!E14</f>
        <v>42.505899999999997</v>
      </c>
      <c r="P16" s="18">
        <f>Test!F14</f>
        <v>146502.141</v>
      </c>
      <c r="Q16" s="18">
        <f>Test!G14</f>
        <v>34.656999999999996</v>
      </c>
      <c r="R16" s="18">
        <f t="shared" ref="R16:R26" si="4">P16/3600</f>
        <v>40.695039166666668</v>
      </c>
      <c r="S16" s="17">
        <f t="shared" ref="S16:S26" si="5">P16/H16</f>
        <v>1.2776669256818698</v>
      </c>
      <c r="T16" s="18">
        <f t="shared" ref="T16:T26" si="6">Q16/I16</f>
        <v>1.1478488391348987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50423.040000000001</v>
      </c>
      <c r="E17" s="18">
        <f>Reference!C15</f>
        <v>36.759099999999997</v>
      </c>
      <c r="F17" s="18">
        <f>Reference!D15</f>
        <v>43.692700000000002</v>
      </c>
      <c r="G17" s="18">
        <f>Reference!E15</f>
        <v>41.050600000000003</v>
      </c>
      <c r="H17" s="18">
        <f>Reference!F15</f>
        <v>72873.702999999994</v>
      </c>
      <c r="I17" s="18">
        <f>Reference!G15</f>
        <v>26.931999999999999</v>
      </c>
      <c r="J17" s="19">
        <f t="shared" si="3"/>
        <v>20.242695277777777</v>
      </c>
      <c r="L17" s="17">
        <f>Test!B15</f>
        <v>50195.153700000003</v>
      </c>
      <c r="M17" s="18">
        <f>Test!C15</f>
        <v>36.773200000000003</v>
      </c>
      <c r="N17" s="18">
        <f>Test!D15</f>
        <v>43.829500000000003</v>
      </c>
      <c r="O17" s="18">
        <f>Test!E15</f>
        <v>41.492800000000003</v>
      </c>
      <c r="P17" s="18">
        <f>Test!F15</f>
        <v>90663</v>
      </c>
      <c r="Q17" s="18">
        <f>Test!G15</f>
        <v>29.184000000000001</v>
      </c>
      <c r="R17" s="18">
        <f t="shared" si="4"/>
        <v>25.184166666666666</v>
      </c>
      <c r="S17" s="17">
        <f t="shared" si="5"/>
        <v>1.2441113360192497</v>
      </c>
      <c r="T17" s="18">
        <f t="shared" si="6"/>
        <v>1.0836180008911334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26597.494699999999</v>
      </c>
      <c r="E18" s="23">
        <f>Reference!C16</f>
        <v>35.2562</v>
      </c>
      <c r="F18" s="23">
        <f>Reference!D16</f>
        <v>42.3354</v>
      </c>
      <c r="G18" s="23">
        <f>Reference!E16</f>
        <v>39.679000000000002</v>
      </c>
      <c r="H18" s="23">
        <f>Reference!F16</f>
        <v>43960.059000000001</v>
      </c>
      <c r="I18" s="23">
        <f>Reference!G16</f>
        <v>24.24</v>
      </c>
      <c r="J18" s="24">
        <f t="shared" si="3"/>
        <v>12.2111275</v>
      </c>
      <c r="L18" s="22">
        <f>Test!B16</f>
        <v>26540.564200000001</v>
      </c>
      <c r="M18" s="23">
        <f>Test!C16</f>
        <v>35.278799999999997</v>
      </c>
      <c r="N18" s="23">
        <f>Test!D16</f>
        <v>42.4392</v>
      </c>
      <c r="O18" s="23">
        <f>Test!E16</f>
        <v>40.228200000000001</v>
      </c>
      <c r="P18" s="23">
        <f>Test!F16</f>
        <v>55129.73</v>
      </c>
      <c r="Q18" s="23">
        <f>Test!G16</f>
        <v>26.273</v>
      </c>
      <c r="R18" s="23">
        <f t="shared" si="4"/>
        <v>15.313813888888889</v>
      </c>
      <c r="S18" s="17">
        <f t="shared" si="5"/>
        <v>1.2540868063894091</v>
      </c>
      <c r="T18" s="18">
        <f t="shared" si="6"/>
        <v>1.0838696369636964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68179.834900000002</v>
      </c>
      <c r="E19" s="13">
        <f>Reference!C17</f>
        <v>39.560899999999997</v>
      </c>
      <c r="F19" s="13">
        <f>Reference!D17</f>
        <v>40.447800000000001</v>
      </c>
      <c r="G19" s="13">
        <f>Reference!E17</f>
        <v>43.422699999999999</v>
      </c>
      <c r="H19" s="13">
        <f>Reference!F17</f>
        <v>79137.108999999997</v>
      </c>
      <c r="I19" s="13">
        <f>Reference!G17</f>
        <v>17.774000000000001</v>
      </c>
      <c r="J19" s="14">
        <f t="shared" si="3"/>
        <v>21.982530277777776</v>
      </c>
      <c r="L19" s="12">
        <f>Test!B17</f>
        <v>68104.825400000002</v>
      </c>
      <c r="M19" s="13">
        <f>Test!C17</f>
        <v>39.583199999999998</v>
      </c>
      <c r="N19" s="13">
        <f>Test!D17</f>
        <v>40.532299999999999</v>
      </c>
      <c r="O19" s="13">
        <f>Test!E17</f>
        <v>43.607300000000002</v>
      </c>
      <c r="P19" s="13">
        <f>Test!F17</f>
        <v>100777.094</v>
      </c>
      <c r="Q19" s="13">
        <f>Test!G17</f>
        <v>19.818999999999999</v>
      </c>
      <c r="R19" s="13">
        <f t="shared" si="4"/>
        <v>27.993637222222223</v>
      </c>
      <c r="S19" s="12">
        <f t="shared" si="5"/>
        <v>1.2734492739682972</v>
      </c>
      <c r="T19" s="13">
        <f t="shared" si="6"/>
        <v>1.1150556993361087</v>
      </c>
      <c r="U19" s="90"/>
      <c r="V19" s="42">
        <f>bdrate($D19:$D22,E19:E22,$L19:$L22,M19:M22)</f>
        <v>-8.7102964230303392E-3</v>
      </c>
      <c r="W19" s="42">
        <f>bdrate($D19:$D22,F19:F22,$L19:$L22,N19:N22)</f>
        <v>-9.5354458850809731E-2</v>
      </c>
      <c r="X19" s="42">
        <f>bdrate($D19:$D22,G19:G22,$L19:$L22,O19:O22)</f>
        <v>-7.6112362261240851E-2</v>
      </c>
      <c r="Y19" s="40">
        <f>bdrateOld($D19:$D22,E19:E22,$L19:$L22,M19:M22)</f>
        <v>-8.7110945047792487E-3</v>
      </c>
      <c r="Z19" s="44">
        <f>bdrateOld($D19:$D22,F19:F22,$L19:$L22,N19:N22)</f>
        <v>-9.6608958517266807E-2</v>
      </c>
      <c r="AA19" s="45">
        <f>bdrateOld($D19:$D22,G19:G22,$L19:$L22,O19:O22)</f>
        <v>-7.642458883471881E-2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40705.104800000001</v>
      </c>
      <c r="E20" s="18">
        <f>Reference!C18</f>
        <v>37.9268</v>
      </c>
      <c r="F20" s="18">
        <f>Reference!D18</f>
        <v>39.423000000000002</v>
      </c>
      <c r="G20" s="18">
        <f>Reference!E18</f>
        <v>41.9925</v>
      </c>
      <c r="H20" s="18">
        <f>Reference!F18</f>
        <v>59761.66</v>
      </c>
      <c r="I20" s="18">
        <f>Reference!G18</f>
        <v>14.984999999999999</v>
      </c>
      <c r="J20" s="19">
        <f t="shared" si="3"/>
        <v>16.600461111111112</v>
      </c>
      <c r="L20" s="17">
        <f>Test!B18</f>
        <v>40628.533300000003</v>
      </c>
      <c r="M20" s="18">
        <f>Test!C18</f>
        <v>37.948799999999999</v>
      </c>
      <c r="N20" s="18">
        <f>Test!D18</f>
        <v>39.576599999999999</v>
      </c>
      <c r="O20" s="18">
        <f>Test!E18</f>
        <v>42.216900000000003</v>
      </c>
      <c r="P20" s="18">
        <f>Test!F18</f>
        <v>75453.422000000006</v>
      </c>
      <c r="Q20" s="18">
        <f>Test!G18</f>
        <v>16.667000000000002</v>
      </c>
      <c r="R20" s="18">
        <f t="shared" si="4"/>
        <v>20.959283888888891</v>
      </c>
      <c r="S20" s="17">
        <f t="shared" si="5"/>
        <v>1.2625723917307519</v>
      </c>
      <c r="T20" s="18">
        <f t="shared" si="6"/>
        <v>1.1122455789122456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23480.685700000002</v>
      </c>
      <c r="E21" s="18">
        <f>Reference!C19</f>
        <v>36.016500000000001</v>
      </c>
      <c r="F21" s="18">
        <f>Reference!D19</f>
        <v>38.529000000000003</v>
      </c>
      <c r="G21" s="18">
        <f>Reference!E19</f>
        <v>40.570599999999999</v>
      </c>
      <c r="H21" s="18">
        <f>Reference!F19</f>
        <v>44204.464999999997</v>
      </c>
      <c r="I21" s="18">
        <f>Reference!G19</f>
        <v>13.132999999999999</v>
      </c>
      <c r="J21" s="19">
        <f t="shared" si="3"/>
        <v>12.279018055555554</v>
      </c>
      <c r="L21" s="17">
        <f>Test!B19</f>
        <v>23421.587299999999</v>
      </c>
      <c r="M21" s="18">
        <f>Test!C19</f>
        <v>36.039099999999998</v>
      </c>
      <c r="N21" s="18">
        <f>Test!D19</f>
        <v>38.725499999999997</v>
      </c>
      <c r="O21" s="18">
        <f>Test!E19</f>
        <v>40.7879</v>
      </c>
      <c r="P21" s="18">
        <f>Test!F19</f>
        <v>56291.828000000001</v>
      </c>
      <c r="Q21" s="18">
        <f>Test!G19</f>
        <v>15.273999999999999</v>
      </c>
      <c r="R21" s="18">
        <f t="shared" si="4"/>
        <v>15.63661888888889</v>
      </c>
      <c r="S21" s="17">
        <f t="shared" si="5"/>
        <v>1.2734421285270618</v>
      </c>
      <c r="T21" s="18">
        <f t="shared" si="6"/>
        <v>1.1630244422447271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11982.596799999999</v>
      </c>
      <c r="E22" s="23">
        <f>Reference!C20</f>
        <v>33.543399999999998</v>
      </c>
      <c r="F22" s="23">
        <f>Reference!D20</f>
        <v>37.332599999999999</v>
      </c>
      <c r="G22" s="23">
        <f>Reference!E20</f>
        <v>38.805700000000002</v>
      </c>
      <c r="H22" s="23">
        <f>Reference!F20</f>
        <v>29324.138999999999</v>
      </c>
      <c r="I22" s="23">
        <f>Reference!G20</f>
        <v>11.2</v>
      </c>
      <c r="J22" s="24">
        <f t="shared" si="3"/>
        <v>8.1455941666666671</v>
      </c>
      <c r="L22" s="22">
        <f>Test!B20</f>
        <v>11925.688899999999</v>
      </c>
      <c r="M22" s="23">
        <f>Test!C20</f>
        <v>33.559699999999999</v>
      </c>
      <c r="N22" s="23">
        <f>Test!D20</f>
        <v>37.529899999999998</v>
      </c>
      <c r="O22" s="23">
        <f>Test!E20</f>
        <v>38.934399999999997</v>
      </c>
      <c r="P22" s="23">
        <f>Test!F20</f>
        <v>37602.339999999997</v>
      </c>
      <c r="Q22" s="23">
        <f>Test!G20</f>
        <v>12.579000000000001</v>
      </c>
      <c r="R22" s="23">
        <f t="shared" si="4"/>
        <v>10.445094444444443</v>
      </c>
      <c r="S22" s="17">
        <f t="shared" si="5"/>
        <v>1.2822998827007333</v>
      </c>
      <c r="T22" s="18">
        <f t="shared" si="6"/>
        <v>1.1231250000000002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42890.069799999997</v>
      </c>
      <c r="E23" s="13">
        <f>Reference!C21</f>
        <v>40.205100000000002</v>
      </c>
      <c r="F23" s="13">
        <f>Reference!D21</f>
        <v>44.1554</v>
      </c>
      <c r="G23" s="13">
        <f>Reference!E21</f>
        <v>45.609699999999997</v>
      </c>
      <c r="H23" s="13">
        <f>Reference!F21</f>
        <v>68327.562000000005</v>
      </c>
      <c r="I23" s="13">
        <f>Reference!G21</f>
        <v>15.43</v>
      </c>
      <c r="J23" s="14">
        <f t="shared" si="3"/>
        <v>18.979878333333335</v>
      </c>
      <c r="L23" s="12">
        <f>Test!B21</f>
        <v>42875.466699999997</v>
      </c>
      <c r="M23" s="13">
        <f>Test!C21</f>
        <v>40.219200000000001</v>
      </c>
      <c r="N23" s="13">
        <f>Test!D21</f>
        <v>44.220199999999998</v>
      </c>
      <c r="O23" s="13">
        <f>Test!E21</f>
        <v>45.697200000000002</v>
      </c>
      <c r="P23" s="13">
        <f>Test!F21</f>
        <v>87874.68</v>
      </c>
      <c r="Q23" s="13">
        <f>Test!G21</f>
        <v>17.349</v>
      </c>
      <c r="R23" s="13">
        <f t="shared" si="4"/>
        <v>24.409633333333332</v>
      </c>
      <c r="S23" s="17">
        <f t="shared" si="5"/>
        <v>1.2860795472257591</v>
      </c>
      <c r="T23" s="18">
        <f t="shared" si="6"/>
        <v>1.1243681140635127</v>
      </c>
      <c r="U23" s="91"/>
      <c r="V23" s="42">
        <f>bdrate($D23:$D26,E23:E26,$L23:$L26,M23:M26)</f>
        <v>-7.961582414355628E-3</v>
      </c>
      <c r="W23" s="42">
        <f>bdrate($D23:$D26,F23:F26,$L23:$L26,N23:N26)</f>
        <v>-5.712498968723323E-2</v>
      </c>
      <c r="X23" s="42">
        <f>bdrate($D23:$D26,G23:G26,$L23:$L26,O23:O26)</f>
        <v>-4.3240249971889688E-2</v>
      </c>
      <c r="Y23" s="40">
        <f>bdrateOld($D23:$D26,E23:E26,$L23:$L26,M23:M26)</f>
        <v>-7.9692622122773393E-3</v>
      </c>
      <c r="Z23" s="44">
        <f>bdrateOld($D23:$D26,F23:F26,$L23:$L26,N23:N26)</f>
        <v>-5.6541160744567609E-2</v>
      </c>
      <c r="AA23" s="45">
        <f>bdrateOld($D23:$D26,G23:G26,$L23:$L26,O23:O26)</f>
        <v>-4.3067775673069852E-2</v>
      </c>
    </row>
    <row r="24" spans="1:27" x14ac:dyDescent="0.2">
      <c r="A24" s="34"/>
      <c r="B24" s="85"/>
      <c r="C24" s="16">
        <v>32</v>
      </c>
      <c r="D24" s="17">
        <f>Reference!B22</f>
        <v>23408.101600000002</v>
      </c>
      <c r="E24" s="18">
        <f>Reference!C22</f>
        <v>38.739100000000001</v>
      </c>
      <c r="F24" s="18">
        <f>Reference!D22</f>
        <v>43.165100000000002</v>
      </c>
      <c r="G24" s="18">
        <f>Reference!E22</f>
        <v>44.130099999999999</v>
      </c>
      <c r="H24" s="18">
        <f>Reference!F22</f>
        <v>48418.641000000003</v>
      </c>
      <c r="I24" s="18">
        <f>Reference!G22</f>
        <v>13.566000000000001</v>
      </c>
      <c r="J24" s="19">
        <f t="shared" si="3"/>
        <v>13.4496225</v>
      </c>
      <c r="L24" s="17">
        <f>Test!B22</f>
        <v>23343.181</v>
      </c>
      <c r="M24" s="18">
        <f>Test!C22</f>
        <v>38.749299999999998</v>
      </c>
      <c r="N24" s="18">
        <f>Test!D22</f>
        <v>43.274000000000001</v>
      </c>
      <c r="O24" s="18">
        <f>Test!E22</f>
        <v>44.256900000000002</v>
      </c>
      <c r="P24" s="18">
        <f>Test!F22</f>
        <v>60432.074000000001</v>
      </c>
      <c r="Q24" s="18">
        <f>Test!G22</f>
        <v>14.76</v>
      </c>
      <c r="R24" s="18">
        <f t="shared" si="4"/>
        <v>16.786687222222223</v>
      </c>
      <c r="S24" s="17">
        <f t="shared" si="5"/>
        <v>1.2481158651272346</v>
      </c>
      <c r="T24" s="18">
        <f t="shared" si="6"/>
        <v>1.0880141530296328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13177.2127</v>
      </c>
      <c r="E25" s="18">
        <f>Reference!C23</f>
        <v>37.291699999999999</v>
      </c>
      <c r="F25" s="18">
        <f>Reference!D23</f>
        <v>42.078299999999999</v>
      </c>
      <c r="G25" s="18">
        <f>Reference!E23</f>
        <v>42.573799999999999</v>
      </c>
      <c r="H25" s="18">
        <f>Reference!F23</f>
        <v>31840.324000000001</v>
      </c>
      <c r="I25" s="18">
        <f>Reference!G23</f>
        <v>11.614000000000001</v>
      </c>
      <c r="J25" s="19">
        <f t="shared" si="3"/>
        <v>8.8445344444444451</v>
      </c>
      <c r="L25" s="17">
        <f>Test!B23</f>
        <v>13117.3079</v>
      </c>
      <c r="M25" s="18">
        <f>Test!C23</f>
        <v>37.302900000000001</v>
      </c>
      <c r="N25" s="18">
        <f>Test!D23</f>
        <v>42.195</v>
      </c>
      <c r="O25" s="18">
        <f>Test!E23</f>
        <v>42.694200000000002</v>
      </c>
      <c r="P25" s="18">
        <f>Test!F23</f>
        <v>40443.695</v>
      </c>
      <c r="Q25" s="18">
        <f>Test!G23</f>
        <v>12.755000000000001</v>
      </c>
      <c r="R25" s="18">
        <f t="shared" si="4"/>
        <v>11.234359722222223</v>
      </c>
      <c r="S25" s="17">
        <f t="shared" si="5"/>
        <v>1.2702036260686291</v>
      </c>
      <c r="T25" s="18">
        <f t="shared" si="6"/>
        <v>1.0982434992250731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7044.8316999999997</v>
      </c>
      <c r="E26" s="23">
        <f>Reference!C24</f>
        <v>35.367699999999999</v>
      </c>
      <c r="F26" s="23">
        <f>Reference!D24</f>
        <v>40.5946</v>
      </c>
      <c r="G26" s="23">
        <f>Reference!E24</f>
        <v>40.587400000000002</v>
      </c>
      <c r="H26" s="23">
        <f>Reference!F24</f>
        <v>19572.748</v>
      </c>
      <c r="I26" s="23">
        <f>Reference!G24</f>
        <v>10.534000000000001</v>
      </c>
      <c r="J26" s="24">
        <f t="shared" si="3"/>
        <v>5.4368744444444443</v>
      </c>
      <c r="L26" s="22">
        <f>Test!B24</f>
        <v>7011.7397000000001</v>
      </c>
      <c r="M26" s="23">
        <f>Test!C24</f>
        <v>35.384799999999998</v>
      </c>
      <c r="N26" s="23">
        <f>Test!D24</f>
        <v>40.712000000000003</v>
      </c>
      <c r="O26" s="23">
        <f>Test!E24</f>
        <v>40.660600000000002</v>
      </c>
      <c r="P26" s="23">
        <f>Test!F24</f>
        <v>25362.800999999999</v>
      </c>
      <c r="Q26" s="23">
        <f>Test!G24</f>
        <v>11.983000000000001</v>
      </c>
      <c r="R26" s="23">
        <f t="shared" si="4"/>
        <v>7.0452224999999995</v>
      </c>
      <c r="S26" s="17">
        <f t="shared" si="5"/>
        <v>1.2958221809221679</v>
      </c>
      <c r="T26" s="18">
        <f t="shared" si="6"/>
        <v>1.1375545851528384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65210.7264</v>
      </c>
      <c r="E27" s="13">
        <f>Reference!C25</f>
        <v>41.730200000000004</v>
      </c>
      <c r="F27" s="13">
        <f>Reference!D25</f>
        <v>44.2956</v>
      </c>
      <c r="G27" s="13">
        <f>Reference!E25</f>
        <v>45.124299999999998</v>
      </c>
      <c r="H27" s="13">
        <f>Reference!F25</f>
        <v>82721.633000000002</v>
      </c>
      <c r="I27" s="13">
        <f>Reference!G25</f>
        <v>19.289000000000001</v>
      </c>
      <c r="J27" s="14">
        <f>H27/3600</f>
        <v>22.97823138888889</v>
      </c>
      <c r="L27" s="12">
        <f>Test!B25</f>
        <v>65322.6368</v>
      </c>
      <c r="M27" s="13">
        <f>Test!C25</f>
        <v>41.7637</v>
      </c>
      <c r="N27" s="13">
        <f>Test!D25</f>
        <v>44.457999999999998</v>
      </c>
      <c r="O27" s="13">
        <f>Test!E25</f>
        <v>45.175600000000003</v>
      </c>
      <c r="P27" s="13">
        <f>Test!F25</f>
        <v>106036.219</v>
      </c>
      <c r="Q27" s="13">
        <f>Test!G25</f>
        <v>21.215</v>
      </c>
      <c r="R27" s="13">
        <f>P27/3600</f>
        <v>29.454505277777777</v>
      </c>
      <c r="S27" s="17">
        <f>P27/H27</f>
        <v>1.2818438799437144</v>
      </c>
      <c r="T27" s="18">
        <f>Q27/I27</f>
        <v>1.0998496552439214</v>
      </c>
      <c r="U27" s="91"/>
      <c r="V27" s="42">
        <f>bdrate($D27:$D30,E27:E30,$L27:$L30,M27:M30)</f>
        <v>-4.0973074128202169E-3</v>
      </c>
      <c r="W27" s="42">
        <f>bdrate($D27:$D30,F27:F30,$L27:$L30,N27:N30)</f>
        <v>-7.284840848377494E-2</v>
      </c>
      <c r="X27" s="43">
        <f>bdrate($D27:$D30,G27:G30,$L27:$L30,O27:O30)</f>
        <v>-1.3874720078966951E-2</v>
      </c>
      <c r="Y27" s="37">
        <f>bdrateOld($D27:$D30,E27:E30,$L27:$L30,M27:M30)</f>
        <v>-4.1173934725428074E-3</v>
      </c>
      <c r="Z27" s="42">
        <f>bdrateOld($D27:$D30,F27:F30,$L27:$L30,N27:N30)</f>
        <v>-7.3305789826012657E-2</v>
      </c>
      <c r="AA27" s="43">
        <f>bdrateOld($D27:$D30,G27:G30,$L27:$L30,O27:O30)</f>
        <v>-1.3981078535703739E-2</v>
      </c>
    </row>
    <row r="28" spans="1:27" x14ac:dyDescent="0.2">
      <c r="A28" s="16"/>
      <c r="B28" s="85"/>
      <c r="C28" s="16">
        <v>48</v>
      </c>
      <c r="D28" s="17">
        <f>Reference!B26</f>
        <v>42021.1584</v>
      </c>
      <c r="E28" s="18">
        <f>Reference!C26</f>
        <v>39.9313</v>
      </c>
      <c r="F28" s="18">
        <f>Reference!D26</f>
        <v>42.842100000000002</v>
      </c>
      <c r="G28" s="18">
        <f>Reference!E26</f>
        <v>43.899700000000003</v>
      </c>
      <c r="H28" s="18">
        <f>Reference!F26</f>
        <v>63022.394999999997</v>
      </c>
      <c r="I28" s="18">
        <f>Reference!G26</f>
        <v>17.120999999999999</v>
      </c>
      <c r="J28" s="19">
        <f t="shared" ref="J28:J46" si="7">H28/3600</f>
        <v>17.506220833333334</v>
      </c>
      <c r="L28" s="17">
        <f>Test!B26</f>
        <v>42085.055999999997</v>
      </c>
      <c r="M28" s="18">
        <f>Test!C26</f>
        <v>39.9572</v>
      </c>
      <c r="N28" s="18">
        <f>Test!D26</f>
        <v>43.040100000000002</v>
      </c>
      <c r="O28" s="18">
        <f>Test!E26</f>
        <v>43.933700000000002</v>
      </c>
      <c r="P28" s="18">
        <f>Test!F26</f>
        <v>80045.733999999997</v>
      </c>
      <c r="Q28" s="18">
        <f>Test!G26</f>
        <v>18.911999999999999</v>
      </c>
      <c r="R28" s="18">
        <f t="shared" ref="R28:R46" si="8">P28/3600</f>
        <v>22.234926111111111</v>
      </c>
      <c r="S28" s="17">
        <f t="shared" ref="S28:S46" si="9">P28/H28</f>
        <v>1.2701157104549898</v>
      </c>
      <c r="T28" s="18">
        <f t="shared" ref="T28:T46" si="10">Q28/I28</f>
        <v>1.1046083756789908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24716.902399999999</v>
      </c>
      <c r="E29" s="18">
        <f>Reference!C27</f>
        <v>37.710999999999999</v>
      </c>
      <c r="F29" s="18">
        <f>Reference!D27</f>
        <v>41.521500000000003</v>
      </c>
      <c r="G29" s="18">
        <f>Reference!E27</f>
        <v>42.603900000000003</v>
      </c>
      <c r="H29" s="18">
        <f>Reference!F27</f>
        <v>45234.913999999997</v>
      </c>
      <c r="I29" s="18">
        <f>Reference!G27</f>
        <v>15.18</v>
      </c>
      <c r="J29" s="19">
        <f t="shared" si="7"/>
        <v>12.565253888888888</v>
      </c>
      <c r="L29" s="17">
        <f>Test!B27</f>
        <v>24748.48</v>
      </c>
      <c r="M29" s="18">
        <f>Test!C27</f>
        <v>37.7316</v>
      </c>
      <c r="N29" s="18">
        <f>Test!D27</f>
        <v>41.7378</v>
      </c>
      <c r="O29" s="18">
        <f>Test!E27</f>
        <v>42.642299999999999</v>
      </c>
      <c r="P29" s="18">
        <f>Test!F27</f>
        <v>57298.559000000001</v>
      </c>
      <c r="Q29" s="18">
        <f>Test!G27</f>
        <v>16.577000000000002</v>
      </c>
      <c r="R29" s="18">
        <f t="shared" si="8"/>
        <v>15.916266388888889</v>
      </c>
      <c r="S29" s="17">
        <f t="shared" si="9"/>
        <v>1.2666888014863917</v>
      </c>
      <c r="T29" s="18">
        <f t="shared" si="10"/>
        <v>1.0920289855072465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12492.5952</v>
      </c>
      <c r="E30" s="23">
        <f>Reference!C28</f>
        <v>35.024999999999999</v>
      </c>
      <c r="F30" s="23">
        <f>Reference!D28</f>
        <v>39.986499999999999</v>
      </c>
      <c r="G30" s="23">
        <f>Reference!E28</f>
        <v>40.976100000000002</v>
      </c>
      <c r="H30" s="23">
        <f>Reference!F28</f>
        <v>28310.553</v>
      </c>
      <c r="I30" s="23">
        <f>Reference!G28</f>
        <v>12.99</v>
      </c>
      <c r="J30" s="24">
        <f t="shared" si="7"/>
        <v>7.8640425</v>
      </c>
      <c r="L30" s="22">
        <f>Test!B28</f>
        <v>12501.625599999999</v>
      </c>
      <c r="M30" s="23">
        <f>Test!C28</f>
        <v>35.036799999999999</v>
      </c>
      <c r="N30" s="23">
        <f>Test!D28</f>
        <v>40.161799999999999</v>
      </c>
      <c r="O30" s="23">
        <f>Test!E28</f>
        <v>41.016100000000002</v>
      </c>
      <c r="P30" s="23">
        <f>Test!F28</f>
        <v>36049.629000000001</v>
      </c>
      <c r="Q30" s="23">
        <f>Test!G28</f>
        <v>14.048999999999999</v>
      </c>
      <c r="R30" s="23">
        <f t="shared" si="8"/>
        <v>10.013785833333333</v>
      </c>
      <c r="S30" s="17">
        <f t="shared" si="9"/>
        <v>1.273363646411287</v>
      </c>
      <c r="T30" s="18">
        <f t="shared" si="10"/>
        <v>1.0815242494226327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39911.296000000002</v>
      </c>
      <c r="E31" s="13">
        <f>Reference!C29</f>
        <v>44.921799999999998</v>
      </c>
      <c r="F31" s="13">
        <f>Reference!D29</f>
        <v>47.2104</v>
      </c>
      <c r="G31" s="13">
        <f>Reference!E29</f>
        <v>48.206099999999999</v>
      </c>
      <c r="H31" s="13">
        <f>Reference!F29</f>
        <v>55917.550999999999</v>
      </c>
      <c r="I31" s="13">
        <f>Reference!G29</f>
        <v>16.77</v>
      </c>
      <c r="J31" s="14">
        <f t="shared" si="7"/>
        <v>15.532653055555555</v>
      </c>
      <c r="L31" s="12">
        <f>Test!B29</f>
        <v>39871.641600000003</v>
      </c>
      <c r="M31" s="13">
        <f>Test!C29</f>
        <v>44.968000000000004</v>
      </c>
      <c r="N31" s="13">
        <f>Test!D29</f>
        <v>47.625100000000003</v>
      </c>
      <c r="O31" s="13">
        <f>Test!E29</f>
        <v>48.3461</v>
      </c>
      <c r="P31" s="13">
        <f>Test!F29</f>
        <v>70659.851999999999</v>
      </c>
      <c r="Q31" s="13">
        <f>Test!G29</f>
        <v>18.608000000000001</v>
      </c>
      <c r="R31" s="13">
        <f t="shared" si="8"/>
        <v>19.627736666666667</v>
      </c>
      <c r="S31" s="17">
        <f t="shared" si="9"/>
        <v>1.2636435383230571</v>
      </c>
      <c r="T31" s="18">
        <f t="shared" si="10"/>
        <v>1.1096004770423376</v>
      </c>
      <c r="U31" s="91"/>
      <c r="V31" s="42">
        <f>bdrate($D31:$D34,E31:E34,$L31:$L34,M31:M34)</f>
        <v>-8.3331843650085169E-3</v>
      </c>
      <c r="W31" s="42">
        <f>bdrate($D31:$D34,F31:F34,$L31:$L34,N31:N34)</f>
        <v>-0.1504567442040704</v>
      </c>
      <c r="X31" s="42">
        <f>bdrate($D31:$D34,G31:G34,$L31:$L34,O31:O34)</f>
        <v>-2.9673428194133766E-2</v>
      </c>
      <c r="Y31" s="40">
        <f>bdrateOld($D31:$D34,E31:E34,$L31:$L34,M31:M34)</f>
        <v>-8.3332249156287119E-3</v>
      </c>
      <c r="Z31" s="44">
        <f>bdrateOld($D31:$D34,F31:F34,$L31:$L34,N31:N34)</f>
        <v>-0.15247500341528397</v>
      </c>
      <c r="AA31" s="45">
        <f>bdrateOld($D31:$D34,G31:G34,$L31:$L34,O31:O34)</f>
        <v>-2.9529538332007887E-2</v>
      </c>
    </row>
    <row r="32" spans="1:27" x14ac:dyDescent="0.2">
      <c r="A32" s="16"/>
      <c r="B32" s="85"/>
      <c r="C32" s="16">
        <v>48</v>
      </c>
      <c r="D32" s="17">
        <f>Reference!B30</f>
        <v>26329.7536</v>
      </c>
      <c r="E32" s="18">
        <f>Reference!C30</f>
        <v>42.767099999999999</v>
      </c>
      <c r="F32" s="18">
        <f>Reference!D30</f>
        <v>45.508000000000003</v>
      </c>
      <c r="G32" s="18">
        <f>Reference!E30</f>
        <v>46.402200000000001</v>
      </c>
      <c r="H32" s="18">
        <f>Reference!F30</f>
        <v>45213.883000000002</v>
      </c>
      <c r="I32" s="18">
        <f>Reference!G30</f>
        <v>15.279</v>
      </c>
      <c r="J32" s="19">
        <f t="shared" si="7"/>
        <v>12.559411944444445</v>
      </c>
      <c r="L32" s="17">
        <f>Test!B30</f>
        <v>26285.446400000001</v>
      </c>
      <c r="M32" s="18">
        <f>Test!C30</f>
        <v>42.802900000000001</v>
      </c>
      <c r="N32" s="18">
        <f>Test!D30</f>
        <v>46.020600000000002</v>
      </c>
      <c r="O32" s="18">
        <f>Test!E30</f>
        <v>46.537999999999997</v>
      </c>
      <c r="P32" s="18">
        <f>Test!F30</f>
        <v>57498.421999999999</v>
      </c>
      <c r="Q32" s="18">
        <f>Test!G30</f>
        <v>16.95</v>
      </c>
      <c r="R32" s="18">
        <f t="shared" si="8"/>
        <v>15.971783888888888</v>
      </c>
      <c r="S32" s="17">
        <f t="shared" si="9"/>
        <v>1.2716983852061545</v>
      </c>
      <c r="T32" s="18">
        <f t="shared" si="10"/>
        <v>1.1093657961908501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15614.2016</v>
      </c>
      <c r="E33" s="18">
        <f>Reference!C31</f>
        <v>40.085299999999997</v>
      </c>
      <c r="F33" s="18">
        <f>Reference!D31</f>
        <v>43.9238</v>
      </c>
      <c r="G33" s="18">
        <f>Reference!E31</f>
        <v>44.636000000000003</v>
      </c>
      <c r="H33" s="18">
        <f>Reference!F31</f>
        <v>33409.519999999997</v>
      </c>
      <c r="I33" s="18">
        <f>Reference!G31</f>
        <v>13.718</v>
      </c>
      <c r="J33" s="19">
        <f t="shared" si="7"/>
        <v>9.2804222222222208</v>
      </c>
      <c r="L33" s="17">
        <f>Test!B31</f>
        <v>15576.249599999999</v>
      </c>
      <c r="M33" s="18">
        <f>Test!C31</f>
        <v>40.112400000000001</v>
      </c>
      <c r="N33" s="18">
        <f>Test!D31</f>
        <v>44.484699999999997</v>
      </c>
      <c r="O33" s="18">
        <f>Test!E31</f>
        <v>44.720799999999997</v>
      </c>
      <c r="P33" s="18">
        <f>Test!F31</f>
        <v>44184.167999999998</v>
      </c>
      <c r="Q33" s="18">
        <f>Test!G31</f>
        <v>15.55</v>
      </c>
      <c r="R33" s="18">
        <f t="shared" si="8"/>
        <v>12.27338</v>
      </c>
      <c r="S33" s="17">
        <f t="shared" si="9"/>
        <v>1.3225023286775746</v>
      </c>
      <c r="T33" s="18">
        <f t="shared" si="10"/>
        <v>1.1335471643096662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8151.4431999999997</v>
      </c>
      <c r="E34" s="23">
        <f>Reference!C32</f>
        <v>37.0139</v>
      </c>
      <c r="F34" s="23">
        <f>Reference!D32</f>
        <v>42.063699999999997</v>
      </c>
      <c r="G34" s="23">
        <f>Reference!E32</f>
        <v>42.4345</v>
      </c>
      <c r="H34" s="23">
        <f>Reference!F32</f>
        <v>21375.525000000001</v>
      </c>
      <c r="I34" s="23">
        <f>Reference!G32</f>
        <v>11.785</v>
      </c>
      <c r="J34" s="24">
        <f t="shared" si="7"/>
        <v>5.9376458333333337</v>
      </c>
      <c r="L34" s="22">
        <f>Test!B32</f>
        <v>8123.808</v>
      </c>
      <c r="M34" s="23">
        <f>Test!C32</f>
        <v>37.036099999999998</v>
      </c>
      <c r="N34" s="23">
        <f>Test!D32</f>
        <v>42.482300000000002</v>
      </c>
      <c r="O34" s="23">
        <f>Test!E32</f>
        <v>42.495399999999997</v>
      </c>
      <c r="P34" s="23">
        <f>Test!F32</f>
        <v>28479.883000000002</v>
      </c>
      <c r="Q34" s="23">
        <f>Test!G32</f>
        <v>13.61</v>
      </c>
      <c r="R34" s="23">
        <f t="shared" si="8"/>
        <v>7.9110786111111118</v>
      </c>
      <c r="S34" s="17">
        <f t="shared" si="9"/>
        <v>1.3323594625161252</v>
      </c>
      <c r="T34" s="18">
        <f t="shared" si="10"/>
        <v>1.1548578701739498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54226.937599999997</v>
      </c>
      <c r="E35" s="13">
        <f>Reference!C33</f>
        <v>41.741</v>
      </c>
      <c r="F35" s="13">
        <f>Reference!D33</f>
        <v>46.038200000000003</v>
      </c>
      <c r="G35" s="13">
        <f>Reference!E33</f>
        <v>46.290300000000002</v>
      </c>
      <c r="H35" s="13">
        <f>Reference!F33</f>
        <v>48347.777000000002</v>
      </c>
      <c r="I35" s="13">
        <f>Reference!G33</f>
        <v>10.77</v>
      </c>
      <c r="J35" s="14">
        <f t="shared" si="7"/>
        <v>13.429938055555557</v>
      </c>
      <c r="L35" s="12">
        <f>Test!B33</f>
        <v>54311.731200000002</v>
      </c>
      <c r="M35" s="13">
        <f>Test!C33</f>
        <v>41.793500000000002</v>
      </c>
      <c r="N35" s="13">
        <f>Test!D33</f>
        <v>46.085599999999999</v>
      </c>
      <c r="O35" s="13">
        <f>Test!E33</f>
        <v>46.3992</v>
      </c>
      <c r="P35" s="13">
        <f>Test!F33</f>
        <v>60690.608999999997</v>
      </c>
      <c r="Q35" s="13">
        <f>Test!G33</f>
        <v>11.728</v>
      </c>
      <c r="R35" s="13">
        <f t="shared" si="8"/>
        <v>16.8585025</v>
      </c>
      <c r="S35" s="12">
        <f t="shared" si="9"/>
        <v>1.2552926476847115</v>
      </c>
      <c r="T35" s="13">
        <f t="shared" si="10"/>
        <v>1.0889507892293409</v>
      </c>
      <c r="U35" s="90"/>
      <c r="V35" s="42">
        <f>bdrate($D35:$D38,E35:E38,$L35:$L38,M35:M38)</f>
        <v>-3.8709821042586245E-3</v>
      </c>
      <c r="W35" s="42">
        <f>bdrate($D35:$D38,F35:F38,$L35:$L38,N35:N38)</f>
        <v>-2.22151058586888E-2</v>
      </c>
      <c r="X35" s="42">
        <f>bdrate($D35:$D38,G35:G38,$L35:$L38,O35:O38)</f>
        <v>-5.430195886848399E-2</v>
      </c>
      <c r="Y35" s="40">
        <f>bdrateOld($D35:$D38,E35:E38,$L35:$L38,M35:M38)</f>
        <v>-3.825986677893467E-3</v>
      </c>
      <c r="Z35" s="44">
        <f>bdrateOld($D35:$D38,F35:F38,$L35:$L38,N35:N38)</f>
        <v>-2.1403437497937161E-2</v>
      </c>
      <c r="AA35" s="45">
        <f>bdrateOld($D35:$D38,G35:G38,$L35:$L38,O35:O38)</f>
        <v>-5.3456133877083478E-2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37057.561600000001</v>
      </c>
      <c r="E36" s="18">
        <f>Reference!C34</f>
        <v>38.816699999999997</v>
      </c>
      <c r="F36" s="18">
        <f>Reference!D34</f>
        <v>44.281399999999998</v>
      </c>
      <c r="G36" s="18">
        <f>Reference!E34</f>
        <v>44.496600000000001</v>
      </c>
      <c r="H36" s="18">
        <f>Reference!F34</f>
        <v>41159.608999999997</v>
      </c>
      <c r="I36" s="18">
        <f>Reference!G34</f>
        <v>9.6880000000000006</v>
      </c>
      <c r="J36" s="19">
        <f t="shared" si="7"/>
        <v>11.433224722222221</v>
      </c>
      <c r="L36" s="17">
        <f>Test!B34</f>
        <v>37096.038399999998</v>
      </c>
      <c r="M36" s="18">
        <f>Test!C34</f>
        <v>38.858699999999999</v>
      </c>
      <c r="N36" s="18">
        <f>Test!D34</f>
        <v>44.3416</v>
      </c>
      <c r="O36" s="18">
        <f>Test!E34</f>
        <v>44.681399999999996</v>
      </c>
      <c r="P36" s="18">
        <f>Test!F34</f>
        <v>51329.457000000002</v>
      </c>
      <c r="Q36" s="18">
        <f>Test!G34</f>
        <v>10.465999999999999</v>
      </c>
      <c r="R36" s="18">
        <f t="shared" si="8"/>
        <v>14.2581825</v>
      </c>
      <c r="S36" s="17">
        <f t="shared" si="9"/>
        <v>1.2470832023695853</v>
      </c>
      <c r="T36" s="18">
        <f t="shared" si="10"/>
        <v>1.0803055326176711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22045.075199999999</v>
      </c>
      <c r="E37" s="18">
        <f>Reference!C35</f>
        <v>35.4452</v>
      </c>
      <c r="F37" s="18">
        <f>Reference!D35</f>
        <v>42.823399999999999</v>
      </c>
      <c r="G37" s="18">
        <f>Reference!E35</f>
        <v>43.026899999999998</v>
      </c>
      <c r="H37" s="18">
        <f>Reference!F35</f>
        <v>33270.550999999999</v>
      </c>
      <c r="I37" s="18">
        <f>Reference!G35</f>
        <v>8.3819999999999997</v>
      </c>
      <c r="J37" s="19">
        <f t="shared" si="7"/>
        <v>9.2418197222222229</v>
      </c>
      <c r="L37" s="17">
        <f>Test!B35</f>
        <v>22065.952000000001</v>
      </c>
      <c r="M37" s="18">
        <f>Test!C35</f>
        <v>35.467599999999997</v>
      </c>
      <c r="N37" s="18">
        <f>Test!D35</f>
        <v>42.915300000000002</v>
      </c>
      <c r="O37" s="18">
        <f>Test!E35</f>
        <v>43.236699999999999</v>
      </c>
      <c r="P37" s="18">
        <f>Test!F35</f>
        <v>42590.453000000001</v>
      </c>
      <c r="Q37" s="18">
        <f>Test!G35</f>
        <v>9.2240000000000002</v>
      </c>
      <c r="R37" s="18">
        <f t="shared" si="8"/>
        <v>11.830681388888889</v>
      </c>
      <c r="S37" s="17">
        <f t="shared" si="9"/>
        <v>1.2801246664054347</v>
      </c>
      <c r="T37" s="18">
        <f t="shared" si="10"/>
        <v>1.1004533524218565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10893.1456</v>
      </c>
      <c r="E38" s="23">
        <f>Reference!C36</f>
        <v>31.821999999999999</v>
      </c>
      <c r="F38" s="23">
        <f>Reference!D36</f>
        <v>41.499400000000001</v>
      </c>
      <c r="G38" s="23">
        <f>Reference!E36</f>
        <v>41.667400000000001</v>
      </c>
      <c r="H38" s="23">
        <f>Reference!F36</f>
        <v>23393.895</v>
      </c>
      <c r="I38" s="23">
        <f>Reference!G36</f>
        <v>6.944</v>
      </c>
      <c r="J38" s="24">
        <f t="shared" si="7"/>
        <v>6.4983041666666672</v>
      </c>
      <c r="L38" s="22">
        <f>Test!B36</f>
        <v>10872.0448</v>
      </c>
      <c r="M38" s="23">
        <f>Test!C36</f>
        <v>31.830100000000002</v>
      </c>
      <c r="N38" s="23">
        <f>Test!D36</f>
        <v>41.523299999999999</v>
      </c>
      <c r="O38" s="23">
        <f>Test!E36</f>
        <v>41.703899999999997</v>
      </c>
      <c r="P38" s="23">
        <f>Test!F36</f>
        <v>30214.651999999998</v>
      </c>
      <c r="Q38" s="23">
        <f>Test!G36</f>
        <v>7.4809999999999999</v>
      </c>
      <c r="R38" s="23">
        <f t="shared" si="8"/>
        <v>8.392958888888888</v>
      </c>
      <c r="S38" s="17">
        <f t="shared" si="9"/>
        <v>1.2915614095044881</v>
      </c>
      <c r="T38" s="18">
        <f t="shared" si="10"/>
        <v>1.0773329493087558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20309.324799999999</v>
      </c>
      <c r="E39" s="13">
        <f>Reference!C37</f>
        <v>42.694400000000002</v>
      </c>
      <c r="F39" s="13">
        <f>Reference!D37</f>
        <v>45.4724</v>
      </c>
      <c r="G39" s="13">
        <f>Reference!E37</f>
        <v>46.966200000000001</v>
      </c>
      <c r="H39" s="13">
        <f>Reference!F37</f>
        <v>31377.298999999999</v>
      </c>
      <c r="I39" s="13">
        <f>Reference!G37</f>
        <v>7.875</v>
      </c>
      <c r="J39" s="14">
        <f t="shared" si="7"/>
        <v>8.7159163888888891</v>
      </c>
      <c r="L39" s="12">
        <f>Test!B37</f>
        <v>20341.382399999999</v>
      </c>
      <c r="M39" s="13">
        <f>Test!C37</f>
        <v>42.722000000000001</v>
      </c>
      <c r="N39" s="13">
        <f>Test!D37</f>
        <v>45.4833</v>
      </c>
      <c r="O39" s="13">
        <f>Test!E37</f>
        <v>47.042900000000003</v>
      </c>
      <c r="P39" s="13">
        <f>Test!F37</f>
        <v>39652.453000000001</v>
      </c>
      <c r="Q39" s="13">
        <f>Test!G37</f>
        <v>8.2530000000000001</v>
      </c>
      <c r="R39" s="13">
        <f t="shared" si="8"/>
        <v>11.014570277777779</v>
      </c>
      <c r="S39" s="17">
        <f t="shared" si="9"/>
        <v>1.2637306034531526</v>
      </c>
      <c r="T39" s="18">
        <f t="shared" si="10"/>
        <v>1.048</v>
      </c>
      <c r="U39" s="91"/>
      <c r="V39" s="42">
        <f>bdrate($D39:$D42,E39:E42,$L39:$L42,M39:M42)</f>
        <v>-7.4417783205872334E-3</v>
      </c>
      <c r="W39" s="42">
        <f>bdrate($D39:$D42,F39:F42,$L39:$L42,N39:N42)</f>
        <v>-2.1510420399258434E-2</v>
      </c>
      <c r="X39" s="42">
        <f>bdrate($D39:$D42,G39:G42,$L39:$L42,O39:O42)</f>
        <v>-3.206005846204929E-2</v>
      </c>
      <c r="Y39" s="40">
        <f>bdrateOld($D39:$D42,E39:E42,$L39:$L42,M39:M42)</f>
        <v>-7.4386047199248573E-3</v>
      </c>
      <c r="Z39" s="44">
        <f>bdrateOld($D39:$D42,F39:F42,$L39:$L42,N39:N42)</f>
        <v>-2.1606393430462001E-2</v>
      </c>
      <c r="AA39" s="45">
        <f>bdrateOld($D39:$D42,G39:G42,$L39:$L42,O39:O42)</f>
        <v>-3.1947254475130915E-2</v>
      </c>
    </row>
    <row r="40" spans="1:27" x14ac:dyDescent="0.2">
      <c r="A40" s="16"/>
      <c r="B40" s="85"/>
      <c r="C40" s="16">
        <v>32</v>
      </c>
      <c r="D40" s="17">
        <f>Reference!B38</f>
        <v>11570.822399999999</v>
      </c>
      <c r="E40" s="18">
        <f>Reference!C38</f>
        <v>40.680999999999997</v>
      </c>
      <c r="F40" s="18">
        <f>Reference!D38</f>
        <v>44.548900000000003</v>
      </c>
      <c r="G40" s="18">
        <f>Reference!E38</f>
        <v>45.315399999999997</v>
      </c>
      <c r="H40" s="18">
        <f>Reference!F38</f>
        <v>23137.796999999999</v>
      </c>
      <c r="I40" s="18">
        <f>Reference!G38</f>
        <v>6.7990000000000004</v>
      </c>
      <c r="J40" s="19">
        <f t="shared" si="7"/>
        <v>6.4271658333333326</v>
      </c>
      <c r="L40" s="17">
        <f>Test!B38</f>
        <v>11536.793600000001</v>
      </c>
      <c r="M40" s="18">
        <f>Test!C38</f>
        <v>40.692999999999998</v>
      </c>
      <c r="N40" s="18">
        <f>Test!D38</f>
        <v>44.566699999999997</v>
      </c>
      <c r="O40" s="18">
        <f>Test!E38</f>
        <v>45.414700000000003</v>
      </c>
      <c r="P40" s="18">
        <f>Test!F38</f>
        <v>29103.311000000002</v>
      </c>
      <c r="Q40" s="18">
        <f>Test!G38</f>
        <v>7.1790000000000003</v>
      </c>
      <c r="R40" s="18">
        <f t="shared" si="8"/>
        <v>8.0842530555555552</v>
      </c>
      <c r="S40" s="17">
        <f t="shared" si="9"/>
        <v>1.2578254965241507</v>
      </c>
      <c r="T40" s="18">
        <f t="shared" si="10"/>
        <v>1.0558905721429621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6419.5519999999997</v>
      </c>
      <c r="E41" s="18">
        <f>Reference!C39</f>
        <v>38.675699999999999</v>
      </c>
      <c r="F41" s="18">
        <f>Reference!D39</f>
        <v>43.581400000000002</v>
      </c>
      <c r="G41" s="18">
        <f>Reference!E39</f>
        <v>43.5351</v>
      </c>
      <c r="H41" s="18">
        <f>Reference!F39</f>
        <v>15464.049000000001</v>
      </c>
      <c r="I41" s="18">
        <f>Reference!G39</f>
        <v>5.8789999999999996</v>
      </c>
      <c r="J41" s="19">
        <f t="shared" si="7"/>
        <v>4.2955691666666667</v>
      </c>
      <c r="L41" s="17">
        <f>Test!B39</f>
        <v>6384.3519999999999</v>
      </c>
      <c r="M41" s="18">
        <f>Test!C39</f>
        <v>38.685000000000002</v>
      </c>
      <c r="N41" s="18">
        <f>Test!D39</f>
        <v>43.618400000000001</v>
      </c>
      <c r="O41" s="18">
        <f>Test!E39</f>
        <v>43.623800000000003</v>
      </c>
      <c r="P41" s="18">
        <f>Test!F39</f>
        <v>20190.965</v>
      </c>
      <c r="Q41" s="18">
        <f>Test!G39</f>
        <v>6.5179999999999998</v>
      </c>
      <c r="R41" s="18">
        <f t="shared" si="8"/>
        <v>5.6086013888888893</v>
      </c>
      <c r="S41" s="17">
        <f t="shared" si="9"/>
        <v>1.3056713025159192</v>
      </c>
      <c r="T41" s="18">
        <f t="shared" si="10"/>
        <v>1.1086919544140161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3275.2447999999999</v>
      </c>
      <c r="E42" s="23">
        <f>Reference!C40</f>
        <v>36.298999999999999</v>
      </c>
      <c r="F42" s="23">
        <f>Reference!D40</f>
        <v>42.2545</v>
      </c>
      <c r="G42" s="23">
        <f>Reference!E40</f>
        <v>41.402299999999997</v>
      </c>
      <c r="H42" s="23">
        <f>Reference!F40</f>
        <v>9507.1929999999993</v>
      </c>
      <c r="I42" s="23">
        <f>Reference!G40</f>
        <v>5.2850000000000001</v>
      </c>
      <c r="J42" s="24">
        <f t="shared" si="7"/>
        <v>2.6408869444444441</v>
      </c>
      <c r="L42" s="22">
        <f>Test!B40</f>
        <v>3257.3631999999998</v>
      </c>
      <c r="M42" s="23">
        <f>Test!C40</f>
        <v>36.3127</v>
      </c>
      <c r="N42" s="23">
        <f>Test!D40</f>
        <v>42.319000000000003</v>
      </c>
      <c r="O42" s="23">
        <f>Test!E40</f>
        <v>41.463999999999999</v>
      </c>
      <c r="P42" s="23">
        <f>Test!F40</f>
        <v>12231.248</v>
      </c>
      <c r="Q42" s="23">
        <f>Test!G40</f>
        <v>5.819</v>
      </c>
      <c r="R42" s="23">
        <f t="shared" si="8"/>
        <v>3.3975688888888889</v>
      </c>
      <c r="S42" s="17">
        <f t="shared" si="9"/>
        <v>1.2865256863934498</v>
      </c>
      <c r="T42" s="18">
        <f t="shared" si="10"/>
        <v>1.1010406811731315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15316.076800000001</v>
      </c>
      <c r="E43" s="13">
        <f>Reference!C41</f>
        <v>44.216799999999999</v>
      </c>
      <c r="F43" s="13">
        <f>Reference!D41</f>
        <v>47.027299999999997</v>
      </c>
      <c r="G43" s="13">
        <f>Reference!E41</f>
        <v>47.834200000000003</v>
      </c>
      <c r="H43" s="13">
        <f>Reference!F41</f>
        <v>24302.870999999999</v>
      </c>
      <c r="I43" s="13">
        <f>Reference!G41</f>
        <v>7.1859999999999999</v>
      </c>
      <c r="J43" s="14">
        <f t="shared" si="7"/>
        <v>6.7507975</v>
      </c>
      <c r="L43" s="12">
        <f>Test!B41</f>
        <v>15254.4128</v>
      </c>
      <c r="M43" s="13">
        <f>Test!C41</f>
        <v>44.254399999999997</v>
      </c>
      <c r="N43" s="13">
        <f>Test!D41</f>
        <v>47.075400000000002</v>
      </c>
      <c r="O43" s="13">
        <f>Test!E41</f>
        <v>47.969700000000003</v>
      </c>
      <c r="P43" s="13">
        <f>Test!F41</f>
        <v>31222.311000000002</v>
      </c>
      <c r="Q43" s="13">
        <f>Test!G41</f>
        <v>7.923</v>
      </c>
      <c r="R43" s="13">
        <f t="shared" si="8"/>
        <v>8.6728641666666668</v>
      </c>
      <c r="S43" s="17">
        <f t="shared" si="9"/>
        <v>1.2847169785001946</v>
      </c>
      <c r="T43" s="18">
        <f t="shared" si="10"/>
        <v>1.1025605343723908</v>
      </c>
      <c r="U43" s="91"/>
      <c r="V43" s="42">
        <f>bdrate($D43:$D46,E43:E46,$L43:$L46,M43:M46)</f>
        <v>-1.2847841805554094E-2</v>
      </c>
      <c r="W43" s="42">
        <f>bdrate($D43:$D46,F43:F46,$L43:$L46,N43:N46)</f>
        <v>-1.6664601036673665E-2</v>
      </c>
      <c r="X43" s="42">
        <f>bdrate($D43:$D46,G43:G46,$L43:$L46,O43:O46)</f>
        <v>-5.8280956850601751E-2</v>
      </c>
      <c r="Y43" s="40">
        <f>bdrateOld($D43:$D46,E43:E46,$L43:$L46,M43:M46)</f>
        <v>-1.3048251767065033E-2</v>
      </c>
      <c r="Z43" s="44">
        <f>bdrateOld($D43:$D46,F43:F46,$L43:$L46,N43:N46)</f>
        <v>-1.5971043213256597E-2</v>
      </c>
      <c r="AA43" s="45">
        <f>bdrateOld($D43:$D46,G43:G46,$L43:$L46,O43:O46)</f>
        <v>-5.9002541996862501E-2</v>
      </c>
    </row>
    <row r="44" spans="1:27" x14ac:dyDescent="0.2">
      <c r="A44" s="16"/>
      <c r="B44" s="85"/>
      <c r="C44" s="16">
        <v>32</v>
      </c>
      <c r="D44" s="17">
        <f>Reference!B42</f>
        <v>10386.771199999999</v>
      </c>
      <c r="E44" s="18">
        <f>Reference!C42</f>
        <v>42.494799999999998</v>
      </c>
      <c r="F44" s="18">
        <f>Reference!D42</f>
        <v>45.884300000000003</v>
      </c>
      <c r="G44" s="18">
        <f>Reference!E42</f>
        <v>46.427199999999999</v>
      </c>
      <c r="H44" s="18">
        <f>Reference!F42</f>
        <v>19200.991999999998</v>
      </c>
      <c r="I44" s="18">
        <f>Reference!G42</f>
        <v>6.6520000000000001</v>
      </c>
      <c r="J44" s="19">
        <f t="shared" si="7"/>
        <v>5.3336088888888886</v>
      </c>
      <c r="L44" s="17">
        <f>Test!B42</f>
        <v>10336.3712</v>
      </c>
      <c r="M44" s="18">
        <f>Test!C42</f>
        <v>42.523000000000003</v>
      </c>
      <c r="N44" s="18">
        <f>Test!D42</f>
        <v>45.941800000000001</v>
      </c>
      <c r="O44" s="18">
        <f>Test!E42</f>
        <v>46.636899999999997</v>
      </c>
      <c r="P44" s="18">
        <f>Test!F42</f>
        <v>24295.965</v>
      </c>
      <c r="Q44" s="18">
        <f>Test!G42</f>
        <v>7.4420000000000002</v>
      </c>
      <c r="R44" s="18">
        <f t="shared" si="8"/>
        <v>6.7488791666666668</v>
      </c>
      <c r="S44" s="17">
        <f t="shared" si="9"/>
        <v>1.2653494673608532</v>
      </c>
      <c r="T44" s="18">
        <f t="shared" si="10"/>
        <v>1.1187612748045701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6566.5087999999996</v>
      </c>
      <c r="E45" s="18">
        <f>Reference!C43</f>
        <v>40.151400000000002</v>
      </c>
      <c r="F45" s="18">
        <f>Reference!D43</f>
        <v>44.586599999999997</v>
      </c>
      <c r="G45" s="18">
        <f>Reference!E43</f>
        <v>44.896900000000002</v>
      </c>
      <c r="H45" s="18">
        <f>Reference!F43</f>
        <v>14145.019</v>
      </c>
      <c r="I45" s="18">
        <f>Reference!G43</f>
        <v>5.9459999999999997</v>
      </c>
      <c r="J45" s="19">
        <f t="shared" si="7"/>
        <v>3.9291719444444446</v>
      </c>
      <c r="L45" s="17">
        <f>Test!B43</f>
        <v>6521.9712</v>
      </c>
      <c r="M45" s="18">
        <f>Test!C43</f>
        <v>40.188000000000002</v>
      </c>
      <c r="N45" s="18">
        <f>Test!D43</f>
        <v>44.602800000000002</v>
      </c>
      <c r="O45" s="18">
        <f>Test!E43</f>
        <v>45.1158</v>
      </c>
      <c r="P45" s="18">
        <f>Test!F43</f>
        <v>18233.776999999998</v>
      </c>
      <c r="Q45" s="18">
        <f>Test!G43</f>
        <v>6.8250000000000002</v>
      </c>
      <c r="R45" s="18">
        <f t="shared" si="8"/>
        <v>5.0649380555555554</v>
      </c>
      <c r="S45" s="17">
        <f t="shared" si="9"/>
        <v>1.2890599157201554</v>
      </c>
      <c r="T45" s="18">
        <f t="shared" si="10"/>
        <v>1.1478304742684158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3805.2864</v>
      </c>
      <c r="E46" s="23">
        <f>Reference!C44</f>
        <v>37.1693</v>
      </c>
      <c r="F46" s="23">
        <f>Reference!D44</f>
        <v>42.838000000000001</v>
      </c>
      <c r="G46" s="23">
        <f>Reference!E44</f>
        <v>42.988999999999997</v>
      </c>
      <c r="H46" s="23">
        <f>Reference!F44</f>
        <v>9793.7240000000002</v>
      </c>
      <c r="I46" s="23">
        <f>Reference!G44</f>
        <v>5.484</v>
      </c>
      <c r="J46" s="24">
        <f t="shared" si="7"/>
        <v>2.7204788888888891</v>
      </c>
      <c r="L46" s="22">
        <f>Test!B44</f>
        <v>3776.7487999999998</v>
      </c>
      <c r="M46" s="23">
        <f>Test!C44</f>
        <v>37.208300000000001</v>
      </c>
      <c r="N46" s="23">
        <f>Test!D44</f>
        <v>42.854799999999997</v>
      </c>
      <c r="O46" s="23">
        <f>Test!E44</f>
        <v>43.065600000000003</v>
      </c>
      <c r="P46" s="23">
        <f>Test!F44</f>
        <v>12459.232</v>
      </c>
      <c r="Q46" s="23">
        <f>Test!G44</f>
        <v>6.0510000000000002</v>
      </c>
      <c r="R46" s="23">
        <f t="shared" si="8"/>
        <v>3.4608977777777779</v>
      </c>
      <c r="S46" s="17">
        <f t="shared" si="9"/>
        <v>1.2721649088742955</v>
      </c>
      <c r="T46" s="18">
        <f t="shared" si="10"/>
        <v>1.1033916849015317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16583.142400000001</v>
      </c>
      <c r="E47" s="13">
        <f>Reference!C45</f>
        <v>44.158000000000001</v>
      </c>
      <c r="F47" s="13">
        <f>Reference!D45</f>
        <v>48.7624</v>
      </c>
      <c r="G47" s="13">
        <f>Reference!E45</f>
        <v>48.401800000000001</v>
      </c>
      <c r="H47" s="13">
        <f>Reference!F45</f>
        <v>25200.213</v>
      </c>
      <c r="I47" s="13">
        <f>Reference!G45</f>
        <v>6.952</v>
      </c>
      <c r="J47" s="14">
        <f>H47/3600</f>
        <v>7.0000591666666665</v>
      </c>
      <c r="L47" s="12">
        <f>Test!B45</f>
        <v>16539.616000000002</v>
      </c>
      <c r="M47" s="13">
        <f>Test!C45</f>
        <v>44.199300000000001</v>
      </c>
      <c r="N47" s="13">
        <f>Test!D45</f>
        <v>48.805399999999999</v>
      </c>
      <c r="O47" s="13">
        <f>Test!E45</f>
        <v>48.348500000000001</v>
      </c>
      <c r="P47" s="13">
        <f>Test!F45</f>
        <v>31686.684000000001</v>
      </c>
      <c r="Q47" s="13">
        <f>Test!G45</f>
        <v>7.6479999999999997</v>
      </c>
      <c r="R47" s="13">
        <f>P47/3600</f>
        <v>8.8018566666666676</v>
      </c>
      <c r="S47" s="17">
        <f>P47/H47</f>
        <v>1.2573974672356936</v>
      </c>
      <c r="T47" s="18">
        <f>Q47/I47</f>
        <v>1.100115074798619</v>
      </c>
      <c r="U47" s="91"/>
      <c r="V47" s="42">
        <f>bdrate($D47:$D50,E47:E50,$L47:$L50,M47:M50)</f>
        <v>-1.2053557679581273E-2</v>
      </c>
      <c r="W47" s="42">
        <f>bdrate($D47:$D50,F47:F50,$L47:$L50,N47:N50)</f>
        <v>-4.3718011360273645E-2</v>
      </c>
      <c r="X47" s="43">
        <f>bdrate($D47:$D50,G47:G50,$L47:$L50,O47:O50)</f>
        <v>5.3499875318374635E-4</v>
      </c>
      <c r="Y47" s="37">
        <f>bdrateOld($D47:$D50,E47:E50,$L47:$L50,M47:M50)</f>
        <v>-1.2122069371656163E-2</v>
      </c>
      <c r="Z47" s="42">
        <f>bdrateOld($D47:$D50,F47:F50,$L47:$L50,N47:N50)</f>
        <v>-4.4377608417572212E-2</v>
      </c>
      <c r="AA47" s="43">
        <f>bdrateOld($D47:$D50,G47:G50,$L47:$L50,O47:O50)</f>
        <v>-7.0872804558252955E-4</v>
      </c>
    </row>
    <row r="48" spans="1:27" x14ac:dyDescent="0.2">
      <c r="A48" s="16"/>
      <c r="B48" s="85"/>
      <c r="C48" s="16">
        <v>32</v>
      </c>
      <c r="D48" s="17">
        <f>Reference!B46</f>
        <v>11518.316800000001</v>
      </c>
      <c r="E48" s="18">
        <f>Reference!C46</f>
        <v>42.420099999999998</v>
      </c>
      <c r="F48" s="18">
        <f>Reference!D46</f>
        <v>47.731400000000001</v>
      </c>
      <c r="G48" s="18">
        <f>Reference!E46</f>
        <v>46.951599999999999</v>
      </c>
      <c r="H48" s="18">
        <f>Reference!F46</f>
        <v>19920.344000000001</v>
      </c>
      <c r="I48" s="18">
        <f>Reference!G46</f>
        <v>6.3259999999999996</v>
      </c>
      <c r="J48" s="19">
        <f t="shared" ref="J48:J70" si="11">H48/3600</f>
        <v>5.5334288888888894</v>
      </c>
      <c r="L48" s="17">
        <f>Test!B46</f>
        <v>11476.4864</v>
      </c>
      <c r="M48" s="18">
        <f>Test!C46</f>
        <v>42.459699999999998</v>
      </c>
      <c r="N48" s="18">
        <f>Test!D46</f>
        <v>47.7986</v>
      </c>
      <c r="O48" s="18">
        <f>Test!E46</f>
        <v>46.870199999999997</v>
      </c>
      <c r="P48" s="18">
        <f>Test!F46</f>
        <v>25445.342000000001</v>
      </c>
      <c r="Q48" s="18">
        <f>Test!G46</f>
        <v>6.9630000000000001</v>
      </c>
      <c r="R48" s="18">
        <f t="shared" ref="R48:R70" si="12">P48/3600</f>
        <v>7.0681505555555555</v>
      </c>
      <c r="S48" s="17">
        <f t="shared" ref="S48:S70" si="13">P48/H48</f>
        <v>1.2773545476925499</v>
      </c>
      <c r="T48" s="18">
        <f t="shared" ref="T48:T70" si="14">Q48/I48</f>
        <v>1.1006955422067659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7499.2064</v>
      </c>
      <c r="E49" s="18">
        <f>Reference!C47</f>
        <v>40.040100000000002</v>
      </c>
      <c r="F49" s="18">
        <f>Reference!D47</f>
        <v>46.484299999999998</v>
      </c>
      <c r="G49" s="18">
        <f>Reference!E47</f>
        <v>45.282499999999999</v>
      </c>
      <c r="H49" s="18">
        <f>Reference!F47</f>
        <v>14962.897999999999</v>
      </c>
      <c r="I49" s="18">
        <f>Reference!G47</f>
        <v>5.7210000000000001</v>
      </c>
      <c r="J49" s="19">
        <f t="shared" si="11"/>
        <v>4.1563605555555556</v>
      </c>
      <c r="L49" s="17">
        <f>Test!B47</f>
        <v>7458.0288</v>
      </c>
      <c r="M49" s="18">
        <f>Test!C47</f>
        <v>40.078699999999998</v>
      </c>
      <c r="N49" s="18">
        <f>Test!D47</f>
        <v>46.623600000000003</v>
      </c>
      <c r="O49" s="18">
        <f>Test!E47</f>
        <v>45.2928</v>
      </c>
      <c r="P49" s="18">
        <f>Test!F47</f>
        <v>19097.627</v>
      </c>
      <c r="Q49" s="18">
        <f>Test!G47</f>
        <v>6.3760000000000003</v>
      </c>
      <c r="R49" s="18">
        <f t="shared" si="12"/>
        <v>5.3048963888888894</v>
      </c>
      <c r="S49" s="17">
        <f t="shared" si="13"/>
        <v>1.2763320982339117</v>
      </c>
      <c r="T49" s="18">
        <f t="shared" si="14"/>
        <v>1.1144904736934103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4363.6095999999998</v>
      </c>
      <c r="E50" s="23">
        <f>Reference!C48</f>
        <v>36.811399999999999</v>
      </c>
      <c r="F50" s="23">
        <f>Reference!D48</f>
        <v>44.476500000000001</v>
      </c>
      <c r="G50" s="23">
        <f>Reference!E48</f>
        <v>43.052900000000001</v>
      </c>
      <c r="H50" s="23">
        <f>Reference!F48</f>
        <v>10206.111000000001</v>
      </c>
      <c r="I50" s="23">
        <f>Reference!G48</f>
        <v>5.0190000000000001</v>
      </c>
      <c r="J50" s="24">
        <f t="shared" si="11"/>
        <v>2.8350308333333336</v>
      </c>
      <c r="L50" s="22">
        <f>Test!B48</f>
        <v>4345.0367999999999</v>
      </c>
      <c r="M50" s="23">
        <f>Test!C48</f>
        <v>36.866700000000002</v>
      </c>
      <c r="N50" s="23">
        <f>Test!D48</f>
        <v>44.744300000000003</v>
      </c>
      <c r="O50" s="23">
        <f>Test!E48</f>
        <v>43.089599999999997</v>
      </c>
      <c r="P50" s="23">
        <f>Test!F48</f>
        <v>13351.121999999999</v>
      </c>
      <c r="Q50" s="23">
        <f>Test!G48</f>
        <v>5.6020000000000003</v>
      </c>
      <c r="R50" s="23">
        <f t="shared" si="12"/>
        <v>3.7086449999999997</v>
      </c>
      <c r="S50" s="22">
        <f t="shared" si="13"/>
        <v>1.3081497937853115</v>
      </c>
      <c r="T50" s="23">
        <f t="shared" si="14"/>
        <v>1.1161585973301456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29.378306019210108</v>
      </c>
      <c r="J75" s="15">
        <f>GEOMEAN(J3:J18)</f>
        <v>22.28371160022099</v>
      </c>
      <c r="Q75" s="15">
        <f>GEOMEAN(Q3:Q18)</f>
        <v>32.165866764200779</v>
      </c>
      <c r="R75" s="15">
        <f>GEOMEAN(R3:R18)</f>
        <v>28.607308590384786</v>
      </c>
      <c r="S75" s="15">
        <f>GEOMEAN(S3:S18)</f>
        <v>1.2837766483255457</v>
      </c>
      <c r="T75" s="15">
        <f>GEOMEAN(T3:T18)</f>
        <v>1.0948850060710758</v>
      </c>
      <c r="V75" s="37">
        <f>AVERAGE(V3:V18)</f>
        <v>-9.4101111880858235E-3</v>
      </c>
      <c r="W75" s="42">
        <f t="shared" ref="W75:AA75" si="19">AVERAGE(W3:W18)</f>
        <v>-5.3008793406071786E-2</v>
      </c>
      <c r="X75" s="42">
        <f t="shared" si="19"/>
        <v>-9.404413522928215E-2</v>
      </c>
      <c r="Y75" s="37">
        <f>AVERAGE(Y3:Y18)</f>
        <v>-9.5407363479867169E-3</v>
      </c>
      <c r="Z75" s="42">
        <f t="shared" si="19"/>
        <v>-5.1491367876818017E-2</v>
      </c>
      <c r="AA75" s="43">
        <f t="shared" si="19"/>
        <v>-9.3916198908856163E-2</v>
      </c>
    </row>
    <row r="76" spans="1:27" x14ac:dyDescent="0.2">
      <c r="B76" s="89" t="s">
        <v>47</v>
      </c>
      <c r="I76" s="15">
        <f>GEOMEAN(I19:I34)</f>
        <v>14.191361289938664</v>
      </c>
      <c r="J76" s="15">
        <f>GEOMEAN(J19:J34)</f>
        <v>12.0261660418504</v>
      </c>
      <c r="Q76" s="15">
        <f>GEOMEAN(Q19:Q34)</f>
        <v>15.826446598044292</v>
      </c>
      <c r="R76" s="15">
        <f>GEOMEAN(R19:R34)</f>
        <v>15.387105128991042</v>
      </c>
      <c r="S76" s="15">
        <f>GEOMEAN(S19:S34)</f>
        <v>1.2794688744064198</v>
      </c>
      <c r="T76" s="15">
        <f>GEOMEAN(T19:T34)</f>
        <v>1.1152169460490631</v>
      </c>
      <c r="V76" s="40">
        <f>AVERAGE(V19:V34)</f>
        <v>-7.2755926538036753E-3</v>
      </c>
      <c r="W76" s="44">
        <f t="shared" ref="W76:AA76" si="20">AVERAGE(W19:W34)</f>
        <v>-9.3946150306472076E-2</v>
      </c>
      <c r="X76" s="44">
        <f t="shared" si="20"/>
        <v>-4.0725190126557814E-2</v>
      </c>
      <c r="Y76" s="40">
        <f t="shared" si="20"/>
        <v>-7.2827437763070269E-3</v>
      </c>
      <c r="Z76" s="44">
        <f t="shared" si="20"/>
        <v>-9.4732728125782761E-2</v>
      </c>
      <c r="AA76" s="45">
        <f t="shared" si="20"/>
        <v>-4.0750745343875072E-2</v>
      </c>
    </row>
    <row r="77" spans="1:27" x14ac:dyDescent="0.2">
      <c r="B77" s="89" t="s">
        <v>51</v>
      </c>
      <c r="I77" s="15">
        <f>GEOMEAN(I35:I50)</f>
        <v>6.7788936765407684</v>
      </c>
      <c r="J77" s="15">
        <f>GEOMEAN(J35:J50)</f>
        <v>5.6336137236689501</v>
      </c>
      <c r="Q77" s="15">
        <f>GEOMEAN(Q35:Q50)</f>
        <v>7.4401070681271921</v>
      </c>
      <c r="R77" s="15">
        <f>GEOMEAN(R35:R50)</f>
        <v>7.188660609204943</v>
      </c>
      <c r="S77" s="15">
        <f>GEOMEAN(S35:S50)</f>
        <v>1.2760300868699341</v>
      </c>
      <c r="T77" s="15">
        <f>GEOMEAN(T35:T50)</f>
        <v>1.0975400151022634</v>
      </c>
      <c r="V77" s="40">
        <f>AVERAGE(V35:V50)</f>
        <v>-9.0535399774953063E-3</v>
      </c>
      <c r="W77" s="44">
        <f t="shared" ref="W77:AA77" si="21">AVERAGE(W35:W50)</f>
        <v>-2.6027034663723636E-2</v>
      </c>
      <c r="X77" s="44">
        <f t="shared" si="21"/>
        <v>-3.6026993856987821E-2</v>
      </c>
      <c r="Y77" s="40">
        <f t="shared" si="21"/>
        <v>-9.1087281341348802E-3</v>
      </c>
      <c r="Z77" s="44">
        <f t="shared" si="21"/>
        <v>-2.5839620639806993E-2</v>
      </c>
      <c r="AA77" s="45">
        <f t="shared" si="21"/>
        <v>-3.6278664598664856E-2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14.138495884551379</v>
      </c>
      <c r="J80" s="54">
        <f xml:space="preserve"> GEOMEAN(J3:J50)</f>
        <v>11.471862426208419</v>
      </c>
      <c r="K80" s="4"/>
      <c r="L80" s="4"/>
      <c r="M80" s="4"/>
      <c r="N80" s="4"/>
      <c r="O80" s="4"/>
      <c r="P80" s="4"/>
      <c r="Q80" s="54">
        <f xml:space="preserve"> GEOMEAN(Q3:Q50)</f>
        <v>15.587840510499626</v>
      </c>
      <c r="R80" s="54">
        <f xml:space="preserve"> GEOMEAN(R3:R50)</f>
        <v>14.681168864545768</v>
      </c>
      <c r="S80" s="54">
        <f xml:space="preserve"> GEOMEAN(S3:S50)</f>
        <v>1.2797546134274957</v>
      </c>
      <c r="T80" s="54">
        <f>GEOMEAN(T3:T50)</f>
        <v>1.1025105243006716</v>
      </c>
      <c r="U80" s="4"/>
      <c r="V80" s="41">
        <f>AVERAGE(V3:V50)</f>
        <v>-8.579747939794935E-3</v>
      </c>
      <c r="W80" s="46">
        <f t="shared" ref="W80:AA80" si="25">AVERAGE(W3:W50)</f>
        <v>-5.7660659458755835E-2</v>
      </c>
      <c r="X80" s="47">
        <f t="shared" si="25"/>
        <v>-5.6932106404275928E-2</v>
      </c>
      <c r="Y80" s="46">
        <f t="shared" si="25"/>
        <v>-8.644069419476208E-3</v>
      </c>
      <c r="Z80" s="46">
        <f t="shared" si="25"/>
        <v>-5.7354572214135924E-2</v>
      </c>
      <c r="AA80" s="47">
        <f t="shared" si="25"/>
        <v>-5.698186961713203E-2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A27" zoomScale="85" zoomScaleNormal="85" workbookViewId="0">
      <selection activeCell="D78" sqref="D78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14645.343999999999</v>
      </c>
      <c r="E3" s="13">
        <f>Reference!C73</f>
        <v>40.086500000000001</v>
      </c>
      <c r="F3" s="13">
        <f>Reference!D73</f>
        <v>48.993699999999997</v>
      </c>
      <c r="G3" s="13">
        <f>Reference!E73</f>
        <v>46.991100000000003</v>
      </c>
      <c r="H3" s="13">
        <f>Reference!F73</f>
        <v>384553.77299999999</v>
      </c>
      <c r="I3" s="13">
        <f>Reference!G73</f>
        <v>71.62</v>
      </c>
      <c r="J3" s="14">
        <f>H3/3600</f>
        <v>106.8204925</v>
      </c>
      <c r="L3" s="12">
        <f>Test!B73</f>
        <v>14787.672</v>
      </c>
      <c r="M3" s="13">
        <f>Test!C73</f>
        <v>40.089199999999998</v>
      </c>
      <c r="N3" s="13">
        <f>Test!D73</f>
        <v>49.056699999999999</v>
      </c>
      <c r="O3" s="13">
        <f>Test!E73</f>
        <v>47.055100000000003</v>
      </c>
      <c r="P3" s="13">
        <f>Test!F73</f>
        <v>403892.37400000001</v>
      </c>
      <c r="Q3" s="13">
        <f>Test!G73</f>
        <v>78.022000000000006</v>
      </c>
      <c r="R3" s="14">
        <f>P3/3600</f>
        <v>112.19232611111111</v>
      </c>
      <c r="S3" s="12">
        <f>P3/H3</f>
        <v>1.0502884183117871</v>
      </c>
      <c r="T3" s="13">
        <f>Q3/I3</f>
        <v>1.0893884389835242</v>
      </c>
      <c r="U3" s="90"/>
      <c r="V3" s="37">
        <f>bdrate($D3:$D6,E3:E6,$L3:$L6,M3:M6)</f>
        <v>-1.0294012000780839E-2</v>
      </c>
      <c r="W3" s="42">
        <f>bdrate($D3:$D6,F3:F6,$L3:$L6,N3:N6)</f>
        <v>-4.9661999595350226E-2</v>
      </c>
      <c r="X3" s="43">
        <f>bdrate($D3:$D6,G3:G6,$L3:$L6,O3:O6)</f>
        <v>-2.3910928644826468E-2</v>
      </c>
      <c r="Y3" s="37">
        <f>bdrateOld($D3:$D6,E3:E6,$L3:$L6,M3:M6)</f>
        <v>-7.2313958117988797E-3</v>
      </c>
      <c r="Z3" s="42">
        <f>bdrateOld($D3:$D6,F3:F6,$L3:$L6,N3:N6)</f>
        <v>-4.960541071108826E-2</v>
      </c>
      <c r="AA3" s="43">
        <f>bdrateOld($D3:$D6,G3:G6,$L3:$L6,O3:O6)</f>
        <v>-2.4612173814564819E-2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6760.3239999999996</v>
      </c>
      <c r="E4" s="18">
        <f>Reference!C74</f>
        <v>39.586199999999998</v>
      </c>
      <c r="F4" s="18">
        <f>Reference!D74</f>
        <v>48.442100000000003</v>
      </c>
      <c r="G4" s="18">
        <f>Reference!E74</f>
        <v>46.127699999999997</v>
      </c>
      <c r="H4" s="18">
        <f>Reference!F74</f>
        <v>213320.86300000001</v>
      </c>
      <c r="I4" s="18">
        <f>Reference!G74</f>
        <v>64.662999999999997</v>
      </c>
      <c r="J4" s="19">
        <f t="shared" ref="J4:J14" si="0">H4/3600</f>
        <v>59.255795277777779</v>
      </c>
      <c r="L4" s="17">
        <f>Test!B74</f>
        <v>6751.3320000000003</v>
      </c>
      <c r="M4" s="18">
        <f>Test!C74</f>
        <v>39.597700000000003</v>
      </c>
      <c r="N4" s="18">
        <f>Test!D74</f>
        <v>48.460999999999999</v>
      </c>
      <c r="O4" s="18">
        <f>Test!E74</f>
        <v>46.1494</v>
      </c>
      <c r="P4" s="18">
        <f>Test!F74</f>
        <v>228804.74900000001</v>
      </c>
      <c r="Q4" s="18">
        <f>Test!G74</f>
        <v>71.061999999999998</v>
      </c>
      <c r="R4" s="19">
        <f t="shared" ref="R4:R14" si="1">P4/3600</f>
        <v>63.556874722222226</v>
      </c>
      <c r="S4" s="17">
        <f t="shared" ref="S4:T46" si="2">P4/H4</f>
        <v>1.0725849585560696</v>
      </c>
      <c r="T4" s="18">
        <f t="shared" si="2"/>
        <v>1.0989592193371789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3653.4560000000001</v>
      </c>
      <c r="E5" s="18">
        <f>Reference!C75</f>
        <v>38.732999999999997</v>
      </c>
      <c r="F5" s="18">
        <f>Reference!D75</f>
        <v>47.477699999999999</v>
      </c>
      <c r="G5" s="18">
        <f>Reference!E75</f>
        <v>44.82</v>
      </c>
      <c r="H5" s="18">
        <f>Reference!F75</f>
        <v>108198.00599999999</v>
      </c>
      <c r="I5" s="18">
        <f>Reference!G75</f>
        <v>59.585999999999999</v>
      </c>
      <c r="J5" s="19">
        <f t="shared" si="0"/>
        <v>30.055001666666666</v>
      </c>
      <c r="L5" s="17">
        <f>Test!B75</f>
        <v>3660.62</v>
      </c>
      <c r="M5" s="18">
        <f>Test!C75</f>
        <v>38.755400000000002</v>
      </c>
      <c r="N5" s="18">
        <f>Test!D75</f>
        <v>47.620899999999999</v>
      </c>
      <c r="O5" s="18">
        <f>Test!E75</f>
        <v>44.898600000000002</v>
      </c>
      <c r="P5" s="18">
        <f>Test!F75</f>
        <v>113065.70299999999</v>
      </c>
      <c r="Q5" s="18">
        <f>Test!G75</f>
        <v>64.131</v>
      </c>
      <c r="R5" s="19">
        <f t="shared" si="1"/>
        <v>31.407139722222219</v>
      </c>
      <c r="S5" s="17">
        <f t="shared" si="2"/>
        <v>1.0449887865770835</v>
      </c>
      <c r="T5" s="18">
        <f t="shared" si="2"/>
        <v>1.0762763065149532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1934.24</v>
      </c>
      <c r="E6" s="23">
        <f>Reference!C76</f>
        <v>37.229100000000003</v>
      </c>
      <c r="F6" s="23">
        <f>Reference!D76</f>
        <v>46.270899999999997</v>
      </c>
      <c r="G6" s="23">
        <f>Reference!E76</f>
        <v>43.169499999999999</v>
      </c>
      <c r="H6" s="23">
        <f>Reference!F76</f>
        <v>54864.531999999999</v>
      </c>
      <c r="I6" s="23">
        <f>Reference!G76</f>
        <v>54.249000000000002</v>
      </c>
      <c r="J6" s="24">
        <f t="shared" si="0"/>
        <v>15.240147777777777</v>
      </c>
      <c r="L6" s="22">
        <f>Test!B76</f>
        <v>1935.3320000000001</v>
      </c>
      <c r="M6" s="23">
        <f>Test!C76</f>
        <v>37.2624</v>
      </c>
      <c r="N6" s="23">
        <f>Test!D76</f>
        <v>46.253799999999998</v>
      </c>
      <c r="O6" s="23">
        <f>Test!E76</f>
        <v>43.1785</v>
      </c>
      <c r="P6" s="23">
        <f>Test!F76</f>
        <v>55638.983999999997</v>
      </c>
      <c r="Q6" s="23">
        <f>Test!G76</f>
        <v>56.381</v>
      </c>
      <c r="R6" s="24">
        <f t="shared" si="1"/>
        <v>15.455273333333333</v>
      </c>
      <c r="S6" s="17">
        <f t="shared" si="2"/>
        <v>1.0141157132261696</v>
      </c>
      <c r="T6" s="18">
        <f t="shared" si="2"/>
        <v>1.0393002635993289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76945.892000000007</v>
      </c>
      <c r="E7" s="13">
        <f>Reference!C77</f>
        <v>41.662500000000001</v>
      </c>
      <c r="F7" s="13">
        <f>Reference!D77</f>
        <v>36.344099999999997</v>
      </c>
      <c r="G7" s="13">
        <f>Reference!E77</f>
        <v>37.424399999999999</v>
      </c>
      <c r="H7" s="13">
        <f>Reference!F77</f>
        <v>717424.98600000003</v>
      </c>
      <c r="I7" s="13">
        <f>Reference!G77</f>
        <v>78.513999999999996</v>
      </c>
      <c r="J7" s="14">
        <f t="shared" si="0"/>
        <v>199.28471833333333</v>
      </c>
      <c r="L7" s="12">
        <f>Test!B77</f>
        <v>76293.16</v>
      </c>
      <c r="M7" s="13">
        <f>Test!C77</f>
        <v>41.676299999999998</v>
      </c>
      <c r="N7" s="13">
        <f>Test!D77</f>
        <v>36.512799999999999</v>
      </c>
      <c r="O7" s="13">
        <f>Test!E77</f>
        <v>37.6203</v>
      </c>
      <c r="P7" s="13">
        <f>Test!F77</f>
        <v>731661.45499999996</v>
      </c>
      <c r="Q7" s="13">
        <f>Test!G77</f>
        <v>86.259</v>
      </c>
      <c r="R7" s="14">
        <f t="shared" si="1"/>
        <v>203.23929305555555</v>
      </c>
      <c r="S7" s="17">
        <f t="shared" si="2"/>
        <v>1.019843843297646</v>
      </c>
      <c r="T7" s="18">
        <f t="shared" si="2"/>
        <v>1.0986448276740455</v>
      </c>
      <c r="U7" s="91"/>
      <c r="V7" s="37">
        <f>bdrate($D7:$D10,E7:E10,$L7:$L10,M7:M10)</f>
        <v>-1.2565986194214895E-2</v>
      </c>
      <c r="W7" s="42">
        <f>bdrate($D7:$D10,F7:F10,$L7:$L10,N7:N10)</f>
        <v>-9.0819493241434013E-2</v>
      </c>
      <c r="X7" s="42">
        <f>bdrate($D7:$D10,G7:G10,$L7:$L10,O7:O10)</f>
        <v>-0.14046208875504573</v>
      </c>
      <c r="Y7" s="40">
        <f>bdrateOld($D7:$D10,E7:E10,$L7:$L10,M7:M10)</f>
        <v>-1.2307366076963699E-2</v>
      </c>
      <c r="Z7" s="44">
        <f>bdrateOld($D7:$D10,F7:F10,$L7:$L10,N7:N10)</f>
        <v>-9.0219775312431194E-2</v>
      </c>
      <c r="AA7" s="45">
        <f>bdrateOld($D7:$D10,G7:G10,$L7:$L10,O7:O10)</f>
        <v>-0.13920818690872505</v>
      </c>
    </row>
    <row r="8" spans="1:27" x14ac:dyDescent="0.2">
      <c r="A8" s="16"/>
      <c r="B8" s="85"/>
      <c r="C8" s="16">
        <v>48</v>
      </c>
      <c r="D8" s="17">
        <f>Reference!B78</f>
        <v>39972.743999999999</v>
      </c>
      <c r="E8" s="18">
        <f>Reference!C78</f>
        <v>39.052100000000003</v>
      </c>
      <c r="F8" s="18">
        <f>Reference!D78</f>
        <v>34.421300000000002</v>
      </c>
      <c r="G8" s="18">
        <f>Reference!E78</f>
        <v>35.7196</v>
      </c>
      <c r="H8" s="18">
        <f>Reference!F78</f>
        <v>479018.54399999999</v>
      </c>
      <c r="I8" s="18">
        <f>Reference!G78</f>
        <v>71.444000000000003</v>
      </c>
      <c r="J8" s="19">
        <f t="shared" si="0"/>
        <v>133.06070666666668</v>
      </c>
      <c r="L8" s="17">
        <f>Test!B78</f>
        <v>39389.328000000001</v>
      </c>
      <c r="M8" s="18">
        <f>Test!C78</f>
        <v>39.070500000000003</v>
      </c>
      <c r="N8" s="18">
        <f>Test!D78</f>
        <v>34.5869</v>
      </c>
      <c r="O8" s="18">
        <f>Test!E78</f>
        <v>35.938699999999997</v>
      </c>
      <c r="P8" s="18">
        <f>Test!F78</f>
        <v>489778.78499999997</v>
      </c>
      <c r="Q8" s="18">
        <f>Test!G78</f>
        <v>77.69</v>
      </c>
      <c r="R8" s="19">
        <f t="shared" si="1"/>
        <v>136.04966249999998</v>
      </c>
      <c r="S8" s="17">
        <f t="shared" si="2"/>
        <v>1.0224630990486248</v>
      </c>
      <c r="T8" s="18">
        <f t="shared" si="2"/>
        <v>1.0874251161749062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18881.848000000002</v>
      </c>
      <c r="E9" s="18">
        <f>Reference!C79</f>
        <v>36.131300000000003</v>
      </c>
      <c r="F9" s="18">
        <f>Reference!D79</f>
        <v>32.689300000000003</v>
      </c>
      <c r="G9" s="18">
        <f>Reference!E79</f>
        <v>34.180100000000003</v>
      </c>
      <c r="H9" s="18">
        <f>Reference!F79</f>
        <v>299586.82500000001</v>
      </c>
      <c r="I9" s="18">
        <f>Reference!G79</f>
        <v>63.439</v>
      </c>
      <c r="J9" s="19">
        <f t="shared" si="0"/>
        <v>83.218562500000004</v>
      </c>
      <c r="L9" s="17">
        <f>Test!B79</f>
        <v>18919.171999999999</v>
      </c>
      <c r="M9" s="18">
        <f>Test!C79</f>
        <v>36.1631</v>
      </c>
      <c r="N9" s="18">
        <f>Test!D79</f>
        <v>32.943199999999997</v>
      </c>
      <c r="O9" s="18">
        <f>Test!E79</f>
        <v>34.550199999999997</v>
      </c>
      <c r="P9" s="18">
        <f>Test!F79</f>
        <v>308796.37</v>
      </c>
      <c r="Q9" s="18">
        <f>Test!G79</f>
        <v>72.472999999999999</v>
      </c>
      <c r="R9" s="19">
        <f t="shared" si="1"/>
        <v>85.77676944444444</v>
      </c>
      <c r="S9" s="17">
        <f t="shared" si="2"/>
        <v>1.0307408211292335</v>
      </c>
      <c r="T9" s="18">
        <f t="shared" si="2"/>
        <v>1.1424045145730544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7817.96</v>
      </c>
      <c r="E10" s="23">
        <f>Reference!C80</f>
        <v>33.053400000000003</v>
      </c>
      <c r="F10" s="23">
        <f>Reference!D80</f>
        <v>31.087199999999999</v>
      </c>
      <c r="G10" s="23">
        <f>Reference!E80</f>
        <v>32.799300000000002</v>
      </c>
      <c r="H10" s="23">
        <f>Reference!F80</f>
        <v>171624.948</v>
      </c>
      <c r="I10" s="23">
        <f>Reference!G80</f>
        <v>59.472000000000001</v>
      </c>
      <c r="J10" s="24">
        <f t="shared" si="0"/>
        <v>47.673596666666668</v>
      </c>
      <c r="L10" s="22">
        <f>Test!B80</f>
        <v>7798.74</v>
      </c>
      <c r="M10" s="23">
        <f>Test!C80</f>
        <v>33.090899999999998</v>
      </c>
      <c r="N10" s="23">
        <f>Test!D80</f>
        <v>31.269600000000001</v>
      </c>
      <c r="O10" s="23">
        <f>Test!E80</f>
        <v>33.114800000000002</v>
      </c>
      <c r="P10" s="23">
        <f>Test!F80</f>
        <v>175109.1</v>
      </c>
      <c r="Q10" s="23">
        <f>Test!G80</f>
        <v>67.378</v>
      </c>
      <c r="R10" s="24">
        <f t="shared" si="1"/>
        <v>48.641416666666672</v>
      </c>
      <c r="S10" s="17">
        <f t="shared" si="2"/>
        <v>1.0203009646359806</v>
      </c>
      <c r="T10" s="18">
        <f t="shared" si="2"/>
        <v>1.1329365079365079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39120.720000000001</v>
      </c>
      <c r="E11" s="13">
        <f>Reference!C81</f>
        <v>38.330300000000001</v>
      </c>
      <c r="F11" s="13">
        <f>Reference!D81</f>
        <v>40.482500000000002</v>
      </c>
      <c r="G11" s="13">
        <f>Reference!E81</f>
        <v>41.447099999999999</v>
      </c>
      <c r="H11" s="13">
        <f>Reference!F81</f>
        <v>419497.33899999998</v>
      </c>
      <c r="I11" s="13">
        <f>Reference!G81</f>
        <v>44.161999999999999</v>
      </c>
      <c r="J11" s="14">
        <f t="shared" si="0"/>
        <v>116.52703861111111</v>
      </c>
      <c r="L11" s="12">
        <f>Test!B81</f>
        <v>38342.432000000001</v>
      </c>
      <c r="M11" s="13">
        <f>Test!C81</f>
        <v>38.323</v>
      </c>
      <c r="N11" s="13">
        <f>Test!D81</f>
        <v>40.512099999999997</v>
      </c>
      <c r="O11" s="13">
        <f>Test!E81</f>
        <v>41.569600000000001</v>
      </c>
      <c r="P11" s="13">
        <f>Test!F81</f>
        <v>428034.397</v>
      </c>
      <c r="Q11" s="13">
        <f>Test!G81</f>
        <v>46.390999999999998</v>
      </c>
      <c r="R11" s="14">
        <f t="shared" si="1"/>
        <v>118.89844361111111</v>
      </c>
      <c r="S11" s="17">
        <f t="shared" si="2"/>
        <v>1.0203506845129238</v>
      </c>
      <c r="T11" s="18">
        <f t="shared" si="2"/>
        <v>1.0504732575517413</v>
      </c>
      <c r="U11" s="91"/>
      <c r="V11" s="37">
        <f>bdrate($D11:$D14,E11:E14,$L11:$L14,M11:M14)</f>
        <v>-2.0909908734928373E-2</v>
      </c>
      <c r="W11" s="42">
        <f>bdrate($D11:$D14,F11:F14,$L11:$L14,N11:N14)</f>
        <v>-1.3151160500429082E-2</v>
      </c>
      <c r="X11" s="42">
        <f>bdrate($D11:$D14,G11:G14,$L11:$L14,O11:O14)</f>
        <v>-7.6133484828451725E-2</v>
      </c>
      <c r="Y11" s="40">
        <f>bdrateOld($D11:$D14,E11:E14,$L11:$L14,M11:M14)</f>
        <v>-2.1030146372193359E-2</v>
      </c>
      <c r="Z11" s="44">
        <f>bdrateOld($D11:$D14,F11:F14,$L11:$L14,N11:N14)</f>
        <v>-1.295034599622924E-2</v>
      </c>
      <c r="AA11" s="45">
        <f>bdrateOld($D11:$D14,G11:G14,$L11:$L14,O11:O14)</f>
        <v>-7.6637676699449431E-2</v>
      </c>
    </row>
    <row r="12" spans="1:27" x14ac:dyDescent="0.2">
      <c r="A12" s="34"/>
      <c r="B12" s="83"/>
      <c r="C12" s="16">
        <v>48</v>
      </c>
      <c r="D12" s="17">
        <f>Reference!B82</f>
        <v>19016.995999999999</v>
      </c>
      <c r="E12" s="18">
        <f>Reference!C82</f>
        <v>37.202199999999998</v>
      </c>
      <c r="F12" s="18">
        <f>Reference!D82</f>
        <v>37.963299999999997</v>
      </c>
      <c r="G12" s="18">
        <f>Reference!E82</f>
        <v>40.2104</v>
      </c>
      <c r="H12" s="18">
        <f>Reference!F82</f>
        <v>252164.932</v>
      </c>
      <c r="I12" s="18">
        <f>Reference!G82</f>
        <v>36.927999999999997</v>
      </c>
      <c r="J12" s="19">
        <f t="shared" si="0"/>
        <v>70.045814444444446</v>
      </c>
      <c r="L12" s="17">
        <f>Test!B82</f>
        <v>18808.288</v>
      </c>
      <c r="M12" s="18">
        <f>Test!C82</f>
        <v>37.216500000000003</v>
      </c>
      <c r="N12" s="18">
        <f>Test!D82</f>
        <v>37.966799999999999</v>
      </c>
      <c r="O12" s="18">
        <f>Test!E82</f>
        <v>40.35</v>
      </c>
      <c r="P12" s="18">
        <f>Test!F82</f>
        <v>258162.845</v>
      </c>
      <c r="Q12" s="18">
        <f>Test!G82</f>
        <v>41.457000000000001</v>
      </c>
      <c r="R12" s="19">
        <f t="shared" si="1"/>
        <v>71.71190138888889</v>
      </c>
      <c r="S12" s="17">
        <f t="shared" si="2"/>
        <v>1.0237856745282885</v>
      </c>
      <c r="T12" s="18">
        <f t="shared" si="2"/>
        <v>1.1226440641247835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9405.5519999999997</v>
      </c>
      <c r="E13" s="18">
        <f>Reference!C83</f>
        <v>35.822200000000002</v>
      </c>
      <c r="F13" s="18">
        <f>Reference!D83</f>
        <v>35.745699999999999</v>
      </c>
      <c r="G13" s="18">
        <f>Reference!E83</f>
        <v>38.892899999999997</v>
      </c>
      <c r="H13" s="18">
        <f>Reference!F83</f>
        <v>155990.02299999999</v>
      </c>
      <c r="I13" s="18">
        <f>Reference!G83</f>
        <v>34.119999999999997</v>
      </c>
      <c r="J13" s="19">
        <f t="shared" si="0"/>
        <v>43.33056194444444</v>
      </c>
      <c r="L13" s="17">
        <f>Test!B83</f>
        <v>9298.4320000000007</v>
      </c>
      <c r="M13" s="18">
        <f>Test!C83</f>
        <v>35.8491</v>
      </c>
      <c r="N13" s="18">
        <f>Test!D83</f>
        <v>35.743600000000001</v>
      </c>
      <c r="O13" s="18">
        <f>Test!E83</f>
        <v>39.034300000000002</v>
      </c>
      <c r="P13" s="18">
        <f>Test!F83</f>
        <v>159864.54199999999</v>
      </c>
      <c r="Q13" s="18">
        <f>Test!G83</f>
        <v>37.649000000000001</v>
      </c>
      <c r="R13" s="19">
        <f t="shared" si="1"/>
        <v>44.406817222222216</v>
      </c>
      <c r="S13" s="17">
        <f t="shared" si="2"/>
        <v>1.024838248789796</v>
      </c>
      <c r="T13" s="18">
        <f t="shared" si="2"/>
        <v>1.1034290738569754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4771.1880000000001</v>
      </c>
      <c r="E14" s="23">
        <f>Reference!C84</f>
        <v>33.9876</v>
      </c>
      <c r="F14" s="23">
        <f>Reference!D84</f>
        <v>33.861400000000003</v>
      </c>
      <c r="G14" s="23">
        <f>Reference!E84</f>
        <v>37.4054</v>
      </c>
      <c r="H14" s="23">
        <f>Reference!F84</f>
        <v>89919.191000000006</v>
      </c>
      <c r="I14" s="23">
        <f>Reference!G84</f>
        <v>30.62</v>
      </c>
      <c r="J14" s="24">
        <f t="shared" si="0"/>
        <v>24.977553055555557</v>
      </c>
      <c r="L14" s="22">
        <f>Test!B84</f>
        <v>4709.0280000000002</v>
      </c>
      <c r="M14" s="23">
        <f>Test!C84</f>
        <v>34.015300000000003</v>
      </c>
      <c r="N14" s="23">
        <f>Test!D84</f>
        <v>33.840899999999998</v>
      </c>
      <c r="O14" s="23">
        <f>Test!E84</f>
        <v>37.465299999999999</v>
      </c>
      <c r="P14" s="23">
        <f>Test!F84</f>
        <v>90714.615000000005</v>
      </c>
      <c r="Q14" s="23">
        <f>Test!G84</f>
        <v>33.414999999999999</v>
      </c>
      <c r="R14" s="24">
        <f t="shared" si="1"/>
        <v>25.19850416666667</v>
      </c>
      <c r="S14" s="17">
        <f t="shared" si="2"/>
        <v>1.0088459870596478</v>
      </c>
      <c r="T14" s="18">
        <f t="shared" si="2"/>
        <v>1.0912802090137164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25441.756000000001</v>
      </c>
      <c r="E15" s="13">
        <f>Reference!C85</f>
        <v>37.631300000000003</v>
      </c>
      <c r="F15" s="13">
        <f>Reference!D85</f>
        <v>45.2136</v>
      </c>
      <c r="G15" s="13">
        <f>Reference!E85</f>
        <v>42.8217</v>
      </c>
      <c r="H15" s="13">
        <f>Reference!F85</f>
        <v>558515.14899999998</v>
      </c>
      <c r="I15" s="13">
        <f>Reference!G85</f>
        <v>77.436000000000007</v>
      </c>
      <c r="J15" s="14">
        <f>H15/3600</f>
        <v>155.14309694444444</v>
      </c>
      <c r="L15" s="12">
        <f>Test!B85</f>
        <v>26757.24</v>
      </c>
      <c r="M15" s="13">
        <f>Test!C85</f>
        <v>37.6417</v>
      </c>
      <c r="N15" s="13">
        <f>Test!D85</f>
        <v>45.347000000000001</v>
      </c>
      <c r="O15" s="13">
        <f>Test!E85</f>
        <v>43.042200000000001</v>
      </c>
      <c r="P15" s="13">
        <f>Test!F85</f>
        <v>570871.22900000005</v>
      </c>
      <c r="Q15" s="13">
        <f>Test!G85</f>
        <v>81.558000000000007</v>
      </c>
      <c r="R15" s="14">
        <f>P15/3600</f>
        <v>158.57534138888892</v>
      </c>
      <c r="S15" s="17">
        <f>P15/H15</f>
        <v>1.0221230883748151</v>
      </c>
      <c r="T15" s="18">
        <f>Q15/I15</f>
        <v>1.0532310553231055</v>
      </c>
      <c r="U15" s="91"/>
      <c r="V15" s="37">
        <f>bdrate($D15:$D18,E15:E18,$L15:$L18,M15:M18)</f>
        <v>-1.0134083699271046E-2</v>
      </c>
      <c r="W15" s="42">
        <f>bdrate($D15:$D18,F15:F18,$L15:$L18,N15:N18)</f>
        <v>-0.11797890468124239</v>
      </c>
      <c r="X15" s="43">
        <f>bdrate($D15:$D18,G15:G18,$L15:$L18,O15:O18)</f>
        <v>-0.2411159251028655</v>
      </c>
      <c r="Y15" s="37">
        <f>bdrateOld($D15:$D18,E15:E18,$L15:$L18,M15:M18)</f>
        <v>-4.1427533379175818E-3</v>
      </c>
      <c r="Z15" s="42">
        <f>bdrateOld($D15:$D18,F15:F18,$L15:$L18,N15:N18)</f>
        <v>-0.11522416618092834</v>
      </c>
      <c r="AA15" s="43">
        <f>bdrateOld($D15:$D18,G15:G18,$L15:$L18,O15:O18)</f>
        <v>-0.23296711317737273</v>
      </c>
    </row>
    <row r="16" spans="1:27" x14ac:dyDescent="0.2">
      <c r="A16" s="16"/>
      <c r="B16" s="85"/>
      <c r="C16" s="16">
        <v>48</v>
      </c>
      <c r="D16" s="17">
        <f>Reference!B86</f>
        <v>9101.2520000000004</v>
      </c>
      <c r="E16" s="18">
        <f>Reference!C86</f>
        <v>37.067599999999999</v>
      </c>
      <c r="F16" s="18">
        <f>Reference!D86</f>
        <v>44.642200000000003</v>
      </c>
      <c r="G16" s="18">
        <f>Reference!E86</f>
        <v>42.163400000000003</v>
      </c>
      <c r="H16" s="18">
        <f>Reference!F86</f>
        <v>295095.34399999998</v>
      </c>
      <c r="I16" s="18">
        <f>Reference!G86</f>
        <v>64.497</v>
      </c>
      <c r="J16" s="19">
        <f t="shared" ref="J16:J26" si="3">H16/3600</f>
        <v>81.970928888888878</v>
      </c>
      <c r="L16" s="17">
        <f>Test!B86</f>
        <v>9181.9639999999999</v>
      </c>
      <c r="M16" s="18">
        <f>Test!C86</f>
        <v>37.090200000000003</v>
      </c>
      <c r="N16" s="18">
        <f>Test!D86</f>
        <v>44.755600000000001</v>
      </c>
      <c r="O16" s="18">
        <f>Test!E86</f>
        <v>42.418199999999999</v>
      </c>
      <c r="P16" s="18">
        <f>Test!F86</f>
        <v>322109.32199999999</v>
      </c>
      <c r="Q16" s="18">
        <f>Test!G86</f>
        <v>76.67</v>
      </c>
      <c r="R16" s="19">
        <f t="shared" ref="R16:R26" si="4">P16/3600</f>
        <v>89.474811666666668</v>
      </c>
      <c r="S16" s="17">
        <f t="shared" ref="S16:S26" si="5">P16/H16</f>
        <v>1.0915432200109534</v>
      </c>
      <c r="T16" s="18">
        <f t="shared" ref="T16:T26" si="6">Q16/I16</f>
        <v>1.1887374606570849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4490.7839999999997</v>
      </c>
      <c r="E17" s="18">
        <f>Reference!C87</f>
        <v>36.212200000000003</v>
      </c>
      <c r="F17" s="18">
        <f>Reference!D87</f>
        <v>43.781999999999996</v>
      </c>
      <c r="G17" s="18">
        <f>Reference!E87</f>
        <v>41.230499999999999</v>
      </c>
      <c r="H17" s="18">
        <f>Reference!F87</f>
        <v>152478.39600000001</v>
      </c>
      <c r="I17" s="18">
        <f>Reference!G87</f>
        <v>53.375</v>
      </c>
      <c r="J17" s="19">
        <f t="shared" si="3"/>
        <v>42.355110000000003</v>
      </c>
      <c r="L17" s="17">
        <f>Test!B87</f>
        <v>4542.0320000000002</v>
      </c>
      <c r="M17" s="18">
        <f>Test!C87</f>
        <v>36.244799999999998</v>
      </c>
      <c r="N17" s="18">
        <f>Test!D87</f>
        <v>43.985900000000001</v>
      </c>
      <c r="O17" s="18">
        <f>Test!E87</f>
        <v>41.6235</v>
      </c>
      <c r="P17" s="18">
        <f>Test!F87</f>
        <v>159925.93799999999</v>
      </c>
      <c r="Q17" s="18">
        <f>Test!G87</f>
        <v>59.372999999999998</v>
      </c>
      <c r="R17" s="19">
        <f t="shared" si="4"/>
        <v>44.423871666666663</v>
      </c>
      <c r="S17" s="17">
        <f t="shared" si="5"/>
        <v>1.0488432603921147</v>
      </c>
      <c r="T17" s="18">
        <f t="shared" si="6"/>
        <v>1.112374707259953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2180.16</v>
      </c>
      <c r="E18" s="23">
        <f>Reference!C88</f>
        <v>34.7408</v>
      </c>
      <c r="F18" s="23">
        <f>Reference!D88</f>
        <v>42.538200000000003</v>
      </c>
      <c r="G18" s="23">
        <f>Reference!E88</f>
        <v>40.014800000000001</v>
      </c>
      <c r="H18" s="23">
        <f>Reference!F88</f>
        <v>73116.748999999996</v>
      </c>
      <c r="I18" s="23">
        <f>Reference!G88</f>
        <v>43.838999999999999</v>
      </c>
      <c r="J18" s="24">
        <f t="shared" si="3"/>
        <v>20.310208055555556</v>
      </c>
      <c r="L18" s="22">
        <f>Test!B88</f>
        <v>2196.6680000000001</v>
      </c>
      <c r="M18" s="23">
        <f>Test!C88</f>
        <v>34.792200000000001</v>
      </c>
      <c r="N18" s="23">
        <f>Test!D88</f>
        <v>42.645499999999998</v>
      </c>
      <c r="O18" s="23">
        <f>Test!E88</f>
        <v>40.455800000000004</v>
      </c>
      <c r="P18" s="23">
        <f>Test!F88</f>
        <v>76292.107000000004</v>
      </c>
      <c r="Q18" s="23">
        <f>Test!G88</f>
        <v>44.776000000000003</v>
      </c>
      <c r="R18" s="24">
        <f t="shared" si="4"/>
        <v>21.192251944444447</v>
      </c>
      <c r="S18" s="17">
        <f t="shared" si="5"/>
        <v>1.0434285993760473</v>
      </c>
      <c r="T18" s="18">
        <f t="shared" si="6"/>
        <v>1.0213736627204089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9908.152</v>
      </c>
      <c r="E19" s="13">
        <f>Reference!C89</f>
        <v>38.006100000000004</v>
      </c>
      <c r="F19" s="13">
        <f>Reference!D89</f>
        <v>39.775799999999997</v>
      </c>
      <c r="G19" s="13">
        <f>Reference!E89</f>
        <v>43.214799999999997</v>
      </c>
      <c r="H19" s="13">
        <f>Reference!F89</f>
        <v>119146.42200000001</v>
      </c>
      <c r="I19" s="13">
        <f>Reference!G89</f>
        <v>14.337</v>
      </c>
      <c r="J19" s="14">
        <f t="shared" si="3"/>
        <v>33.096228333333336</v>
      </c>
      <c r="L19" s="12">
        <f>Test!B89</f>
        <v>9848.92</v>
      </c>
      <c r="M19" s="13">
        <f>Test!C89</f>
        <v>38.017600000000002</v>
      </c>
      <c r="N19" s="13">
        <f>Test!D89</f>
        <v>39.852499999999999</v>
      </c>
      <c r="O19" s="13">
        <f>Test!E89</f>
        <v>43.3857</v>
      </c>
      <c r="P19" s="13">
        <f>Test!F89</f>
        <v>126539.12699999999</v>
      </c>
      <c r="Q19" s="13">
        <f>Test!G89</f>
        <v>16.556999999999999</v>
      </c>
      <c r="R19" s="14">
        <f t="shared" si="4"/>
        <v>35.1497575</v>
      </c>
      <c r="S19" s="12">
        <f t="shared" si="5"/>
        <v>1.0620472262272382</v>
      </c>
      <c r="T19" s="13">
        <f t="shared" si="6"/>
        <v>1.1548441096463695</v>
      </c>
      <c r="U19" s="90"/>
      <c r="V19" s="37">
        <f>bdrate($D19:$D22,E19:E22,$L19:$L22,M19:M22)</f>
        <v>-9.87778779768822E-3</v>
      </c>
      <c r="W19" s="42">
        <f>bdrate($D19:$D22,F19:F22,$L19:$L22,N19:N22)</f>
        <v>-0.12644450866766177</v>
      </c>
      <c r="X19" s="42">
        <f>bdrate($D19:$D22,G19:G22,$L19:$L22,O19:O22)</f>
        <v>-8.1662762798304755E-2</v>
      </c>
      <c r="Y19" s="40">
        <f>bdrateOld($D19:$D22,E19:E22,$L19:$L22,M19:M22)</f>
        <v>-9.2497894749058451E-3</v>
      </c>
      <c r="Z19" s="44">
        <f>bdrateOld($D19:$D22,F19:F22,$L19:$L22,N19:N22)</f>
        <v>-0.13007477059922101</v>
      </c>
      <c r="AA19" s="45">
        <f>bdrateOld($D19:$D22,G19:G22,$L19:$L22,O19:O22)</f>
        <v>-8.3461501318051412E-2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4570.3119999999999</v>
      </c>
      <c r="E20" s="18">
        <f>Reference!C90</f>
        <v>36.898699999999998</v>
      </c>
      <c r="F20" s="18">
        <f>Reference!D90</f>
        <v>39.2637</v>
      </c>
      <c r="G20" s="18">
        <f>Reference!E90</f>
        <v>42.116100000000003</v>
      </c>
      <c r="H20" s="18">
        <f>Reference!F90</f>
        <v>73452.239000000001</v>
      </c>
      <c r="I20" s="18">
        <f>Reference!G90</f>
        <v>12.337999999999999</v>
      </c>
      <c r="J20" s="19">
        <f t="shared" si="3"/>
        <v>20.403399722222222</v>
      </c>
      <c r="L20" s="17">
        <f>Test!B90</f>
        <v>4578.1639999999998</v>
      </c>
      <c r="M20" s="18">
        <f>Test!C90</f>
        <v>36.930199999999999</v>
      </c>
      <c r="N20" s="18">
        <f>Test!D90</f>
        <v>39.359099999999998</v>
      </c>
      <c r="O20" s="18">
        <f>Test!E90</f>
        <v>42.254899999999999</v>
      </c>
      <c r="P20" s="18">
        <f>Test!F90</f>
        <v>77612.474000000002</v>
      </c>
      <c r="Q20" s="18">
        <f>Test!G90</f>
        <v>13.377000000000001</v>
      </c>
      <c r="R20" s="19">
        <f t="shared" si="4"/>
        <v>21.559020555555556</v>
      </c>
      <c r="S20" s="17">
        <f t="shared" si="5"/>
        <v>1.0566386410630724</v>
      </c>
      <c r="T20" s="18">
        <f t="shared" si="6"/>
        <v>1.0842113794780355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2324.9079999999999</v>
      </c>
      <c r="E21" s="18">
        <f>Reference!C91</f>
        <v>35.3598</v>
      </c>
      <c r="F21" s="18">
        <f>Reference!D91</f>
        <v>38.572200000000002</v>
      </c>
      <c r="G21" s="18">
        <f>Reference!E91</f>
        <v>40.793300000000002</v>
      </c>
      <c r="H21" s="18">
        <f>Reference!F91</f>
        <v>42347.1</v>
      </c>
      <c r="I21" s="18">
        <f>Reference!G91</f>
        <v>10.535</v>
      </c>
      <c r="J21" s="19">
        <f t="shared" si="3"/>
        <v>11.763083333333332</v>
      </c>
      <c r="L21" s="17">
        <f>Test!B91</f>
        <v>2329.8319999999999</v>
      </c>
      <c r="M21" s="18">
        <f>Test!C91</f>
        <v>35.384999999999998</v>
      </c>
      <c r="N21" s="18">
        <f>Test!D91</f>
        <v>38.745800000000003</v>
      </c>
      <c r="O21" s="18">
        <f>Test!E91</f>
        <v>40.980200000000004</v>
      </c>
      <c r="P21" s="18">
        <f>Test!F91</f>
        <v>45469.207000000002</v>
      </c>
      <c r="Q21" s="18">
        <f>Test!G91</f>
        <v>11.285</v>
      </c>
      <c r="R21" s="19">
        <f t="shared" si="4"/>
        <v>12.630335277777778</v>
      </c>
      <c r="S21" s="17">
        <f t="shared" si="5"/>
        <v>1.0737265834024055</v>
      </c>
      <c r="T21" s="18">
        <f t="shared" si="6"/>
        <v>1.0711912672045563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1110.2639999999999</v>
      </c>
      <c r="E22" s="23">
        <f>Reference!C92</f>
        <v>33.159199999999998</v>
      </c>
      <c r="F22" s="23">
        <f>Reference!D92</f>
        <v>37.520000000000003</v>
      </c>
      <c r="G22" s="23">
        <f>Reference!E92</f>
        <v>39.057400000000001</v>
      </c>
      <c r="H22" s="23">
        <f>Reference!F92</f>
        <v>22529.323</v>
      </c>
      <c r="I22" s="23">
        <f>Reference!G92</f>
        <v>9.2929999999999993</v>
      </c>
      <c r="J22" s="24">
        <f t="shared" si="3"/>
        <v>6.2581452777777775</v>
      </c>
      <c r="L22" s="22">
        <f>Test!B92</f>
        <v>1114.4760000000001</v>
      </c>
      <c r="M22" s="23">
        <f>Test!C92</f>
        <v>33.188200000000002</v>
      </c>
      <c r="N22" s="23">
        <f>Test!D92</f>
        <v>37.711599999999997</v>
      </c>
      <c r="O22" s="23">
        <f>Test!E92</f>
        <v>39.224499999999999</v>
      </c>
      <c r="P22" s="23">
        <f>Test!F92</f>
        <v>24355.782999999999</v>
      </c>
      <c r="Q22" s="23">
        <f>Test!G92</f>
        <v>9.6890000000000001</v>
      </c>
      <c r="R22" s="24">
        <f t="shared" si="4"/>
        <v>6.7654952777777773</v>
      </c>
      <c r="S22" s="17">
        <f t="shared" si="5"/>
        <v>1.0810703455225885</v>
      </c>
      <c r="T22" s="18">
        <f t="shared" si="6"/>
        <v>1.0426127192510493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8721.2279999999992</v>
      </c>
      <c r="E23" s="13">
        <f>Reference!C93</f>
        <v>38.941600000000001</v>
      </c>
      <c r="F23" s="13">
        <f>Reference!D93</f>
        <v>44.001199999999997</v>
      </c>
      <c r="G23" s="13">
        <f>Reference!E93</f>
        <v>45.1357</v>
      </c>
      <c r="H23" s="13">
        <f>Reference!F93</f>
        <v>128823.71799999999</v>
      </c>
      <c r="I23" s="13">
        <f>Reference!G93</f>
        <v>16.553000000000001</v>
      </c>
      <c r="J23" s="14">
        <f t="shared" si="3"/>
        <v>35.784366111111112</v>
      </c>
      <c r="L23" s="12">
        <f>Test!B93</f>
        <v>8696.6360000000004</v>
      </c>
      <c r="M23" s="13">
        <f>Test!C93</f>
        <v>38.953200000000002</v>
      </c>
      <c r="N23" s="13">
        <f>Test!D93</f>
        <v>44.059199999999997</v>
      </c>
      <c r="O23" s="13">
        <f>Test!E93</f>
        <v>45.231999999999999</v>
      </c>
      <c r="P23" s="13">
        <f>Test!F93</f>
        <v>137336.39000000001</v>
      </c>
      <c r="Q23" s="13">
        <f>Test!G93</f>
        <v>18.96</v>
      </c>
      <c r="R23" s="14">
        <f t="shared" si="4"/>
        <v>38.148997222222228</v>
      </c>
      <c r="S23" s="17">
        <f t="shared" si="5"/>
        <v>1.0660800055468049</v>
      </c>
      <c r="T23" s="18">
        <f t="shared" si="6"/>
        <v>1.1454117078475201</v>
      </c>
      <c r="U23" s="91"/>
      <c r="V23" s="37">
        <f>bdrate($D23:$D26,E23:E26,$L23:$L26,M23:M26)</f>
        <v>-1.0725211675553625E-2</v>
      </c>
      <c r="W23" s="42">
        <f>bdrate($D23:$D26,F23:F26,$L23:$L26,N23:N26)</f>
        <v>-4.7998989614127407E-2</v>
      </c>
      <c r="X23" s="42">
        <f>bdrate($D23:$D26,G23:G26,$L23:$L26,O23:O26)</f>
        <v>-3.1153665043822665E-2</v>
      </c>
      <c r="Y23" s="40">
        <f>bdrateOld($D23:$D26,E23:E26,$L23:$L26,M23:M26)</f>
        <v>-1.0377352911625559E-2</v>
      </c>
      <c r="Z23" s="44">
        <f>bdrateOld($D23:$D26,F23:F26,$L23:$L26,N23:N26)</f>
        <v>-4.9599655237373863E-2</v>
      </c>
      <c r="AA23" s="45">
        <f>bdrateOld($D23:$D26,G23:G26,$L23:$L26,O23:O26)</f>
        <v>-3.2515714516159089E-2</v>
      </c>
    </row>
    <row r="24" spans="1:27" x14ac:dyDescent="0.2">
      <c r="A24" s="34"/>
      <c r="B24" s="85"/>
      <c r="C24" s="16">
        <v>32</v>
      </c>
      <c r="D24" s="17">
        <f>Reference!B94</f>
        <v>4341.4120000000003</v>
      </c>
      <c r="E24" s="18">
        <f>Reference!C94</f>
        <v>37.900599999999997</v>
      </c>
      <c r="F24" s="18">
        <f>Reference!D94</f>
        <v>43.1661</v>
      </c>
      <c r="G24" s="18">
        <f>Reference!E94</f>
        <v>43.7423</v>
      </c>
      <c r="H24" s="18">
        <f>Reference!F94</f>
        <v>79758.191999999995</v>
      </c>
      <c r="I24" s="18">
        <f>Reference!G94</f>
        <v>14.388999999999999</v>
      </c>
      <c r="J24" s="19">
        <f t="shared" si="3"/>
        <v>22.155053333333331</v>
      </c>
      <c r="L24" s="17">
        <f>Test!B94</f>
        <v>4334.7920000000004</v>
      </c>
      <c r="M24" s="18">
        <f>Test!C94</f>
        <v>37.921799999999998</v>
      </c>
      <c r="N24" s="18">
        <f>Test!D94</f>
        <v>43.213200000000001</v>
      </c>
      <c r="O24" s="18">
        <f>Test!E94</f>
        <v>43.781399999999998</v>
      </c>
      <c r="P24" s="18">
        <f>Test!F94</f>
        <v>83795.173999999999</v>
      </c>
      <c r="Q24" s="18">
        <f>Test!G94</f>
        <v>16.23</v>
      </c>
      <c r="R24" s="19">
        <f t="shared" si="4"/>
        <v>23.276437222222221</v>
      </c>
      <c r="S24" s="17">
        <f t="shared" si="5"/>
        <v>1.0506152646990794</v>
      </c>
      <c r="T24" s="18">
        <f t="shared" si="6"/>
        <v>1.1279449579539926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2215.4639999999999</v>
      </c>
      <c r="E25" s="18">
        <f>Reference!C95</f>
        <v>36.409599999999998</v>
      </c>
      <c r="F25" s="18">
        <f>Reference!D95</f>
        <v>42.089700000000001</v>
      </c>
      <c r="G25" s="18">
        <f>Reference!E95</f>
        <v>42.131700000000002</v>
      </c>
      <c r="H25" s="18">
        <f>Reference!F95</f>
        <v>45251.025999999998</v>
      </c>
      <c r="I25" s="18">
        <f>Reference!G95</f>
        <v>12.712999999999999</v>
      </c>
      <c r="J25" s="19">
        <f t="shared" si="3"/>
        <v>12.569729444444445</v>
      </c>
      <c r="L25" s="17">
        <f>Test!B95</f>
        <v>2212.556</v>
      </c>
      <c r="M25" s="18">
        <f>Test!C95</f>
        <v>36.431899999999999</v>
      </c>
      <c r="N25" s="18">
        <f>Test!D95</f>
        <v>42.190300000000001</v>
      </c>
      <c r="O25" s="18">
        <f>Test!E95</f>
        <v>42.230899999999998</v>
      </c>
      <c r="P25" s="18">
        <f>Test!F95</f>
        <v>47293.826000000001</v>
      </c>
      <c r="Q25" s="18">
        <f>Test!G95</f>
        <v>14.132</v>
      </c>
      <c r="R25" s="19">
        <f t="shared" si="4"/>
        <v>13.137173888888888</v>
      </c>
      <c r="S25" s="17">
        <f t="shared" si="5"/>
        <v>1.0451437277908351</v>
      </c>
      <c r="T25" s="18">
        <f t="shared" si="6"/>
        <v>1.1116180287894282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1091.3920000000001</v>
      </c>
      <c r="E26" s="23">
        <f>Reference!C96</f>
        <v>34.3431</v>
      </c>
      <c r="F26" s="23">
        <f>Reference!D96</f>
        <v>40.765000000000001</v>
      </c>
      <c r="G26" s="23">
        <f>Reference!E96</f>
        <v>40.247700000000002</v>
      </c>
      <c r="H26" s="23">
        <f>Reference!F96</f>
        <v>24308.828000000001</v>
      </c>
      <c r="I26" s="23">
        <f>Reference!G96</f>
        <v>10.304</v>
      </c>
      <c r="J26" s="24">
        <f t="shared" si="3"/>
        <v>6.7524522222222227</v>
      </c>
      <c r="L26" s="22">
        <f>Test!B96</f>
        <v>1089.144</v>
      </c>
      <c r="M26" s="23">
        <f>Test!C96</f>
        <v>34.363399999999999</v>
      </c>
      <c r="N26" s="23">
        <f>Test!D96</f>
        <v>40.841500000000003</v>
      </c>
      <c r="O26" s="23">
        <f>Test!E96</f>
        <v>40.293500000000002</v>
      </c>
      <c r="P26" s="23">
        <f>Test!F96</f>
        <v>25564.170999999998</v>
      </c>
      <c r="Q26" s="23">
        <f>Test!G96</f>
        <v>11.5</v>
      </c>
      <c r="R26" s="24">
        <f t="shared" si="4"/>
        <v>7.1011586111111109</v>
      </c>
      <c r="S26" s="17">
        <f t="shared" si="5"/>
        <v>1.0516414448281914</v>
      </c>
      <c r="T26" s="18">
        <f t="shared" si="6"/>
        <v>1.1160714285714286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6818.6639999999998</v>
      </c>
      <c r="E27" s="13">
        <f>Reference!C97</f>
        <v>39.702399999999997</v>
      </c>
      <c r="F27" s="13">
        <f>Reference!D97</f>
        <v>43.778100000000002</v>
      </c>
      <c r="G27" s="13">
        <f>Reference!E97</f>
        <v>44.973799999999997</v>
      </c>
      <c r="H27" s="13">
        <f>Reference!F97</f>
        <v>120134.077</v>
      </c>
      <c r="I27" s="13">
        <f>Reference!G97</f>
        <v>17.141999999999999</v>
      </c>
      <c r="J27" s="14">
        <f>H27/3600</f>
        <v>33.370576944444444</v>
      </c>
      <c r="L27" s="12">
        <f>Test!B97</f>
        <v>6807.74</v>
      </c>
      <c r="M27" s="13">
        <f>Test!C97</f>
        <v>39.708500000000001</v>
      </c>
      <c r="N27" s="13">
        <f>Test!D97</f>
        <v>43.912199999999999</v>
      </c>
      <c r="O27" s="13">
        <f>Test!E97</f>
        <v>45.049599999999998</v>
      </c>
      <c r="P27" s="13">
        <f>Test!F97</f>
        <v>126059.22900000001</v>
      </c>
      <c r="Q27" s="13">
        <f>Test!G97</f>
        <v>18.943000000000001</v>
      </c>
      <c r="R27" s="14">
        <f>P27/3600</f>
        <v>35.0164525</v>
      </c>
      <c r="S27" s="17">
        <f t="shared" si="2"/>
        <v>1.0493211597238976</v>
      </c>
      <c r="T27" s="18">
        <f t="shared" si="2"/>
        <v>1.105063586512659</v>
      </c>
      <c r="U27" s="91"/>
      <c r="V27" s="37">
        <f>bdrate($D27:$D30,E27:E30,$L27:$L30,M27:M30)</f>
        <v>-1.6022340592287687E-2</v>
      </c>
      <c r="W27" s="42">
        <f>bdrate($D27:$D30,F27:F30,$L27:$L30,N27:N30)</f>
        <v>-9.5429322922829241E-2</v>
      </c>
      <c r="X27" s="43">
        <f>bdrate($D27:$D30,G27:G30,$L27:$L30,O27:O30)</f>
        <v>-3.9030698955393461E-2</v>
      </c>
      <c r="Y27" s="37">
        <f>bdrateOld($D27:$D30,E27:E30,$L27:$L30,M27:M30)</f>
        <v>-1.4791889238582101E-2</v>
      </c>
      <c r="Z27" s="42">
        <f>bdrateOld($D27:$D30,F27:F30,$L27:$L30,N27:N30)</f>
        <v>-9.9136733312510383E-2</v>
      </c>
      <c r="AA27" s="43">
        <f>bdrateOld($D27:$D30,G27:G30,$L27:$L30,O27:O30)</f>
        <v>-4.5006992620616249E-2</v>
      </c>
    </row>
    <row r="28" spans="1:27" x14ac:dyDescent="0.2">
      <c r="A28" s="16"/>
      <c r="B28" s="85"/>
      <c r="C28" s="16">
        <v>48</v>
      </c>
      <c r="D28" s="17">
        <f>Reference!B98</f>
        <v>3198.48</v>
      </c>
      <c r="E28" s="18">
        <f>Reference!C98</f>
        <v>38.504199999999997</v>
      </c>
      <c r="F28" s="18">
        <f>Reference!D98</f>
        <v>43.046300000000002</v>
      </c>
      <c r="G28" s="18">
        <f>Reference!E98</f>
        <v>44.333300000000001</v>
      </c>
      <c r="H28" s="18">
        <f>Reference!F98</f>
        <v>71197.596000000005</v>
      </c>
      <c r="I28" s="18">
        <f>Reference!G98</f>
        <v>14.928000000000001</v>
      </c>
      <c r="J28" s="19">
        <f t="shared" ref="J28:J46" si="7">H28/3600</f>
        <v>19.77711</v>
      </c>
      <c r="L28" s="17">
        <f>Test!B98</f>
        <v>3231.8159999999998</v>
      </c>
      <c r="M28" s="18">
        <f>Test!C98</f>
        <v>38.563099999999999</v>
      </c>
      <c r="N28" s="18">
        <f>Test!D98</f>
        <v>43.161700000000003</v>
      </c>
      <c r="O28" s="18">
        <f>Test!E98</f>
        <v>44.370199999999997</v>
      </c>
      <c r="P28" s="18">
        <f>Test!F98</f>
        <v>75042.168999999994</v>
      </c>
      <c r="Q28" s="18">
        <f>Test!G98</f>
        <v>16.420000000000002</v>
      </c>
      <c r="R28" s="19">
        <f t="shared" ref="R28:R46" si="8">P28/3600</f>
        <v>20.845046944444444</v>
      </c>
      <c r="S28" s="17">
        <f t="shared" si="2"/>
        <v>1.0539986350100921</v>
      </c>
      <c r="T28" s="18">
        <f t="shared" si="2"/>
        <v>1.09994640943194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1522.2080000000001</v>
      </c>
      <c r="E29" s="18">
        <f>Reference!C99</f>
        <v>36.7941</v>
      </c>
      <c r="F29" s="18">
        <f>Reference!D99</f>
        <v>42.108899999999998</v>
      </c>
      <c r="G29" s="18">
        <f>Reference!E99</f>
        <v>43.379199999999997</v>
      </c>
      <c r="H29" s="18">
        <f>Reference!F99</f>
        <v>38610.038</v>
      </c>
      <c r="I29" s="18">
        <f>Reference!G99</f>
        <v>12.558999999999999</v>
      </c>
      <c r="J29" s="19">
        <f t="shared" si="7"/>
        <v>10.725010555555556</v>
      </c>
      <c r="L29" s="17">
        <f>Test!B99</f>
        <v>1553.864</v>
      </c>
      <c r="M29" s="18">
        <f>Test!C99</f>
        <v>36.890500000000003</v>
      </c>
      <c r="N29" s="18">
        <f>Test!D99</f>
        <v>42.289299999999997</v>
      </c>
      <c r="O29" s="18">
        <f>Test!E99</f>
        <v>43.494</v>
      </c>
      <c r="P29" s="18">
        <f>Test!F99</f>
        <v>40202.667000000001</v>
      </c>
      <c r="Q29" s="18">
        <f>Test!G99</f>
        <v>14.076000000000001</v>
      </c>
      <c r="R29" s="19">
        <f t="shared" si="8"/>
        <v>11.167407499999999</v>
      </c>
      <c r="S29" s="17">
        <f t="shared" si="2"/>
        <v>1.0412490917517356</v>
      </c>
      <c r="T29" s="18">
        <f t="shared" si="2"/>
        <v>1.1207898718050802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687.94</v>
      </c>
      <c r="E30" s="23">
        <f>Reference!C100</f>
        <v>34.559800000000003</v>
      </c>
      <c r="F30" s="23">
        <f>Reference!D100</f>
        <v>40.8643</v>
      </c>
      <c r="G30" s="23">
        <f>Reference!E100</f>
        <v>42.130099999999999</v>
      </c>
      <c r="H30" s="23">
        <f>Reference!F100</f>
        <v>19278.475999999999</v>
      </c>
      <c r="I30" s="23">
        <f>Reference!G100</f>
        <v>10.648</v>
      </c>
      <c r="J30" s="24">
        <f t="shared" si="7"/>
        <v>5.3551322222222222</v>
      </c>
      <c r="L30" s="22">
        <f>Test!B100</f>
        <v>701.31600000000003</v>
      </c>
      <c r="M30" s="23">
        <f>Test!C100</f>
        <v>34.649500000000003</v>
      </c>
      <c r="N30" s="23">
        <f>Test!D100</f>
        <v>40.999099999999999</v>
      </c>
      <c r="O30" s="23">
        <f>Test!E100</f>
        <v>42.129100000000001</v>
      </c>
      <c r="P30" s="23">
        <f>Test!F100</f>
        <v>20929.166000000001</v>
      </c>
      <c r="Q30" s="23">
        <f>Test!G100</f>
        <v>11.891999999999999</v>
      </c>
      <c r="R30" s="24">
        <f t="shared" si="8"/>
        <v>5.8136572222222229</v>
      </c>
      <c r="S30" s="17">
        <f t="shared" si="2"/>
        <v>1.0856234694070217</v>
      </c>
      <c r="T30" s="18">
        <f t="shared" si="2"/>
        <v>1.1168294515401953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5711.1360000000004</v>
      </c>
      <c r="E31" s="13">
        <f>Reference!C101</f>
        <v>44.877899999999997</v>
      </c>
      <c r="F31" s="13">
        <f>Reference!D101</f>
        <v>47.399000000000001</v>
      </c>
      <c r="G31" s="13">
        <f>Reference!E101</f>
        <v>48.422899999999998</v>
      </c>
      <c r="H31" s="13">
        <f>Reference!F101</f>
        <v>90087.963000000003</v>
      </c>
      <c r="I31" s="13">
        <f>Reference!G101</f>
        <v>16.683</v>
      </c>
      <c r="J31" s="14">
        <f t="shared" si="7"/>
        <v>25.024434166666669</v>
      </c>
      <c r="L31" s="12">
        <f>Test!B101</f>
        <v>5625.8760000000002</v>
      </c>
      <c r="M31" s="13">
        <f>Test!C101</f>
        <v>44.933799999999998</v>
      </c>
      <c r="N31" s="13">
        <f>Test!D101</f>
        <v>47.759700000000002</v>
      </c>
      <c r="O31" s="13">
        <f>Test!E101</f>
        <v>48.5548</v>
      </c>
      <c r="P31" s="13">
        <f>Test!F101</f>
        <v>95985.630999999994</v>
      </c>
      <c r="Q31" s="13">
        <f>Test!G101</f>
        <v>18.606999999999999</v>
      </c>
      <c r="R31" s="14">
        <f t="shared" si="8"/>
        <v>26.662675277777776</v>
      </c>
      <c r="S31" s="17">
        <f t="shared" si="2"/>
        <v>1.0654656604900701</v>
      </c>
      <c r="T31" s="18">
        <f t="shared" si="2"/>
        <v>1.1153269795600311</v>
      </c>
      <c r="U31" s="91"/>
      <c r="V31" s="37">
        <f>bdrate($D31:$D34,E31:E34,$L31:$L34,M31:M34)</f>
        <v>-2.4329056057924903E-2</v>
      </c>
      <c r="W31" s="42">
        <f>bdrate($D31:$D34,F31:F34,$L31:$L34,N31:N34)</f>
        <v>-0.12215412827432492</v>
      </c>
      <c r="X31" s="42">
        <f>bdrate($D31:$D34,G31:G34,$L31:$L34,O31:O34)</f>
        <v>-4.2704072706523322E-2</v>
      </c>
      <c r="Y31" s="40">
        <f>bdrateOld($D31:$D34,E31:E34,$L31:$L34,M31:M34)</f>
        <v>-2.4301454908199571E-2</v>
      </c>
      <c r="Z31" s="44">
        <f>bdrateOld($D31:$D34,F31:F34,$L31:$L34,N31:N34)</f>
        <v>-0.12300745095128707</v>
      </c>
      <c r="AA31" s="45">
        <f>bdrateOld($D31:$D34,G31:G34,$L31:$L34,O31:O34)</f>
        <v>-4.3356215065223691E-2</v>
      </c>
    </row>
    <row r="32" spans="1:27" x14ac:dyDescent="0.2">
      <c r="A32" s="16"/>
      <c r="B32" s="85"/>
      <c r="C32" s="16">
        <v>48</v>
      </c>
      <c r="D32" s="17">
        <f>Reference!B102</f>
        <v>3501.64</v>
      </c>
      <c r="E32" s="18">
        <f>Reference!C102</f>
        <v>42.630899999999997</v>
      </c>
      <c r="F32" s="18">
        <f>Reference!D102</f>
        <v>45.914999999999999</v>
      </c>
      <c r="G32" s="18">
        <f>Reference!E102</f>
        <v>46.709499999999998</v>
      </c>
      <c r="H32" s="18">
        <f>Reference!F102</f>
        <v>62089.3</v>
      </c>
      <c r="I32" s="18">
        <f>Reference!G102</f>
        <v>15.252000000000001</v>
      </c>
      <c r="J32" s="19">
        <f t="shared" si="7"/>
        <v>17.247027777777777</v>
      </c>
      <c r="L32" s="17">
        <f>Test!B102</f>
        <v>3458.424</v>
      </c>
      <c r="M32" s="18">
        <f>Test!C102</f>
        <v>42.695999999999998</v>
      </c>
      <c r="N32" s="18">
        <f>Test!D102</f>
        <v>46.200899999999997</v>
      </c>
      <c r="O32" s="18">
        <f>Test!E102</f>
        <v>46.785899999999998</v>
      </c>
      <c r="P32" s="18">
        <f>Test!F102</f>
        <v>65361.368000000002</v>
      </c>
      <c r="Q32" s="18">
        <f>Test!G102</f>
        <v>17.126000000000001</v>
      </c>
      <c r="R32" s="19">
        <f t="shared" si="8"/>
        <v>18.155935555555555</v>
      </c>
      <c r="S32" s="17">
        <f t="shared" si="2"/>
        <v>1.0526993862066412</v>
      </c>
      <c r="T32" s="18">
        <f t="shared" si="2"/>
        <v>1.1228691319171256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1952.788</v>
      </c>
      <c r="E33" s="18">
        <f>Reference!C103</f>
        <v>39.814900000000002</v>
      </c>
      <c r="F33" s="18">
        <f>Reference!D103</f>
        <v>44.2592</v>
      </c>
      <c r="G33" s="18">
        <f>Reference!E103</f>
        <v>44.818100000000001</v>
      </c>
      <c r="H33" s="18">
        <f>Reference!F103</f>
        <v>39584.514999999999</v>
      </c>
      <c r="I33" s="18">
        <f>Reference!G103</f>
        <v>13.234999999999999</v>
      </c>
      <c r="J33" s="19">
        <f t="shared" si="7"/>
        <v>10.995698611111111</v>
      </c>
      <c r="L33" s="17">
        <f>Test!B103</f>
        <v>1932.88</v>
      </c>
      <c r="M33" s="18">
        <f>Test!C103</f>
        <v>39.8795</v>
      </c>
      <c r="N33" s="18">
        <f>Test!D103</f>
        <v>44.640500000000003</v>
      </c>
      <c r="O33" s="18">
        <f>Test!E103</f>
        <v>44.970500000000001</v>
      </c>
      <c r="P33" s="18">
        <f>Test!F103</f>
        <v>41129.165999999997</v>
      </c>
      <c r="Q33" s="18">
        <f>Test!G103</f>
        <v>14.433999999999999</v>
      </c>
      <c r="R33" s="19">
        <f t="shared" si="8"/>
        <v>11.424768333333333</v>
      </c>
      <c r="S33" s="17">
        <f t="shared" si="2"/>
        <v>1.039021597207898</v>
      </c>
      <c r="T33" s="18">
        <f t="shared" si="2"/>
        <v>1.0905931242916509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994.072</v>
      </c>
      <c r="E34" s="23">
        <f>Reference!C104</f>
        <v>36.636200000000002</v>
      </c>
      <c r="F34" s="23">
        <f>Reference!D104</f>
        <v>42.594499999999996</v>
      </c>
      <c r="G34" s="23">
        <f>Reference!E104</f>
        <v>42.903300000000002</v>
      </c>
      <c r="H34" s="23">
        <f>Reference!F104</f>
        <v>22767.442999999999</v>
      </c>
      <c r="I34" s="23">
        <f>Reference!G104</f>
        <v>10.952</v>
      </c>
      <c r="J34" s="24">
        <f t="shared" si="7"/>
        <v>6.3242897222222219</v>
      </c>
      <c r="L34" s="22">
        <f>Test!B104</f>
        <v>987.15200000000004</v>
      </c>
      <c r="M34" s="23">
        <f>Test!C104</f>
        <v>36.705800000000004</v>
      </c>
      <c r="N34" s="23">
        <f>Test!D104</f>
        <v>42.859699999999997</v>
      </c>
      <c r="O34" s="23">
        <f>Test!E104</f>
        <v>42.918700000000001</v>
      </c>
      <c r="P34" s="23">
        <f>Test!F104</f>
        <v>22905.606</v>
      </c>
      <c r="Q34" s="23">
        <f>Test!G104</f>
        <v>11.259</v>
      </c>
      <c r="R34" s="24">
        <f t="shared" si="8"/>
        <v>6.3626683333333336</v>
      </c>
      <c r="S34" s="17">
        <f t="shared" si="2"/>
        <v>1.0060684460701186</v>
      </c>
      <c r="T34" s="18">
        <f t="shared" si="2"/>
        <v>1.0280314097881667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4178.2120000000004</v>
      </c>
      <c r="E35" s="13">
        <f>Reference!C105</f>
        <v>38.607999999999997</v>
      </c>
      <c r="F35" s="13">
        <f>Reference!D105</f>
        <v>46.0565</v>
      </c>
      <c r="G35" s="13">
        <f>Reference!E105</f>
        <v>46.276400000000002</v>
      </c>
      <c r="H35" s="13">
        <f>Reference!F105</f>
        <v>57262.519</v>
      </c>
      <c r="I35" s="13">
        <f>Reference!G105</f>
        <v>7.1539999999999999</v>
      </c>
      <c r="J35" s="14">
        <f t="shared" si="7"/>
        <v>15.906255277777777</v>
      </c>
      <c r="L35" s="12">
        <f>Test!B105</f>
        <v>4137.7359999999999</v>
      </c>
      <c r="M35" s="13">
        <f>Test!C105</f>
        <v>38.616799999999998</v>
      </c>
      <c r="N35" s="13">
        <f>Test!D105</f>
        <v>46.239600000000003</v>
      </c>
      <c r="O35" s="13">
        <f>Test!E105</f>
        <v>46.4848</v>
      </c>
      <c r="P35" s="13">
        <f>Test!F105</f>
        <v>61264.661</v>
      </c>
      <c r="Q35" s="13">
        <f>Test!G105</f>
        <v>7.8230000000000004</v>
      </c>
      <c r="R35" s="14">
        <f t="shared" si="8"/>
        <v>17.017961388888889</v>
      </c>
      <c r="S35" s="12">
        <f t="shared" si="2"/>
        <v>1.0698911272135967</v>
      </c>
      <c r="T35" s="13">
        <f t="shared" si="2"/>
        <v>1.0935141179759575</v>
      </c>
      <c r="U35" s="90"/>
      <c r="V35" s="37">
        <f>bdrate($D35:$D38,E35:E38,$L35:$L38,M35:M38)</f>
        <v>-1.1069996516397174E-2</v>
      </c>
      <c r="W35" s="42">
        <f>bdrate($D35:$D38,F35:F38,$L35:$L38,N35:N38)</f>
        <v>-8.5042586770714079E-2</v>
      </c>
      <c r="X35" s="42">
        <f>bdrate($D35:$D38,G35:G38,$L35:$L38,O35:O38)</f>
        <v>-0.12818269145657957</v>
      </c>
      <c r="Y35" s="40">
        <f>bdrateOld($D35:$D38,E35:E38,$L35:$L38,M35:M38)</f>
        <v>-9.3404812709797502E-3</v>
      </c>
      <c r="Z35" s="44">
        <f>bdrateOld($D35:$D38,F35:F38,$L35:$L38,N35:N38)</f>
        <v>-8.7170488757086106E-2</v>
      </c>
      <c r="AA35" s="45">
        <f>bdrateOld($D35:$D38,G35:G38,$L35:$L38,O35:O38)</f>
        <v>-0.13564806632477655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1762.0239999999999</v>
      </c>
      <c r="E36" s="18">
        <f>Reference!C106</f>
        <v>37.011400000000002</v>
      </c>
      <c r="F36" s="18">
        <f>Reference!D106</f>
        <v>45.013500000000001</v>
      </c>
      <c r="G36" s="18">
        <f>Reference!E106</f>
        <v>45.209499999999998</v>
      </c>
      <c r="H36" s="18">
        <f>Reference!F106</f>
        <v>30539.178</v>
      </c>
      <c r="I36" s="18">
        <f>Reference!G106</f>
        <v>5.7409999999999997</v>
      </c>
      <c r="J36" s="19">
        <f t="shared" si="7"/>
        <v>8.4831050000000001</v>
      </c>
      <c r="L36" s="17">
        <f>Test!B106</f>
        <v>1798.2639999999999</v>
      </c>
      <c r="M36" s="18">
        <f>Test!C106</f>
        <v>37.112499999999997</v>
      </c>
      <c r="N36" s="18">
        <f>Test!D106</f>
        <v>45.178400000000003</v>
      </c>
      <c r="O36" s="18">
        <f>Test!E106</f>
        <v>45.396599999999999</v>
      </c>
      <c r="P36" s="18">
        <f>Test!F106</f>
        <v>32198.485000000001</v>
      </c>
      <c r="Q36" s="18">
        <f>Test!G106</f>
        <v>6.351</v>
      </c>
      <c r="R36" s="19">
        <f t="shared" si="8"/>
        <v>8.9440236111111115</v>
      </c>
      <c r="S36" s="17">
        <f t="shared" si="2"/>
        <v>1.0543337152034675</v>
      </c>
      <c r="T36" s="18">
        <f t="shared" si="2"/>
        <v>1.1062532659815363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813.66800000000001</v>
      </c>
      <c r="E37" s="18">
        <f>Reference!C107</f>
        <v>35.026600000000002</v>
      </c>
      <c r="F37" s="18">
        <f>Reference!D107</f>
        <v>43.6995</v>
      </c>
      <c r="G37" s="18">
        <f>Reference!E107</f>
        <v>43.854999999999997</v>
      </c>
      <c r="H37" s="18">
        <f>Reference!F107</f>
        <v>16230.044</v>
      </c>
      <c r="I37" s="18">
        <f>Reference!G107</f>
        <v>4.8339999999999996</v>
      </c>
      <c r="J37" s="19">
        <f t="shared" si="7"/>
        <v>4.5083455555555556</v>
      </c>
      <c r="L37" s="17">
        <f>Test!B107</f>
        <v>849.24400000000003</v>
      </c>
      <c r="M37" s="18">
        <f>Test!C107</f>
        <v>35.173400000000001</v>
      </c>
      <c r="N37" s="18">
        <f>Test!D107</f>
        <v>43.948099999999997</v>
      </c>
      <c r="O37" s="18">
        <f>Test!E107</f>
        <v>44.259300000000003</v>
      </c>
      <c r="P37" s="18">
        <f>Test!F107</f>
        <v>18005.868999999999</v>
      </c>
      <c r="Q37" s="18">
        <f>Test!G107</f>
        <v>5.4050000000000002</v>
      </c>
      <c r="R37" s="19">
        <f t="shared" si="8"/>
        <v>5.0016302777777772</v>
      </c>
      <c r="S37" s="17">
        <f t="shared" si="2"/>
        <v>1.1094159079297627</v>
      </c>
      <c r="T37" s="18">
        <f t="shared" si="2"/>
        <v>1.1181216383947044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391.43599999999998</v>
      </c>
      <c r="E38" s="23">
        <f>Reference!C108</f>
        <v>32.392899999999997</v>
      </c>
      <c r="F38" s="23">
        <f>Reference!D108</f>
        <v>42.061199999999999</v>
      </c>
      <c r="G38" s="23">
        <f>Reference!E108</f>
        <v>42.203200000000002</v>
      </c>
      <c r="H38" s="23">
        <f>Reference!F108</f>
        <v>8551.5409999999993</v>
      </c>
      <c r="I38" s="23">
        <f>Reference!G108</f>
        <v>4.0540000000000003</v>
      </c>
      <c r="J38" s="24">
        <f t="shared" si="7"/>
        <v>2.3754280555555551</v>
      </c>
      <c r="L38" s="22">
        <f>Test!B108</f>
        <v>403.31200000000001</v>
      </c>
      <c r="M38" s="23">
        <f>Test!C108</f>
        <v>32.500500000000002</v>
      </c>
      <c r="N38" s="23">
        <f>Test!D108</f>
        <v>42.237499999999997</v>
      </c>
      <c r="O38" s="23">
        <f>Test!E108</f>
        <v>42.4604</v>
      </c>
      <c r="P38" s="23">
        <f>Test!F108</f>
        <v>9340.9779999999992</v>
      </c>
      <c r="Q38" s="23">
        <f>Test!G108</f>
        <v>4.3520000000000003</v>
      </c>
      <c r="R38" s="24">
        <f t="shared" si="8"/>
        <v>2.594716111111111</v>
      </c>
      <c r="S38" s="17">
        <f t="shared" si="2"/>
        <v>1.0923151745398869</v>
      </c>
      <c r="T38" s="18">
        <f t="shared" si="2"/>
        <v>1.0735076467686235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2474.4879999999998</v>
      </c>
      <c r="E39" s="13">
        <f>Reference!C109</f>
        <v>40.623399999999997</v>
      </c>
      <c r="F39" s="13">
        <f>Reference!D109</f>
        <v>46.116199999999999</v>
      </c>
      <c r="G39" s="13">
        <f>Reference!E109</f>
        <v>47.258499999999998</v>
      </c>
      <c r="H39" s="13">
        <f>Reference!F109</f>
        <v>45121.449000000001</v>
      </c>
      <c r="I39" s="13">
        <f>Reference!G109</f>
        <v>7.093</v>
      </c>
      <c r="J39" s="14">
        <f t="shared" si="7"/>
        <v>12.533735833333333</v>
      </c>
      <c r="L39" s="12">
        <f>Test!B109</f>
        <v>2453.828</v>
      </c>
      <c r="M39" s="13">
        <f>Test!C109</f>
        <v>40.649799999999999</v>
      </c>
      <c r="N39" s="13">
        <f>Test!D109</f>
        <v>46.148299999999999</v>
      </c>
      <c r="O39" s="13">
        <f>Test!E109</f>
        <v>47.3508</v>
      </c>
      <c r="P39" s="13">
        <f>Test!F109</f>
        <v>48116.623</v>
      </c>
      <c r="Q39" s="13">
        <f>Test!G109</f>
        <v>7.7619999999999996</v>
      </c>
      <c r="R39" s="14">
        <f t="shared" si="8"/>
        <v>13.365728611111111</v>
      </c>
      <c r="S39" s="17">
        <f t="shared" si="2"/>
        <v>1.0663802707222456</v>
      </c>
      <c r="T39" s="18">
        <f t="shared" si="2"/>
        <v>1.0943183420273508</v>
      </c>
      <c r="U39" s="91"/>
      <c r="V39" s="37">
        <f>bdrate($D39:$D42,E39:E42,$L39:$L42,M39:M42)</f>
        <v>-2.7408535796185962E-2</v>
      </c>
      <c r="W39" s="42">
        <f>bdrate($D39:$D42,F39:F42,$L39:$L42,N39:N42)</f>
        <v>-2.4880915618727184E-2</v>
      </c>
      <c r="X39" s="42">
        <f>bdrate($D39:$D42,G39:G42,$L39:$L42,O39:O42)</f>
        <v>-4.8845333055421825E-2</v>
      </c>
      <c r="Y39" s="40">
        <f>bdrateOld($D39:$D42,E39:E42,$L39:$L42,M39:M42)</f>
        <v>-2.7928622122989966E-2</v>
      </c>
      <c r="Z39" s="44">
        <f>bdrateOld($D39:$D42,F39:F42,$L39:$L42,N39:N42)</f>
        <v>-2.6546711572612902E-2</v>
      </c>
      <c r="AA39" s="45">
        <f>bdrateOld($D39:$D42,G39:G42,$L39:$L42,O39:O42)</f>
        <v>-5.2129593126710283E-2</v>
      </c>
    </row>
    <row r="40" spans="1:27" x14ac:dyDescent="0.2">
      <c r="A40" s="16"/>
      <c r="B40" s="85"/>
      <c r="C40" s="16">
        <v>32</v>
      </c>
      <c r="D40" s="17">
        <f>Reference!B110</f>
        <v>1129.1079999999999</v>
      </c>
      <c r="E40" s="18">
        <f>Reference!C110</f>
        <v>39.5092</v>
      </c>
      <c r="F40" s="18">
        <f>Reference!D110</f>
        <v>45.578899999999997</v>
      </c>
      <c r="G40" s="18">
        <f>Reference!E110</f>
        <v>46.065100000000001</v>
      </c>
      <c r="H40" s="18">
        <f>Reference!F110</f>
        <v>25110.633999999998</v>
      </c>
      <c r="I40" s="18">
        <f>Reference!G110</f>
        <v>6.0640000000000001</v>
      </c>
      <c r="J40" s="19">
        <f t="shared" si="7"/>
        <v>6.9751761111111108</v>
      </c>
      <c r="L40" s="17">
        <f>Test!B110</f>
        <v>1112.624</v>
      </c>
      <c r="M40" s="18">
        <f>Test!C110</f>
        <v>39.526600000000002</v>
      </c>
      <c r="N40" s="18">
        <f>Test!D110</f>
        <v>45.59</v>
      </c>
      <c r="O40" s="18">
        <f>Test!E110</f>
        <v>46.0931</v>
      </c>
      <c r="P40" s="18">
        <f>Test!F110</f>
        <v>26418.089</v>
      </c>
      <c r="Q40" s="18">
        <f>Test!G110</f>
        <v>6.3719999999999999</v>
      </c>
      <c r="R40" s="19">
        <f t="shared" si="8"/>
        <v>7.3383580555555552</v>
      </c>
      <c r="S40" s="17">
        <f t="shared" si="2"/>
        <v>1.0520677813232435</v>
      </c>
      <c r="T40" s="18">
        <f t="shared" si="2"/>
        <v>1.0507915567282322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532.24</v>
      </c>
      <c r="E41" s="18">
        <f>Reference!C111</f>
        <v>37.952100000000002</v>
      </c>
      <c r="F41" s="18">
        <f>Reference!D111</f>
        <v>44.782299999999999</v>
      </c>
      <c r="G41" s="18">
        <f>Reference!E111</f>
        <v>44.485900000000001</v>
      </c>
      <c r="H41" s="18">
        <f>Reference!F111</f>
        <v>12915.337</v>
      </c>
      <c r="I41" s="18">
        <f>Reference!G111</f>
        <v>5.0620000000000003</v>
      </c>
      <c r="J41" s="19">
        <f t="shared" si="7"/>
        <v>3.5875936111111111</v>
      </c>
      <c r="L41" s="17">
        <f>Test!B111</f>
        <v>523.32000000000005</v>
      </c>
      <c r="M41" s="18">
        <f>Test!C111</f>
        <v>37.978400000000001</v>
      </c>
      <c r="N41" s="18">
        <f>Test!D111</f>
        <v>44.800199999999997</v>
      </c>
      <c r="O41" s="18">
        <f>Test!E111</f>
        <v>44.588299999999997</v>
      </c>
      <c r="P41" s="18">
        <f>Test!F111</f>
        <v>13932.415000000001</v>
      </c>
      <c r="Q41" s="18">
        <f>Test!G111</f>
        <v>5.3789999999999996</v>
      </c>
      <c r="R41" s="19">
        <f t="shared" si="8"/>
        <v>3.8701152777777779</v>
      </c>
      <c r="S41" s="17">
        <f t="shared" si="2"/>
        <v>1.0787496292198957</v>
      </c>
      <c r="T41" s="18">
        <f t="shared" si="2"/>
        <v>1.062623468984591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241.172</v>
      </c>
      <c r="E42" s="23">
        <f>Reference!C112</f>
        <v>35.855899999999998</v>
      </c>
      <c r="F42" s="23">
        <f>Reference!D112</f>
        <v>43.6524</v>
      </c>
      <c r="G42" s="23">
        <f>Reference!E112</f>
        <v>42.4315</v>
      </c>
      <c r="H42" s="23">
        <f>Reference!F112</f>
        <v>6536.0550000000003</v>
      </c>
      <c r="I42" s="23">
        <f>Reference!G112</f>
        <v>4.6340000000000003</v>
      </c>
      <c r="J42" s="24">
        <f t="shared" si="7"/>
        <v>1.8155708333333334</v>
      </c>
      <c r="L42" s="22">
        <f>Test!B112</f>
        <v>237.732</v>
      </c>
      <c r="M42" s="23">
        <f>Test!C112</f>
        <v>35.9039</v>
      </c>
      <c r="N42" s="23">
        <f>Test!D112</f>
        <v>43.604599999999998</v>
      </c>
      <c r="O42" s="23">
        <f>Test!E112</f>
        <v>42.507300000000001</v>
      </c>
      <c r="P42" s="23">
        <f>Test!F112</f>
        <v>6781.0720000000001</v>
      </c>
      <c r="Q42" s="23">
        <f>Test!G112</f>
        <v>4.4119999999999999</v>
      </c>
      <c r="R42" s="24">
        <f t="shared" si="8"/>
        <v>1.883631111111111</v>
      </c>
      <c r="S42" s="17">
        <f t="shared" si="2"/>
        <v>1.0374869856511304</v>
      </c>
      <c r="T42" s="18">
        <f t="shared" si="2"/>
        <v>0.95209322399654717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941.52800000000002</v>
      </c>
      <c r="E43" s="13">
        <f>Reference!C113</f>
        <v>43.515999999999998</v>
      </c>
      <c r="F43" s="13">
        <f>Reference!D113</f>
        <v>47.164700000000003</v>
      </c>
      <c r="G43" s="13">
        <f>Reference!E113</f>
        <v>48.170299999999997</v>
      </c>
      <c r="H43" s="13">
        <f>Reference!F113</f>
        <v>19720.375</v>
      </c>
      <c r="I43" s="13">
        <f>Reference!G113</f>
        <v>4.7549999999999999</v>
      </c>
      <c r="J43" s="14">
        <f t="shared" si="7"/>
        <v>5.4778819444444444</v>
      </c>
      <c r="L43" s="12">
        <f>Test!B113</f>
        <v>938.96</v>
      </c>
      <c r="M43" s="13">
        <f>Test!C113</f>
        <v>43.548499999999997</v>
      </c>
      <c r="N43" s="13">
        <f>Test!D113</f>
        <v>47.293999999999997</v>
      </c>
      <c r="O43" s="13">
        <f>Test!E113</f>
        <v>48.314399999999999</v>
      </c>
      <c r="P43" s="13">
        <f>Test!F113</f>
        <v>21245.876</v>
      </c>
      <c r="Q43" s="13">
        <f>Test!G113</f>
        <v>5.274</v>
      </c>
      <c r="R43" s="14">
        <f t="shared" si="8"/>
        <v>5.9016322222222222</v>
      </c>
      <c r="S43" s="17">
        <f t="shared" si="2"/>
        <v>1.0773565918498</v>
      </c>
      <c r="T43" s="18">
        <f t="shared" si="2"/>
        <v>1.1091482649842273</v>
      </c>
      <c r="U43" s="91"/>
      <c r="V43" s="37">
        <f>bdrate($D43:$D46,E43:E46,$L43:$L46,M43:M46)</f>
        <v>-1.09856925721038E-2</v>
      </c>
      <c r="W43" s="42">
        <f>bdrate($D43:$D46,F43:F46,$L43:$L46,N43:N46)</f>
        <v>-5.868315739595853E-2</v>
      </c>
      <c r="X43" s="42">
        <f>bdrate($D43:$D46,G43:G46,$L43:$L46,O43:O46)</f>
        <v>-7.2597644975116782E-2</v>
      </c>
      <c r="Y43" s="40">
        <f>bdrateOld($D43:$D46,E43:E46,$L43:$L46,M43:M46)</f>
        <v>-1.0387509624711799E-2</v>
      </c>
      <c r="Z43" s="44">
        <f>bdrateOld($D43:$D46,F43:F46,$L43:$L46,N43:N46)</f>
        <v>-5.9301342115499867E-2</v>
      </c>
      <c r="AA43" s="45">
        <f>bdrateOld($D43:$D46,G43:G46,$L43:$L46,O43:O46)</f>
        <v>-7.5905323247834833E-2</v>
      </c>
    </row>
    <row r="44" spans="1:27" x14ac:dyDescent="0.2">
      <c r="A44" s="16"/>
      <c r="B44" s="85"/>
      <c r="C44" s="16">
        <v>32</v>
      </c>
      <c r="D44" s="17">
        <f>Reference!B114</f>
        <v>512.17600000000004</v>
      </c>
      <c r="E44" s="18">
        <f>Reference!C114</f>
        <v>42.242100000000001</v>
      </c>
      <c r="F44" s="18">
        <f>Reference!D114</f>
        <v>46.4071</v>
      </c>
      <c r="G44" s="18">
        <f>Reference!E114</f>
        <v>47.182099999999998</v>
      </c>
      <c r="H44" s="18">
        <f>Reference!F114</f>
        <v>11092.546</v>
      </c>
      <c r="I44" s="18">
        <f>Reference!G114</f>
        <v>4.41</v>
      </c>
      <c r="J44" s="19">
        <f t="shared" si="7"/>
        <v>3.0812627777777779</v>
      </c>
      <c r="L44" s="17">
        <f>Test!B114</f>
        <v>515.44000000000005</v>
      </c>
      <c r="M44" s="18">
        <f>Test!C114</f>
        <v>42.301099999999998</v>
      </c>
      <c r="N44" s="18">
        <f>Test!D114</f>
        <v>46.5381</v>
      </c>
      <c r="O44" s="18">
        <f>Test!E114</f>
        <v>47.333399999999997</v>
      </c>
      <c r="P44" s="18">
        <f>Test!F114</f>
        <v>12008.796</v>
      </c>
      <c r="Q44" s="18">
        <f>Test!G114</f>
        <v>4.8559999999999999</v>
      </c>
      <c r="R44" s="19">
        <f t="shared" si="8"/>
        <v>3.3357766666666668</v>
      </c>
      <c r="S44" s="17">
        <f t="shared" si="2"/>
        <v>1.082600513894646</v>
      </c>
      <c r="T44" s="18">
        <f t="shared" si="2"/>
        <v>1.1011337868480724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292.596</v>
      </c>
      <c r="E45" s="18">
        <f>Reference!C115</f>
        <v>40.473700000000001</v>
      </c>
      <c r="F45" s="18">
        <f>Reference!D115</f>
        <v>45.404699999999998</v>
      </c>
      <c r="G45" s="18">
        <f>Reference!E115</f>
        <v>45.8476</v>
      </c>
      <c r="H45" s="18">
        <f>Reference!F115</f>
        <v>6220.0110000000004</v>
      </c>
      <c r="I45" s="18">
        <f>Reference!G115</f>
        <v>4.3079999999999998</v>
      </c>
      <c r="J45" s="19">
        <f t="shared" si="7"/>
        <v>1.7277808333333335</v>
      </c>
      <c r="L45" s="17">
        <f>Test!B115</f>
        <v>295.61599999999999</v>
      </c>
      <c r="M45" s="18">
        <f>Test!C115</f>
        <v>40.5413</v>
      </c>
      <c r="N45" s="18">
        <f>Test!D115</f>
        <v>45.5486</v>
      </c>
      <c r="O45" s="18">
        <f>Test!E115</f>
        <v>46.110100000000003</v>
      </c>
      <c r="P45" s="18">
        <f>Test!F115</f>
        <v>6730.0609999999997</v>
      </c>
      <c r="Q45" s="18">
        <f>Test!G115</f>
        <v>4.3869999999999996</v>
      </c>
      <c r="R45" s="19">
        <f t="shared" si="8"/>
        <v>1.8694613888888889</v>
      </c>
      <c r="S45" s="17">
        <f t="shared" si="2"/>
        <v>1.0820014626983778</v>
      </c>
      <c r="T45" s="18">
        <f t="shared" si="2"/>
        <v>1.0183379758588671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164.40799999999999</v>
      </c>
      <c r="E46" s="23">
        <f>Reference!C116</f>
        <v>37.944200000000002</v>
      </c>
      <c r="F46" s="23">
        <f>Reference!D116</f>
        <v>43.776800000000001</v>
      </c>
      <c r="G46" s="23">
        <f>Reference!E116</f>
        <v>43.944200000000002</v>
      </c>
      <c r="H46" s="23">
        <f>Reference!F116</f>
        <v>3507.9090000000001</v>
      </c>
      <c r="I46" s="23">
        <f>Reference!G116</f>
        <v>4.1559999999999997</v>
      </c>
      <c r="J46" s="24">
        <f t="shared" si="7"/>
        <v>0.97441916666666673</v>
      </c>
      <c r="L46" s="22">
        <f>Test!B116</f>
        <v>165.452</v>
      </c>
      <c r="M46" s="23">
        <f>Test!C116</f>
        <v>38.006999999999998</v>
      </c>
      <c r="N46" s="23">
        <f>Test!D116</f>
        <v>43.878799999999998</v>
      </c>
      <c r="O46" s="23">
        <f>Test!E116</f>
        <v>44.110500000000002</v>
      </c>
      <c r="P46" s="23">
        <f>Test!F116</f>
        <v>3991.4079999999999</v>
      </c>
      <c r="Q46" s="23">
        <f>Test!G116</f>
        <v>4.3609999999999998</v>
      </c>
      <c r="R46" s="24">
        <f t="shared" si="8"/>
        <v>1.1087244444444444</v>
      </c>
      <c r="S46" s="17">
        <f t="shared" si="2"/>
        <v>1.1378311124946514</v>
      </c>
      <c r="T46" s="18">
        <f t="shared" si="2"/>
        <v>1.0493262752646777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1313.84</v>
      </c>
      <c r="E47" s="13">
        <f>Reference!C117</f>
        <v>42.8887</v>
      </c>
      <c r="F47" s="13">
        <f>Reference!D117</f>
        <v>48.919499999999999</v>
      </c>
      <c r="G47" s="13">
        <f>Reference!E117</f>
        <v>48.636200000000002</v>
      </c>
      <c r="H47" s="13">
        <f>Reference!F117</f>
        <v>22465.194</v>
      </c>
      <c r="I47" s="13">
        <f>Reference!G117</f>
        <v>4.7380000000000004</v>
      </c>
      <c r="J47" s="14">
        <f>H47/3600</f>
        <v>6.2403316666666662</v>
      </c>
      <c r="L47" s="12">
        <f>Test!B117</f>
        <v>1314.6</v>
      </c>
      <c r="M47" s="13">
        <f>Test!C117</f>
        <v>42.926400000000001</v>
      </c>
      <c r="N47" s="13">
        <f>Test!D117</f>
        <v>49.048400000000001</v>
      </c>
      <c r="O47" s="13">
        <f>Test!E117</f>
        <v>48.688000000000002</v>
      </c>
      <c r="P47" s="13">
        <f>Test!F117</f>
        <v>23953.004000000001</v>
      </c>
      <c r="Q47" s="13">
        <f>Test!G117</f>
        <v>5.1710000000000003</v>
      </c>
      <c r="R47" s="14">
        <f>P47/3600</f>
        <v>6.6536122222222227</v>
      </c>
      <c r="S47" s="17">
        <f t="shared" ref="S47:T62" si="9">P47/H47</f>
        <v>1.0662273381658758</v>
      </c>
      <c r="T47" s="18">
        <f t="shared" si="9"/>
        <v>1.0913887716336006</v>
      </c>
      <c r="U47" s="91"/>
      <c r="V47" s="72">
        <f>bdrate($D47:$D50,E47:E50,$L47:$L50,M47:M50)</f>
        <v>-1.0148971090366499E-2</v>
      </c>
      <c r="W47" s="73">
        <f>bdrate($D47:$D50,F47:F50,$L47:$L50,N47:N50)</f>
        <v>-4.3902750806624313E-2</v>
      </c>
      <c r="X47" s="74">
        <f>bdrate($D47:$D50,G47:G50,$L47:$L50,O47:O50)</f>
        <v>-1.4665056457686787E-2</v>
      </c>
      <c r="Y47" s="37">
        <f>bdrateOld($D47:$D50,E47:E50,$L47:$L50,M47:M50)</f>
        <v>-1.0067702949622559E-2</v>
      </c>
      <c r="Z47" s="42">
        <f>bdrateOld($D47:$D50,F47:F50,$L47:$L50,N47:N50)</f>
        <v>-4.4175950183893198E-2</v>
      </c>
      <c r="AA47" s="43">
        <f>bdrateOld($D47:$D50,G47:G50,$L47:$L50,O47:O50)</f>
        <v>-1.5804340731264355E-2</v>
      </c>
    </row>
    <row r="48" spans="1:27" x14ac:dyDescent="0.2">
      <c r="A48" s="16"/>
      <c r="B48" s="85"/>
      <c r="C48" s="16">
        <v>32</v>
      </c>
      <c r="D48" s="17">
        <f>Reference!B118</f>
        <v>708.09199999999998</v>
      </c>
      <c r="E48" s="18">
        <f>Reference!C118</f>
        <v>41.622599999999998</v>
      </c>
      <c r="F48" s="18">
        <f>Reference!D118</f>
        <v>48.1736</v>
      </c>
      <c r="G48" s="18">
        <f>Reference!E118</f>
        <v>47.572699999999998</v>
      </c>
      <c r="H48" s="18">
        <f>Reference!F118</f>
        <v>13025.986999999999</v>
      </c>
      <c r="I48" s="18">
        <f>Reference!G118</f>
        <v>4.5069999999999997</v>
      </c>
      <c r="J48" s="19">
        <f t="shared" ref="J48:J70" si="10">H48/3600</f>
        <v>3.6183297222222222</v>
      </c>
      <c r="L48" s="17">
        <f>Test!B118</f>
        <v>710.98400000000004</v>
      </c>
      <c r="M48" s="18">
        <f>Test!C118</f>
        <v>41.677300000000002</v>
      </c>
      <c r="N48" s="18">
        <f>Test!D118</f>
        <v>48.283000000000001</v>
      </c>
      <c r="O48" s="18">
        <f>Test!E118</f>
        <v>47.619100000000003</v>
      </c>
      <c r="P48" s="18">
        <f>Test!F118</f>
        <v>14220.581</v>
      </c>
      <c r="Q48" s="18">
        <f>Test!G118</f>
        <v>4.7300000000000004</v>
      </c>
      <c r="R48" s="19">
        <f t="shared" ref="R48:R70" si="11">P48/3600</f>
        <v>3.9501613888888891</v>
      </c>
      <c r="S48" s="17">
        <f t="shared" si="9"/>
        <v>1.0917085208207256</v>
      </c>
      <c r="T48" s="18">
        <f t="shared" si="9"/>
        <v>1.0494785888617708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401.84800000000001</v>
      </c>
      <c r="E49" s="18">
        <f>Reference!C119</f>
        <v>39.780099999999997</v>
      </c>
      <c r="F49" s="18">
        <f>Reference!D119</f>
        <v>47.137300000000003</v>
      </c>
      <c r="G49" s="18">
        <f>Reference!E119</f>
        <v>46.276800000000001</v>
      </c>
      <c r="H49" s="18">
        <f>Reference!F119</f>
        <v>7516.509</v>
      </c>
      <c r="I49" s="18">
        <f>Reference!G119</f>
        <v>4.266</v>
      </c>
      <c r="J49" s="19">
        <f t="shared" si="10"/>
        <v>2.0879191666666665</v>
      </c>
      <c r="L49" s="17">
        <f>Test!B119</f>
        <v>405.036</v>
      </c>
      <c r="M49" s="18">
        <f>Test!C119</f>
        <v>39.839100000000002</v>
      </c>
      <c r="N49" s="18">
        <f>Test!D119</f>
        <v>47.215899999999998</v>
      </c>
      <c r="O49" s="18">
        <f>Test!E119</f>
        <v>46.341700000000003</v>
      </c>
      <c r="P49" s="18">
        <f>Test!F119</f>
        <v>8184.4380000000001</v>
      </c>
      <c r="Q49" s="18">
        <f>Test!G119</f>
        <v>4.5419999999999998</v>
      </c>
      <c r="R49" s="19">
        <f t="shared" si="11"/>
        <v>2.2734550000000002</v>
      </c>
      <c r="S49" s="17">
        <f t="shared" si="9"/>
        <v>1.0888615978508107</v>
      </c>
      <c r="T49" s="18">
        <f t="shared" si="9"/>
        <v>1.0646976090014064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221.26</v>
      </c>
      <c r="E50" s="23">
        <f>Reference!C120</f>
        <v>37.018000000000001</v>
      </c>
      <c r="F50" s="23">
        <f>Reference!D120</f>
        <v>45.451000000000001</v>
      </c>
      <c r="G50" s="23">
        <f>Reference!E120</f>
        <v>43.989199999999997</v>
      </c>
      <c r="H50" s="23">
        <f>Reference!F120</f>
        <v>4414.4409999999998</v>
      </c>
      <c r="I50" s="23">
        <f>Reference!G120</f>
        <v>4.2309999999999999</v>
      </c>
      <c r="J50" s="24">
        <f t="shared" si="10"/>
        <v>1.226233611111111</v>
      </c>
      <c r="L50" s="22">
        <f>Test!B120</f>
        <v>225.2</v>
      </c>
      <c r="M50" s="23">
        <f>Test!C120</f>
        <v>37.133299999999998</v>
      </c>
      <c r="N50" s="23">
        <f>Test!D120</f>
        <v>45.621200000000002</v>
      </c>
      <c r="O50" s="23">
        <f>Test!E120</f>
        <v>44.084899999999998</v>
      </c>
      <c r="P50" s="23">
        <f>Test!F120</f>
        <v>4887.18</v>
      </c>
      <c r="Q50" s="23">
        <f>Test!G120</f>
        <v>4.3860000000000001</v>
      </c>
      <c r="R50" s="24">
        <f t="shared" si="11"/>
        <v>1.35755</v>
      </c>
      <c r="S50" s="22">
        <f t="shared" si="9"/>
        <v>1.1070892101627365</v>
      </c>
      <c r="T50" s="23">
        <f t="shared" si="9"/>
        <v>1.036634365398251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54.637928087536068</v>
      </c>
      <c r="J75" s="15">
        <f>GEOMEAN(J3:J18)</f>
        <v>60.164793627157309</v>
      </c>
      <c r="Q75" s="15">
        <f>GEOMEAN(Q3:Q18)</f>
        <v>59.749703064011058</v>
      </c>
      <c r="R75" s="15">
        <f>GEOMEAN(R3:R18)</f>
        <v>62.253618380581067</v>
      </c>
      <c r="S75" s="15">
        <f>GEOMEAN(S3:S18)</f>
        <v>1.0347183897341734</v>
      </c>
      <c r="T75" s="15">
        <f>GEOMEAN(T3:T18)</f>
        <v>1.0935572624255689</v>
      </c>
      <c r="V75" s="37">
        <f>AVERAGE(V3:V18)</f>
        <v>-1.3475997657298788E-2</v>
      </c>
      <c r="W75" s="42">
        <f t="shared" ref="W75:AA75" si="16">AVERAGE(W3:W18)</f>
        <v>-6.7902889504613928E-2</v>
      </c>
      <c r="X75" s="42">
        <f t="shared" si="16"/>
        <v>-0.12040560683279736</v>
      </c>
      <c r="Y75" s="37">
        <f>AVERAGE(Y3:Y18)</f>
        <v>-1.117791539971838E-2</v>
      </c>
      <c r="Z75" s="42">
        <f t="shared" si="16"/>
        <v>-6.699992455016926E-2</v>
      </c>
      <c r="AA75" s="43">
        <f t="shared" si="16"/>
        <v>-0.11835628765002801</v>
      </c>
    </row>
    <row r="76" spans="1:27" x14ac:dyDescent="0.2">
      <c r="B76" s="89" t="s">
        <v>47</v>
      </c>
      <c r="I76" s="15">
        <f>GEOMEAN(I19:I34)</f>
        <v>13.019969181720885</v>
      </c>
      <c r="J76" s="15">
        <f>GEOMEAN(J19:J34)</f>
        <v>14.496914038701561</v>
      </c>
      <c r="Q76" s="15">
        <f>GEOMEAN(Q19:Q34)</f>
        <v>14.358931760972071</v>
      </c>
      <c r="R76" s="15">
        <f>GEOMEAN(R19:R34)</f>
        <v>15.292338585416552</v>
      </c>
      <c r="S76" s="15">
        <f>GEOMEAN(S19:S34)</f>
        <v>1.0548685426837388</v>
      </c>
      <c r="T76" s="15">
        <f>GEOMEAN(T19:T34)</f>
        <v>1.1028391511963789</v>
      </c>
      <c r="V76" s="40">
        <f>AVERAGE(V19:V34)</f>
        <v>-1.5238599030863609E-2</v>
      </c>
      <c r="W76" s="44">
        <f t="shared" ref="W76:AA76" si="17">AVERAGE(W19:W34)</f>
        <v>-9.8006737369735836E-2</v>
      </c>
      <c r="X76" s="44">
        <f t="shared" si="17"/>
        <v>-4.8637799876011051E-2</v>
      </c>
      <c r="Y76" s="40">
        <f t="shared" si="17"/>
        <v>-1.4680121633328269E-2</v>
      </c>
      <c r="Z76" s="44">
        <f t="shared" si="17"/>
        <v>-0.10045465252509808</v>
      </c>
      <c r="AA76" s="45">
        <f t="shared" si="17"/>
        <v>-5.108510588001261E-2</v>
      </c>
    </row>
    <row r="77" spans="1:27" x14ac:dyDescent="0.2">
      <c r="B77" s="89" t="s">
        <v>51</v>
      </c>
      <c r="I77" s="15">
        <f>GEOMEAN(I35:I50)</f>
        <v>4.9190367190070292</v>
      </c>
      <c r="J77" s="15">
        <f>GEOMEAN(J35:J50)</f>
        <v>3.7211916515730397</v>
      </c>
      <c r="Q77" s="15">
        <f>GEOMEAN(Q35:Q50)</f>
        <v>5.2444584937041405</v>
      </c>
      <c r="R77" s="15">
        <f>GEOMEAN(R35:R50)</f>
        <v>4.0212498659379259</v>
      </c>
      <c r="S77" s="15">
        <f>GEOMEAN(S35:S50)</f>
        <v>1.0806349799903598</v>
      </c>
      <c r="T77" s="15">
        <f>GEOMEAN(T35:T50)</f>
        <v>1.0661555896583756</v>
      </c>
      <c r="V77" s="40">
        <f>AVERAGE(V35:V50)</f>
        <v>-1.4903298993763359E-2</v>
      </c>
      <c r="W77" s="44">
        <f t="shared" ref="W77:AA77" si="18">AVERAGE(W35:W50)</f>
        <v>-5.3127352648006027E-2</v>
      </c>
      <c r="X77" s="44">
        <f t="shared" si="18"/>
        <v>-6.607268148620124E-2</v>
      </c>
      <c r="Y77" s="40">
        <f t="shared" si="18"/>
        <v>-1.4431078992076019E-2</v>
      </c>
      <c r="Z77" s="44">
        <f t="shared" si="18"/>
        <v>-5.4298623157273018E-2</v>
      </c>
      <c r="AA77" s="45">
        <f t="shared" si="18"/>
        <v>-6.9871830857646505E-2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15.181968323916195</v>
      </c>
      <c r="J80" s="54">
        <f xml:space="preserve"> GEOMEAN(J3:J50)</f>
        <v>14.805849971555087</v>
      </c>
      <c r="K80" s="4"/>
      <c r="L80" s="4"/>
      <c r="M80" s="4"/>
      <c r="N80" s="4"/>
      <c r="O80" s="4"/>
      <c r="P80" s="4"/>
      <c r="Q80" s="54">
        <f xml:space="preserve"> GEOMEAN(Q3:Q50)</f>
        <v>16.508952267083441</v>
      </c>
      <c r="R80" s="54">
        <f xml:space="preserve"> GEOMEAN(R3:R50)</f>
        <v>15.643473393944701</v>
      </c>
      <c r="S80" s="54">
        <f>GEOMEAN(S3:S50)</f>
        <v>1.056573815349936</v>
      </c>
      <c r="T80" s="54">
        <f>GEOMEAN(T3:T50)</f>
        <v>1.0874052635900211</v>
      </c>
      <c r="U80" s="4"/>
      <c r="V80" s="41">
        <f>AVERAGE(V3:V50)</f>
        <v>-1.4539298560641919E-2</v>
      </c>
      <c r="W80" s="46">
        <f t="shared" ref="W80:AA80" si="22">AVERAGE(W3:W50)</f>
        <v>-7.301232650745193E-2</v>
      </c>
      <c r="X80" s="47">
        <f t="shared" si="22"/>
        <v>-7.8372029398336554E-2</v>
      </c>
      <c r="Y80" s="46">
        <f t="shared" si="22"/>
        <v>-1.3429705341707556E-2</v>
      </c>
      <c r="Z80" s="46">
        <f t="shared" si="22"/>
        <v>-7.3917733410846787E-2</v>
      </c>
      <c r="AA80" s="47">
        <f t="shared" si="22"/>
        <v>-7.9771074795895708E-2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O28" sqref="O28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16887.919999999998</v>
      </c>
      <c r="E3" s="13">
        <f>Reference!C145</f>
        <v>40.1614</v>
      </c>
      <c r="F3" s="13">
        <f>Reference!D145</f>
        <v>48.697800000000001</v>
      </c>
      <c r="G3" s="13">
        <f>Reference!E145</f>
        <v>46.558</v>
      </c>
      <c r="H3" s="13">
        <f>Reference!F145</f>
        <v>222970.71900000001</v>
      </c>
      <c r="I3" s="13">
        <f>Reference!G145</f>
        <v>35.598999999999997</v>
      </c>
      <c r="J3" s="14">
        <f>H3/3600</f>
        <v>61.936310833333337</v>
      </c>
      <c r="L3" s="12">
        <f>Test!B145</f>
        <v>16805.024000000001</v>
      </c>
      <c r="M3" s="13">
        <f>Test!C145</f>
        <v>40.163200000000003</v>
      </c>
      <c r="N3" s="13">
        <f>Test!D145</f>
        <v>48.746600000000001</v>
      </c>
      <c r="O3" s="13">
        <f>Test!E145</f>
        <v>46.686700000000002</v>
      </c>
      <c r="P3" s="13">
        <f>Test!F145</f>
        <v>232499.28099999999</v>
      </c>
      <c r="Q3" s="13">
        <f>Test!G145</f>
        <v>37.918999999999997</v>
      </c>
      <c r="R3" s="14">
        <f>P3/3600</f>
        <v>64.583133611111109</v>
      </c>
      <c r="S3" s="12">
        <f t="shared" ref="S3:T3" si="0">P3/H3</f>
        <v>1.0427345888407884</v>
      </c>
      <c r="T3" s="13">
        <f t="shared" si="0"/>
        <v>1.0651703699542121</v>
      </c>
      <c r="U3" s="90"/>
      <c r="V3" s="37">
        <f>bdrate($D3:$D6,E3:E6,$L3:$L6,M3:M6)</f>
        <v>-1.1006037720759476E-2</v>
      </c>
      <c r="W3" s="42">
        <f>bdrate($D3:$D6,F3:F6,$L3:$L6,N3:N6)</f>
        <v>-5.6916699634881884E-2</v>
      </c>
      <c r="X3" s="43">
        <f>bdrate($D3:$D6,G3:G6,$L3:$L6,O3:O6)</f>
        <v>-4.340018899971787E-2</v>
      </c>
      <c r="Y3" s="37">
        <f>bdrateOld($D3:$D6,E3:E6,$L3:$L6,M3:M6)</f>
        <v>-1.0715068821026907E-2</v>
      </c>
      <c r="Z3" s="42">
        <f>bdrateOld($D3:$D6,F3:F6,$L3:$L6,N3:N6)</f>
        <v>-5.7771101242044098E-2</v>
      </c>
      <c r="AA3" s="43">
        <f>bdrateOld($D3:$D6,G3:G6,$L3:$L6,O3:O6)</f>
        <v>-4.2842111530669857E-2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8481.9519999999993</v>
      </c>
      <c r="E4" s="18">
        <f>Reference!C146</f>
        <v>39.551400000000001</v>
      </c>
      <c r="F4" s="18">
        <f>Reference!D146</f>
        <v>47.838900000000002</v>
      </c>
      <c r="G4" s="18">
        <f>Reference!E146</f>
        <v>45.450299999999999</v>
      </c>
      <c r="H4" s="18">
        <f>Reference!F146</f>
        <v>129810.156</v>
      </c>
      <c r="I4" s="18">
        <f>Reference!G146</f>
        <v>31.489000000000001</v>
      </c>
      <c r="J4" s="19">
        <f t="shared" ref="J4:J14" si="1">H4/3600</f>
        <v>36.058376666666668</v>
      </c>
      <c r="L4" s="17">
        <f>Test!B146</f>
        <v>8427.3119999999999</v>
      </c>
      <c r="M4" s="18">
        <f>Test!C146</f>
        <v>39.555599999999998</v>
      </c>
      <c r="N4" s="18">
        <f>Test!D146</f>
        <v>47.9069</v>
      </c>
      <c r="O4" s="18">
        <f>Test!E146</f>
        <v>45.5608</v>
      </c>
      <c r="P4" s="18">
        <f>Test!F146</f>
        <v>136076.859</v>
      </c>
      <c r="Q4" s="18">
        <f>Test!G146</f>
        <v>35.584000000000003</v>
      </c>
      <c r="R4" s="19">
        <f t="shared" ref="R4:R14" si="2">P4/3600</f>
        <v>37.799127499999997</v>
      </c>
      <c r="S4" s="17">
        <f t="shared" ref="S4:S26" si="3">P4/H4</f>
        <v>1.0482759068558549</v>
      </c>
      <c r="T4" s="18">
        <f t="shared" ref="T4:T26" si="4">Q4/I4</f>
        <v>1.1300454126837944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4625.3280000000004</v>
      </c>
      <c r="E5" s="18">
        <f>Reference!C147</f>
        <v>38.548200000000001</v>
      </c>
      <c r="F5" s="18">
        <f>Reference!D147</f>
        <v>46.832999999999998</v>
      </c>
      <c r="G5" s="18">
        <f>Reference!E147</f>
        <v>44.0899</v>
      </c>
      <c r="H5" s="18">
        <f>Reference!F147</f>
        <v>69991.702999999994</v>
      </c>
      <c r="I5" s="18">
        <f>Reference!G147</f>
        <v>27.562999999999999</v>
      </c>
      <c r="J5" s="19">
        <f t="shared" si="1"/>
        <v>19.442139722222219</v>
      </c>
      <c r="L5" s="17">
        <f>Test!B147</f>
        <v>4600.0479999999998</v>
      </c>
      <c r="M5" s="18">
        <f>Test!C147</f>
        <v>38.559899999999999</v>
      </c>
      <c r="N5" s="18">
        <f>Test!D147</f>
        <v>46.947800000000001</v>
      </c>
      <c r="O5" s="18">
        <f>Test!E147</f>
        <v>44.147199999999998</v>
      </c>
      <c r="P5" s="18">
        <f>Test!F147</f>
        <v>70893.414000000004</v>
      </c>
      <c r="Q5" s="18">
        <f>Test!G147</f>
        <v>30.863</v>
      </c>
      <c r="R5" s="19">
        <f t="shared" si="2"/>
        <v>19.692615</v>
      </c>
      <c r="S5" s="17">
        <f t="shared" si="3"/>
        <v>1.0128831127312334</v>
      </c>
      <c r="T5" s="18">
        <f t="shared" si="4"/>
        <v>1.1197257192613286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2520.3359999999998</v>
      </c>
      <c r="E6" s="23">
        <f>Reference!C148</f>
        <v>36.998199999999997</v>
      </c>
      <c r="F6" s="23">
        <f>Reference!D148</f>
        <v>45.413400000000003</v>
      </c>
      <c r="G6" s="23">
        <f>Reference!E148</f>
        <v>42.4377</v>
      </c>
      <c r="H6" s="23">
        <f>Reference!F148</f>
        <v>36360.531000000003</v>
      </c>
      <c r="I6" s="23">
        <f>Reference!G148</f>
        <v>24.186</v>
      </c>
      <c r="J6" s="24">
        <f t="shared" si="1"/>
        <v>10.1001475</v>
      </c>
      <c r="L6" s="22">
        <f>Test!B148</f>
        <v>2498.1680000000001</v>
      </c>
      <c r="M6" s="23">
        <f>Test!C148</f>
        <v>37.011499999999998</v>
      </c>
      <c r="N6" s="23">
        <f>Test!D148</f>
        <v>45.528300000000002</v>
      </c>
      <c r="O6" s="23">
        <f>Test!E148</f>
        <v>42.475099999999998</v>
      </c>
      <c r="P6" s="23">
        <f>Test!F148</f>
        <v>35728.394999999997</v>
      </c>
      <c r="Q6" s="23">
        <f>Test!G148</f>
        <v>25.646999999999998</v>
      </c>
      <c r="R6" s="24">
        <f t="shared" si="2"/>
        <v>9.924554166666665</v>
      </c>
      <c r="S6" s="17">
        <f t="shared" si="3"/>
        <v>0.98261477534527741</v>
      </c>
      <c r="T6" s="18">
        <f t="shared" si="4"/>
        <v>1.060406846936244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92812.032000000007</v>
      </c>
      <c r="E7" s="13">
        <f>Reference!C149</f>
        <v>41.731999999999999</v>
      </c>
      <c r="F7" s="13">
        <f>Reference!D149</f>
        <v>36.531399999999998</v>
      </c>
      <c r="G7" s="13">
        <f>Reference!E149</f>
        <v>37.522500000000001</v>
      </c>
      <c r="H7" s="13">
        <f>Reference!F149</f>
        <v>379342.53100000002</v>
      </c>
      <c r="I7" s="13">
        <f>Reference!G149</f>
        <v>36.466999999999999</v>
      </c>
      <c r="J7" s="14">
        <f t="shared" si="1"/>
        <v>105.37292527777778</v>
      </c>
      <c r="L7" s="12">
        <f>Test!B149</f>
        <v>91818.535999999993</v>
      </c>
      <c r="M7" s="13">
        <f>Test!C149</f>
        <v>41.760199999999998</v>
      </c>
      <c r="N7" s="13">
        <f>Test!D149</f>
        <v>36.724699999999999</v>
      </c>
      <c r="O7" s="13">
        <f>Test!E149</f>
        <v>37.719299999999997</v>
      </c>
      <c r="P7" s="13">
        <f>Test!F149</f>
        <v>410049.28100000002</v>
      </c>
      <c r="Q7" s="13">
        <f>Test!G149</f>
        <v>41.601999999999997</v>
      </c>
      <c r="R7" s="14">
        <f t="shared" si="2"/>
        <v>113.90257805555557</v>
      </c>
      <c r="S7" s="17">
        <f t="shared" si="3"/>
        <v>1.0809472903527393</v>
      </c>
      <c r="T7" s="18">
        <f t="shared" si="4"/>
        <v>1.1408122412043764</v>
      </c>
      <c r="U7" s="91"/>
      <c r="V7" s="37">
        <f>bdrate($D7:$D10,E7:E10,$L7:$L10,M7:M10)</f>
        <v>-1.4185951519438356E-2</v>
      </c>
      <c r="W7" s="42">
        <f>bdrate($D7:$D10,F7:F10,$L7:$L10,N7:N10)</f>
        <v>-8.6151066735001836E-2</v>
      </c>
      <c r="X7" s="43">
        <f>bdrate($D7:$D10,G7:G10,$L7:$L10,O7:O10)</f>
        <v>-0.11089636132011726</v>
      </c>
      <c r="Y7" s="37">
        <f>bdrateOld($D7:$D10,E7:E10,$L7:$L10,M7:M10)</f>
        <v>-1.4184461701450379E-2</v>
      </c>
      <c r="Z7" s="42">
        <f>bdrateOld($D7:$D10,F7:F10,$L7:$L10,N7:N10)</f>
        <v>-8.6048521485172169E-2</v>
      </c>
      <c r="AA7" s="43">
        <f>bdrateOld($D7:$D10,G7:G10,$L7:$L10,O7:O10)</f>
        <v>-0.11084540600947823</v>
      </c>
    </row>
    <row r="8" spans="1:27" x14ac:dyDescent="0.2">
      <c r="A8" s="16"/>
      <c r="B8" s="85"/>
      <c r="C8" s="16">
        <v>48</v>
      </c>
      <c r="D8" s="17">
        <f>Reference!B150</f>
        <v>47515.383999999998</v>
      </c>
      <c r="E8" s="18">
        <f>Reference!C150</f>
        <v>38.941600000000001</v>
      </c>
      <c r="F8" s="18">
        <f>Reference!D150</f>
        <v>34.2254</v>
      </c>
      <c r="G8" s="18">
        <f>Reference!E150</f>
        <v>35.557000000000002</v>
      </c>
      <c r="H8" s="18">
        <f>Reference!F150</f>
        <v>265330.53100000002</v>
      </c>
      <c r="I8" s="18">
        <f>Reference!G150</f>
        <v>31.634</v>
      </c>
      <c r="J8" s="19">
        <f t="shared" si="1"/>
        <v>73.70292527777778</v>
      </c>
      <c r="L8" s="17">
        <f>Test!B150</f>
        <v>46994.368000000002</v>
      </c>
      <c r="M8" s="18">
        <f>Test!C150</f>
        <v>38.962600000000002</v>
      </c>
      <c r="N8" s="18">
        <f>Test!D150</f>
        <v>34.441099999999999</v>
      </c>
      <c r="O8" s="18">
        <f>Test!E150</f>
        <v>35.768700000000003</v>
      </c>
      <c r="P8" s="18">
        <f>Test!F150</f>
        <v>288476.625</v>
      </c>
      <c r="Q8" s="18">
        <f>Test!G150</f>
        <v>35.356000000000002</v>
      </c>
      <c r="R8" s="19">
        <f t="shared" si="2"/>
        <v>80.132395833333334</v>
      </c>
      <c r="S8" s="17">
        <f t="shared" si="3"/>
        <v>1.0872349439499669</v>
      </c>
      <c r="T8" s="18">
        <f t="shared" si="4"/>
        <v>1.1176582158437125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22039.096000000001</v>
      </c>
      <c r="E9" s="18">
        <f>Reference!C151</f>
        <v>35.8324</v>
      </c>
      <c r="F9" s="18">
        <f>Reference!D151</f>
        <v>32.302300000000002</v>
      </c>
      <c r="G9" s="18">
        <f>Reference!E151</f>
        <v>33.858699999999999</v>
      </c>
      <c r="H9" s="18">
        <f>Reference!F151</f>
        <v>171939.56200000001</v>
      </c>
      <c r="I9" s="18">
        <f>Reference!G151</f>
        <v>27.873999999999999</v>
      </c>
      <c r="J9" s="19">
        <f t="shared" si="1"/>
        <v>47.760989444444448</v>
      </c>
      <c r="L9" s="17">
        <f>Test!B151</f>
        <v>21874.991999999998</v>
      </c>
      <c r="M9" s="18">
        <f>Test!C151</f>
        <v>35.852200000000003</v>
      </c>
      <c r="N9" s="18">
        <f>Test!D151</f>
        <v>32.514600000000002</v>
      </c>
      <c r="O9" s="18">
        <f>Test!E151</f>
        <v>34.117100000000001</v>
      </c>
      <c r="P9" s="18">
        <f>Test!F151</f>
        <v>185992.141</v>
      </c>
      <c r="Q9" s="18">
        <f>Test!G151</f>
        <v>32.341999999999999</v>
      </c>
      <c r="R9" s="19">
        <f t="shared" si="2"/>
        <v>51.664483611111109</v>
      </c>
      <c r="S9" s="17">
        <f t="shared" si="3"/>
        <v>1.0817297592045745</v>
      </c>
      <c r="T9" s="18">
        <f t="shared" si="4"/>
        <v>1.1602927459281049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9267.8960000000006</v>
      </c>
      <c r="E10" s="23">
        <f>Reference!C152</f>
        <v>32.791899999999998</v>
      </c>
      <c r="F10" s="23">
        <f>Reference!D152</f>
        <v>30.613</v>
      </c>
      <c r="G10" s="23">
        <f>Reference!E152</f>
        <v>32.380000000000003</v>
      </c>
      <c r="H10" s="23">
        <f>Reference!F152</f>
        <v>98477.945000000007</v>
      </c>
      <c r="I10" s="23">
        <f>Reference!G152</f>
        <v>23.696000000000002</v>
      </c>
      <c r="J10" s="24">
        <f t="shared" si="1"/>
        <v>27.354984722222223</v>
      </c>
      <c r="L10" s="22">
        <f>Test!B152</f>
        <v>9227.2240000000002</v>
      </c>
      <c r="M10" s="23">
        <f>Test!C152</f>
        <v>32.8142</v>
      </c>
      <c r="N10" s="23">
        <f>Test!D152</f>
        <v>30.799099999999999</v>
      </c>
      <c r="O10" s="23">
        <f>Test!E152</f>
        <v>32.689799999999998</v>
      </c>
      <c r="P10" s="23">
        <f>Test!F152</f>
        <v>104070.164</v>
      </c>
      <c r="Q10" s="23">
        <f>Test!G152</f>
        <v>26.846</v>
      </c>
      <c r="R10" s="24">
        <f t="shared" si="2"/>
        <v>28.90837888888889</v>
      </c>
      <c r="S10" s="17">
        <f t="shared" si="3"/>
        <v>1.0567865119443749</v>
      </c>
      <c r="T10" s="18">
        <f t="shared" si="4"/>
        <v>1.1329338284942605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47073.303999999996</v>
      </c>
      <c r="E11" s="13">
        <f>Reference!C153</f>
        <v>38.920499999999997</v>
      </c>
      <c r="F11" s="13">
        <f>Reference!D153</f>
        <v>41.244199999999999</v>
      </c>
      <c r="G11" s="13">
        <f>Reference!E153</f>
        <v>41.406700000000001</v>
      </c>
      <c r="H11" s="13">
        <f>Reference!F153</f>
        <v>210986.78099999999</v>
      </c>
      <c r="I11" s="13">
        <f>Reference!G153</f>
        <v>20.306999999999999</v>
      </c>
      <c r="J11" s="14">
        <f t="shared" si="1"/>
        <v>58.607439166666666</v>
      </c>
      <c r="L11" s="12">
        <f>Test!B153</f>
        <v>46727.343999999997</v>
      </c>
      <c r="M11" s="13">
        <f>Test!C153</f>
        <v>38.936</v>
      </c>
      <c r="N11" s="13">
        <f>Test!D153</f>
        <v>41.308599999999998</v>
      </c>
      <c r="O11" s="13">
        <f>Test!E153</f>
        <v>41.5336</v>
      </c>
      <c r="P11" s="13">
        <f>Test!F153</f>
        <v>240210.78099999999</v>
      </c>
      <c r="Q11" s="13">
        <f>Test!G153</f>
        <v>23.995000000000001</v>
      </c>
      <c r="R11" s="14">
        <f t="shared" si="2"/>
        <v>66.725216944444441</v>
      </c>
      <c r="S11" s="17">
        <f t="shared" si="3"/>
        <v>1.1385110472868913</v>
      </c>
      <c r="T11" s="18">
        <f t="shared" si="4"/>
        <v>1.1816122519328311</v>
      </c>
      <c r="U11" s="91"/>
      <c r="V11" s="37">
        <f>bdrate($D11:$D14,E11:E14,$L11:$L14,M11:M14)</f>
        <v>-2.332298141907907E-2</v>
      </c>
      <c r="W11" s="42">
        <f>bdrate($D11:$D14,F11:F14,$L11:$L14,N11:N14)</f>
        <v>-1.9294208737400731E-2</v>
      </c>
      <c r="X11" s="43">
        <f>bdrate($D11:$D14,G11:G14,$L11:$L14,O11:O14)</f>
        <v>-7.5768758825916049E-2</v>
      </c>
      <c r="Y11" s="37">
        <f>bdrateOld($D11:$D14,E11:E14,$L11:$L14,M11:M14)</f>
        <v>-2.3495631083228719E-2</v>
      </c>
      <c r="Z11" s="42">
        <f>bdrateOld($D11:$D14,F11:F14,$L11:$L14,N11:N14)</f>
        <v>-1.9325372736951674E-2</v>
      </c>
      <c r="AA11" s="43">
        <f>bdrateOld($D11:$D14,G11:G14,$L11:$L14,O11:O14)</f>
        <v>-7.5222879887867022E-2</v>
      </c>
    </row>
    <row r="12" spans="1:27" x14ac:dyDescent="0.2">
      <c r="A12" s="34"/>
      <c r="B12" s="83"/>
      <c r="C12" s="16">
        <v>48</v>
      </c>
      <c r="D12" s="17">
        <f>Reference!B154</f>
        <v>23222.704000000002</v>
      </c>
      <c r="E12" s="18">
        <f>Reference!C154</f>
        <v>37.542700000000004</v>
      </c>
      <c r="F12" s="18">
        <f>Reference!D154</f>
        <v>38.684399999999997</v>
      </c>
      <c r="G12" s="18">
        <f>Reference!E154</f>
        <v>39.9739</v>
      </c>
      <c r="H12" s="18">
        <f>Reference!F154</f>
        <v>130180.32799999999</v>
      </c>
      <c r="I12" s="18">
        <f>Reference!G154</f>
        <v>17.323</v>
      </c>
      <c r="J12" s="19">
        <f t="shared" si="1"/>
        <v>36.161202222222222</v>
      </c>
      <c r="L12" s="17">
        <f>Test!B154</f>
        <v>22979.272000000001</v>
      </c>
      <c r="M12" s="18">
        <f>Test!C154</f>
        <v>37.565199999999997</v>
      </c>
      <c r="N12" s="18">
        <f>Test!D154</f>
        <v>38.735300000000002</v>
      </c>
      <c r="O12" s="18">
        <f>Test!E154</f>
        <v>40.150100000000002</v>
      </c>
      <c r="P12" s="18">
        <f>Test!F154</f>
        <v>138931.53099999999</v>
      </c>
      <c r="Q12" s="18">
        <f>Test!G154</f>
        <v>20.097999999999999</v>
      </c>
      <c r="R12" s="19">
        <f t="shared" si="2"/>
        <v>38.592091944444441</v>
      </c>
      <c r="S12" s="17">
        <f t="shared" si="3"/>
        <v>1.0672236975774096</v>
      </c>
      <c r="T12" s="18">
        <f t="shared" si="4"/>
        <v>1.1601916527160421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12081.68</v>
      </c>
      <c r="E13" s="18">
        <f>Reference!C155</f>
        <v>35.971400000000003</v>
      </c>
      <c r="F13" s="18">
        <f>Reference!D155</f>
        <v>36.477800000000002</v>
      </c>
      <c r="G13" s="18">
        <f>Reference!E155</f>
        <v>38.561599999999999</v>
      </c>
      <c r="H13" s="18">
        <f>Reference!F155</f>
        <v>85541.375</v>
      </c>
      <c r="I13" s="18">
        <f>Reference!G155</f>
        <v>15.525</v>
      </c>
      <c r="J13" s="19">
        <f t="shared" si="1"/>
        <v>23.761493055555555</v>
      </c>
      <c r="L13" s="17">
        <f>Test!B155</f>
        <v>11967.272000000001</v>
      </c>
      <c r="M13" s="18">
        <f>Test!C155</f>
        <v>36.017299999999999</v>
      </c>
      <c r="N13" s="18">
        <f>Test!D155</f>
        <v>36.497799999999998</v>
      </c>
      <c r="O13" s="18">
        <f>Test!E155</f>
        <v>38.71</v>
      </c>
      <c r="P13" s="18">
        <f>Test!F155</f>
        <v>89568.156000000003</v>
      </c>
      <c r="Q13" s="18">
        <f>Test!G155</f>
        <v>18.295999999999999</v>
      </c>
      <c r="R13" s="19">
        <f t="shared" si="2"/>
        <v>24.880043333333333</v>
      </c>
      <c r="S13" s="17">
        <f t="shared" si="3"/>
        <v>1.0470740738034665</v>
      </c>
      <c r="T13" s="18">
        <f t="shared" si="4"/>
        <v>1.1784863123993559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5916.3519999999999</v>
      </c>
      <c r="E14" s="23">
        <f>Reference!C156</f>
        <v>34.046799999999998</v>
      </c>
      <c r="F14" s="23">
        <f>Reference!D156</f>
        <v>34.036099999999998</v>
      </c>
      <c r="G14" s="23">
        <f>Reference!E156</f>
        <v>36.8078</v>
      </c>
      <c r="H14" s="23">
        <f>Reference!F156</f>
        <v>49882.811999999998</v>
      </c>
      <c r="I14" s="23">
        <f>Reference!G156</f>
        <v>14.254</v>
      </c>
      <c r="J14" s="24">
        <f t="shared" si="1"/>
        <v>13.856336666666666</v>
      </c>
      <c r="L14" s="22">
        <f>Test!B156</f>
        <v>5894.32</v>
      </c>
      <c r="M14" s="23">
        <f>Test!C156</f>
        <v>34.1021</v>
      </c>
      <c r="N14" s="23">
        <f>Test!D156</f>
        <v>34.055</v>
      </c>
      <c r="O14" s="23">
        <f>Test!E156</f>
        <v>36.948399999999999</v>
      </c>
      <c r="P14" s="23">
        <f>Test!F156</f>
        <v>51057.762000000002</v>
      </c>
      <c r="Q14" s="23">
        <f>Test!G156</f>
        <v>16.091999999999999</v>
      </c>
      <c r="R14" s="24">
        <f t="shared" si="2"/>
        <v>14.182711666666668</v>
      </c>
      <c r="S14" s="17">
        <f t="shared" si="3"/>
        <v>1.0235542054044589</v>
      </c>
      <c r="T14" s="18">
        <f t="shared" si="4"/>
        <v>1.1289462606987513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24448.223999999998</v>
      </c>
      <c r="E15" s="13">
        <f>Reference!C157</f>
        <v>37.5336</v>
      </c>
      <c r="F15" s="13">
        <f>Reference!D157</f>
        <v>44.872500000000002</v>
      </c>
      <c r="G15" s="13">
        <f>Reference!E157</f>
        <v>42.543399999999998</v>
      </c>
      <c r="H15" s="13">
        <f>Reference!F157</f>
        <v>299333.78100000002</v>
      </c>
      <c r="I15" s="13">
        <f>Reference!G157</f>
        <v>33.694000000000003</v>
      </c>
      <c r="J15" s="14">
        <f>H15/3600</f>
        <v>83.148272500000004</v>
      </c>
      <c r="L15" s="12">
        <f>Test!B157</f>
        <v>24370.400000000001</v>
      </c>
      <c r="M15" s="13">
        <f>Test!C157</f>
        <v>37.5364</v>
      </c>
      <c r="N15" s="13">
        <f>Test!D157</f>
        <v>45.037399999999998</v>
      </c>
      <c r="O15" s="13">
        <f>Test!E157</f>
        <v>42.783099999999997</v>
      </c>
      <c r="P15" s="13">
        <f>Test!F157</f>
        <v>320174.34399999998</v>
      </c>
      <c r="Q15" s="13">
        <f>Test!G157</f>
        <v>39.942999999999998</v>
      </c>
      <c r="R15" s="14">
        <f>P15/3600</f>
        <v>88.937317777777778</v>
      </c>
      <c r="S15" s="17">
        <f t="shared" si="3"/>
        <v>1.0696231575680393</v>
      </c>
      <c r="T15" s="18">
        <f t="shared" si="4"/>
        <v>1.185463287232148</v>
      </c>
      <c r="U15" s="91"/>
      <c r="V15" s="37">
        <f>bdrate($D15:$D18,E15:E18,$L15:$L18,M15:M18)</f>
        <v>-8.8731180270830157E-3</v>
      </c>
      <c r="W15" s="42">
        <f>bdrate($D15:$D18,F15:F18,$L15:$L18,N15:N18)</f>
        <v>-0.12525077791439498</v>
      </c>
      <c r="X15" s="43">
        <f>bdrate($D15:$D18,G15:G18,$L15:$L18,O15:O18)</f>
        <v>-0.22469205931098546</v>
      </c>
      <c r="Y15" s="37">
        <f>bdrateOld($D15:$D18,E15:E18,$L15:$L18,M15:M18)</f>
        <v>-9.3371895591958243E-3</v>
      </c>
      <c r="Z15" s="42">
        <f>bdrateOld($D15:$D18,F15:F18,$L15:$L18,N15:N18)</f>
        <v>-0.12284869645517882</v>
      </c>
      <c r="AA15" s="43">
        <f>bdrateOld($D15:$D18,G15:G18,$L15:$L18,O15:O18)</f>
        <v>-0.22025547306059523</v>
      </c>
    </row>
    <row r="16" spans="1:27" x14ac:dyDescent="0.2">
      <c r="A16" s="16"/>
      <c r="B16" s="85"/>
      <c r="C16" s="16">
        <v>48</v>
      </c>
      <c r="D16" s="17">
        <f>Reference!B158</f>
        <v>10332.68</v>
      </c>
      <c r="E16" s="18">
        <f>Reference!C158</f>
        <v>36.8949</v>
      </c>
      <c r="F16" s="18">
        <f>Reference!D158</f>
        <v>44.203200000000002</v>
      </c>
      <c r="G16" s="18">
        <f>Reference!E158</f>
        <v>41.756799999999998</v>
      </c>
      <c r="H16" s="18">
        <f>Reference!F158</f>
        <v>158223.78099999999</v>
      </c>
      <c r="I16" s="18">
        <f>Reference!G158</f>
        <v>26.370999999999999</v>
      </c>
      <c r="J16" s="19">
        <f t="shared" ref="J16:J26" si="5">H16/3600</f>
        <v>43.951050277777775</v>
      </c>
      <c r="L16" s="17">
        <f>Test!B158</f>
        <v>10290.552</v>
      </c>
      <c r="M16" s="18">
        <f>Test!C158</f>
        <v>36.899299999999997</v>
      </c>
      <c r="N16" s="18">
        <f>Test!D158</f>
        <v>44.374899999999997</v>
      </c>
      <c r="O16" s="18">
        <f>Test!E158</f>
        <v>42.069600000000001</v>
      </c>
      <c r="P16" s="18">
        <f>Test!F158</f>
        <v>173742.20300000001</v>
      </c>
      <c r="Q16" s="18">
        <f>Test!G158</f>
        <v>33.112000000000002</v>
      </c>
      <c r="R16" s="19">
        <f t="shared" ref="R16:R26" si="6">P16/3600</f>
        <v>48.261723055555557</v>
      </c>
      <c r="S16" s="17">
        <f t="shared" si="3"/>
        <v>1.0980789480691275</v>
      </c>
      <c r="T16" s="18">
        <f t="shared" si="4"/>
        <v>1.2556217056615222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5195.24</v>
      </c>
      <c r="E17" s="18">
        <f>Reference!C159</f>
        <v>35.8748</v>
      </c>
      <c r="F17" s="18">
        <f>Reference!D159</f>
        <v>43.252200000000002</v>
      </c>
      <c r="G17" s="18">
        <f>Reference!E159</f>
        <v>40.7363</v>
      </c>
      <c r="H17" s="18">
        <f>Reference!F159</f>
        <v>92230.218999999997</v>
      </c>
      <c r="I17" s="18">
        <f>Reference!G159</f>
        <v>23.654</v>
      </c>
      <c r="J17" s="19">
        <f t="shared" si="5"/>
        <v>25.619505277777776</v>
      </c>
      <c r="L17" s="17">
        <f>Test!B159</f>
        <v>5164.0720000000001</v>
      </c>
      <c r="M17" s="18">
        <f>Test!C159</f>
        <v>35.879600000000003</v>
      </c>
      <c r="N17" s="18">
        <f>Test!D159</f>
        <v>43.433900000000001</v>
      </c>
      <c r="O17" s="18">
        <f>Test!E159</f>
        <v>41.094200000000001</v>
      </c>
      <c r="P17" s="18">
        <f>Test!F159</f>
        <v>96817.289000000004</v>
      </c>
      <c r="Q17" s="18">
        <f>Test!G159</f>
        <v>27.526</v>
      </c>
      <c r="R17" s="19">
        <f t="shared" si="6"/>
        <v>26.89369138888889</v>
      </c>
      <c r="S17" s="17">
        <f t="shared" si="3"/>
        <v>1.0497350006292407</v>
      </c>
      <c r="T17" s="18">
        <f t="shared" si="4"/>
        <v>1.1636932442715819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2579.7600000000002</v>
      </c>
      <c r="E18" s="23">
        <f>Reference!C160</f>
        <v>34.287999999999997</v>
      </c>
      <c r="F18" s="23">
        <f>Reference!D160</f>
        <v>41.9602</v>
      </c>
      <c r="G18" s="23">
        <f>Reference!E160</f>
        <v>39.522799999999997</v>
      </c>
      <c r="H18" s="23">
        <f>Reference!F160</f>
        <v>47009.387000000002</v>
      </c>
      <c r="I18" s="23">
        <f>Reference!G160</f>
        <v>19.213000000000001</v>
      </c>
      <c r="J18" s="24">
        <f t="shared" si="5"/>
        <v>13.058163055555557</v>
      </c>
      <c r="L18" s="22">
        <f>Test!B160</f>
        <v>2566.64</v>
      </c>
      <c r="M18" s="23">
        <f>Test!C160</f>
        <v>34.303699999999999</v>
      </c>
      <c r="N18" s="23">
        <f>Test!D160</f>
        <v>42.087299999999999</v>
      </c>
      <c r="O18" s="23">
        <f>Test!E160</f>
        <v>39.927900000000001</v>
      </c>
      <c r="P18" s="23">
        <f>Test!F160</f>
        <v>49684.398000000001</v>
      </c>
      <c r="Q18" s="23">
        <f>Test!G160</f>
        <v>21.134</v>
      </c>
      <c r="R18" s="24">
        <f t="shared" si="6"/>
        <v>13.801221666666667</v>
      </c>
      <c r="S18" s="17">
        <f t="shared" si="3"/>
        <v>1.0569037626463837</v>
      </c>
      <c r="T18" s="18">
        <f t="shared" si="4"/>
        <v>1.0999843855722686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8086.16</v>
      </c>
      <c r="E19" s="13">
        <f>Reference!C161</f>
        <v>37.998899999999999</v>
      </c>
      <c r="F19" s="13">
        <f>Reference!D161</f>
        <v>39.6753</v>
      </c>
      <c r="G19" s="13">
        <f>Reference!E161</f>
        <v>42.795699999999997</v>
      </c>
      <c r="H19" s="13">
        <f>Reference!F161</f>
        <v>336112.375</v>
      </c>
      <c r="I19" s="13">
        <f>Reference!G161</f>
        <v>30.381</v>
      </c>
      <c r="J19" s="14">
        <f t="shared" si="5"/>
        <v>93.364548611111104</v>
      </c>
      <c r="L19" s="12">
        <f>Test!B161</f>
        <v>8047.8271999999997</v>
      </c>
      <c r="M19" s="13">
        <f>Test!C161</f>
        <v>38.012500000000003</v>
      </c>
      <c r="N19" s="13">
        <f>Test!D161</f>
        <v>39.745199999999997</v>
      </c>
      <c r="O19" s="13">
        <f>Test!E161</f>
        <v>42.862000000000002</v>
      </c>
      <c r="P19" s="13">
        <f>Test!F161</f>
        <v>367530.96899999998</v>
      </c>
      <c r="Q19" s="13">
        <f>Test!G161</f>
        <v>33.222999999999999</v>
      </c>
      <c r="R19" s="14">
        <f t="shared" si="6"/>
        <v>102.09193583333332</v>
      </c>
      <c r="S19" s="12">
        <f t="shared" si="3"/>
        <v>1.0934764570926614</v>
      </c>
      <c r="T19" s="13">
        <f t="shared" si="4"/>
        <v>1.0935453079227149</v>
      </c>
      <c r="U19" s="90"/>
      <c r="V19" s="37">
        <f>bdrate($D19:$D22,E19:E22,$L19:$L22,M19:M22)</f>
        <v>-1.2017574106340967E-2</v>
      </c>
      <c r="W19" s="42">
        <f>bdrate($D19:$D22,F19:F22,$L19:$L22,N19:N22)</f>
        <v>-8.5602377596942669E-2</v>
      </c>
      <c r="X19" s="43">
        <f>bdrate($D19:$D22,G19:G22,$L19:$L22,O19:O22)</f>
        <v>-6.0666981966284728E-2</v>
      </c>
      <c r="Y19" s="37">
        <f>bdrateOld($D19:$D22,E19:E22,$L19:$L22,M19:M22)</f>
        <v>-1.2031861803559196E-2</v>
      </c>
      <c r="Z19" s="42">
        <f>bdrateOld($D19:$D22,F19:F22,$L19:$L22,N19:N22)</f>
        <v>-8.4239941883408553E-2</v>
      </c>
      <c r="AA19" s="43">
        <f>bdrateOld($D19:$D22,G19:G22,$L19:$L22,O19:O22)</f>
        <v>-6.0360512559167634E-2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3842.8591999999999</v>
      </c>
      <c r="E20" s="18">
        <f>Reference!C162</f>
        <v>36.655799999999999</v>
      </c>
      <c r="F20" s="18">
        <f>Reference!D162</f>
        <v>39.021099999999997</v>
      </c>
      <c r="G20" s="18">
        <f>Reference!E162</f>
        <v>41.598100000000002</v>
      </c>
      <c r="H20" s="18">
        <f>Reference!F162</f>
        <v>212163.234</v>
      </c>
      <c r="I20" s="18">
        <f>Reference!G162</f>
        <v>24.43</v>
      </c>
      <c r="J20" s="19">
        <f t="shared" si="5"/>
        <v>58.934231666666669</v>
      </c>
      <c r="L20" s="17">
        <f>Test!B162</f>
        <v>3825.3760000000002</v>
      </c>
      <c r="M20" s="18">
        <f>Test!C162</f>
        <v>36.671799999999998</v>
      </c>
      <c r="N20" s="18">
        <f>Test!D162</f>
        <v>39.115499999999997</v>
      </c>
      <c r="O20" s="18">
        <f>Test!E162</f>
        <v>41.6995</v>
      </c>
      <c r="P20" s="18">
        <f>Test!F162</f>
        <v>221428.18799999999</v>
      </c>
      <c r="Q20" s="18">
        <f>Test!G162</f>
        <v>25.893999999999998</v>
      </c>
      <c r="R20" s="19">
        <f t="shared" si="6"/>
        <v>61.507829999999998</v>
      </c>
      <c r="S20" s="17">
        <f t="shared" si="3"/>
        <v>1.0436689893216842</v>
      </c>
      <c r="T20" s="18">
        <f t="shared" si="4"/>
        <v>1.0599263200982398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1888.4623999999999</v>
      </c>
      <c r="E21" s="18">
        <f>Reference!C163</f>
        <v>34.820399999999999</v>
      </c>
      <c r="F21" s="18">
        <f>Reference!D163</f>
        <v>38.194699999999997</v>
      </c>
      <c r="G21" s="18">
        <f>Reference!E163</f>
        <v>40.083599999999997</v>
      </c>
      <c r="H21" s="18">
        <f>Reference!F163</f>
        <v>132302.84400000001</v>
      </c>
      <c r="I21" s="18">
        <f>Reference!G163</f>
        <v>20.983000000000001</v>
      </c>
      <c r="J21" s="19">
        <f t="shared" si="5"/>
        <v>36.750790000000002</v>
      </c>
      <c r="L21" s="17">
        <f>Test!B163</f>
        <v>1880.3008</v>
      </c>
      <c r="M21" s="18">
        <f>Test!C163</f>
        <v>34.8416</v>
      </c>
      <c r="N21" s="18">
        <f>Test!D163</f>
        <v>38.285400000000003</v>
      </c>
      <c r="O21" s="18">
        <f>Test!E163</f>
        <v>40.210700000000003</v>
      </c>
      <c r="P21" s="18">
        <f>Test!F163</f>
        <v>135324.31200000001</v>
      </c>
      <c r="Q21" s="18">
        <f>Test!G163</f>
        <v>21.766999999999999</v>
      </c>
      <c r="R21" s="19">
        <f t="shared" si="6"/>
        <v>37.590086666666672</v>
      </c>
      <c r="S21" s="17">
        <f t="shared" si="3"/>
        <v>1.0228375136062835</v>
      </c>
      <c r="T21" s="18">
        <f t="shared" si="4"/>
        <v>1.0373635800409855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903.63520000000005</v>
      </c>
      <c r="E22" s="23">
        <f>Reference!C164</f>
        <v>32.508600000000001</v>
      </c>
      <c r="F22" s="23">
        <f>Reference!D164</f>
        <v>37.104799999999997</v>
      </c>
      <c r="G22" s="23">
        <f>Reference!E164</f>
        <v>38.369199999999999</v>
      </c>
      <c r="H22" s="23">
        <f>Reference!F164</f>
        <v>75955.773000000001</v>
      </c>
      <c r="I22" s="23">
        <f>Reference!G164</f>
        <v>16.89</v>
      </c>
      <c r="J22" s="24">
        <f t="shared" si="5"/>
        <v>21.098825833333333</v>
      </c>
      <c r="L22" s="22">
        <f>Test!B164</f>
        <v>899.03359999999998</v>
      </c>
      <c r="M22" s="23">
        <f>Test!C164</f>
        <v>32.533900000000003</v>
      </c>
      <c r="N22" s="23">
        <f>Test!D164</f>
        <v>37.275199999999998</v>
      </c>
      <c r="O22" s="23">
        <f>Test!E164</f>
        <v>38.549100000000003</v>
      </c>
      <c r="P22" s="23">
        <f>Test!F164</f>
        <v>78960.125</v>
      </c>
      <c r="Q22" s="23">
        <f>Test!G164</f>
        <v>18.033000000000001</v>
      </c>
      <c r="R22" s="24">
        <f t="shared" si="6"/>
        <v>21.933368055555555</v>
      </c>
      <c r="S22" s="17">
        <f t="shared" si="3"/>
        <v>1.0395539651739176</v>
      </c>
      <c r="T22" s="18">
        <f t="shared" si="4"/>
        <v>1.0676731793960923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9416.9887999999992</v>
      </c>
      <c r="E23" s="13">
        <f>Reference!C165</f>
        <v>38.732100000000003</v>
      </c>
      <c r="F23" s="13">
        <f>Reference!D165</f>
        <v>43.615900000000003</v>
      </c>
      <c r="G23" s="13">
        <f>Reference!E165</f>
        <v>44.523099999999999</v>
      </c>
      <c r="H23" s="13">
        <f>Reference!F165</f>
        <v>374298.09399999998</v>
      </c>
      <c r="I23" s="13">
        <f>Reference!G165</f>
        <v>40.371000000000002</v>
      </c>
      <c r="J23" s="14">
        <f t="shared" si="5"/>
        <v>103.97169277777778</v>
      </c>
      <c r="L23" s="12">
        <f>Test!B165</f>
        <v>9380.76</v>
      </c>
      <c r="M23" s="13">
        <f>Test!C165</f>
        <v>38.738900000000001</v>
      </c>
      <c r="N23" s="13">
        <f>Test!D165</f>
        <v>43.691899999999997</v>
      </c>
      <c r="O23" s="13">
        <f>Test!E165</f>
        <v>44.637900000000002</v>
      </c>
      <c r="P23" s="13">
        <f>Test!F165</f>
        <v>400338.06199999998</v>
      </c>
      <c r="Q23" s="13">
        <f>Test!G165</f>
        <v>44.720999999999997</v>
      </c>
      <c r="R23" s="14">
        <f t="shared" si="6"/>
        <v>111.20501722222221</v>
      </c>
      <c r="S23" s="17">
        <f t="shared" si="3"/>
        <v>1.0695701325158231</v>
      </c>
      <c r="T23" s="18">
        <f t="shared" si="4"/>
        <v>1.1077506130638328</v>
      </c>
      <c r="U23" s="91"/>
      <c r="V23" s="37">
        <f>bdrate($D23:$D26,E23:E26,$L23:$L26,M23:M26)</f>
        <v>-1.0077644550890441E-2</v>
      </c>
      <c r="W23" s="42">
        <f>bdrate($D23:$D26,F23:F26,$L23:$L26,N23:N26)</f>
        <v>-5.2847826176627866E-2</v>
      </c>
      <c r="X23" s="43">
        <f>bdrate($D23:$D26,G23:G26,$L23:$L26,O23:O26)</f>
        <v>-5.1939121582063597E-2</v>
      </c>
      <c r="Y23" s="37">
        <f>bdrateOld($D23:$D26,E23:E26,$L23:$L26,M23:M26)</f>
        <v>-1.0035885417507329E-2</v>
      </c>
      <c r="Z23" s="42">
        <f>bdrateOld($D23:$D26,F23:F26,$L23:$L26,N23:N26)</f>
        <v>-5.2725046418120369E-2</v>
      </c>
      <c r="AA23" s="43">
        <f>bdrateOld($D23:$D26,G23:G26,$L23:$L26,O23:O26)</f>
        <v>-5.1859054002184712E-2</v>
      </c>
    </row>
    <row r="24" spans="1:27" x14ac:dyDescent="0.2">
      <c r="A24" s="34"/>
      <c r="B24" s="85"/>
      <c r="C24" s="16">
        <v>32</v>
      </c>
      <c r="D24" s="17">
        <f>Reference!B166</f>
        <v>4823.6144000000004</v>
      </c>
      <c r="E24" s="18">
        <f>Reference!C166</f>
        <v>37.5047</v>
      </c>
      <c r="F24" s="18">
        <f>Reference!D166</f>
        <v>42.640799999999999</v>
      </c>
      <c r="G24" s="18">
        <f>Reference!E166</f>
        <v>43.022799999999997</v>
      </c>
      <c r="H24" s="18">
        <f>Reference!F166</f>
        <v>241144.93799999999</v>
      </c>
      <c r="I24" s="18">
        <f>Reference!G166</f>
        <v>35.200000000000003</v>
      </c>
      <c r="J24" s="19">
        <f t="shared" si="5"/>
        <v>66.984705000000005</v>
      </c>
      <c r="L24" s="17">
        <f>Test!B166</f>
        <v>4793.2416000000003</v>
      </c>
      <c r="M24" s="18">
        <f>Test!C166</f>
        <v>37.512900000000002</v>
      </c>
      <c r="N24" s="18">
        <f>Test!D166</f>
        <v>42.723100000000002</v>
      </c>
      <c r="O24" s="18">
        <f>Test!E166</f>
        <v>43.144599999999997</v>
      </c>
      <c r="P24" s="18">
        <f>Test!F166</f>
        <v>253120.54699999999</v>
      </c>
      <c r="Q24" s="18">
        <f>Test!G166</f>
        <v>37.886000000000003</v>
      </c>
      <c r="R24" s="19">
        <f t="shared" si="6"/>
        <v>70.311263055555557</v>
      </c>
      <c r="S24" s="17">
        <f t="shared" si="3"/>
        <v>1.0496614571274974</v>
      </c>
      <c r="T24" s="18">
        <f t="shared" si="4"/>
        <v>1.0763068181818183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2457.2656000000002</v>
      </c>
      <c r="E25" s="18">
        <f>Reference!C167</f>
        <v>35.821599999999997</v>
      </c>
      <c r="F25" s="18">
        <f>Reference!D167</f>
        <v>41.404699999999998</v>
      </c>
      <c r="G25" s="18">
        <f>Reference!E167</f>
        <v>41.284300000000002</v>
      </c>
      <c r="H25" s="18">
        <f>Reference!F167</f>
        <v>141773.891</v>
      </c>
      <c r="I25" s="18">
        <f>Reference!G167</f>
        <v>28.1</v>
      </c>
      <c r="J25" s="19">
        <f t="shared" si="5"/>
        <v>39.381636388888893</v>
      </c>
      <c r="L25" s="17">
        <f>Test!B167</f>
        <v>2441.0544</v>
      </c>
      <c r="M25" s="18">
        <f>Test!C167</f>
        <v>35.831699999999998</v>
      </c>
      <c r="N25" s="18">
        <f>Test!D167</f>
        <v>41.492100000000001</v>
      </c>
      <c r="O25" s="18">
        <f>Test!E167</f>
        <v>41.4056</v>
      </c>
      <c r="P25" s="18">
        <f>Test!F167</f>
        <v>149458.609</v>
      </c>
      <c r="Q25" s="18">
        <f>Test!G167</f>
        <v>32.223999999999997</v>
      </c>
      <c r="R25" s="19">
        <f t="shared" si="6"/>
        <v>41.516280277777774</v>
      </c>
      <c r="S25" s="17">
        <f t="shared" si="3"/>
        <v>1.0542040424072159</v>
      </c>
      <c r="T25" s="18">
        <f t="shared" si="4"/>
        <v>1.1467615658362988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1223.4064000000001</v>
      </c>
      <c r="E26" s="23">
        <f>Reference!C168</f>
        <v>33.732999999999997</v>
      </c>
      <c r="F26" s="23">
        <f>Reference!D168</f>
        <v>40.025300000000001</v>
      </c>
      <c r="G26" s="23">
        <f>Reference!E168</f>
        <v>39.371000000000002</v>
      </c>
      <c r="H26" s="23">
        <f>Reference!F168</f>
        <v>82618.241999999998</v>
      </c>
      <c r="I26" s="23">
        <f>Reference!G168</f>
        <v>24.475999999999999</v>
      </c>
      <c r="J26" s="24">
        <f t="shared" si="5"/>
        <v>22.949511666666666</v>
      </c>
      <c r="L26" s="22">
        <f>Test!B168</f>
        <v>1216.2832000000001</v>
      </c>
      <c r="M26" s="23">
        <f>Test!C168</f>
        <v>33.748800000000003</v>
      </c>
      <c r="N26" s="23">
        <f>Test!D168</f>
        <v>40.116</v>
      </c>
      <c r="O26" s="23">
        <f>Test!E168</f>
        <v>39.480200000000004</v>
      </c>
      <c r="P26" s="23">
        <f>Test!F168</f>
        <v>83609.460999999996</v>
      </c>
      <c r="Q26" s="23">
        <f>Test!G168</f>
        <v>27.004999999999999</v>
      </c>
      <c r="R26" s="24">
        <f t="shared" si="6"/>
        <v>23.224850277777776</v>
      </c>
      <c r="S26" s="17">
        <f t="shared" si="3"/>
        <v>1.0119975803890864</v>
      </c>
      <c r="T26" s="18">
        <f t="shared" si="4"/>
        <v>1.103325706814839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6437.4607999999998</v>
      </c>
      <c r="E27" s="13">
        <f>Reference!C169</f>
        <v>39.83</v>
      </c>
      <c r="F27" s="13">
        <f>Reference!D169</f>
        <v>43.669899999999998</v>
      </c>
      <c r="G27" s="13">
        <f>Reference!E169</f>
        <v>44.481999999999999</v>
      </c>
      <c r="H27" s="13">
        <f>Reference!F169</f>
        <v>341738.53100000002</v>
      </c>
      <c r="I27" s="13">
        <f>Reference!G169</f>
        <v>42.128</v>
      </c>
      <c r="J27" s="14">
        <f>H27/3600</f>
        <v>94.927369722222224</v>
      </c>
      <c r="L27" s="12">
        <f>Test!B169</f>
        <v>6405.1455999999998</v>
      </c>
      <c r="M27" s="13">
        <f>Test!C169</f>
        <v>39.832799999999999</v>
      </c>
      <c r="N27" s="13">
        <f>Test!D169</f>
        <v>43.815600000000003</v>
      </c>
      <c r="O27" s="13">
        <f>Test!E169</f>
        <v>44.538400000000003</v>
      </c>
      <c r="P27" s="13">
        <f>Test!F169</f>
        <v>359784.06199999998</v>
      </c>
      <c r="Q27" s="13">
        <f>Test!G169</f>
        <v>45.036000000000001</v>
      </c>
      <c r="R27" s="14">
        <f>P27/3600</f>
        <v>99.94001722222221</v>
      </c>
      <c r="S27" s="17">
        <f t="shared" ref="S27:T46" si="7">P27/H27</f>
        <v>1.0528050815551728</v>
      </c>
      <c r="T27" s="18">
        <f t="shared" si="7"/>
        <v>1.0690277250284848</v>
      </c>
      <c r="U27" s="91"/>
      <c r="V27" s="37">
        <f>bdrate($D27:$D30,E27:E30,$L27:$L30,M27:M30)</f>
        <v>-9.7780108686016387E-3</v>
      </c>
      <c r="W27" s="42">
        <f>bdrate($D27:$D30,F27:F30,$L27:$L30,N27:N30)</f>
        <v>-9.9871860026676362E-2</v>
      </c>
      <c r="X27" s="43">
        <f>bdrate($D27:$D30,G27:G30,$L27:$L30,O27:O30)</f>
        <v>-3.4032075875029433E-2</v>
      </c>
      <c r="Y27" s="37">
        <f>bdrateOld($D27:$D30,E27:E30,$L27:$L30,M27:M30)</f>
        <v>-9.6166854294803539E-3</v>
      </c>
      <c r="Z27" s="42">
        <f>bdrateOld($D27:$D30,F27:F30,$L27:$L30,N27:N30)</f>
        <v>-9.9868301949272653E-2</v>
      </c>
      <c r="AA27" s="43">
        <f>bdrateOld($D27:$D30,G27:G30,$L27:$L30,O27:O30)</f>
        <v>-3.4186409635870163E-2</v>
      </c>
    </row>
    <row r="28" spans="1:27" x14ac:dyDescent="0.2">
      <c r="A28" s="16"/>
      <c r="B28" s="85"/>
      <c r="C28" s="16">
        <v>48</v>
      </c>
      <c r="D28" s="17">
        <f>Reference!B170</f>
        <v>3082.4672</v>
      </c>
      <c r="E28" s="18">
        <f>Reference!C170</f>
        <v>38.530299999999997</v>
      </c>
      <c r="F28" s="18">
        <f>Reference!D170</f>
        <v>42.802100000000003</v>
      </c>
      <c r="G28" s="18">
        <f>Reference!E170</f>
        <v>43.6023</v>
      </c>
      <c r="H28" s="18">
        <f>Reference!F170</f>
        <v>202054.56200000001</v>
      </c>
      <c r="I28" s="18">
        <f>Reference!G170</f>
        <v>34.99</v>
      </c>
      <c r="J28" s="19">
        <f t="shared" ref="J28:J46" si="8">H28/3600</f>
        <v>56.126267222222225</v>
      </c>
      <c r="L28" s="17">
        <f>Test!B170</f>
        <v>3063.6288</v>
      </c>
      <c r="M28" s="18">
        <f>Test!C170</f>
        <v>38.537799999999997</v>
      </c>
      <c r="N28" s="18">
        <f>Test!D170</f>
        <v>42.933900000000001</v>
      </c>
      <c r="O28" s="18">
        <f>Test!E170</f>
        <v>43.643799999999999</v>
      </c>
      <c r="P28" s="18">
        <f>Test!F170</f>
        <v>212204.31200000001</v>
      </c>
      <c r="Q28" s="18">
        <f>Test!G170</f>
        <v>37.331000000000003</v>
      </c>
      <c r="R28" s="19">
        <f t="shared" ref="R28:R46" si="9">P28/3600</f>
        <v>58.945642222222226</v>
      </c>
      <c r="S28" s="17">
        <f t="shared" si="7"/>
        <v>1.0502327188237404</v>
      </c>
      <c r="T28" s="18">
        <f t="shared" si="7"/>
        <v>1.0669048299514148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1491.5344</v>
      </c>
      <c r="E29" s="18">
        <f>Reference!C171</f>
        <v>36.711599999999997</v>
      </c>
      <c r="F29" s="18">
        <f>Reference!D171</f>
        <v>41.682499999999997</v>
      </c>
      <c r="G29" s="18">
        <f>Reference!E171</f>
        <v>42.345199999999998</v>
      </c>
      <c r="H29" s="18">
        <f>Reference!F171</f>
        <v>113508.5</v>
      </c>
      <c r="I29" s="18">
        <f>Reference!G171</f>
        <v>28.9</v>
      </c>
      <c r="J29" s="19">
        <f t="shared" si="8"/>
        <v>31.530138888888889</v>
      </c>
      <c r="L29" s="17">
        <f>Test!B171</f>
        <v>1480.2431999999999</v>
      </c>
      <c r="M29" s="18">
        <f>Test!C171</f>
        <v>36.718699999999998</v>
      </c>
      <c r="N29" s="18">
        <f>Test!D171</f>
        <v>41.827500000000001</v>
      </c>
      <c r="O29" s="18">
        <f>Test!E171</f>
        <v>42.392200000000003</v>
      </c>
      <c r="P29" s="18">
        <f>Test!F171</f>
        <v>117693.742</v>
      </c>
      <c r="Q29" s="18">
        <f>Test!G171</f>
        <v>31.518000000000001</v>
      </c>
      <c r="R29" s="19">
        <f t="shared" si="9"/>
        <v>32.692706111111107</v>
      </c>
      <c r="S29" s="17">
        <f t="shared" si="7"/>
        <v>1.0368716175440607</v>
      </c>
      <c r="T29" s="18">
        <f t="shared" si="7"/>
        <v>1.0905882352941176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701.58879999999999</v>
      </c>
      <c r="E30" s="23">
        <f>Reference!C172</f>
        <v>34.418100000000003</v>
      </c>
      <c r="F30" s="23">
        <f>Reference!D172</f>
        <v>40.492899999999999</v>
      </c>
      <c r="G30" s="23">
        <f>Reference!E172</f>
        <v>40.983899999999998</v>
      </c>
      <c r="H30" s="23">
        <f>Reference!F172</f>
        <v>62573.027000000002</v>
      </c>
      <c r="I30" s="23">
        <f>Reference!G172</f>
        <v>24.268000000000001</v>
      </c>
      <c r="J30" s="24">
        <f t="shared" si="8"/>
        <v>17.381396388888888</v>
      </c>
      <c r="L30" s="22">
        <f>Test!B172</f>
        <v>694.33280000000002</v>
      </c>
      <c r="M30" s="23">
        <f>Test!C172</f>
        <v>34.418500000000002</v>
      </c>
      <c r="N30" s="23">
        <f>Test!D172</f>
        <v>40.643799999999999</v>
      </c>
      <c r="O30" s="23">
        <f>Test!E172</f>
        <v>41.008000000000003</v>
      </c>
      <c r="P30" s="23">
        <f>Test!F172</f>
        <v>62355.311999999998</v>
      </c>
      <c r="Q30" s="23">
        <f>Test!G172</f>
        <v>25.648</v>
      </c>
      <c r="R30" s="24">
        <f t="shared" si="9"/>
        <v>17.320920000000001</v>
      </c>
      <c r="S30" s="17">
        <f t="shared" si="7"/>
        <v>0.99652062541260789</v>
      </c>
      <c r="T30" s="18">
        <f t="shared" si="7"/>
        <v>1.0568650074171748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6866.3824000000004</v>
      </c>
      <c r="E31" s="13">
        <f>Reference!C173</f>
        <v>43.357999999999997</v>
      </c>
      <c r="F31" s="13">
        <f>Reference!D173</f>
        <v>46.358199999999997</v>
      </c>
      <c r="G31" s="13">
        <f>Reference!E173</f>
        <v>47.151000000000003</v>
      </c>
      <c r="H31" s="13">
        <f>Reference!F173</f>
        <v>283992.125</v>
      </c>
      <c r="I31" s="13">
        <f>Reference!G173</f>
        <v>41.585000000000001</v>
      </c>
      <c r="J31" s="14">
        <f t="shared" si="8"/>
        <v>78.886701388888895</v>
      </c>
      <c r="L31" s="12">
        <f>Test!B173</f>
        <v>6797.4880000000003</v>
      </c>
      <c r="M31" s="13">
        <f>Test!C173</f>
        <v>43.380699999999997</v>
      </c>
      <c r="N31" s="13">
        <f>Test!D173</f>
        <v>46.761499999999998</v>
      </c>
      <c r="O31" s="13">
        <f>Test!E173</f>
        <v>47.358499999999999</v>
      </c>
      <c r="P31" s="13">
        <f>Test!F173</f>
        <v>300938.5</v>
      </c>
      <c r="Q31" s="13">
        <f>Test!G173</f>
        <v>45.1</v>
      </c>
      <c r="R31" s="14">
        <f t="shared" si="9"/>
        <v>83.594027777777782</v>
      </c>
      <c r="S31" s="17">
        <f t="shared" si="7"/>
        <v>1.0596719891440651</v>
      </c>
      <c r="T31" s="18">
        <f t="shared" si="7"/>
        <v>1.0845256703138151</v>
      </c>
      <c r="U31" s="91"/>
      <c r="V31" s="37">
        <f>bdrate($D31:$D34,E31:E34,$L31:$L34,M31:M34)</f>
        <v>-1.4284989667052939E-2</v>
      </c>
      <c r="W31" s="42">
        <f>bdrate($D31:$D34,F31:F34,$L31:$L34,N31:N34)</f>
        <v>-0.12953741626792725</v>
      </c>
      <c r="X31" s="42">
        <f>bdrate($D31:$D34,G31:G34,$L31:$L34,O31:O34)</f>
        <v>-5.4937973314097444E-2</v>
      </c>
      <c r="Y31" s="40">
        <f>bdrateOld($D31:$D34,E31:E34,$L31:$L34,M31:M34)</f>
        <v>-1.4274500179122684E-2</v>
      </c>
      <c r="Z31" s="44">
        <f>bdrateOld($D31:$D34,F31:F34,$L31:$L34,N31:N34)</f>
        <v>-0.12930267481417945</v>
      </c>
      <c r="AA31" s="45">
        <f>bdrateOld($D31:$D34,G31:G34,$L31:$L34,O31:O34)</f>
        <v>-5.4936175090908645E-2</v>
      </c>
    </row>
    <row r="32" spans="1:27" x14ac:dyDescent="0.2">
      <c r="A32" s="16"/>
      <c r="B32" s="85"/>
      <c r="C32" s="16">
        <v>48</v>
      </c>
      <c r="D32" s="17">
        <f>Reference!B174</f>
        <v>4195.4816000000001</v>
      </c>
      <c r="E32" s="18">
        <f>Reference!C174</f>
        <v>41.042099999999998</v>
      </c>
      <c r="F32" s="18">
        <f>Reference!D174</f>
        <v>44.924399999999999</v>
      </c>
      <c r="G32" s="18">
        <f>Reference!E174</f>
        <v>45.510899999999999</v>
      </c>
      <c r="H32" s="18">
        <f>Reference!F174</f>
        <v>202295.46900000001</v>
      </c>
      <c r="I32" s="18">
        <f>Reference!G174</f>
        <v>36.844999999999999</v>
      </c>
      <c r="J32" s="19">
        <f t="shared" si="8"/>
        <v>56.193185833333338</v>
      </c>
      <c r="L32" s="17">
        <f>Test!B174</f>
        <v>4150.1632</v>
      </c>
      <c r="M32" s="18">
        <f>Test!C174</f>
        <v>41.063899999999997</v>
      </c>
      <c r="N32" s="18">
        <f>Test!D174</f>
        <v>45.308999999999997</v>
      </c>
      <c r="O32" s="18">
        <f>Test!E174</f>
        <v>45.692399999999999</v>
      </c>
      <c r="P32" s="18">
        <f>Test!F174</f>
        <v>214083.5</v>
      </c>
      <c r="Q32" s="18">
        <f>Test!G174</f>
        <v>39.17</v>
      </c>
      <c r="R32" s="19">
        <f t="shared" si="9"/>
        <v>59.467638888888892</v>
      </c>
      <c r="S32" s="17">
        <f t="shared" si="7"/>
        <v>1.0582713545600964</v>
      </c>
      <c r="T32" s="18">
        <f t="shared" si="7"/>
        <v>1.0631021848283351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2325.2080000000001</v>
      </c>
      <c r="E33" s="18">
        <f>Reference!C175</f>
        <v>38.257300000000001</v>
      </c>
      <c r="F33" s="18">
        <f>Reference!D175</f>
        <v>43.340299999999999</v>
      </c>
      <c r="G33" s="18">
        <f>Reference!E175</f>
        <v>43.691499999999998</v>
      </c>
      <c r="H33" s="18">
        <f>Reference!F175</f>
        <v>129645.164</v>
      </c>
      <c r="I33" s="18">
        <f>Reference!G175</f>
        <v>31.649000000000001</v>
      </c>
      <c r="J33" s="19">
        <f t="shared" si="8"/>
        <v>36.012545555555555</v>
      </c>
      <c r="L33" s="17">
        <f>Test!B175</f>
        <v>2301.0192000000002</v>
      </c>
      <c r="M33" s="18">
        <f>Test!C175</f>
        <v>38.275100000000002</v>
      </c>
      <c r="N33" s="18">
        <f>Test!D175</f>
        <v>43.661099999999998</v>
      </c>
      <c r="O33" s="18">
        <f>Test!E175</f>
        <v>43.823</v>
      </c>
      <c r="P33" s="18">
        <f>Test!F175</f>
        <v>132473.78099999999</v>
      </c>
      <c r="Q33" s="18">
        <f>Test!G175</f>
        <v>33.531999999999996</v>
      </c>
      <c r="R33" s="19">
        <f t="shared" si="9"/>
        <v>36.798272499999996</v>
      </c>
      <c r="S33" s="17">
        <f t="shared" si="7"/>
        <v>1.0218181451025816</v>
      </c>
      <c r="T33" s="18">
        <f t="shared" si="7"/>
        <v>1.0594963505955952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1212.9408000000001</v>
      </c>
      <c r="E34" s="23">
        <f>Reference!C176</f>
        <v>35.314799999999998</v>
      </c>
      <c r="F34" s="23">
        <f>Reference!D176</f>
        <v>41.808500000000002</v>
      </c>
      <c r="G34" s="23">
        <f>Reference!E176</f>
        <v>41.901299999999999</v>
      </c>
      <c r="H34" s="23">
        <f>Reference!F176</f>
        <v>77523.281000000003</v>
      </c>
      <c r="I34" s="23">
        <f>Reference!G176</f>
        <v>26.064</v>
      </c>
      <c r="J34" s="24">
        <f t="shared" si="8"/>
        <v>21.534244722222223</v>
      </c>
      <c r="L34" s="22">
        <f>Test!B176</f>
        <v>1200.7760000000001</v>
      </c>
      <c r="M34" s="23">
        <f>Test!C176</f>
        <v>35.321399999999997</v>
      </c>
      <c r="N34" s="23">
        <f>Test!D176</f>
        <v>42.064799999999998</v>
      </c>
      <c r="O34" s="23">
        <f>Test!E176</f>
        <v>41.935699999999997</v>
      </c>
      <c r="P34" s="23">
        <f>Test!F176</f>
        <v>78959.898000000001</v>
      </c>
      <c r="Q34" s="23">
        <f>Test!G176</f>
        <v>28.908000000000001</v>
      </c>
      <c r="R34" s="24">
        <f t="shared" si="9"/>
        <v>21.933305000000001</v>
      </c>
      <c r="S34" s="17">
        <f t="shared" si="7"/>
        <v>1.0185314267078041</v>
      </c>
      <c r="T34" s="18">
        <f t="shared" si="7"/>
        <v>1.1091160220994476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4743.8768</v>
      </c>
      <c r="E35" s="13">
        <f>Reference!C177</f>
        <v>38.458399999999997</v>
      </c>
      <c r="F35" s="13">
        <f>Reference!D177</f>
        <v>45.427500000000002</v>
      </c>
      <c r="G35" s="13">
        <f>Reference!E177</f>
        <v>45.701500000000003</v>
      </c>
      <c r="H35" s="13">
        <f>Reference!F177</f>
        <v>182616.266</v>
      </c>
      <c r="I35" s="13">
        <f>Reference!G177</f>
        <v>19.13</v>
      </c>
      <c r="J35" s="14">
        <f t="shared" si="8"/>
        <v>50.726740555555558</v>
      </c>
      <c r="L35" s="12">
        <f>Test!B177</f>
        <v>4746.72</v>
      </c>
      <c r="M35" s="13">
        <f>Test!C177</f>
        <v>38.467500000000001</v>
      </c>
      <c r="N35" s="13">
        <f>Test!D177</f>
        <v>45.536200000000001</v>
      </c>
      <c r="O35" s="13">
        <f>Test!E177</f>
        <v>45.7331</v>
      </c>
      <c r="P35" s="13">
        <f>Test!F177</f>
        <v>200633.28099999999</v>
      </c>
      <c r="Q35" s="13">
        <f>Test!G177</f>
        <v>19.652999999999999</v>
      </c>
      <c r="R35" s="14">
        <f t="shared" si="9"/>
        <v>55.731466944444442</v>
      </c>
      <c r="S35" s="12">
        <f t="shared" si="7"/>
        <v>1.0986605158162634</v>
      </c>
      <c r="T35" s="13">
        <f t="shared" si="7"/>
        <v>1.0273392577104026</v>
      </c>
      <c r="U35" s="90"/>
      <c r="V35" s="37">
        <f>bdrate($D35:$D38,E35:E38,$L35:$L38,M35:M38)</f>
        <v>-1.6119377917552802E-3</v>
      </c>
      <c r="W35" s="42">
        <f>bdrate($D35:$D38,F35:F38,$L35:$L38,N35:N38)</f>
        <v>-0.10187728867802248</v>
      </c>
      <c r="X35" s="42">
        <f>bdrate($D35:$D38,G35:G38,$L35:$L38,O35:O38)</f>
        <v>-8.0600645496384349E-2</v>
      </c>
      <c r="Y35" s="40">
        <f>bdrateOld($D35:$D38,E35:E38,$L35:$L38,M35:M38)</f>
        <v>-1.714293608616968E-3</v>
      </c>
      <c r="Z35" s="44">
        <f>bdrateOld($D35:$D38,F35:F38,$L35:$L38,N35:N38)</f>
        <v>-0.1007293210867416</v>
      </c>
      <c r="AA35" s="45">
        <f>bdrateOld($D35:$D38,G35:G38,$L35:$L38,O35:O38)</f>
        <v>-8.0546377794287638E-2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1665.5328</v>
      </c>
      <c r="E36" s="18">
        <f>Reference!C178</f>
        <v>36.4666</v>
      </c>
      <c r="F36" s="18">
        <f>Reference!D178</f>
        <v>44.395200000000003</v>
      </c>
      <c r="G36" s="18">
        <f>Reference!E178</f>
        <v>44.6631</v>
      </c>
      <c r="H36" s="18">
        <f>Reference!F178</f>
        <v>97310.906000000003</v>
      </c>
      <c r="I36" s="18">
        <f>Reference!G178</f>
        <v>13.734</v>
      </c>
      <c r="J36" s="19">
        <f t="shared" si="8"/>
        <v>27.030807222222222</v>
      </c>
      <c r="L36" s="17">
        <f>Test!B178</f>
        <v>1668.6271999999999</v>
      </c>
      <c r="M36" s="18">
        <f>Test!C178</f>
        <v>36.471600000000002</v>
      </c>
      <c r="N36" s="18">
        <f>Test!D178</f>
        <v>44.548699999999997</v>
      </c>
      <c r="O36" s="18">
        <f>Test!E178</f>
        <v>44.745399999999997</v>
      </c>
      <c r="P36" s="18">
        <f>Test!F178</f>
        <v>107426.781</v>
      </c>
      <c r="Q36" s="18">
        <f>Test!G178</f>
        <v>15.391999999999999</v>
      </c>
      <c r="R36" s="19">
        <f t="shared" si="9"/>
        <v>29.8407725</v>
      </c>
      <c r="S36" s="17">
        <f t="shared" si="7"/>
        <v>1.1039541754960127</v>
      </c>
      <c r="T36" s="18">
        <f t="shared" si="7"/>
        <v>1.1207222950342215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659.76480000000004</v>
      </c>
      <c r="E37" s="18">
        <f>Reference!C179</f>
        <v>34.015099999999997</v>
      </c>
      <c r="F37" s="18">
        <f>Reference!D179</f>
        <v>43.056800000000003</v>
      </c>
      <c r="G37" s="18">
        <f>Reference!E179</f>
        <v>43.237299999999998</v>
      </c>
      <c r="H37" s="18">
        <f>Reference!F179</f>
        <v>54701.766000000003</v>
      </c>
      <c r="I37" s="18">
        <f>Reference!G179</f>
        <v>9.8659999999999997</v>
      </c>
      <c r="J37" s="19">
        <f t="shared" si="8"/>
        <v>15.194935000000001</v>
      </c>
      <c r="L37" s="17">
        <f>Test!B179</f>
        <v>658.81119999999999</v>
      </c>
      <c r="M37" s="18">
        <f>Test!C179</f>
        <v>34.013500000000001</v>
      </c>
      <c r="N37" s="18">
        <f>Test!D179</f>
        <v>43.194400000000002</v>
      </c>
      <c r="O37" s="18">
        <f>Test!E179</f>
        <v>43.372999999999998</v>
      </c>
      <c r="P37" s="18">
        <f>Test!F179</f>
        <v>59909.527000000002</v>
      </c>
      <c r="Q37" s="18">
        <f>Test!G179</f>
        <v>11.606</v>
      </c>
      <c r="R37" s="19">
        <f t="shared" si="9"/>
        <v>16.641535277777777</v>
      </c>
      <c r="S37" s="17">
        <f t="shared" si="7"/>
        <v>1.0952027947324405</v>
      </c>
      <c r="T37" s="18">
        <f t="shared" si="7"/>
        <v>1.1763632677883642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275.69279999999998</v>
      </c>
      <c r="E38" s="23">
        <f>Reference!C180</f>
        <v>30.977900000000002</v>
      </c>
      <c r="F38" s="23">
        <f>Reference!D180</f>
        <v>41.793799999999997</v>
      </c>
      <c r="G38" s="23">
        <f>Reference!E180</f>
        <v>41.761899999999997</v>
      </c>
      <c r="H38" s="23">
        <f>Reference!F180</f>
        <v>34611.663999999997</v>
      </c>
      <c r="I38" s="23">
        <f>Reference!G180</f>
        <v>8.1219999999999999</v>
      </c>
      <c r="J38" s="24">
        <f t="shared" si="8"/>
        <v>9.6143511111111106</v>
      </c>
      <c r="L38" s="22">
        <f>Test!B180</f>
        <v>274.74079999999998</v>
      </c>
      <c r="M38" s="23">
        <f>Test!C180</f>
        <v>30.979900000000001</v>
      </c>
      <c r="N38" s="23">
        <f>Test!D180</f>
        <v>41.908700000000003</v>
      </c>
      <c r="O38" s="23">
        <f>Test!E180</f>
        <v>42.039099999999998</v>
      </c>
      <c r="P38" s="23">
        <f>Test!F180</f>
        <v>35728.851999999999</v>
      </c>
      <c r="Q38" s="23">
        <f>Test!G180</f>
        <v>8.8320000000000007</v>
      </c>
      <c r="R38" s="24">
        <f t="shared" si="9"/>
        <v>9.9246811111111111</v>
      </c>
      <c r="S38" s="17">
        <f t="shared" si="7"/>
        <v>1.0322777893602573</v>
      </c>
      <c r="T38" s="18">
        <f t="shared" si="7"/>
        <v>1.0874168923910368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3902.4656</v>
      </c>
      <c r="E39" s="13">
        <f>Reference!C181</f>
        <v>40.513500000000001</v>
      </c>
      <c r="F39" s="13">
        <f>Reference!D181</f>
        <v>45.2502</v>
      </c>
      <c r="G39" s="13">
        <f>Reference!E181</f>
        <v>46.057600000000001</v>
      </c>
      <c r="H39" s="13">
        <f>Reference!F181</f>
        <v>161032.07800000001</v>
      </c>
      <c r="I39" s="13">
        <f>Reference!G181</f>
        <v>18.962</v>
      </c>
      <c r="J39" s="14">
        <f t="shared" si="8"/>
        <v>44.731132777777781</v>
      </c>
      <c r="L39" s="12">
        <f>Test!B181</f>
        <v>3852.3904000000002</v>
      </c>
      <c r="M39" s="13">
        <f>Test!C181</f>
        <v>40.525500000000001</v>
      </c>
      <c r="N39" s="13">
        <f>Test!D181</f>
        <v>45.279899999999998</v>
      </c>
      <c r="O39" s="13">
        <f>Test!E181</f>
        <v>46.119500000000002</v>
      </c>
      <c r="P39" s="13">
        <f>Test!F181</f>
        <v>174765.78099999999</v>
      </c>
      <c r="Q39" s="13">
        <f>Test!G181</f>
        <v>20.481000000000002</v>
      </c>
      <c r="R39" s="14">
        <f t="shared" si="9"/>
        <v>48.546050277777773</v>
      </c>
      <c r="S39" s="17">
        <f t="shared" si="7"/>
        <v>1.0852855106297516</v>
      </c>
      <c r="T39" s="18">
        <f t="shared" si="7"/>
        <v>1.0801075835882292</v>
      </c>
      <c r="U39" s="91"/>
      <c r="V39" s="37">
        <f>bdrate($D39:$D42,E39:E42,$L39:$L42,M39:M42)</f>
        <v>-2.5686357076878941E-2</v>
      </c>
      <c r="W39" s="42">
        <f>bdrate($D39:$D42,F39:F42,$L39:$L42,N39:N42)</f>
        <v>-4.4296730703625498E-2</v>
      </c>
      <c r="X39" s="42">
        <f>bdrate($D39:$D42,G39:G42,$L39:$L42,O39:O42)</f>
        <v>-3.8745084391179074E-2</v>
      </c>
      <c r="Y39" s="40">
        <f>bdrateOld($D39:$D42,E39:E42,$L39:$L42,M39:M42)</f>
        <v>-2.5609509277445874E-2</v>
      </c>
      <c r="Z39" s="44">
        <f>bdrateOld($D39:$D42,F39:F42,$L39:$L42,N39:N42)</f>
        <v>-4.5084832834279331E-2</v>
      </c>
      <c r="AA39" s="45">
        <f>bdrateOld($D39:$D42,G39:G42,$L39:$L42,O39:O42)</f>
        <v>-3.8159796715329097E-2</v>
      </c>
    </row>
    <row r="40" spans="1:27" x14ac:dyDescent="0.2">
      <c r="A40" s="16"/>
      <c r="B40" s="85"/>
      <c r="C40" s="16">
        <v>32</v>
      </c>
      <c r="D40" s="17">
        <f>Reference!B182</f>
        <v>1788.7103999999999</v>
      </c>
      <c r="E40" s="18">
        <f>Reference!C182</f>
        <v>38.887999999999998</v>
      </c>
      <c r="F40" s="18">
        <f>Reference!D182</f>
        <v>44.447099999999999</v>
      </c>
      <c r="G40" s="18">
        <f>Reference!E182</f>
        <v>44.509099999999997</v>
      </c>
      <c r="H40" s="18">
        <f>Reference!F182</f>
        <v>97121.741999999998</v>
      </c>
      <c r="I40" s="18">
        <f>Reference!G182</f>
        <v>15.608000000000001</v>
      </c>
      <c r="J40" s="19">
        <f t="shared" si="8"/>
        <v>26.978261666666665</v>
      </c>
      <c r="L40" s="17">
        <f>Test!B182</f>
        <v>1751.6464000000001</v>
      </c>
      <c r="M40" s="18">
        <f>Test!C182</f>
        <v>38.8996</v>
      </c>
      <c r="N40" s="18">
        <f>Test!D182</f>
        <v>44.465600000000002</v>
      </c>
      <c r="O40" s="18">
        <f>Test!E182</f>
        <v>44.5871</v>
      </c>
      <c r="P40" s="18">
        <f>Test!F182</f>
        <v>103143.273</v>
      </c>
      <c r="Q40" s="18">
        <f>Test!G182</f>
        <v>16.843</v>
      </c>
      <c r="R40" s="19">
        <f t="shared" si="9"/>
        <v>28.650909166666668</v>
      </c>
      <c r="S40" s="17">
        <f t="shared" si="7"/>
        <v>1.0619998249207681</v>
      </c>
      <c r="T40" s="18">
        <f t="shared" si="7"/>
        <v>1.0791260891850332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856.61120000000005</v>
      </c>
      <c r="E41" s="18">
        <f>Reference!C183</f>
        <v>36.955300000000001</v>
      </c>
      <c r="F41" s="18">
        <f>Reference!D183</f>
        <v>43.421199999999999</v>
      </c>
      <c r="G41" s="18">
        <f>Reference!E183</f>
        <v>42.717199999999998</v>
      </c>
      <c r="H41" s="18">
        <f>Reference!F183</f>
        <v>55238.745999999999</v>
      </c>
      <c r="I41" s="18">
        <f>Reference!G183</f>
        <v>11.956</v>
      </c>
      <c r="J41" s="19">
        <f t="shared" si="8"/>
        <v>15.34409611111111</v>
      </c>
      <c r="L41" s="17">
        <f>Test!B183</f>
        <v>838.37760000000003</v>
      </c>
      <c r="M41" s="18">
        <f>Test!C183</f>
        <v>36.97</v>
      </c>
      <c r="N41" s="18">
        <f>Test!D183</f>
        <v>43.464300000000001</v>
      </c>
      <c r="O41" s="18">
        <f>Test!E183</f>
        <v>42.7485</v>
      </c>
      <c r="P41" s="18">
        <f>Test!F183</f>
        <v>60503.343999999997</v>
      </c>
      <c r="Q41" s="18">
        <f>Test!G183</f>
        <v>13.927</v>
      </c>
      <c r="R41" s="19">
        <f t="shared" si="9"/>
        <v>16.806484444444443</v>
      </c>
      <c r="S41" s="17">
        <f t="shared" si="7"/>
        <v>1.0953062547799328</v>
      </c>
      <c r="T41" s="18">
        <f t="shared" si="7"/>
        <v>1.1648544663767146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402.66079999999999</v>
      </c>
      <c r="E42" s="23">
        <f>Reference!C184</f>
        <v>34.724600000000002</v>
      </c>
      <c r="F42" s="23">
        <f>Reference!D184</f>
        <v>42.134700000000002</v>
      </c>
      <c r="G42" s="23">
        <f>Reference!E184</f>
        <v>40.774099999999997</v>
      </c>
      <c r="H42" s="23">
        <f>Reference!F184</f>
        <v>29356.453000000001</v>
      </c>
      <c r="I42" s="23">
        <f>Reference!G184</f>
        <v>8.9809999999999999</v>
      </c>
      <c r="J42" s="24">
        <f t="shared" si="8"/>
        <v>8.1545702777777773</v>
      </c>
      <c r="L42" s="22">
        <f>Test!B184</f>
        <v>394.08640000000003</v>
      </c>
      <c r="M42" s="23">
        <f>Test!C184</f>
        <v>34.747199999999999</v>
      </c>
      <c r="N42" s="23">
        <f>Test!D184</f>
        <v>42.187800000000003</v>
      </c>
      <c r="O42" s="23">
        <f>Test!E184</f>
        <v>40.742600000000003</v>
      </c>
      <c r="P42" s="23">
        <f>Test!F184</f>
        <v>30702.224999999999</v>
      </c>
      <c r="Q42" s="23">
        <f>Test!G184</f>
        <v>9.9160000000000004</v>
      </c>
      <c r="R42" s="24">
        <f t="shared" si="9"/>
        <v>8.5283958333333327</v>
      </c>
      <c r="S42" s="17">
        <f t="shared" si="7"/>
        <v>1.0458424592371565</v>
      </c>
      <c r="T42" s="18">
        <f t="shared" si="7"/>
        <v>1.1041086738670527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960.4</v>
      </c>
      <c r="E43" s="13">
        <f>Reference!C185</f>
        <v>42.988700000000001</v>
      </c>
      <c r="F43" s="13">
        <f>Reference!D185</f>
        <v>46.666899999999998</v>
      </c>
      <c r="G43" s="13">
        <f>Reference!E185</f>
        <v>47.466900000000003</v>
      </c>
      <c r="H43" s="13">
        <f>Reference!F185</f>
        <v>63561.148000000001</v>
      </c>
      <c r="I43" s="13">
        <f>Reference!G185</f>
        <v>9.33</v>
      </c>
      <c r="J43" s="14">
        <f t="shared" si="8"/>
        <v>17.655874444444446</v>
      </c>
      <c r="L43" s="12">
        <f>Test!B185</f>
        <v>960.01919999999996</v>
      </c>
      <c r="M43" s="13">
        <f>Test!C185</f>
        <v>42.994</v>
      </c>
      <c r="N43" s="13">
        <f>Test!D185</f>
        <v>46.778100000000002</v>
      </c>
      <c r="O43" s="13">
        <f>Test!E185</f>
        <v>47.569499999999998</v>
      </c>
      <c r="P43" s="13">
        <f>Test!F185</f>
        <v>69596.468999999997</v>
      </c>
      <c r="Q43" s="13">
        <f>Test!G185</f>
        <v>11.311</v>
      </c>
      <c r="R43" s="14">
        <f t="shared" si="9"/>
        <v>19.332352499999999</v>
      </c>
      <c r="S43" s="17">
        <f t="shared" si="7"/>
        <v>1.094952989206551</v>
      </c>
      <c r="T43" s="18">
        <f t="shared" si="7"/>
        <v>1.2123258306538049</v>
      </c>
      <c r="U43" s="91"/>
      <c r="V43" s="37">
        <f>bdrate($D43:$D46,E43:E46,$L43:$L46,M43:M46)</f>
        <v>-7.5477451930878736E-3</v>
      </c>
      <c r="W43" s="42">
        <f>bdrate($D43:$D46,F43:F46,$L43:$L46,N43:N46)</f>
        <v>-3.7473465851712962E-2</v>
      </c>
      <c r="X43" s="42">
        <f>bdrate($D43:$D46,G43:G46,$L43:$L46,O43:O46)</f>
        <v>-7.1570926029751458E-2</v>
      </c>
      <c r="Y43" s="40">
        <f>bdrateOld($D43:$D46,E43:E46,$L43:$L46,M43:M46)</f>
        <v>-7.4851625960161705E-3</v>
      </c>
      <c r="Z43" s="44">
        <f>bdrateOld($D43:$D46,F43:F46,$L43:$L46,N43:N46)</f>
        <v>-3.8703142680121649E-2</v>
      </c>
      <c r="AA43" s="45">
        <f>bdrateOld($D43:$D46,G43:G46,$L43:$L46,O43:O46)</f>
        <v>-6.9698573195972613E-2</v>
      </c>
    </row>
    <row r="44" spans="1:27" x14ac:dyDescent="0.2">
      <c r="A44" s="16"/>
      <c r="B44" s="85"/>
      <c r="C44" s="16">
        <v>32</v>
      </c>
      <c r="D44" s="17">
        <f>Reference!B186</f>
        <v>491.9264</v>
      </c>
      <c r="E44" s="18">
        <f>Reference!C186</f>
        <v>41.357399999999998</v>
      </c>
      <c r="F44" s="18">
        <f>Reference!D186</f>
        <v>45.873399999999997</v>
      </c>
      <c r="G44" s="18">
        <f>Reference!E186</f>
        <v>46.390500000000003</v>
      </c>
      <c r="H44" s="18">
        <f>Reference!F186</f>
        <v>37708.366999999998</v>
      </c>
      <c r="I44" s="18">
        <f>Reference!G186</f>
        <v>7.3410000000000002</v>
      </c>
      <c r="J44" s="19">
        <f t="shared" si="8"/>
        <v>10.474546388888889</v>
      </c>
      <c r="L44" s="17">
        <f>Test!B186</f>
        <v>489.19839999999999</v>
      </c>
      <c r="M44" s="18">
        <f>Test!C186</f>
        <v>41.357900000000001</v>
      </c>
      <c r="N44" s="18">
        <f>Test!D186</f>
        <v>45.931899999999999</v>
      </c>
      <c r="O44" s="18">
        <f>Test!E186</f>
        <v>46.563899999999997</v>
      </c>
      <c r="P44" s="18">
        <f>Test!F186</f>
        <v>41245.68</v>
      </c>
      <c r="Q44" s="18">
        <f>Test!G186</f>
        <v>8.4390000000000001</v>
      </c>
      <c r="R44" s="19">
        <f t="shared" si="9"/>
        <v>11.457133333333333</v>
      </c>
      <c r="S44" s="17">
        <f t="shared" si="7"/>
        <v>1.0938071118274626</v>
      </c>
      <c r="T44" s="18">
        <f t="shared" si="7"/>
        <v>1.1495709031467103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262.47359999999998</v>
      </c>
      <c r="E45" s="18">
        <f>Reference!C187</f>
        <v>39.188200000000002</v>
      </c>
      <c r="F45" s="18">
        <f>Reference!D187</f>
        <v>44.614800000000002</v>
      </c>
      <c r="G45" s="18">
        <f>Reference!E187</f>
        <v>44.9176</v>
      </c>
      <c r="H45" s="18">
        <f>Reference!F187</f>
        <v>22045.775000000001</v>
      </c>
      <c r="I45" s="18">
        <f>Reference!G187</f>
        <v>6.2930000000000001</v>
      </c>
      <c r="J45" s="19">
        <f t="shared" si="8"/>
        <v>6.1238263888888893</v>
      </c>
      <c r="L45" s="17">
        <f>Test!B187</f>
        <v>261.45440000000002</v>
      </c>
      <c r="M45" s="18">
        <f>Test!C187</f>
        <v>39.201099999999997</v>
      </c>
      <c r="N45" s="18">
        <f>Test!D187</f>
        <v>44.683500000000002</v>
      </c>
      <c r="O45" s="18">
        <f>Test!E187</f>
        <v>45.0364</v>
      </c>
      <c r="P45" s="18">
        <f>Test!F187</f>
        <v>24344.59</v>
      </c>
      <c r="Q45" s="18">
        <f>Test!G187</f>
        <v>6.1870000000000003</v>
      </c>
      <c r="R45" s="19">
        <f t="shared" si="9"/>
        <v>6.7623861111111108</v>
      </c>
      <c r="S45" s="17">
        <f t="shared" si="7"/>
        <v>1.1042746285852958</v>
      </c>
      <c r="T45" s="18">
        <f t="shared" si="7"/>
        <v>0.98315588749404104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143.04159999999999</v>
      </c>
      <c r="E46" s="23">
        <f>Reference!C188</f>
        <v>36.4133</v>
      </c>
      <c r="F46" s="23">
        <f>Reference!D188</f>
        <v>43.057600000000001</v>
      </c>
      <c r="G46" s="23">
        <f>Reference!E188</f>
        <v>42.987099999999998</v>
      </c>
      <c r="H46" s="23">
        <f>Reference!F188</f>
        <v>12752.553</v>
      </c>
      <c r="I46" s="23">
        <f>Reference!G188</f>
        <v>5.2229999999999999</v>
      </c>
      <c r="J46" s="24">
        <f t="shared" si="8"/>
        <v>3.5423758333333333</v>
      </c>
      <c r="L46" s="22">
        <f>Test!B188</f>
        <v>141.94399999999999</v>
      </c>
      <c r="M46" s="23">
        <f>Test!C188</f>
        <v>36.450299999999999</v>
      </c>
      <c r="N46" s="23">
        <f>Test!D188</f>
        <v>43.0745</v>
      </c>
      <c r="O46" s="23">
        <f>Test!E188</f>
        <v>43.341099999999997</v>
      </c>
      <c r="P46" s="23">
        <f>Test!F188</f>
        <v>13859.614</v>
      </c>
      <c r="Q46" s="23">
        <f>Test!G188</f>
        <v>5.9640000000000004</v>
      </c>
      <c r="R46" s="24">
        <f t="shared" si="9"/>
        <v>3.8498927777777778</v>
      </c>
      <c r="S46" s="17">
        <f t="shared" si="7"/>
        <v>1.0868109311131662</v>
      </c>
      <c r="T46" s="18">
        <f t="shared" si="7"/>
        <v>1.141872487076393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1318.1952000000001</v>
      </c>
      <c r="E47" s="13">
        <f>Reference!C189</f>
        <v>42.691699999999997</v>
      </c>
      <c r="F47" s="13">
        <f>Reference!D189</f>
        <v>48.4846</v>
      </c>
      <c r="G47" s="13">
        <f>Reference!E189</f>
        <v>48.007899999999999</v>
      </c>
      <c r="H47" s="13">
        <f>Reference!F189</f>
        <v>68787.593999999997</v>
      </c>
      <c r="I47" s="13">
        <f>Reference!G189</f>
        <v>10.154</v>
      </c>
      <c r="J47" s="14">
        <f>H47/3600</f>
        <v>19.107665000000001</v>
      </c>
      <c r="L47" s="12">
        <f>Test!B189</f>
        <v>1335.6992</v>
      </c>
      <c r="M47" s="13">
        <f>Test!C189</f>
        <v>42.7134</v>
      </c>
      <c r="N47" s="13">
        <f>Test!D189</f>
        <v>48.613300000000002</v>
      </c>
      <c r="O47" s="13">
        <f>Test!E189</f>
        <v>47.388199999999998</v>
      </c>
      <c r="P47" s="13">
        <f>Test!F189</f>
        <v>75101.929999999993</v>
      </c>
      <c r="Q47" s="13">
        <f>Test!G189</f>
        <v>11.776</v>
      </c>
      <c r="R47" s="14">
        <f>P47/3600</f>
        <v>20.861647222222221</v>
      </c>
      <c r="S47" s="17">
        <f t="shared" ref="S47:T62" si="10">P47/H47</f>
        <v>1.0917946919323853</v>
      </c>
      <c r="T47" s="18">
        <f t="shared" si="10"/>
        <v>1.1597400039393342</v>
      </c>
      <c r="U47" s="91"/>
      <c r="V47" s="37">
        <f>bdrate($D47:$D50,E47:E50,$L47:$L50,M47:M50)</f>
        <v>-7.0797652013033785E-3</v>
      </c>
      <c r="W47" s="42">
        <f>bdrate($D47:$D50,F47:F50,$L47:$L50,N47:N50)</f>
        <v>-5.8325225821417082E-2</v>
      </c>
      <c r="X47" s="43">
        <f>bdrate($D47:$D50,G47:G50,$L47:$L50,O47:O50)</f>
        <v>3.0585611628689113E-2</v>
      </c>
      <c r="Y47" s="37">
        <f>bdrateOld($D47:$D50,E47:E50,$L47:$L50,M47:M50)</f>
        <v>-7.6272382433741903E-3</v>
      </c>
      <c r="Z47" s="42">
        <f>bdrateOld($D47:$D50,F47:F50,$L47:$L50,N47:N50)</f>
        <v>-5.4165433151708853E-2</v>
      </c>
      <c r="AA47" s="43">
        <f>bdrateOld($D47:$D50,G47:G50,$L47:$L50,O47:O50)</f>
        <v>9.0365109616476147E-2</v>
      </c>
    </row>
    <row r="48" spans="1:27" x14ac:dyDescent="0.2">
      <c r="A48" s="16"/>
      <c r="B48" s="85"/>
      <c r="C48" s="16">
        <v>32</v>
      </c>
      <c r="D48" s="17">
        <f>Reference!B190</f>
        <v>651.83519999999999</v>
      </c>
      <c r="E48" s="18">
        <f>Reference!C190</f>
        <v>41.016199999999998</v>
      </c>
      <c r="F48" s="18">
        <f>Reference!D190</f>
        <v>47.680399999999999</v>
      </c>
      <c r="G48" s="18">
        <f>Reference!E190</f>
        <v>46.840600000000002</v>
      </c>
      <c r="H48" s="18">
        <f>Reference!F190</f>
        <v>41108.050999999999</v>
      </c>
      <c r="I48" s="18">
        <f>Reference!G190</f>
        <v>8.2390000000000008</v>
      </c>
      <c r="J48" s="19">
        <f t="shared" ref="J48:J70" si="11">H48/3600</f>
        <v>11.418903055555555</v>
      </c>
      <c r="L48" s="17">
        <f>Test!B190</f>
        <v>651.90560000000005</v>
      </c>
      <c r="M48" s="18">
        <f>Test!C190</f>
        <v>41.017699999999998</v>
      </c>
      <c r="N48" s="18">
        <f>Test!D190</f>
        <v>47.843400000000003</v>
      </c>
      <c r="O48" s="18">
        <f>Test!E190</f>
        <v>46.7729</v>
      </c>
      <c r="P48" s="18">
        <f>Test!F190</f>
        <v>43715.961000000003</v>
      </c>
      <c r="Q48" s="18">
        <f>Test!G190</f>
        <v>7.9539999999999997</v>
      </c>
      <c r="R48" s="19">
        <f t="shared" ref="R48:R70" si="12">P48/3600</f>
        <v>12.1433225</v>
      </c>
      <c r="S48" s="17">
        <f t="shared" si="10"/>
        <v>1.0634403708412252</v>
      </c>
      <c r="T48" s="18">
        <f t="shared" si="10"/>
        <v>0.96540842335234844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348.6336</v>
      </c>
      <c r="E49" s="18">
        <f>Reference!C191</f>
        <v>38.734999999999999</v>
      </c>
      <c r="F49" s="18">
        <f>Reference!D191</f>
        <v>46.609200000000001</v>
      </c>
      <c r="G49" s="18">
        <f>Reference!E191</f>
        <v>45.429200000000002</v>
      </c>
      <c r="H49" s="18">
        <f>Reference!F191</f>
        <v>23531.857</v>
      </c>
      <c r="I49" s="18">
        <f>Reference!G191</f>
        <v>6.601</v>
      </c>
      <c r="J49" s="19">
        <f t="shared" si="11"/>
        <v>6.5366269444444445</v>
      </c>
      <c r="L49" s="17">
        <f>Test!B191</f>
        <v>346.83199999999999</v>
      </c>
      <c r="M49" s="18">
        <f>Test!C191</f>
        <v>38.761899999999997</v>
      </c>
      <c r="N49" s="18">
        <f>Test!D191</f>
        <v>46.662100000000002</v>
      </c>
      <c r="O49" s="18">
        <f>Test!E191</f>
        <v>45.3643</v>
      </c>
      <c r="P49" s="18">
        <f>Test!F191</f>
        <v>26166.58</v>
      </c>
      <c r="Q49" s="18">
        <f>Test!G191</f>
        <v>7.6239999999999997</v>
      </c>
      <c r="R49" s="19">
        <f t="shared" si="12"/>
        <v>7.2684944444444453</v>
      </c>
      <c r="S49" s="17">
        <f t="shared" si="10"/>
        <v>1.1119640919116585</v>
      </c>
      <c r="T49" s="18">
        <f t="shared" si="10"/>
        <v>1.1549765187092864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190.38720000000001</v>
      </c>
      <c r="E50" s="23">
        <f>Reference!C192</f>
        <v>35.680799999999998</v>
      </c>
      <c r="F50" s="23">
        <f>Reference!D192</f>
        <v>45.1736</v>
      </c>
      <c r="G50" s="23">
        <f>Reference!E192</f>
        <v>43.100999999999999</v>
      </c>
      <c r="H50" s="23">
        <f>Reference!F192</f>
        <v>14461.598</v>
      </c>
      <c r="I50" s="23">
        <f>Reference!G192</f>
        <v>5.407</v>
      </c>
      <c r="J50" s="24">
        <f t="shared" si="11"/>
        <v>4.017110555555556</v>
      </c>
      <c r="L50" s="22">
        <f>Test!B192</f>
        <v>189.3536</v>
      </c>
      <c r="M50" s="23">
        <f>Test!C192</f>
        <v>35.713200000000001</v>
      </c>
      <c r="N50" s="23">
        <f>Test!D192</f>
        <v>45.209499999999998</v>
      </c>
      <c r="O50" s="23">
        <f>Test!E192</f>
        <v>43.198300000000003</v>
      </c>
      <c r="P50" s="23">
        <f>Test!F192</f>
        <v>15821.867</v>
      </c>
      <c r="Q50" s="23">
        <f>Test!G192</f>
        <v>6.077</v>
      </c>
      <c r="R50" s="24">
        <f t="shared" si="12"/>
        <v>4.3949630555555554</v>
      </c>
      <c r="S50" s="22">
        <f t="shared" si="10"/>
        <v>1.0940607670051401</v>
      </c>
      <c r="T50" s="23">
        <f t="shared" si="10"/>
        <v>1.1239134455335675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24.59246102454626</v>
      </c>
      <c r="J75" s="15">
        <f>GEOMEAN(J3:J18)</f>
        <v>34.372311922182547</v>
      </c>
      <c r="Q75" s="15">
        <f>GEOMEAN(Q3:Q18)</f>
        <v>28.075341733731861</v>
      </c>
      <c r="R75" s="15">
        <f>GEOMEAN(R3:R18)</f>
        <v>36.380121480276358</v>
      </c>
      <c r="S75" s="15">
        <f>GEOMEAN(S3:S18)</f>
        <v>1.0584135731876112</v>
      </c>
      <c r="T75" s="15">
        <f>GEOMEAN(T3:T18)</f>
        <v>1.1416239190420698</v>
      </c>
      <c r="V75" s="37">
        <f>AVERAGE(V3:V18)</f>
        <v>-1.4347022171589979E-2</v>
      </c>
      <c r="W75" s="42">
        <f t="shared" ref="W75:AA75" si="17">AVERAGE(W3:W18)</f>
        <v>-7.1903188255419859E-2</v>
      </c>
      <c r="X75" s="42">
        <f t="shared" si="17"/>
        <v>-0.11368934211418416</v>
      </c>
      <c r="Y75" s="37">
        <f>AVERAGE(Y3:Y18)</f>
        <v>-1.4433087791225457E-2</v>
      </c>
      <c r="Z75" s="42">
        <f t="shared" si="17"/>
        <v>-7.149842297983669E-2</v>
      </c>
      <c r="AA75" s="43">
        <f t="shared" si="17"/>
        <v>-0.11229146762215259</v>
      </c>
    </row>
    <row r="76" spans="1:27" x14ac:dyDescent="0.2">
      <c r="B76" s="89" t="s">
        <v>47</v>
      </c>
      <c r="I76" s="15">
        <f>GEOMEAN(I19:I34)</f>
        <v>29.538625978387063</v>
      </c>
      <c r="J76" s="15">
        <f>GEOMEAN(J19:J34)</f>
        <v>44.865961284684687</v>
      </c>
      <c r="Q76" s="15">
        <f>GEOMEAN(Q19:Q34)</f>
        <v>31.915229962217847</v>
      </c>
      <c r="R76" s="15">
        <f>GEOMEAN(R19:R34)</f>
        <v>46.760198534651096</v>
      </c>
      <c r="S76" s="15">
        <f>GEOMEAN(S19:S34)</f>
        <v>1.0422199189703536</v>
      </c>
      <c r="T76" s="15">
        <f>GEOMEAN(T19:T34)</f>
        <v>1.0804574994642508</v>
      </c>
      <c r="V76" s="38">
        <f>AVERAGE(V19:V34)</f>
        <v>-1.1539554798221496E-2</v>
      </c>
      <c r="W76" s="25">
        <f t="shared" ref="W76:AA76" si="18">AVERAGE(W19:W34)</f>
        <v>-9.1964870017043537E-2</v>
      </c>
      <c r="X76" s="25">
        <f t="shared" si="18"/>
        <v>-5.03940381843688E-2</v>
      </c>
      <c r="Y76" s="38">
        <f t="shared" si="18"/>
        <v>-1.1489733207417391E-2</v>
      </c>
      <c r="Z76" s="25">
        <f t="shared" si="18"/>
        <v>-9.1533991266245257E-2</v>
      </c>
      <c r="AA76" s="50">
        <f t="shared" si="18"/>
        <v>-5.0335537822032789E-2</v>
      </c>
    </row>
    <row r="77" spans="1:27" x14ac:dyDescent="0.2">
      <c r="B77" s="89" t="s">
        <v>51</v>
      </c>
      <c r="I77" s="15">
        <f>GEOMEAN(I35:I50)</f>
        <v>9.5128227839833581</v>
      </c>
      <c r="J77" s="15">
        <f>GEOMEAN(J35:J50)</f>
        <v>13.035648941528612</v>
      </c>
      <c r="Q77" s="15">
        <f>GEOMEAN(Q35:Q50)</f>
        <v>10.52218583444759</v>
      </c>
      <c r="R77" s="15">
        <f>GEOMEAN(R35:R50)</f>
        <v>14.140532263176482</v>
      </c>
      <c r="S77" s="15">
        <f>GEOMEAN(S35:S50)</f>
        <v>1.0847585974893788</v>
      </c>
      <c r="T77" s="15">
        <f>GEOMEAN(T35:T50)</f>
        <v>1.1061055244468221</v>
      </c>
      <c r="V77" s="38">
        <f>AVERAGE(V35:V50)</f>
        <v>-1.0481451315756368E-2</v>
      </c>
      <c r="W77" s="25">
        <f t="shared" ref="W77:AA77" si="19">AVERAGE(W35:W50)</f>
        <v>-6.0493177763694506E-2</v>
      </c>
      <c r="X77" s="25">
        <f t="shared" si="19"/>
        <v>-4.0082761072156442E-2</v>
      </c>
      <c r="Y77" s="38">
        <f t="shared" si="19"/>
        <v>-1.0609050931363301E-2</v>
      </c>
      <c r="Z77" s="25">
        <f t="shared" si="19"/>
        <v>-5.9670682438212858E-2</v>
      </c>
      <c r="AA77" s="50">
        <f t="shared" si="19"/>
        <v>-2.45099095222783E-2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19.047320781454633</v>
      </c>
      <c r="J80" s="54">
        <f xml:space="preserve"> GEOMEAN(J3:J50)</f>
        <v>27.190641834226952</v>
      </c>
      <c r="K80" s="4"/>
      <c r="L80" s="4"/>
      <c r="M80" s="4"/>
      <c r="N80" s="4"/>
      <c r="O80" s="4"/>
      <c r="P80" s="4"/>
      <c r="Q80" s="54">
        <f xml:space="preserve"> GEOMEAN(Q3:Q50)</f>
        <v>21.125629828731039</v>
      </c>
      <c r="R80" s="54">
        <f xml:space="preserve"> GEOMEAN(R3:R50)</f>
        <v>28.867028619796269</v>
      </c>
      <c r="S80" s="54">
        <f>GEOMEAN(S3:S50)</f>
        <v>1.06165307887139</v>
      </c>
      <c r="T80" s="54">
        <f>GEOMEAN(T3:T50)</f>
        <v>1.1091129335785612</v>
      </c>
      <c r="U80" s="4"/>
      <c r="V80" s="41">
        <f>AVERAGE(V3:V50)</f>
        <v>-1.2122676095189281E-2</v>
      </c>
      <c r="W80" s="46">
        <f t="shared" ref="W80:AA80" si="23">AVERAGE(W3:W50)</f>
        <v>-7.4787078678719296E-2</v>
      </c>
      <c r="X80" s="47">
        <f t="shared" si="23"/>
        <v>-6.8055380456903139E-2</v>
      </c>
      <c r="Y80" s="46">
        <f t="shared" si="23"/>
        <v>-1.2177290643335384E-2</v>
      </c>
      <c r="Z80" s="46">
        <f t="shared" si="23"/>
        <v>-7.4234365561431606E-2</v>
      </c>
      <c r="AA80" s="47">
        <f t="shared" si="23"/>
        <v>-6.2378971655487891E-2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B1" sqref="B1:G104857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77021.915699999998</v>
      </c>
      <c r="C1">
        <v>40.809899999999999</v>
      </c>
      <c r="D1">
        <v>49.187199999999997</v>
      </c>
      <c r="E1">
        <v>47.707500000000003</v>
      </c>
      <c r="F1">
        <v>116099.383</v>
      </c>
      <c r="G1">
        <v>29.303000000000001</v>
      </c>
    </row>
    <row r="2" spans="1:7" x14ac:dyDescent="0.15">
      <c r="A2" s="141" t="s">
        <v>191</v>
      </c>
      <c r="B2">
        <v>41648.419500000004</v>
      </c>
      <c r="C2">
        <v>40.162399999999998</v>
      </c>
      <c r="D2">
        <v>48.4407</v>
      </c>
      <c r="E2">
        <v>46.614899999999999</v>
      </c>
      <c r="F2">
        <v>64593.004000000001</v>
      </c>
      <c r="G2">
        <v>26.18</v>
      </c>
    </row>
    <row r="3" spans="1:7" x14ac:dyDescent="0.15">
      <c r="A3" s="141" t="s">
        <v>192</v>
      </c>
      <c r="B3">
        <v>24974.724300000002</v>
      </c>
      <c r="C3">
        <v>39.437199999999997</v>
      </c>
      <c r="D3">
        <v>47.550800000000002</v>
      </c>
      <c r="E3">
        <v>45.335900000000002</v>
      </c>
      <c r="F3">
        <v>39183.733999999997</v>
      </c>
      <c r="G3">
        <v>25.306000000000001</v>
      </c>
    </row>
    <row r="4" spans="1:7" x14ac:dyDescent="0.15">
      <c r="A4" s="141" t="s">
        <v>193</v>
      </c>
      <c r="B4">
        <v>14235.710300000001</v>
      </c>
      <c r="C4">
        <v>38.220300000000002</v>
      </c>
      <c r="D4">
        <v>46.0732</v>
      </c>
      <c r="E4">
        <v>43.532499999999999</v>
      </c>
      <c r="F4">
        <v>21951.947</v>
      </c>
      <c r="G4">
        <v>23.937000000000001</v>
      </c>
    </row>
    <row r="5" spans="1:7" x14ac:dyDescent="0.15">
      <c r="A5" s="141" t="s">
        <v>194</v>
      </c>
      <c r="B5">
        <v>325668.84210000001</v>
      </c>
      <c r="C5">
        <v>44.723300000000002</v>
      </c>
      <c r="D5">
        <v>38.966000000000001</v>
      </c>
      <c r="E5">
        <v>39.462299999999999</v>
      </c>
      <c r="F5">
        <v>181246.17199999999</v>
      </c>
      <c r="G5">
        <v>43.972000000000001</v>
      </c>
    </row>
    <row r="6" spans="1:7" x14ac:dyDescent="0.15">
      <c r="A6" s="141" t="s">
        <v>195</v>
      </c>
      <c r="B6">
        <v>208104.7789</v>
      </c>
      <c r="C6">
        <v>41.950499999999998</v>
      </c>
      <c r="D6">
        <v>36.403599999999997</v>
      </c>
      <c r="E6">
        <v>37.210700000000003</v>
      </c>
      <c r="F6">
        <v>144649.56200000001</v>
      </c>
      <c r="G6">
        <v>38.107999999999997</v>
      </c>
    </row>
    <row r="7" spans="1:7" x14ac:dyDescent="0.15">
      <c r="A7" s="141" t="s">
        <v>196</v>
      </c>
      <c r="B7">
        <v>119094.7895</v>
      </c>
      <c r="C7">
        <v>38.707999999999998</v>
      </c>
      <c r="D7">
        <v>34.122500000000002</v>
      </c>
      <c r="E7">
        <v>35.174599999999998</v>
      </c>
      <c r="F7">
        <v>108629.07799999999</v>
      </c>
      <c r="G7">
        <v>33.520000000000003</v>
      </c>
    </row>
    <row r="8" spans="1:7" x14ac:dyDescent="0.15">
      <c r="A8" s="141" t="s">
        <v>197</v>
      </c>
      <c r="B8">
        <v>56287.8842</v>
      </c>
      <c r="C8">
        <v>35.231000000000002</v>
      </c>
      <c r="D8">
        <v>31.7742</v>
      </c>
      <c r="E8">
        <v>33.236800000000002</v>
      </c>
      <c r="F8">
        <v>71228.641000000003</v>
      </c>
      <c r="G8">
        <v>28.597000000000001</v>
      </c>
    </row>
    <row r="9" spans="1:7" x14ac:dyDescent="0.15">
      <c r="A9" s="141" t="s">
        <v>198</v>
      </c>
      <c r="B9">
        <v>125661.85890000001</v>
      </c>
      <c r="C9">
        <v>41.569499999999998</v>
      </c>
      <c r="D9">
        <v>43.9527</v>
      </c>
      <c r="E9">
        <v>42.842100000000002</v>
      </c>
      <c r="F9">
        <v>151437.40599999999</v>
      </c>
      <c r="G9">
        <v>35.847999999999999</v>
      </c>
    </row>
    <row r="10" spans="1:7" x14ac:dyDescent="0.15">
      <c r="A10" s="141" t="s">
        <v>199</v>
      </c>
      <c r="B10">
        <v>56584.945299999999</v>
      </c>
      <c r="C10">
        <v>38.874000000000002</v>
      </c>
      <c r="D10">
        <v>41.349299999999999</v>
      </c>
      <c r="E10">
        <v>41.681800000000003</v>
      </c>
      <c r="F10">
        <v>104476.969</v>
      </c>
      <c r="G10">
        <v>28.556000000000001</v>
      </c>
    </row>
    <row r="11" spans="1:7" x14ac:dyDescent="0.15">
      <c r="A11" s="141" t="s">
        <v>200</v>
      </c>
      <c r="B11">
        <v>25718.987400000002</v>
      </c>
      <c r="C11">
        <v>37.304099999999998</v>
      </c>
      <c r="D11">
        <v>39.045299999999997</v>
      </c>
      <c r="E11">
        <v>40.561799999999998</v>
      </c>
      <c r="F11">
        <v>61651.559000000001</v>
      </c>
      <c r="G11">
        <v>24.568999999999999</v>
      </c>
    </row>
    <row r="12" spans="1:7" x14ac:dyDescent="0.15">
      <c r="A12" s="141" t="s">
        <v>201</v>
      </c>
      <c r="B12">
        <v>12475.484200000001</v>
      </c>
      <c r="C12">
        <v>35.918799999999997</v>
      </c>
      <c r="D12">
        <v>36.352600000000002</v>
      </c>
      <c r="E12">
        <v>39.089500000000001</v>
      </c>
      <c r="F12">
        <v>34967.190999999999</v>
      </c>
      <c r="G12">
        <v>21.952999999999999</v>
      </c>
    </row>
    <row r="13" spans="1:7" x14ac:dyDescent="0.15">
      <c r="A13" s="141" t="s">
        <v>202</v>
      </c>
      <c r="B13">
        <v>179126.4253</v>
      </c>
      <c r="C13">
        <v>38.617400000000004</v>
      </c>
      <c r="D13">
        <v>45.573500000000003</v>
      </c>
      <c r="E13">
        <v>43.353200000000001</v>
      </c>
      <c r="F13">
        <v>179450.859</v>
      </c>
      <c r="G13">
        <v>37.904000000000003</v>
      </c>
    </row>
    <row r="14" spans="1:7" x14ac:dyDescent="0.15">
      <c r="A14" s="141" t="s">
        <v>203</v>
      </c>
      <c r="B14">
        <v>87553.288400000005</v>
      </c>
      <c r="C14">
        <v>37.679400000000001</v>
      </c>
      <c r="D14">
        <v>44.670099999999998</v>
      </c>
      <c r="E14">
        <v>42.222299999999997</v>
      </c>
      <c r="F14">
        <v>114663.79700000001</v>
      </c>
      <c r="G14">
        <v>30.193000000000001</v>
      </c>
    </row>
    <row r="15" spans="1:7" x14ac:dyDescent="0.15">
      <c r="A15" s="141" t="s">
        <v>204</v>
      </c>
      <c r="B15">
        <v>50423.040000000001</v>
      </c>
      <c r="C15">
        <v>36.759099999999997</v>
      </c>
      <c r="D15">
        <v>43.692700000000002</v>
      </c>
      <c r="E15">
        <v>41.050600000000003</v>
      </c>
      <c r="F15">
        <v>72873.702999999994</v>
      </c>
      <c r="G15">
        <v>26.931999999999999</v>
      </c>
    </row>
    <row r="16" spans="1:7" x14ac:dyDescent="0.15">
      <c r="A16" s="141" t="s">
        <v>205</v>
      </c>
      <c r="B16">
        <v>26597.494699999999</v>
      </c>
      <c r="C16">
        <v>35.2562</v>
      </c>
      <c r="D16">
        <v>42.3354</v>
      </c>
      <c r="E16">
        <v>39.679000000000002</v>
      </c>
      <c r="F16">
        <v>43960.059000000001</v>
      </c>
      <c r="G16">
        <v>24.24</v>
      </c>
    </row>
    <row r="17" spans="1:7" x14ac:dyDescent="0.15">
      <c r="A17" s="141" t="s">
        <v>94</v>
      </c>
      <c r="B17">
        <v>68179.834900000002</v>
      </c>
      <c r="C17">
        <v>39.560899999999997</v>
      </c>
      <c r="D17">
        <v>40.447800000000001</v>
      </c>
      <c r="E17">
        <v>43.422699999999999</v>
      </c>
      <c r="F17">
        <v>79137.108999999997</v>
      </c>
      <c r="G17">
        <v>17.774000000000001</v>
      </c>
    </row>
    <row r="18" spans="1:7" x14ac:dyDescent="0.15">
      <c r="A18" s="141" t="s">
        <v>95</v>
      </c>
      <c r="B18">
        <v>40705.104800000001</v>
      </c>
      <c r="C18">
        <v>37.9268</v>
      </c>
      <c r="D18">
        <v>39.423000000000002</v>
      </c>
      <c r="E18">
        <v>41.9925</v>
      </c>
      <c r="F18">
        <v>59761.66</v>
      </c>
      <c r="G18">
        <v>14.984999999999999</v>
      </c>
    </row>
    <row r="19" spans="1:7" x14ac:dyDescent="0.15">
      <c r="A19" s="141" t="s">
        <v>96</v>
      </c>
      <c r="B19">
        <v>23480.685700000002</v>
      </c>
      <c r="C19">
        <v>36.016500000000001</v>
      </c>
      <c r="D19">
        <v>38.529000000000003</v>
      </c>
      <c r="E19">
        <v>40.570599999999999</v>
      </c>
      <c r="F19">
        <v>44204.464999999997</v>
      </c>
      <c r="G19">
        <v>13.132999999999999</v>
      </c>
    </row>
    <row r="20" spans="1:7" x14ac:dyDescent="0.15">
      <c r="A20" s="141" t="s">
        <v>97</v>
      </c>
      <c r="B20">
        <v>11982.596799999999</v>
      </c>
      <c r="C20">
        <v>33.543399999999998</v>
      </c>
      <c r="D20">
        <v>37.332599999999999</v>
      </c>
      <c r="E20">
        <v>38.805700000000002</v>
      </c>
      <c r="F20">
        <v>29324.138999999999</v>
      </c>
      <c r="G20">
        <v>11.2</v>
      </c>
    </row>
    <row r="21" spans="1:7" x14ac:dyDescent="0.15">
      <c r="A21" s="141" t="s">
        <v>98</v>
      </c>
      <c r="B21">
        <v>42890.069799999997</v>
      </c>
      <c r="C21">
        <v>40.205100000000002</v>
      </c>
      <c r="D21">
        <v>44.1554</v>
      </c>
      <c r="E21">
        <v>45.609699999999997</v>
      </c>
      <c r="F21">
        <v>68327.562000000005</v>
      </c>
      <c r="G21">
        <v>15.43</v>
      </c>
    </row>
    <row r="22" spans="1:7" x14ac:dyDescent="0.15">
      <c r="A22" s="141" t="s">
        <v>99</v>
      </c>
      <c r="B22">
        <v>23408.101600000002</v>
      </c>
      <c r="C22">
        <v>38.739100000000001</v>
      </c>
      <c r="D22">
        <v>43.165100000000002</v>
      </c>
      <c r="E22">
        <v>44.130099999999999</v>
      </c>
      <c r="F22">
        <v>48418.641000000003</v>
      </c>
      <c r="G22">
        <v>13.566000000000001</v>
      </c>
    </row>
    <row r="23" spans="1:7" x14ac:dyDescent="0.15">
      <c r="A23" s="141" t="s">
        <v>100</v>
      </c>
      <c r="B23">
        <v>13177.2127</v>
      </c>
      <c r="C23">
        <v>37.291699999999999</v>
      </c>
      <c r="D23">
        <v>42.078299999999999</v>
      </c>
      <c r="E23">
        <v>42.573799999999999</v>
      </c>
      <c r="F23">
        <v>31840.324000000001</v>
      </c>
      <c r="G23">
        <v>11.614000000000001</v>
      </c>
    </row>
    <row r="24" spans="1:7" x14ac:dyDescent="0.15">
      <c r="A24" s="141" t="s">
        <v>101</v>
      </c>
      <c r="B24">
        <v>7044.8316999999997</v>
      </c>
      <c r="C24">
        <v>35.367699999999999</v>
      </c>
      <c r="D24">
        <v>40.5946</v>
      </c>
      <c r="E24">
        <v>40.587400000000002</v>
      </c>
      <c r="F24">
        <v>19572.748</v>
      </c>
      <c r="G24">
        <v>10.534000000000001</v>
      </c>
    </row>
    <row r="25" spans="1:7" x14ac:dyDescent="0.15">
      <c r="A25" s="141" t="s">
        <v>206</v>
      </c>
      <c r="B25">
        <v>65210.7264</v>
      </c>
      <c r="C25">
        <v>41.730200000000004</v>
      </c>
      <c r="D25">
        <v>44.2956</v>
      </c>
      <c r="E25">
        <v>45.124299999999998</v>
      </c>
      <c r="F25">
        <v>82721.633000000002</v>
      </c>
      <c r="G25">
        <v>19.289000000000001</v>
      </c>
    </row>
    <row r="26" spans="1:7" x14ac:dyDescent="0.15">
      <c r="A26" s="141" t="s">
        <v>207</v>
      </c>
      <c r="B26">
        <v>42021.1584</v>
      </c>
      <c r="C26">
        <v>39.9313</v>
      </c>
      <c r="D26">
        <v>42.842100000000002</v>
      </c>
      <c r="E26">
        <v>43.899700000000003</v>
      </c>
      <c r="F26">
        <v>63022.394999999997</v>
      </c>
      <c r="G26">
        <v>17.120999999999999</v>
      </c>
    </row>
    <row r="27" spans="1:7" x14ac:dyDescent="0.15">
      <c r="A27" s="141" t="s">
        <v>208</v>
      </c>
      <c r="B27">
        <v>24716.902399999999</v>
      </c>
      <c r="C27">
        <v>37.710999999999999</v>
      </c>
      <c r="D27">
        <v>41.521500000000003</v>
      </c>
      <c r="E27">
        <v>42.603900000000003</v>
      </c>
      <c r="F27">
        <v>45234.913999999997</v>
      </c>
      <c r="G27">
        <v>15.18</v>
      </c>
    </row>
    <row r="28" spans="1:7" x14ac:dyDescent="0.15">
      <c r="A28" s="141" t="s">
        <v>209</v>
      </c>
      <c r="B28">
        <v>12492.5952</v>
      </c>
      <c r="C28">
        <v>35.024999999999999</v>
      </c>
      <c r="D28">
        <v>39.986499999999999</v>
      </c>
      <c r="E28">
        <v>40.976100000000002</v>
      </c>
      <c r="F28">
        <v>28310.553</v>
      </c>
      <c r="G28">
        <v>12.99</v>
      </c>
    </row>
    <row r="29" spans="1:7" x14ac:dyDescent="0.15">
      <c r="A29" s="141" t="s">
        <v>210</v>
      </c>
      <c r="B29">
        <v>39911.296000000002</v>
      </c>
      <c r="C29">
        <v>44.921799999999998</v>
      </c>
      <c r="D29">
        <v>47.2104</v>
      </c>
      <c r="E29">
        <v>48.206099999999999</v>
      </c>
      <c r="F29">
        <v>55917.550999999999</v>
      </c>
      <c r="G29">
        <v>16.77</v>
      </c>
    </row>
    <row r="30" spans="1:7" x14ac:dyDescent="0.15">
      <c r="A30" s="141" t="s">
        <v>211</v>
      </c>
      <c r="B30">
        <v>26329.7536</v>
      </c>
      <c r="C30">
        <v>42.767099999999999</v>
      </c>
      <c r="D30">
        <v>45.508000000000003</v>
      </c>
      <c r="E30">
        <v>46.402200000000001</v>
      </c>
      <c r="F30">
        <v>45213.883000000002</v>
      </c>
      <c r="G30">
        <v>15.279</v>
      </c>
    </row>
    <row r="31" spans="1:7" x14ac:dyDescent="0.15">
      <c r="A31" s="141" t="s">
        <v>212</v>
      </c>
      <c r="B31">
        <v>15614.2016</v>
      </c>
      <c r="C31">
        <v>40.085299999999997</v>
      </c>
      <c r="D31">
        <v>43.9238</v>
      </c>
      <c r="E31">
        <v>44.636000000000003</v>
      </c>
      <c r="F31">
        <v>33409.519999999997</v>
      </c>
      <c r="G31">
        <v>13.718</v>
      </c>
    </row>
    <row r="32" spans="1:7" x14ac:dyDescent="0.15">
      <c r="A32" s="141" t="s">
        <v>213</v>
      </c>
      <c r="B32">
        <v>8151.4431999999997</v>
      </c>
      <c r="C32">
        <v>37.0139</v>
      </c>
      <c r="D32">
        <v>42.063699999999997</v>
      </c>
      <c r="E32">
        <v>42.4345</v>
      </c>
      <c r="F32">
        <v>21375.525000000001</v>
      </c>
      <c r="G32">
        <v>11.785</v>
      </c>
    </row>
    <row r="33" spans="1:7" x14ac:dyDescent="0.15">
      <c r="A33" s="141" t="s">
        <v>102</v>
      </c>
      <c r="B33">
        <v>54226.937599999997</v>
      </c>
      <c r="C33">
        <v>41.741</v>
      </c>
      <c r="D33">
        <v>46.038200000000003</v>
      </c>
      <c r="E33">
        <v>46.290300000000002</v>
      </c>
      <c r="F33">
        <v>48347.777000000002</v>
      </c>
      <c r="G33">
        <v>10.77</v>
      </c>
    </row>
    <row r="34" spans="1:7" x14ac:dyDescent="0.15">
      <c r="A34" s="141" t="s">
        <v>103</v>
      </c>
      <c r="B34">
        <v>37057.561600000001</v>
      </c>
      <c r="C34">
        <v>38.816699999999997</v>
      </c>
      <c r="D34">
        <v>44.281399999999998</v>
      </c>
      <c r="E34">
        <v>44.496600000000001</v>
      </c>
      <c r="F34">
        <v>41159.608999999997</v>
      </c>
      <c r="G34">
        <v>9.6880000000000006</v>
      </c>
    </row>
    <row r="35" spans="1:7" x14ac:dyDescent="0.15">
      <c r="A35" s="141" t="s">
        <v>104</v>
      </c>
      <c r="B35">
        <v>22045.075199999999</v>
      </c>
      <c r="C35">
        <v>35.4452</v>
      </c>
      <c r="D35">
        <v>42.823399999999999</v>
      </c>
      <c r="E35">
        <v>43.026899999999998</v>
      </c>
      <c r="F35">
        <v>33270.550999999999</v>
      </c>
      <c r="G35">
        <v>8.3819999999999997</v>
      </c>
    </row>
    <row r="36" spans="1:7" x14ac:dyDescent="0.15">
      <c r="A36" s="141" t="s">
        <v>105</v>
      </c>
      <c r="B36">
        <v>10893.1456</v>
      </c>
      <c r="C36">
        <v>31.821999999999999</v>
      </c>
      <c r="D36">
        <v>41.499400000000001</v>
      </c>
      <c r="E36">
        <v>41.667400000000001</v>
      </c>
      <c r="F36">
        <v>23393.895</v>
      </c>
      <c r="G36">
        <v>6.944</v>
      </c>
    </row>
    <row r="37" spans="1:7" x14ac:dyDescent="0.15">
      <c r="A37" s="141" t="s">
        <v>106</v>
      </c>
      <c r="B37">
        <v>20309.324799999999</v>
      </c>
      <c r="C37">
        <v>42.694400000000002</v>
      </c>
      <c r="D37">
        <v>45.4724</v>
      </c>
      <c r="E37">
        <v>46.966200000000001</v>
      </c>
      <c r="F37">
        <v>31377.298999999999</v>
      </c>
      <c r="G37">
        <v>7.875</v>
      </c>
    </row>
    <row r="38" spans="1:7" x14ac:dyDescent="0.15">
      <c r="A38" s="141" t="s">
        <v>107</v>
      </c>
      <c r="B38">
        <v>11570.822399999999</v>
      </c>
      <c r="C38">
        <v>40.680999999999997</v>
      </c>
      <c r="D38">
        <v>44.548900000000003</v>
      </c>
      <c r="E38">
        <v>45.315399999999997</v>
      </c>
      <c r="F38">
        <v>23137.796999999999</v>
      </c>
      <c r="G38">
        <v>6.7990000000000004</v>
      </c>
    </row>
    <row r="39" spans="1:7" x14ac:dyDescent="0.15">
      <c r="A39" s="141" t="s">
        <v>108</v>
      </c>
      <c r="B39">
        <v>6419.5519999999997</v>
      </c>
      <c r="C39">
        <v>38.675699999999999</v>
      </c>
      <c r="D39">
        <v>43.581400000000002</v>
      </c>
      <c r="E39">
        <v>43.5351</v>
      </c>
      <c r="F39">
        <v>15464.049000000001</v>
      </c>
      <c r="G39">
        <v>5.8789999999999996</v>
      </c>
    </row>
    <row r="40" spans="1:7" x14ac:dyDescent="0.15">
      <c r="A40" s="141" t="s">
        <v>109</v>
      </c>
      <c r="B40">
        <v>3275.2447999999999</v>
      </c>
      <c r="C40">
        <v>36.298999999999999</v>
      </c>
      <c r="D40">
        <v>42.2545</v>
      </c>
      <c r="E40">
        <v>41.402299999999997</v>
      </c>
      <c r="F40">
        <v>9507.1929999999993</v>
      </c>
      <c r="G40">
        <v>5.2850000000000001</v>
      </c>
    </row>
    <row r="41" spans="1:7" x14ac:dyDescent="0.15">
      <c r="A41" s="141" t="s">
        <v>110</v>
      </c>
      <c r="B41">
        <v>15316.076800000001</v>
      </c>
      <c r="C41">
        <v>44.216799999999999</v>
      </c>
      <c r="D41">
        <v>47.027299999999997</v>
      </c>
      <c r="E41">
        <v>47.834200000000003</v>
      </c>
      <c r="F41">
        <v>24302.870999999999</v>
      </c>
      <c r="G41">
        <v>7.1859999999999999</v>
      </c>
    </row>
    <row r="42" spans="1:7" x14ac:dyDescent="0.15">
      <c r="A42" s="141" t="s">
        <v>111</v>
      </c>
      <c r="B42">
        <v>10386.771199999999</v>
      </c>
      <c r="C42">
        <v>42.494799999999998</v>
      </c>
      <c r="D42">
        <v>45.884300000000003</v>
      </c>
      <c r="E42">
        <v>46.427199999999999</v>
      </c>
      <c r="F42">
        <v>19200.991999999998</v>
      </c>
      <c r="G42">
        <v>6.6520000000000001</v>
      </c>
    </row>
    <row r="43" spans="1:7" x14ac:dyDescent="0.15">
      <c r="A43" s="141" t="s">
        <v>112</v>
      </c>
      <c r="B43">
        <v>6566.5087999999996</v>
      </c>
      <c r="C43">
        <v>40.151400000000002</v>
      </c>
      <c r="D43">
        <v>44.586599999999997</v>
      </c>
      <c r="E43">
        <v>44.896900000000002</v>
      </c>
      <c r="F43">
        <v>14145.019</v>
      </c>
      <c r="G43">
        <v>5.9459999999999997</v>
      </c>
    </row>
    <row r="44" spans="1:7" x14ac:dyDescent="0.15">
      <c r="A44" s="141" t="s">
        <v>113</v>
      </c>
      <c r="B44">
        <v>3805.2864</v>
      </c>
      <c r="C44">
        <v>37.1693</v>
      </c>
      <c r="D44">
        <v>42.838000000000001</v>
      </c>
      <c r="E44">
        <v>42.988999999999997</v>
      </c>
      <c r="F44">
        <v>9793.7240000000002</v>
      </c>
      <c r="G44">
        <v>5.484</v>
      </c>
    </row>
    <row r="45" spans="1:7" x14ac:dyDescent="0.15">
      <c r="A45" s="141" t="s">
        <v>114</v>
      </c>
      <c r="B45">
        <v>16583.142400000001</v>
      </c>
      <c r="C45">
        <v>44.158000000000001</v>
      </c>
      <c r="D45">
        <v>48.7624</v>
      </c>
      <c r="E45">
        <v>48.401800000000001</v>
      </c>
      <c r="F45">
        <v>25200.213</v>
      </c>
      <c r="G45">
        <v>6.952</v>
      </c>
    </row>
    <row r="46" spans="1:7" x14ac:dyDescent="0.15">
      <c r="A46" s="141" t="s">
        <v>115</v>
      </c>
      <c r="B46">
        <v>11518.316800000001</v>
      </c>
      <c r="C46">
        <v>42.420099999999998</v>
      </c>
      <c r="D46">
        <v>47.731400000000001</v>
      </c>
      <c r="E46">
        <v>46.951599999999999</v>
      </c>
      <c r="F46">
        <v>19920.344000000001</v>
      </c>
      <c r="G46">
        <v>6.3259999999999996</v>
      </c>
    </row>
    <row r="47" spans="1:7" x14ac:dyDescent="0.15">
      <c r="A47" s="141" t="s">
        <v>116</v>
      </c>
      <c r="B47">
        <v>7499.2064</v>
      </c>
      <c r="C47">
        <v>40.040100000000002</v>
      </c>
      <c r="D47">
        <v>46.484299999999998</v>
      </c>
      <c r="E47">
        <v>45.282499999999999</v>
      </c>
      <c r="F47">
        <v>14962.897999999999</v>
      </c>
      <c r="G47">
        <v>5.7210000000000001</v>
      </c>
    </row>
    <row r="48" spans="1:7" x14ac:dyDescent="0.15">
      <c r="A48" s="141" t="s">
        <v>117</v>
      </c>
      <c r="B48">
        <v>4363.6095999999998</v>
      </c>
      <c r="C48">
        <v>36.811399999999999</v>
      </c>
      <c r="D48">
        <v>44.476500000000001</v>
      </c>
      <c r="E48">
        <v>43.052900000000001</v>
      </c>
      <c r="F48">
        <v>10206.111000000001</v>
      </c>
      <c r="G48">
        <v>5.0190000000000001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14645.343999999999</v>
      </c>
      <c r="C73">
        <v>40.086500000000001</v>
      </c>
      <c r="D73">
        <v>48.993699999999997</v>
      </c>
      <c r="E73">
        <v>46.991100000000003</v>
      </c>
      <c r="F73">
        <v>384553.77299999999</v>
      </c>
      <c r="G73">
        <v>71.62</v>
      </c>
    </row>
    <row r="74" spans="1:7" x14ac:dyDescent="0.15">
      <c r="A74" s="141" t="s">
        <v>223</v>
      </c>
      <c r="B74">
        <v>6760.3239999999996</v>
      </c>
      <c r="C74">
        <v>39.586199999999998</v>
      </c>
      <c r="D74">
        <v>48.442100000000003</v>
      </c>
      <c r="E74">
        <v>46.127699999999997</v>
      </c>
      <c r="F74">
        <v>213320.86300000001</v>
      </c>
      <c r="G74">
        <v>64.662999999999997</v>
      </c>
    </row>
    <row r="75" spans="1:7" x14ac:dyDescent="0.15">
      <c r="A75" s="141" t="s">
        <v>224</v>
      </c>
      <c r="B75">
        <v>3653.4560000000001</v>
      </c>
      <c r="C75">
        <v>38.732999999999997</v>
      </c>
      <c r="D75">
        <v>47.477699999999999</v>
      </c>
      <c r="E75">
        <v>44.82</v>
      </c>
      <c r="F75">
        <v>108198.00599999999</v>
      </c>
      <c r="G75">
        <v>59.585999999999999</v>
      </c>
    </row>
    <row r="76" spans="1:7" x14ac:dyDescent="0.15">
      <c r="A76" s="141" t="s">
        <v>225</v>
      </c>
      <c r="B76">
        <v>1934.24</v>
      </c>
      <c r="C76">
        <v>37.229100000000003</v>
      </c>
      <c r="D76">
        <v>46.270899999999997</v>
      </c>
      <c r="E76">
        <v>43.169499999999999</v>
      </c>
      <c r="F76">
        <v>54864.531999999999</v>
      </c>
      <c r="G76">
        <v>54.249000000000002</v>
      </c>
    </row>
    <row r="77" spans="1:7" x14ac:dyDescent="0.15">
      <c r="A77" s="141" t="s">
        <v>226</v>
      </c>
      <c r="B77">
        <v>76945.892000000007</v>
      </c>
      <c r="C77">
        <v>41.662500000000001</v>
      </c>
      <c r="D77">
        <v>36.344099999999997</v>
      </c>
      <c r="E77">
        <v>37.424399999999999</v>
      </c>
      <c r="F77">
        <v>717424.98600000003</v>
      </c>
      <c r="G77">
        <v>78.513999999999996</v>
      </c>
    </row>
    <row r="78" spans="1:7" x14ac:dyDescent="0.15">
      <c r="A78" s="141" t="s">
        <v>227</v>
      </c>
      <c r="B78">
        <v>39972.743999999999</v>
      </c>
      <c r="C78">
        <v>39.052100000000003</v>
      </c>
      <c r="D78">
        <v>34.421300000000002</v>
      </c>
      <c r="E78">
        <v>35.7196</v>
      </c>
      <c r="F78">
        <v>479018.54399999999</v>
      </c>
      <c r="G78">
        <v>71.444000000000003</v>
      </c>
    </row>
    <row r="79" spans="1:7" x14ac:dyDescent="0.15">
      <c r="A79" s="141" t="s">
        <v>228</v>
      </c>
      <c r="B79">
        <v>18881.848000000002</v>
      </c>
      <c r="C79">
        <v>36.131300000000003</v>
      </c>
      <c r="D79">
        <v>32.689300000000003</v>
      </c>
      <c r="E79">
        <v>34.180100000000003</v>
      </c>
      <c r="F79">
        <v>299586.82500000001</v>
      </c>
      <c r="G79">
        <v>63.439</v>
      </c>
    </row>
    <row r="80" spans="1:7" x14ac:dyDescent="0.15">
      <c r="A80" s="141" t="s">
        <v>229</v>
      </c>
      <c r="B80">
        <v>7817.96</v>
      </c>
      <c r="C80">
        <v>33.053400000000003</v>
      </c>
      <c r="D80">
        <v>31.087199999999999</v>
      </c>
      <c r="E80">
        <v>32.799300000000002</v>
      </c>
      <c r="F80">
        <v>171624.948</v>
      </c>
      <c r="G80">
        <v>59.472000000000001</v>
      </c>
    </row>
    <row r="81" spans="1:7" x14ac:dyDescent="0.15">
      <c r="A81" s="141" t="s">
        <v>230</v>
      </c>
      <c r="B81">
        <v>39120.720000000001</v>
      </c>
      <c r="C81">
        <v>38.330300000000001</v>
      </c>
      <c r="D81">
        <v>40.482500000000002</v>
      </c>
      <c r="E81">
        <v>41.447099999999999</v>
      </c>
      <c r="F81">
        <v>419497.33899999998</v>
      </c>
      <c r="G81">
        <v>44.161999999999999</v>
      </c>
    </row>
    <row r="82" spans="1:7" x14ac:dyDescent="0.15">
      <c r="A82" s="141" t="s">
        <v>231</v>
      </c>
      <c r="B82">
        <v>19016.995999999999</v>
      </c>
      <c r="C82">
        <v>37.202199999999998</v>
      </c>
      <c r="D82">
        <v>37.963299999999997</v>
      </c>
      <c r="E82">
        <v>40.2104</v>
      </c>
      <c r="F82">
        <v>252164.932</v>
      </c>
      <c r="G82">
        <v>36.927999999999997</v>
      </c>
    </row>
    <row r="83" spans="1:7" x14ac:dyDescent="0.15">
      <c r="A83" s="141" t="s">
        <v>232</v>
      </c>
      <c r="B83">
        <v>9405.5519999999997</v>
      </c>
      <c r="C83">
        <v>35.822200000000002</v>
      </c>
      <c r="D83">
        <v>35.745699999999999</v>
      </c>
      <c r="E83">
        <v>38.892899999999997</v>
      </c>
      <c r="F83">
        <v>155990.02299999999</v>
      </c>
      <c r="G83">
        <v>34.119999999999997</v>
      </c>
    </row>
    <row r="84" spans="1:7" x14ac:dyDescent="0.15">
      <c r="A84" s="141" t="s">
        <v>233</v>
      </c>
      <c r="B84">
        <v>4771.1880000000001</v>
      </c>
      <c r="C84">
        <v>33.9876</v>
      </c>
      <c r="D84">
        <v>33.861400000000003</v>
      </c>
      <c r="E84">
        <v>37.4054</v>
      </c>
      <c r="F84">
        <v>89919.191000000006</v>
      </c>
      <c r="G84">
        <v>30.62</v>
      </c>
    </row>
    <row r="85" spans="1:7" x14ac:dyDescent="0.15">
      <c r="A85" s="141" t="s">
        <v>234</v>
      </c>
      <c r="B85">
        <v>25441.756000000001</v>
      </c>
      <c r="C85">
        <v>37.631300000000003</v>
      </c>
      <c r="D85">
        <v>45.2136</v>
      </c>
      <c r="E85">
        <v>42.8217</v>
      </c>
      <c r="F85">
        <v>558515.14899999998</v>
      </c>
      <c r="G85">
        <v>77.436000000000007</v>
      </c>
    </row>
    <row r="86" spans="1:7" x14ac:dyDescent="0.15">
      <c r="A86" s="141" t="s">
        <v>235</v>
      </c>
      <c r="B86">
        <v>9101.2520000000004</v>
      </c>
      <c r="C86">
        <v>37.067599999999999</v>
      </c>
      <c r="D86">
        <v>44.642200000000003</v>
      </c>
      <c r="E86">
        <v>42.163400000000003</v>
      </c>
      <c r="F86">
        <v>295095.34399999998</v>
      </c>
      <c r="G86">
        <v>64.497</v>
      </c>
    </row>
    <row r="87" spans="1:7" x14ac:dyDescent="0.15">
      <c r="A87" s="141" t="s">
        <v>236</v>
      </c>
      <c r="B87">
        <v>4490.7839999999997</v>
      </c>
      <c r="C87">
        <v>36.212200000000003</v>
      </c>
      <c r="D87">
        <v>43.781999999999996</v>
      </c>
      <c r="E87">
        <v>41.230499999999999</v>
      </c>
      <c r="F87">
        <v>152478.39600000001</v>
      </c>
      <c r="G87">
        <v>53.375</v>
      </c>
    </row>
    <row r="88" spans="1:7" x14ac:dyDescent="0.15">
      <c r="A88" s="141" t="s">
        <v>237</v>
      </c>
      <c r="B88">
        <v>2180.16</v>
      </c>
      <c r="C88">
        <v>34.7408</v>
      </c>
      <c r="D88">
        <v>42.538200000000003</v>
      </c>
      <c r="E88">
        <v>40.014800000000001</v>
      </c>
      <c r="F88">
        <v>73116.748999999996</v>
      </c>
      <c r="G88">
        <v>43.838999999999999</v>
      </c>
    </row>
    <row r="89" spans="1:7" x14ac:dyDescent="0.15">
      <c r="A89" s="141" t="s">
        <v>118</v>
      </c>
      <c r="B89">
        <v>9908.152</v>
      </c>
      <c r="C89">
        <v>38.006100000000004</v>
      </c>
      <c r="D89">
        <v>39.775799999999997</v>
      </c>
      <c r="E89">
        <v>43.214799999999997</v>
      </c>
      <c r="F89">
        <v>119146.42200000001</v>
      </c>
      <c r="G89">
        <v>14.337</v>
      </c>
    </row>
    <row r="90" spans="1:7" x14ac:dyDescent="0.15">
      <c r="A90" s="141" t="s">
        <v>119</v>
      </c>
      <c r="B90">
        <v>4570.3119999999999</v>
      </c>
      <c r="C90">
        <v>36.898699999999998</v>
      </c>
      <c r="D90">
        <v>39.2637</v>
      </c>
      <c r="E90">
        <v>42.116100000000003</v>
      </c>
      <c r="F90">
        <v>73452.239000000001</v>
      </c>
      <c r="G90">
        <v>12.337999999999999</v>
      </c>
    </row>
    <row r="91" spans="1:7" x14ac:dyDescent="0.15">
      <c r="A91" s="141" t="s">
        <v>120</v>
      </c>
      <c r="B91">
        <v>2324.9079999999999</v>
      </c>
      <c r="C91">
        <v>35.3598</v>
      </c>
      <c r="D91">
        <v>38.572200000000002</v>
      </c>
      <c r="E91">
        <v>40.793300000000002</v>
      </c>
      <c r="F91">
        <v>42347.1</v>
      </c>
      <c r="G91">
        <v>10.535</v>
      </c>
    </row>
    <row r="92" spans="1:7" x14ac:dyDescent="0.15">
      <c r="A92" s="141" t="s">
        <v>121</v>
      </c>
      <c r="B92">
        <v>1110.2639999999999</v>
      </c>
      <c r="C92">
        <v>33.159199999999998</v>
      </c>
      <c r="D92">
        <v>37.520000000000003</v>
      </c>
      <c r="E92">
        <v>39.057400000000001</v>
      </c>
      <c r="F92">
        <v>22529.323</v>
      </c>
      <c r="G92">
        <v>9.2929999999999993</v>
      </c>
    </row>
    <row r="93" spans="1:7" x14ac:dyDescent="0.15">
      <c r="A93" s="141" t="s">
        <v>122</v>
      </c>
      <c r="B93">
        <v>8721.2279999999992</v>
      </c>
      <c r="C93">
        <v>38.941600000000001</v>
      </c>
      <c r="D93">
        <v>44.001199999999997</v>
      </c>
      <c r="E93">
        <v>45.1357</v>
      </c>
      <c r="F93">
        <v>128823.71799999999</v>
      </c>
      <c r="G93">
        <v>16.553000000000001</v>
      </c>
    </row>
    <row r="94" spans="1:7" x14ac:dyDescent="0.15">
      <c r="A94" s="141" t="s">
        <v>123</v>
      </c>
      <c r="B94">
        <v>4341.4120000000003</v>
      </c>
      <c r="C94">
        <v>37.900599999999997</v>
      </c>
      <c r="D94">
        <v>43.1661</v>
      </c>
      <c r="E94">
        <v>43.7423</v>
      </c>
      <c r="F94">
        <v>79758.191999999995</v>
      </c>
      <c r="G94">
        <v>14.388999999999999</v>
      </c>
    </row>
    <row r="95" spans="1:7" x14ac:dyDescent="0.15">
      <c r="A95" s="141" t="s">
        <v>124</v>
      </c>
      <c r="B95">
        <v>2215.4639999999999</v>
      </c>
      <c r="C95">
        <v>36.409599999999998</v>
      </c>
      <c r="D95">
        <v>42.089700000000001</v>
      </c>
      <c r="E95">
        <v>42.131700000000002</v>
      </c>
      <c r="F95">
        <v>45251.025999999998</v>
      </c>
      <c r="G95">
        <v>12.712999999999999</v>
      </c>
    </row>
    <row r="96" spans="1:7" x14ac:dyDescent="0.15">
      <c r="A96" s="141" t="s">
        <v>125</v>
      </c>
      <c r="B96">
        <v>1091.3920000000001</v>
      </c>
      <c r="C96">
        <v>34.3431</v>
      </c>
      <c r="D96">
        <v>40.765000000000001</v>
      </c>
      <c r="E96">
        <v>40.247700000000002</v>
      </c>
      <c r="F96">
        <v>24308.828000000001</v>
      </c>
      <c r="G96">
        <v>10.304</v>
      </c>
    </row>
    <row r="97" spans="1:7" x14ac:dyDescent="0.15">
      <c r="A97" s="141" t="s">
        <v>238</v>
      </c>
      <c r="B97">
        <v>6818.6639999999998</v>
      </c>
      <c r="C97">
        <v>39.702399999999997</v>
      </c>
      <c r="D97">
        <v>43.778100000000002</v>
      </c>
      <c r="E97">
        <v>44.973799999999997</v>
      </c>
      <c r="F97">
        <v>120134.077</v>
      </c>
      <c r="G97">
        <v>17.141999999999999</v>
      </c>
    </row>
    <row r="98" spans="1:7" x14ac:dyDescent="0.15">
      <c r="A98" s="141" t="s">
        <v>239</v>
      </c>
      <c r="B98">
        <v>3198.48</v>
      </c>
      <c r="C98">
        <v>38.504199999999997</v>
      </c>
      <c r="D98">
        <v>43.046300000000002</v>
      </c>
      <c r="E98">
        <v>44.333300000000001</v>
      </c>
      <c r="F98">
        <v>71197.596000000005</v>
      </c>
      <c r="G98">
        <v>14.928000000000001</v>
      </c>
    </row>
    <row r="99" spans="1:7" x14ac:dyDescent="0.15">
      <c r="A99" s="141" t="s">
        <v>240</v>
      </c>
      <c r="B99">
        <v>1522.2080000000001</v>
      </c>
      <c r="C99">
        <v>36.7941</v>
      </c>
      <c r="D99">
        <v>42.108899999999998</v>
      </c>
      <c r="E99">
        <v>43.379199999999997</v>
      </c>
      <c r="F99">
        <v>38610.038</v>
      </c>
      <c r="G99">
        <v>12.558999999999999</v>
      </c>
    </row>
    <row r="100" spans="1:7" x14ac:dyDescent="0.15">
      <c r="A100" s="141" t="s">
        <v>241</v>
      </c>
      <c r="B100">
        <v>687.94</v>
      </c>
      <c r="C100">
        <v>34.559800000000003</v>
      </c>
      <c r="D100">
        <v>40.8643</v>
      </c>
      <c r="E100">
        <v>42.130099999999999</v>
      </c>
      <c r="F100">
        <v>19278.475999999999</v>
      </c>
      <c r="G100">
        <v>10.648</v>
      </c>
    </row>
    <row r="101" spans="1:7" x14ac:dyDescent="0.15">
      <c r="A101" s="141" t="s">
        <v>242</v>
      </c>
      <c r="B101">
        <v>5711.1360000000004</v>
      </c>
      <c r="C101">
        <v>44.877899999999997</v>
      </c>
      <c r="D101">
        <v>47.399000000000001</v>
      </c>
      <c r="E101">
        <v>48.422899999999998</v>
      </c>
      <c r="F101">
        <v>90087.963000000003</v>
      </c>
      <c r="G101">
        <v>16.683</v>
      </c>
    </row>
    <row r="102" spans="1:7" x14ac:dyDescent="0.15">
      <c r="A102" s="141" t="s">
        <v>243</v>
      </c>
      <c r="B102">
        <v>3501.64</v>
      </c>
      <c r="C102">
        <v>42.630899999999997</v>
      </c>
      <c r="D102">
        <v>45.914999999999999</v>
      </c>
      <c r="E102">
        <v>46.709499999999998</v>
      </c>
      <c r="F102">
        <v>62089.3</v>
      </c>
      <c r="G102">
        <v>15.252000000000001</v>
      </c>
    </row>
    <row r="103" spans="1:7" x14ac:dyDescent="0.15">
      <c r="A103" s="141" t="s">
        <v>244</v>
      </c>
      <c r="B103">
        <v>1952.788</v>
      </c>
      <c r="C103">
        <v>39.814900000000002</v>
      </c>
      <c r="D103">
        <v>44.2592</v>
      </c>
      <c r="E103">
        <v>44.818100000000001</v>
      </c>
      <c r="F103">
        <v>39584.514999999999</v>
      </c>
      <c r="G103">
        <v>13.234999999999999</v>
      </c>
    </row>
    <row r="104" spans="1:7" x14ac:dyDescent="0.15">
      <c r="A104" s="141" t="s">
        <v>245</v>
      </c>
      <c r="B104">
        <v>994.072</v>
      </c>
      <c r="C104">
        <v>36.636200000000002</v>
      </c>
      <c r="D104">
        <v>42.594499999999996</v>
      </c>
      <c r="E104">
        <v>42.903300000000002</v>
      </c>
      <c r="F104">
        <v>22767.442999999999</v>
      </c>
      <c r="G104">
        <v>10.952</v>
      </c>
    </row>
    <row r="105" spans="1:7" x14ac:dyDescent="0.15">
      <c r="A105" s="141" t="s">
        <v>126</v>
      </c>
      <c r="B105">
        <v>4178.2120000000004</v>
      </c>
      <c r="C105">
        <v>38.607999999999997</v>
      </c>
      <c r="D105">
        <v>46.0565</v>
      </c>
      <c r="E105">
        <v>46.276400000000002</v>
      </c>
      <c r="F105">
        <v>57262.519</v>
      </c>
      <c r="G105">
        <v>7.1539999999999999</v>
      </c>
    </row>
    <row r="106" spans="1:7" x14ac:dyDescent="0.15">
      <c r="A106" s="141" t="s">
        <v>127</v>
      </c>
      <c r="B106">
        <v>1762.0239999999999</v>
      </c>
      <c r="C106">
        <v>37.011400000000002</v>
      </c>
      <c r="D106">
        <v>45.013500000000001</v>
      </c>
      <c r="E106">
        <v>45.209499999999998</v>
      </c>
      <c r="F106">
        <v>30539.178</v>
      </c>
      <c r="G106">
        <v>5.7409999999999997</v>
      </c>
    </row>
    <row r="107" spans="1:7" x14ac:dyDescent="0.15">
      <c r="A107" s="141" t="s">
        <v>128</v>
      </c>
      <c r="B107">
        <v>813.66800000000001</v>
      </c>
      <c r="C107">
        <v>35.026600000000002</v>
      </c>
      <c r="D107">
        <v>43.6995</v>
      </c>
      <c r="E107">
        <v>43.854999999999997</v>
      </c>
      <c r="F107">
        <v>16230.044</v>
      </c>
      <c r="G107">
        <v>4.8339999999999996</v>
      </c>
    </row>
    <row r="108" spans="1:7" x14ac:dyDescent="0.15">
      <c r="A108" s="141" t="s">
        <v>129</v>
      </c>
      <c r="B108">
        <v>391.43599999999998</v>
      </c>
      <c r="C108">
        <v>32.392899999999997</v>
      </c>
      <c r="D108">
        <v>42.061199999999999</v>
      </c>
      <c r="E108">
        <v>42.203200000000002</v>
      </c>
      <c r="F108">
        <v>8551.5409999999993</v>
      </c>
      <c r="G108">
        <v>4.0540000000000003</v>
      </c>
    </row>
    <row r="109" spans="1:7" x14ac:dyDescent="0.15">
      <c r="A109" s="141" t="s">
        <v>130</v>
      </c>
      <c r="B109">
        <v>2474.4879999999998</v>
      </c>
      <c r="C109">
        <v>40.623399999999997</v>
      </c>
      <c r="D109">
        <v>46.116199999999999</v>
      </c>
      <c r="E109">
        <v>47.258499999999998</v>
      </c>
      <c r="F109">
        <v>45121.449000000001</v>
      </c>
      <c r="G109">
        <v>7.093</v>
      </c>
    </row>
    <row r="110" spans="1:7" x14ac:dyDescent="0.15">
      <c r="A110" s="141" t="s">
        <v>131</v>
      </c>
      <c r="B110">
        <v>1129.1079999999999</v>
      </c>
      <c r="C110">
        <v>39.5092</v>
      </c>
      <c r="D110">
        <v>45.578899999999997</v>
      </c>
      <c r="E110">
        <v>46.065100000000001</v>
      </c>
      <c r="F110">
        <v>25110.633999999998</v>
      </c>
      <c r="G110">
        <v>6.0640000000000001</v>
      </c>
    </row>
    <row r="111" spans="1:7" x14ac:dyDescent="0.15">
      <c r="A111" s="141" t="s">
        <v>132</v>
      </c>
      <c r="B111">
        <v>532.24</v>
      </c>
      <c r="C111">
        <v>37.952100000000002</v>
      </c>
      <c r="D111">
        <v>44.782299999999999</v>
      </c>
      <c r="E111">
        <v>44.485900000000001</v>
      </c>
      <c r="F111">
        <v>12915.337</v>
      </c>
      <c r="G111">
        <v>5.0620000000000003</v>
      </c>
    </row>
    <row r="112" spans="1:7" x14ac:dyDescent="0.15">
      <c r="A112" s="141" t="s">
        <v>133</v>
      </c>
      <c r="B112">
        <v>241.172</v>
      </c>
      <c r="C112">
        <v>35.855899999999998</v>
      </c>
      <c r="D112">
        <v>43.6524</v>
      </c>
      <c r="E112">
        <v>42.4315</v>
      </c>
      <c r="F112">
        <v>6536.0550000000003</v>
      </c>
      <c r="G112">
        <v>4.6340000000000003</v>
      </c>
    </row>
    <row r="113" spans="1:7" x14ac:dyDescent="0.15">
      <c r="A113" s="141" t="s">
        <v>134</v>
      </c>
      <c r="B113">
        <v>941.52800000000002</v>
      </c>
      <c r="C113">
        <v>43.515999999999998</v>
      </c>
      <c r="D113">
        <v>47.164700000000003</v>
      </c>
      <c r="E113">
        <v>48.170299999999997</v>
      </c>
      <c r="F113">
        <v>19720.375</v>
      </c>
      <c r="G113">
        <v>4.7549999999999999</v>
      </c>
    </row>
    <row r="114" spans="1:7" x14ac:dyDescent="0.15">
      <c r="A114" s="141" t="s">
        <v>135</v>
      </c>
      <c r="B114">
        <v>512.17600000000004</v>
      </c>
      <c r="C114">
        <v>42.242100000000001</v>
      </c>
      <c r="D114">
        <v>46.4071</v>
      </c>
      <c r="E114">
        <v>47.182099999999998</v>
      </c>
      <c r="F114">
        <v>11092.546</v>
      </c>
      <c r="G114">
        <v>4.41</v>
      </c>
    </row>
    <row r="115" spans="1:7" x14ac:dyDescent="0.15">
      <c r="A115" s="141" t="s">
        <v>136</v>
      </c>
      <c r="B115">
        <v>292.596</v>
      </c>
      <c r="C115">
        <v>40.473700000000001</v>
      </c>
      <c r="D115">
        <v>45.404699999999998</v>
      </c>
      <c r="E115">
        <v>45.8476</v>
      </c>
      <c r="F115">
        <v>6220.0110000000004</v>
      </c>
      <c r="G115">
        <v>4.3079999999999998</v>
      </c>
    </row>
    <row r="116" spans="1:7" x14ac:dyDescent="0.15">
      <c r="A116" s="141" t="s">
        <v>137</v>
      </c>
      <c r="B116">
        <v>164.40799999999999</v>
      </c>
      <c r="C116">
        <v>37.944200000000002</v>
      </c>
      <c r="D116">
        <v>43.776800000000001</v>
      </c>
      <c r="E116">
        <v>43.944200000000002</v>
      </c>
      <c r="F116">
        <v>3507.9090000000001</v>
      </c>
      <c r="G116">
        <v>4.1559999999999997</v>
      </c>
    </row>
    <row r="117" spans="1:7" x14ac:dyDescent="0.15">
      <c r="A117" s="141" t="s">
        <v>138</v>
      </c>
      <c r="B117">
        <v>1313.84</v>
      </c>
      <c r="C117">
        <v>42.8887</v>
      </c>
      <c r="D117">
        <v>48.919499999999999</v>
      </c>
      <c r="E117">
        <v>48.636200000000002</v>
      </c>
      <c r="F117">
        <v>22465.194</v>
      </c>
      <c r="G117">
        <v>4.7380000000000004</v>
      </c>
    </row>
    <row r="118" spans="1:7" x14ac:dyDescent="0.15">
      <c r="A118" s="141" t="s">
        <v>139</v>
      </c>
      <c r="B118">
        <v>708.09199999999998</v>
      </c>
      <c r="C118">
        <v>41.622599999999998</v>
      </c>
      <c r="D118">
        <v>48.1736</v>
      </c>
      <c r="E118">
        <v>47.572699999999998</v>
      </c>
      <c r="F118">
        <v>13025.986999999999</v>
      </c>
      <c r="G118">
        <v>4.5069999999999997</v>
      </c>
    </row>
    <row r="119" spans="1:7" x14ac:dyDescent="0.15">
      <c r="A119" s="141" t="s">
        <v>140</v>
      </c>
      <c r="B119">
        <v>401.84800000000001</v>
      </c>
      <c r="C119">
        <v>39.780099999999997</v>
      </c>
      <c r="D119">
        <v>47.137300000000003</v>
      </c>
      <c r="E119">
        <v>46.276800000000001</v>
      </c>
      <c r="F119">
        <v>7516.509</v>
      </c>
      <c r="G119">
        <v>4.266</v>
      </c>
    </row>
    <row r="120" spans="1:7" x14ac:dyDescent="0.15">
      <c r="A120" s="141" t="s">
        <v>141</v>
      </c>
      <c r="B120">
        <v>221.26</v>
      </c>
      <c r="C120">
        <v>37.018000000000001</v>
      </c>
      <c r="D120">
        <v>45.451000000000001</v>
      </c>
      <c r="E120">
        <v>43.989199999999997</v>
      </c>
      <c r="F120">
        <v>4414.4409999999998</v>
      </c>
      <c r="G120">
        <v>4.2309999999999999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16887.919999999998</v>
      </c>
      <c r="C145">
        <v>40.1614</v>
      </c>
      <c r="D145">
        <v>48.697800000000001</v>
      </c>
      <c r="E145">
        <v>46.558</v>
      </c>
      <c r="F145">
        <v>222970.71900000001</v>
      </c>
      <c r="G145">
        <v>35.598999999999997</v>
      </c>
    </row>
    <row r="146" spans="1:7" x14ac:dyDescent="0.15">
      <c r="A146" s="141" t="s">
        <v>255</v>
      </c>
      <c r="B146">
        <v>8481.9519999999993</v>
      </c>
      <c r="C146">
        <v>39.551400000000001</v>
      </c>
      <c r="D146">
        <v>47.838900000000002</v>
      </c>
      <c r="E146">
        <v>45.450299999999999</v>
      </c>
      <c r="F146">
        <v>129810.156</v>
      </c>
      <c r="G146">
        <v>31.489000000000001</v>
      </c>
    </row>
    <row r="147" spans="1:7" x14ac:dyDescent="0.15">
      <c r="A147" s="141" t="s">
        <v>256</v>
      </c>
      <c r="B147">
        <v>4625.3280000000004</v>
      </c>
      <c r="C147">
        <v>38.548200000000001</v>
      </c>
      <c r="D147">
        <v>46.832999999999998</v>
      </c>
      <c r="E147">
        <v>44.0899</v>
      </c>
      <c r="F147">
        <v>69991.702999999994</v>
      </c>
      <c r="G147">
        <v>27.562999999999999</v>
      </c>
    </row>
    <row r="148" spans="1:7" x14ac:dyDescent="0.15">
      <c r="A148" s="141" t="s">
        <v>257</v>
      </c>
      <c r="B148">
        <v>2520.3359999999998</v>
      </c>
      <c r="C148">
        <v>36.998199999999997</v>
      </c>
      <c r="D148">
        <v>45.413400000000003</v>
      </c>
      <c r="E148">
        <v>42.4377</v>
      </c>
      <c r="F148">
        <v>36360.531000000003</v>
      </c>
      <c r="G148">
        <v>24.186</v>
      </c>
    </row>
    <row r="149" spans="1:7" x14ac:dyDescent="0.15">
      <c r="A149" s="141" t="s">
        <v>258</v>
      </c>
      <c r="B149">
        <v>92812.032000000007</v>
      </c>
      <c r="C149">
        <v>41.731999999999999</v>
      </c>
      <c r="D149">
        <v>36.531399999999998</v>
      </c>
      <c r="E149">
        <v>37.522500000000001</v>
      </c>
      <c r="F149">
        <v>379342.53100000002</v>
      </c>
      <c r="G149">
        <v>36.466999999999999</v>
      </c>
    </row>
    <row r="150" spans="1:7" x14ac:dyDescent="0.15">
      <c r="A150" s="141" t="s">
        <v>259</v>
      </c>
      <c r="B150">
        <v>47515.383999999998</v>
      </c>
      <c r="C150">
        <v>38.941600000000001</v>
      </c>
      <c r="D150">
        <v>34.2254</v>
      </c>
      <c r="E150">
        <v>35.557000000000002</v>
      </c>
      <c r="F150">
        <v>265330.53100000002</v>
      </c>
      <c r="G150">
        <v>31.634</v>
      </c>
    </row>
    <row r="151" spans="1:7" x14ac:dyDescent="0.15">
      <c r="A151" s="141" t="s">
        <v>260</v>
      </c>
      <c r="B151">
        <v>22039.096000000001</v>
      </c>
      <c r="C151">
        <v>35.8324</v>
      </c>
      <c r="D151">
        <v>32.302300000000002</v>
      </c>
      <c r="E151">
        <v>33.858699999999999</v>
      </c>
      <c r="F151">
        <v>171939.56200000001</v>
      </c>
      <c r="G151">
        <v>27.873999999999999</v>
      </c>
    </row>
    <row r="152" spans="1:7" x14ac:dyDescent="0.15">
      <c r="A152" s="141" t="s">
        <v>261</v>
      </c>
      <c r="B152">
        <v>9267.8960000000006</v>
      </c>
      <c r="C152">
        <v>32.791899999999998</v>
      </c>
      <c r="D152">
        <v>30.613</v>
      </c>
      <c r="E152">
        <v>32.380000000000003</v>
      </c>
      <c r="F152">
        <v>98477.945000000007</v>
      </c>
      <c r="G152">
        <v>23.696000000000002</v>
      </c>
    </row>
    <row r="153" spans="1:7" x14ac:dyDescent="0.15">
      <c r="A153" s="141" t="s">
        <v>262</v>
      </c>
      <c r="B153">
        <v>47073.303999999996</v>
      </c>
      <c r="C153">
        <v>38.920499999999997</v>
      </c>
      <c r="D153">
        <v>41.244199999999999</v>
      </c>
      <c r="E153">
        <v>41.406700000000001</v>
      </c>
      <c r="F153">
        <v>210986.78099999999</v>
      </c>
      <c r="G153">
        <v>20.306999999999999</v>
      </c>
    </row>
    <row r="154" spans="1:7" x14ac:dyDescent="0.15">
      <c r="A154" s="141" t="s">
        <v>263</v>
      </c>
      <c r="B154">
        <v>23222.704000000002</v>
      </c>
      <c r="C154">
        <v>37.542700000000004</v>
      </c>
      <c r="D154">
        <v>38.684399999999997</v>
      </c>
      <c r="E154">
        <v>39.9739</v>
      </c>
      <c r="F154">
        <v>130180.32799999999</v>
      </c>
      <c r="G154">
        <v>17.323</v>
      </c>
    </row>
    <row r="155" spans="1:7" x14ac:dyDescent="0.15">
      <c r="A155" s="141" t="s">
        <v>264</v>
      </c>
      <c r="B155">
        <v>12081.68</v>
      </c>
      <c r="C155">
        <v>35.971400000000003</v>
      </c>
      <c r="D155">
        <v>36.477800000000002</v>
      </c>
      <c r="E155">
        <v>38.561599999999999</v>
      </c>
      <c r="F155">
        <v>85541.375</v>
      </c>
      <c r="G155">
        <v>15.525</v>
      </c>
    </row>
    <row r="156" spans="1:7" x14ac:dyDescent="0.15">
      <c r="A156" s="141" t="s">
        <v>265</v>
      </c>
      <c r="B156">
        <v>5916.3519999999999</v>
      </c>
      <c r="C156">
        <v>34.046799999999998</v>
      </c>
      <c r="D156">
        <v>34.036099999999998</v>
      </c>
      <c r="E156">
        <v>36.8078</v>
      </c>
      <c r="F156">
        <v>49882.811999999998</v>
      </c>
      <c r="G156">
        <v>14.254</v>
      </c>
    </row>
    <row r="157" spans="1:7" x14ac:dyDescent="0.15">
      <c r="A157" s="141" t="s">
        <v>266</v>
      </c>
      <c r="B157">
        <v>24448.223999999998</v>
      </c>
      <c r="C157">
        <v>37.5336</v>
      </c>
      <c r="D157">
        <v>44.872500000000002</v>
      </c>
      <c r="E157">
        <v>42.543399999999998</v>
      </c>
      <c r="F157">
        <v>299333.78100000002</v>
      </c>
      <c r="G157">
        <v>33.694000000000003</v>
      </c>
    </row>
    <row r="158" spans="1:7" x14ac:dyDescent="0.15">
      <c r="A158" s="141" t="s">
        <v>267</v>
      </c>
      <c r="B158">
        <v>10332.68</v>
      </c>
      <c r="C158">
        <v>36.8949</v>
      </c>
      <c r="D158">
        <v>44.203200000000002</v>
      </c>
      <c r="E158">
        <v>41.756799999999998</v>
      </c>
      <c r="F158">
        <v>158223.78099999999</v>
      </c>
      <c r="G158">
        <v>26.370999999999999</v>
      </c>
    </row>
    <row r="159" spans="1:7" x14ac:dyDescent="0.15">
      <c r="A159" s="141" t="s">
        <v>268</v>
      </c>
      <c r="B159">
        <v>5195.24</v>
      </c>
      <c r="C159">
        <v>35.8748</v>
      </c>
      <c r="D159">
        <v>43.252200000000002</v>
      </c>
      <c r="E159">
        <v>40.7363</v>
      </c>
      <c r="F159">
        <v>92230.218999999997</v>
      </c>
      <c r="G159">
        <v>23.654</v>
      </c>
    </row>
    <row r="160" spans="1:7" x14ac:dyDescent="0.15">
      <c r="A160" s="141" t="s">
        <v>269</v>
      </c>
      <c r="B160">
        <v>2579.7600000000002</v>
      </c>
      <c r="C160">
        <v>34.287999999999997</v>
      </c>
      <c r="D160">
        <v>41.9602</v>
      </c>
      <c r="E160">
        <v>39.522799999999997</v>
      </c>
      <c r="F160">
        <v>47009.387000000002</v>
      </c>
      <c r="G160">
        <v>19.213000000000001</v>
      </c>
    </row>
    <row r="161" spans="1:7" x14ac:dyDescent="0.15">
      <c r="A161" s="141" t="s">
        <v>142</v>
      </c>
      <c r="B161">
        <v>8086.16</v>
      </c>
      <c r="C161">
        <v>37.998899999999999</v>
      </c>
      <c r="D161">
        <v>39.6753</v>
      </c>
      <c r="E161">
        <v>42.795699999999997</v>
      </c>
      <c r="F161">
        <v>336112.375</v>
      </c>
      <c r="G161">
        <v>30.381</v>
      </c>
    </row>
    <row r="162" spans="1:7" x14ac:dyDescent="0.15">
      <c r="A162" s="141" t="s">
        <v>143</v>
      </c>
      <c r="B162">
        <v>3842.8591999999999</v>
      </c>
      <c r="C162">
        <v>36.655799999999999</v>
      </c>
      <c r="D162">
        <v>39.021099999999997</v>
      </c>
      <c r="E162">
        <v>41.598100000000002</v>
      </c>
      <c r="F162">
        <v>212163.234</v>
      </c>
      <c r="G162">
        <v>24.43</v>
      </c>
    </row>
    <row r="163" spans="1:7" x14ac:dyDescent="0.15">
      <c r="A163" s="141" t="s">
        <v>144</v>
      </c>
      <c r="B163">
        <v>1888.4623999999999</v>
      </c>
      <c r="C163">
        <v>34.820399999999999</v>
      </c>
      <c r="D163">
        <v>38.194699999999997</v>
      </c>
      <c r="E163">
        <v>40.083599999999997</v>
      </c>
      <c r="F163">
        <v>132302.84400000001</v>
      </c>
      <c r="G163">
        <v>20.983000000000001</v>
      </c>
    </row>
    <row r="164" spans="1:7" x14ac:dyDescent="0.15">
      <c r="A164" s="141" t="s">
        <v>145</v>
      </c>
      <c r="B164">
        <v>903.63520000000005</v>
      </c>
      <c r="C164">
        <v>32.508600000000001</v>
      </c>
      <c r="D164">
        <v>37.104799999999997</v>
      </c>
      <c r="E164">
        <v>38.369199999999999</v>
      </c>
      <c r="F164">
        <v>75955.773000000001</v>
      </c>
      <c r="G164">
        <v>16.89</v>
      </c>
    </row>
    <row r="165" spans="1:7" x14ac:dyDescent="0.15">
      <c r="A165" s="141" t="s">
        <v>146</v>
      </c>
      <c r="B165">
        <v>9416.9887999999992</v>
      </c>
      <c r="C165">
        <v>38.732100000000003</v>
      </c>
      <c r="D165">
        <v>43.615900000000003</v>
      </c>
      <c r="E165">
        <v>44.523099999999999</v>
      </c>
      <c r="F165">
        <v>374298.09399999998</v>
      </c>
      <c r="G165">
        <v>40.371000000000002</v>
      </c>
    </row>
    <row r="166" spans="1:7" x14ac:dyDescent="0.15">
      <c r="A166" s="141" t="s">
        <v>147</v>
      </c>
      <c r="B166">
        <v>4823.6144000000004</v>
      </c>
      <c r="C166">
        <v>37.5047</v>
      </c>
      <c r="D166">
        <v>42.640799999999999</v>
      </c>
      <c r="E166">
        <v>43.022799999999997</v>
      </c>
      <c r="F166">
        <v>241144.93799999999</v>
      </c>
      <c r="G166">
        <v>35.200000000000003</v>
      </c>
    </row>
    <row r="167" spans="1:7" x14ac:dyDescent="0.15">
      <c r="A167" s="141" t="s">
        <v>148</v>
      </c>
      <c r="B167">
        <v>2457.2656000000002</v>
      </c>
      <c r="C167">
        <v>35.821599999999997</v>
      </c>
      <c r="D167">
        <v>41.404699999999998</v>
      </c>
      <c r="E167">
        <v>41.284300000000002</v>
      </c>
      <c r="F167">
        <v>141773.891</v>
      </c>
      <c r="G167">
        <v>28.1</v>
      </c>
    </row>
    <row r="168" spans="1:7" x14ac:dyDescent="0.15">
      <c r="A168" s="141" t="s">
        <v>149</v>
      </c>
      <c r="B168">
        <v>1223.4064000000001</v>
      </c>
      <c r="C168">
        <v>33.732999999999997</v>
      </c>
      <c r="D168">
        <v>40.025300000000001</v>
      </c>
      <c r="E168">
        <v>39.371000000000002</v>
      </c>
      <c r="F168">
        <v>82618.241999999998</v>
      </c>
      <c r="G168">
        <v>24.475999999999999</v>
      </c>
    </row>
    <row r="169" spans="1:7" x14ac:dyDescent="0.15">
      <c r="A169" s="141" t="s">
        <v>270</v>
      </c>
      <c r="B169">
        <v>6437.4607999999998</v>
      </c>
      <c r="C169">
        <v>39.83</v>
      </c>
      <c r="D169">
        <v>43.669899999999998</v>
      </c>
      <c r="E169">
        <v>44.481999999999999</v>
      </c>
      <c r="F169">
        <v>341738.53100000002</v>
      </c>
      <c r="G169">
        <v>42.128</v>
      </c>
    </row>
    <row r="170" spans="1:7" x14ac:dyDescent="0.15">
      <c r="A170" s="141" t="s">
        <v>271</v>
      </c>
      <c r="B170">
        <v>3082.4672</v>
      </c>
      <c r="C170">
        <v>38.530299999999997</v>
      </c>
      <c r="D170">
        <v>42.802100000000003</v>
      </c>
      <c r="E170">
        <v>43.6023</v>
      </c>
      <c r="F170">
        <v>202054.56200000001</v>
      </c>
      <c r="G170">
        <v>34.99</v>
      </c>
    </row>
    <row r="171" spans="1:7" x14ac:dyDescent="0.15">
      <c r="A171" s="141" t="s">
        <v>272</v>
      </c>
      <c r="B171">
        <v>1491.5344</v>
      </c>
      <c r="C171">
        <v>36.711599999999997</v>
      </c>
      <c r="D171">
        <v>41.682499999999997</v>
      </c>
      <c r="E171">
        <v>42.345199999999998</v>
      </c>
      <c r="F171">
        <v>113508.5</v>
      </c>
      <c r="G171">
        <v>28.9</v>
      </c>
    </row>
    <row r="172" spans="1:7" x14ac:dyDescent="0.15">
      <c r="A172" s="141" t="s">
        <v>273</v>
      </c>
      <c r="B172">
        <v>701.58879999999999</v>
      </c>
      <c r="C172">
        <v>34.418100000000003</v>
      </c>
      <c r="D172">
        <v>40.492899999999999</v>
      </c>
      <c r="E172">
        <v>40.983899999999998</v>
      </c>
      <c r="F172">
        <v>62573.027000000002</v>
      </c>
      <c r="G172">
        <v>24.268000000000001</v>
      </c>
    </row>
    <row r="173" spans="1:7" x14ac:dyDescent="0.15">
      <c r="A173" s="141" t="s">
        <v>274</v>
      </c>
      <c r="B173">
        <v>6866.3824000000004</v>
      </c>
      <c r="C173">
        <v>43.357999999999997</v>
      </c>
      <c r="D173">
        <v>46.358199999999997</v>
      </c>
      <c r="E173">
        <v>47.151000000000003</v>
      </c>
      <c r="F173">
        <v>283992.125</v>
      </c>
      <c r="G173">
        <v>41.585000000000001</v>
      </c>
    </row>
    <row r="174" spans="1:7" x14ac:dyDescent="0.15">
      <c r="A174" s="141" t="s">
        <v>275</v>
      </c>
      <c r="B174">
        <v>4195.4816000000001</v>
      </c>
      <c r="C174">
        <v>41.042099999999998</v>
      </c>
      <c r="D174">
        <v>44.924399999999999</v>
      </c>
      <c r="E174">
        <v>45.510899999999999</v>
      </c>
      <c r="F174">
        <v>202295.46900000001</v>
      </c>
      <c r="G174">
        <v>36.844999999999999</v>
      </c>
    </row>
    <row r="175" spans="1:7" x14ac:dyDescent="0.15">
      <c r="A175" s="141" t="s">
        <v>276</v>
      </c>
      <c r="B175">
        <v>2325.2080000000001</v>
      </c>
      <c r="C175">
        <v>38.257300000000001</v>
      </c>
      <c r="D175">
        <v>43.340299999999999</v>
      </c>
      <c r="E175">
        <v>43.691499999999998</v>
      </c>
      <c r="F175">
        <v>129645.164</v>
      </c>
      <c r="G175">
        <v>31.649000000000001</v>
      </c>
    </row>
    <row r="176" spans="1:7" x14ac:dyDescent="0.15">
      <c r="A176" s="141" t="s">
        <v>277</v>
      </c>
      <c r="B176">
        <v>1212.9408000000001</v>
      </c>
      <c r="C176">
        <v>35.314799999999998</v>
      </c>
      <c r="D176">
        <v>41.808500000000002</v>
      </c>
      <c r="E176">
        <v>41.901299999999999</v>
      </c>
      <c r="F176">
        <v>77523.281000000003</v>
      </c>
      <c r="G176">
        <v>26.064</v>
      </c>
    </row>
    <row r="177" spans="1:7" x14ac:dyDescent="0.15">
      <c r="A177" s="141" t="s">
        <v>150</v>
      </c>
      <c r="B177" s="71">
        <v>4743.8768</v>
      </c>
      <c r="C177" s="71">
        <v>38.458399999999997</v>
      </c>
      <c r="D177" s="71">
        <v>45.427500000000002</v>
      </c>
      <c r="E177" s="71">
        <v>45.701500000000003</v>
      </c>
      <c r="F177" s="71">
        <v>182616.266</v>
      </c>
      <c r="G177" s="71">
        <v>19.13</v>
      </c>
    </row>
    <row r="178" spans="1:7" x14ac:dyDescent="0.15">
      <c r="A178" s="141" t="s">
        <v>151</v>
      </c>
      <c r="B178" s="71">
        <v>1665.5328</v>
      </c>
      <c r="C178" s="71">
        <v>36.4666</v>
      </c>
      <c r="D178" s="71">
        <v>44.395200000000003</v>
      </c>
      <c r="E178" s="71">
        <v>44.6631</v>
      </c>
      <c r="F178" s="71">
        <v>97310.906000000003</v>
      </c>
      <c r="G178" s="71">
        <v>13.734</v>
      </c>
    </row>
    <row r="179" spans="1:7" x14ac:dyDescent="0.15">
      <c r="A179" s="141" t="s">
        <v>152</v>
      </c>
      <c r="B179" s="71">
        <v>659.76480000000004</v>
      </c>
      <c r="C179" s="71">
        <v>34.015099999999997</v>
      </c>
      <c r="D179" s="71">
        <v>43.056800000000003</v>
      </c>
      <c r="E179" s="71">
        <v>43.237299999999998</v>
      </c>
      <c r="F179" s="71">
        <v>54701.766000000003</v>
      </c>
      <c r="G179" s="71">
        <v>9.8659999999999997</v>
      </c>
    </row>
    <row r="180" spans="1:7" x14ac:dyDescent="0.15">
      <c r="A180" s="141" t="s">
        <v>153</v>
      </c>
      <c r="B180" s="71">
        <v>275.69279999999998</v>
      </c>
      <c r="C180" s="71">
        <v>30.977900000000002</v>
      </c>
      <c r="D180" s="71">
        <v>41.793799999999997</v>
      </c>
      <c r="E180" s="71">
        <v>41.761899999999997</v>
      </c>
      <c r="F180" s="71">
        <v>34611.663999999997</v>
      </c>
      <c r="G180" s="71">
        <v>8.1219999999999999</v>
      </c>
    </row>
    <row r="181" spans="1:7" x14ac:dyDescent="0.15">
      <c r="A181" s="141" t="s">
        <v>154</v>
      </c>
      <c r="B181" s="71">
        <v>3902.4656</v>
      </c>
      <c r="C181" s="71">
        <v>40.513500000000001</v>
      </c>
      <c r="D181" s="71">
        <v>45.2502</v>
      </c>
      <c r="E181" s="71">
        <v>46.057600000000001</v>
      </c>
      <c r="F181" s="71">
        <v>161032.07800000001</v>
      </c>
      <c r="G181" s="71">
        <v>18.962</v>
      </c>
    </row>
    <row r="182" spans="1:7" x14ac:dyDescent="0.15">
      <c r="A182" s="141" t="s">
        <v>155</v>
      </c>
      <c r="B182" s="71">
        <v>1788.7103999999999</v>
      </c>
      <c r="C182" s="71">
        <v>38.887999999999998</v>
      </c>
      <c r="D182" s="71">
        <v>44.447099999999999</v>
      </c>
      <c r="E182" s="71">
        <v>44.509099999999997</v>
      </c>
      <c r="F182" s="71">
        <v>97121.741999999998</v>
      </c>
      <c r="G182" s="71">
        <v>15.608000000000001</v>
      </c>
    </row>
    <row r="183" spans="1:7" x14ac:dyDescent="0.15">
      <c r="A183" s="141" t="s">
        <v>156</v>
      </c>
      <c r="B183" s="71">
        <v>856.61120000000005</v>
      </c>
      <c r="C183" s="71">
        <v>36.955300000000001</v>
      </c>
      <c r="D183" s="71">
        <v>43.421199999999999</v>
      </c>
      <c r="E183" s="71">
        <v>42.717199999999998</v>
      </c>
      <c r="F183" s="71">
        <v>55238.745999999999</v>
      </c>
      <c r="G183" s="71">
        <v>11.956</v>
      </c>
    </row>
    <row r="184" spans="1:7" x14ac:dyDescent="0.15">
      <c r="A184" s="141" t="s">
        <v>157</v>
      </c>
      <c r="B184" s="71">
        <v>402.66079999999999</v>
      </c>
      <c r="C184" s="71">
        <v>34.724600000000002</v>
      </c>
      <c r="D184" s="71">
        <v>42.134700000000002</v>
      </c>
      <c r="E184" s="71">
        <v>40.774099999999997</v>
      </c>
      <c r="F184" s="71">
        <v>29356.453000000001</v>
      </c>
      <c r="G184" s="71">
        <v>8.9809999999999999</v>
      </c>
    </row>
    <row r="185" spans="1:7" x14ac:dyDescent="0.15">
      <c r="A185" s="141" t="s">
        <v>158</v>
      </c>
      <c r="B185" s="71">
        <v>960.4</v>
      </c>
      <c r="C185" s="71">
        <v>42.988700000000001</v>
      </c>
      <c r="D185" s="71">
        <v>46.666899999999998</v>
      </c>
      <c r="E185" s="71">
        <v>47.466900000000003</v>
      </c>
      <c r="F185" s="71">
        <v>63561.148000000001</v>
      </c>
      <c r="G185" s="71">
        <v>9.33</v>
      </c>
    </row>
    <row r="186" spans="1:7" x14ac:dyDescent="0.15">
      <c r="A186" s="141" t="s">
        <v>159</v>
      </c>
      <c r="B186" s="71">
        <v>491.9264</v>
      </c>
      <c r="C186" s="71">
        <v>41.357399999999998</v>
      </c>
      <c r="D186" s="71">
        <v>45.873399999999997</v>
      </c>
      <c r="E186" s="71">
        <v>46.390500000000003</v>
      </c>
      <c r="F186" s="71">
        <v>37708.366999999998</v>
      </c>
      <c r="G186" s="71">
        <v>7.3410000000000002</v>
      </c>
    </row>
    <row r="187" spans="1:7" x14ac:dyDescent="0.15">
      <c r="A187" s="141" t="s">
        <v>160</v>
      </c>
      <c r="B187" s="71">
        <v>262.47359999999998</v>
      </c>
      <c r="C187" s="71">
        <v>39.188200000000002</v>
      </c>
      <c r="D187" s="71">
        <v>44.614800000000002</v>
      </c>
      <c r="E187" s="71">
        <v>44.9176</v>
      </c>
      <c r="F187" s="71">
        <v>22045.775000000001</v>
      </c>
      <c r="G187" s="71">
        <v>6.2930000000000001</v>
      </c>
    </row>
    <row r="188" spans="1:7" x14ac:dyDescent="0.15">
      <c r="A188" s="141" t="s">
        <v>161</v>
      </c>
      <c r="B188" s="71">
        <v>143.04159999999999</v>
      </c>
      <c r="C188" s="71">
        <v>36.4133</v>
      </c>
      <c r="D188" s="71">
        <v>43.057600000000001</v>
      </c>
      <c r="E188" s="71">
        <v>42.987099999999998</v>
      </c>
      <c r="F188" s="71">
        <v>12752.553</v>
      </c>
      <c r="G188" s="71">
        <v>5.2229999999999999</v>
      </c>
    </row>
    <row r="189" spans="1:7" x14ac:dyDescent="0.15">
      <c r="A189" s="141" t="s">
        <v>162</v>
      </c>
      <c r="B189" s="71">
        <v>1318.1952000000001</v>
      </c>
      <c r="C189" s="71">
        <v>42.691699999999997</v>
      </c>
      <c r="D189" s="71">
        <v>48.4846</v>
      </c>
      <c r="E189" s="71">
        <v>48.007899999999999</v>
      </c>
      <c r="F189" s="71">
        <v>68787.593999999997</v>
      </c>
      <c r="G189" s="71">
        <v>10.154</v>
      </c>
    </row>
    <row r="190" spans="1:7" x14ac:dyDescent="0.15">
      <c r="A190" s="141" t="s">
        <v>163</v>
      </c>
      <c r="B190" s="71">
        <v>651.83519999999999</v>
      </c>
      <c r="C190" s="71">
        <v>41.016199999999998</v>
      </c>
      <c r="D190" s="71">
        <v>47.680399999999999</v>
      </c>
      <c r="E190" s="71">
        <v>46.840600000000002</v>
      </c>
      <c r="F190" s="71">
        <v>41108.050999999999</v>
      </c>
      <c r="G190" s="71">
        <v>8.2390000000000008</v>
      </c>
    </row>
    <row r="191" spans="1:7" x14ac:dyDescent="0.15">
      <c r="A191" s="141" t="s">
        <v>164</v>
      </c>
      <c r="B191" s="71">
        <v>348.6336</v>
      </c>
      <c r="C191" s="71">
        <v>38.734999999999999</v>
      </c>
      <c r="D191" s="71">
        <v>46.609200000000001</v>
      </c>
      <c r="E191" s="71">
        <v>45.429200000000002</v>
      </c>
      <c r="F191" s="71">
        <v>23531.857</v>
      </c>
      <c r="G191" s="71">
        <v>6.601</v>
      </c>
    </row>
    <row r="192" spans="1:7" x14ac:dyDescent="0.15">
      <c r="A192" s="141" t="s">
        <v>165</v>
      </c>
      <c r="B192" s="71">
        <v>190.38720000000001</v>
      </c>
      <c r="C192" s="71">
        <v>35.680799999999998</v>
      </c>
      <c r="D192" s="71">
        <v>45.1736</v>
      </c>
      <c r="E192" s="71">
        <v>43.100999999999999</v>
      </c>
      <c r="F192" s="71">
        <v>14461.598</v>
      </c>
      <c r="G192" s="71">
        <v>5.407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topLeftCell="A136" zoomScaleNormal="100" workbookViewId="0">
      <selection activeCell="B145" sqref="B145:G192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77017.193499999994</v>
      </c>
      <c r="C1">
        <v>40.813899999999997</v>
      </c>
      <c r="D1">
        <v>49.240099999999998</v>
      </c>
      <c r="E1">
        <v>47.754100000000001</v>
      </c>
      <c r="F1">
        <v>146417.31200000001</v>
      </c>
      <c r="G1">
        <v>31.78</v>
      </c>
    </row>
    <row r="2" spans="1:7" x14ac:dyDescent="0.15">
      <c r="A2" s="141" t="s">
        <v>191</v>
      </c>
      <c r="B2">
        <v>41584.397799999999</v>
      </c>
      <c r="C2">
        <v>40.165100000000002</v>
      </c>
      <c r="D2">
        <v>48.5441</v>
      </c>
      <c r="E2">
        <v>46.677</v>
      </c>
      <c r="F2">
        <v>83689.476999999999</v>
      </c>
      <c r="G2">
        <v>29.452999999999999</v>
      </c>
    </row>
    <row r="3" spans="1:7" x14ac:dyDescent="0.15">
      <c r="A3" s="141" t="s">
        <v>192</v>
      </c>
      <c r="B3">
        <v>24885.587</v>
      </c>
      <c r="C3">
        <v>39.442</v>
      </c>
      <c r="D3">
        <v>47.628999999999998</v>
      </c>
      <c r="E3">
        <v>45.395600000000002</v>
      </c>
      <c r="F3">
        <v>50013.315999999999</v>
      </c>
      <c r="G3">
        <v>27.57</v>
      </c>
    </row>
    <row r="4" spans="1:7" x14ac:dyDescent="0.15">
      <c r="A4" s="141" t="s">
        <v>193</v>
      </c>
      <c r="B4">
        <v>14213.7989</v>
      </c>
      <c r="C4">
        <v>38.234099999999998</v>
      </c>
      <c r="D4">
        <v>46.125500000000002</v>
      </c>
      <c r="E4">
        <v>43.589799999999997</v>
      </c>
      <c r="F4">
        <v>26951.973000000002</v>
      </c>
      <c r="G4">
        <v>25.533000000000001</v>
      </c>
    </row>
    <row r="5" spans="1:7" x14ac:dyDescent="0.15">
      <c r="A5" s="141" t="s">
        <v>194</v>
      </c>
      <c r="B5">
        <v>325219.14740000002</v>
      </c>
      <c r="C5">
        <v>44.7883</v>
      </c>
      <c r="D5">
        <v>39.192</v>
      </c>
      <c r="E5">
        <v>39.666400000000003</v>
      </c>
      <c r="F5">
        <v>238960.93799999999</v>
      </c>
      <c r="G5">
        <v>46.723999999999997</v>
      </c>
    </row>
    <row r="6" spans="1:7" x14ac:dyDescent="0.15">
      <c r="A6" s="141" t="s">
        <v>195</v>
      </c>
      <c r="B6">
        <v>207623.54740000001</v>
      </c>
      <c r="C6">
        <v>42.001199999999997</v>
      </c>
      <c r="D6">
        <v>36.7074</v>
      </c>
      <c r="E6">
        <v>37.483199999999997</v>
      </c>
      <c r="F6">
        <v>192128.34400000001</v>
      </c>
      <c r="G6">
        <v>42.923000000000002</v>
      </c>
    </row>
    <row r="7" spans="1:7" x14ac:dyDescent="0.15">
      <c r="A7" s="141" t="s">
        <v>196</v>
      </c>
      <c r="B7">
        <v>118774.4421</v>
      </c>
      <c r="C7">
        <v>38.7438</v>
      </c>
      <c r="D7">
        <v>34.416600000000003</v>
      </c>
      <c r="E7">
        <v>35.545999999999999</v>
      </c>
      <c r="F7">
        <v>138515.92199999999</v>
      </c>
      <c r="G7">
        <v>36.97</v>
      </c>
    </row>
    <row r="8" spans="1:7" x14ac:dyDescent="0.15">
      <c r="A8" s="141" t="s">
        <v>197</v>
      </c>
      <c r="B8">
        <v>56161.4</v>
      </c>
      <c r="C8">
        <v>35.257399999999997</v>
      </c>
      <c r="D8">
        <v>32.0486</v>
      </c>
      <c r="E8">
        <v>33.689599999999999</v>
      </c>
      <c r="F8">
        <v>91148.476999999999</v>
      </c>
      <c r="G8">
        <v>30.626000000000001</v>
      </c>
    </row>
    <row r="9" spans="1:7" x14ac:dyDescent="0.15">
      <c r="A9" s="141" t="s">
        <v>198</v>
      </c>
      <c r="B9">
        <v>125452.74950000001</v>
      </c>
      <c r="C9">
        <v>41.589399999999998</v>
      </c>
      <c r="D9">
        <v>44.042299999999997</v>
      </c>
      <c r="E9">
        <v>42.925600000000003</v>
      </c>
      <c r="F9">
        <v>196779.71900000001</v>
      </c>
      <c r="G9">
        <v>38.840000000000003</v>
      </c>
    </row>
    <row r="10" spans="1:7" x14ac:dyDescent="0.15">
      <c r="A10" s="141" t="s">
        <v>199</v>
      </c>
      <c r="B10">
        <v>56416.635799999996</v>
      </c>
      <c r="C10">
        <v>38.893500000000003</v>
      </c>
      <c r="D10">
        <v>41.417299999999997</v>
      </c>
      <c r="E10">
        <v>41.796700000000001</v>
      </c>
      <c r="F10">
        <v>140144.484</v>
      </c>
      <c r="G10">
        <v>32.006</v>
      </c>
    </row>
    <row r="11" spans="1:7" x14ac:dyDescent="0.15">
      <c r="A11" s="141" t="s">
        <v>200</v>
      </c>
      <c r="B11">
        <v>25564.743200000001</v>
      </c>
      <c r="C11">
        <v>37.320500000000003</v>
      </c>
      <c r="D11">
        <v>39.088099999999997</v>
      </c>
      <c r="E11">
        <v>40.714399999999998</v>
      </c>
      <c r="F11">
        <v>79046.601999999999</v>
      </c>
      <c r="G11">
        <v>27.079000000000001</v>
      </c>
    </row>
    <row r="12" spans="1:7" x14ac:dyDescent="0.15">
      <c r="A12" s="141" t="s">
        <v>201</v>
      </c>
      <c r="B12">
        <v>12388.4905</v>
      </c>
      <c r="C12">
        <v>35.940300000000001</v>
      </c>
      <c r="D12">
        <v>36.371600000000001</v>
      </c>
      <c r="E12">
        <v>39.220999999999997</v>
      </c>
      <c r="F12">
        <v>45404.938000000002</v>
      </c>
      <c r="G12">
        <v>24.221</v>
      </c>
    </row>
    <row r="13" spans="1:7" x14ac:dyDescent="0.15">
      <c r="A13" s="141" t="s">
        <v>202</v>
      </c>
      <c r="B13">
        <v>178677.85260000001</v>
      </c>
      <c r="C13">
        <v>38.624299999999998</v>
      </c>
      <c r="D13">
        <v>45.672699999999999</v>
      </c>
      <c r="E13">
        <v>43.500599999999999</v>
      </c>
      <c r="F13">
        <v>230761.04699999999</v>
      </c>
      <c r="G13">
        <v>40.509</v>
      </c>
    </row>
    <row r="14" spans="1:7" x14ac:dyDescent="0.15">
      <c r="A14" s="141" t="s">
        <v>203</v>
      </c>
      <c r="B14">
        <v>87167.570500000002</v>
      </c>
      <c r="C14">
        <v>37.688200000000002</v>
      </c>
      <c r="D14">
        <v>44.805700000000002</v>
      </c>
      <c r="E14">
        <v>42.505899999999997</v>
      </c>
      <c r="F14">
        <v>146502.141</v>
      </c>
      <c r="G14">
        <v>34.656999999999996</v>
      </c>
    </row>
    <row r="15" spans="1:7" x14ac:dyDescent="0.15">
      <c r="A15" s="141" t="s">
        <v>204</v>
      </c>
      <c r="B15">
        <v>50195.153700000003</v>
      </c>
      <c r="C15">
        <v>36.773200000000003</v>
      </c>
      <c r="D15">
        <v>43.829500000000003</v>
      </c>
      <c r="E15">
        <v>41.492800000000003</v>
      </c>
      <c r="F15">
        <v>90663</v>
      </c>
      <c r="G15">
        <v>29.184000000000001</v>
      </c>
    </row>
    <row r="16" spans="1:7" x14ac:dyDescent="0.15">
      <c r="A16" s="141" t="s">
        <v>205</v>
      </c>
      <c r="B16">
        <v>26540.564200000001</v>
      </c>
      <c r="C16">
        <v>35.278799999999997</v>
      </c>
      <c r="D16">
        <v>42.4392</v>
      </c>
      <c r="E16">
        <v>40.228200000000001</v>
      </c>
      <c r="F16">
        <v>55129.73</v>
      </c>
      <c r="G16">
        <v>26.273</v>
      </c>
    </row>
    <row r="17" spans="1:7" x14ac:dyDescent="0.15">
      <c r="A17" s="141" t="s">
        <v>94</v>
      </c>
      <c r="B17">
        <v>68104.825400000002</v>
      </c>
      <c r="C17">
        <v>39.583199999999998</v>
      </c>
      <c r="D17">
        <v>40.532299999999999</v>
      </c>
      <c r="E17">
        <v>43.607300000000002</v>
      </c>
      <c r="F17">
        <v>100777.094</v>
      </c>
      <c r="G17">
        <v>19.818999999999999</v>
      </c>
    </row>
    <row r="18" spans="1:7" x14ac:dyDescent="0.15">
      <c r="A18" s="141" t="s">
        <v>95</v>
      </c>
      <c r="B18">
        <v>40628.533300000003</v>
      </c>
      <c r="C18">
        <v>37.948799999999999</v>
      </c>
      <c r="D18">
        <v>39.576599999999999</v>
      </c>
      <c r="E18">
        <v>42.216900000000003</v>
      </c>
      <c r="F18">
        <v>75453.422000000006</v>
      </c>
      <c r="G18">
        <v>16.667000000000002</v>
      </c>
    </row>
    <row r="19" spans="1:7" x14ac:dyDescent="0.15">
      <c r="A19" s="141" t="s">
        <v>96</v>
      </c>
      <c r="B19">
        <v>23421.587299999999</v>
      </c>
      <c r="C19">
        <v>36.039099999999998</v>
      </c>
      <c r="D19">
        <v>38.725499999999997</v>
      </c>
      <c r="E19">
        <v>40.7879</v>
      </c>
      <c r="F19">
        <v>56291.828000000001</v>
      </c>
      <c r="G19">
        <v>15.273999999999999</v>
      </c>
    </row>
    <row r="20" spans="1:7" x14ac:dyDescent="0.15">
      <c r="A20" s="141" t="s">
        <v>97</v>
      </c>
      <c r="B20">
        <v>11925.688899999999</v>
      </c>
      <c r="C20">
        <v>33.559699999999999</v>
      </c>
      <c r="D20">
        <v>37.529899999999998</v>
      </c>
      <c r="E20">
        <v>38.934399999999997</v>
      </c>
      <c r="F20">
        <v>37602.339999999997</v>
      </c>
      <c r="G20">
        <v>12.579000000000001</v>
      </c>
    </row>
    <row r="21" spans="1:7" x14ac:dyDescent="0.15">
      <c r="A21" s="141" t="s">
        <v>98</v>
      </c>
      <c r="B21">
        <v>42875.466699999997</v>
      </c>
      <c r="C21">
        <v>40.219200000000001</v>
      </c>
      <c r="D21">
        <v>44.220199999999998</v>
      </c>
      <c r="E21">
        <v>45.697200000000002</v>
      </c>
      <c r="F21">
        <v>87874.68</v>
      </c>
      <c r="G21">
        <v>17.349</v>
      </c>
    </row>
    <row r="22" spans="1:7" x14ac:dyDescent="0.15">
      <c r="A22" s="141" t="s">
        <v>99</v>
      </c>
      <c r="B22">
        <v>23343.181</v>
      </c>
      <c r="C22">
        <v>38.749299999999998</v>
      </c>
      <c r="D22">
        <v>43.274000000000001</v>
      </c>
      <c r="E22">
        <v>44.256900000000002</v>
      </c>
      <c r="F22">
        <v>60432.074000000001</v>
      </c>
      <c r="G22">
        <v>14.76</v>
      </c>
    </row>
    <row r="23" spans="1:7" x14ac:dyDescent="0.15">
      <c r="A23" s="141" t="s">
        <v>100</v>
      </c>
      <c r="B23">
        <v>13117.3079</v>
      </c>
      <c r="C23">
        <v>37.302900000000001</v>
      </c>
      <c r="D23">
        <v>42.195</v>
      </c>
      <c r="E23">
        <v>42.694200000000002</v>
      </c>
      <c r="F23">
        <v>40443.695</v>
      </c>
      <c r="G23">
        <v>12.755000000000001</v>
      </c>
    </row>
    <row r="24" spans="1:7" x14ac:dyDescent="0.15">
      <c r="A24" s="141" t="s">
        <v>101</v>
      </c>
      <c r="B24">
        <v>7011.7397000000001</v>
      </c>
      <c r="C24">
        <v>35.384799999999998</v>
      </c>
      <c r="D24">
        <v>40.712000000000003</v>
      </c>
      <c r="E24">
        <v>40.660600000000002</v>
      </c>
      <c r="F24">
        <v>25362.800999999999</v>
      </c>
      <c r="G24">
        <v>11.983000000000001</v>
      </c>
    </row>
    <row r="25" spans="1:7" x14ac:dyDescent="0.15">
      <c r="A25" s="141" t="s">
        <v>206</v>
      </c>
      <c r="B25">
        <v>65322.6368</v>
      </c>
      <c r="C25">
        <v>41.7637</v>
      </c>
      <c r="D25">
        <v>44.457999999999998</v>
      </c>
      <c r="E25">
        <v>45.175600000000003</v>
      </c>
      <c r="F25">
        <v>106036.219</v>
      </c>
      <c r="G25">
        <v>21.215</v>
      </c>
    </row>
    <row r="26" spans="1:7" x14ac:dyDescent="0.15">
      <c r="A26" s="141" t="s">
        <v>207</v>
      </c>
      <c r="B26">
        <v>42085.055999999997</v>
      </c>
      <c r="C26">
        <v>39.9572</v>
      </c>
      <c r="D26">
        <v>43.040100000000002</v>
      </c>
      <c r="E26">
        <v>43.933700000000002</v>
      </c>
      <c r="F26">
        <v>80045.733999999997</v>
      </c>
      <c r="G26">
        <v>18.911999999999999</v>
      </c>
    </row>
    <row r="27" spans="1:7" x14ac:dyDescent="0.15">
      <c r="A27" s="141" t="s">
        <v>208</v>
      </c>
      <c r="B27">
        <v>24748.48</v>
      </c>
      <c r="C27">
        <v>37.7316</v>
      </c>
      <c r="D27">
        <v>41.7378</v>
      </c>
      <c r="E27">
        <v>42.642299999999999</v>
      </c>
      <c r="F27">
        <v>57298.559000000001</v>
      </c>
      <c r="G27">
        <v>16.577000000000002</v>
      </c>
    </row>
    <row r="28" spans="1:7" x14ac:dyDescent="0.15">
      <c r="A28" s="141" t="s">
        <v>209</v>
      </c>
      <c r="B28">
        <v>12501.625599999999</v>
      </c>
      <c r="C28">
        <v>35.036799999999999</v>
      </c>
      <c r="D28">
        <v>40.161799999999999</v>
      </c>
      <c r="E28">
        <v>41.016100000000002</v>
      </c>
      <c r="F28">
        <v>36049.629000000001</v>
      </c>
      <c r="G28">
        <v>14.048999999999999</v>
      </c>
    </row>
    <row r="29" spans="1:7" x14ac:dyDescent="0.15">
      <c r="A29" s="141" t="s">
        <v>210</v>
      </c>
      <c r="B29">
        <v>39871.641600000003</v>
      </c>
      <c r="C29">
        <v>44.968000000000004</v>
      </c>
      <c r="D29">
        <v>47.625100000000003</v>
      </c>
      <c r="E29">
        <v>48.3461</v>
      </c>
      <c r="F29">
        <v>70659.851999999999</v>
      </c>
      <c r="G29">
        <v>18.608000000000001</v>
      </c>
    </row>
    <row r="30" spans="1:7" x14ac:dyDescent="0.15">
      <c r="A30" s="141" t="s">
        <v>211</v>
      </c>
      <c r="B30">
        <v>26285.446400000001</v>
      </c>
      <c r="C30">
        <v>42.802900000000001</v>
      </c>
      <c r="D30">
        <v>46.020600000000002</v>
      </c>
      <c r="E30">
        <v>46.537999999999997</v>
      </c>
      <c r="F30">
        <v>57498.421999999999</v>
      </c>
      <c r="G30">
        <v>16.95</v>
      </c>
    </row>
    <row r="31" spans="1:7" x14ac:dyDescent="0.15">
      <c r="A31" s="141" t="s">
        <v>212</v>
      </c>
      <c r="B31">
        <v>15576.249599999999</v>
      </c>
      <c r="C31">
        <v>40.112400000000001</v>
      </c>
      <c r="D31">
        <v>44.484699999999997</v>
      </c>
      <c r="E31">
        <v>44.720799999999997</v>
      </c>
      <c r="F31">
        <v>44184.167999999998</v>
      </c>
      <c r="G31">
        <v>15.55</v>
      </c>
    </row>
    <row r="32" spans="1:7" x14ac:dyDescent="0.15">
      <c r="A32" s="141" t="s">
        <v>213</v>
      </c>
      <c r="B32">
        <v>8123.808</v>
      </c>
      <c r="C32">
        <v>37.036099999999998</v>
      </c>
      <c r="D32">
        <v>42.482300000000002</v>
      </c>
      <c r="E32">
        <v>42.495399999999997</v>
      </c>
      <c r="F32">
        <v>28479.883000000002</v>
      </c>
      <c r="G32">
        <v>13.61</v>
      </c>
    </row>
    <row r="33" spans="1:7" x14ac:dyDescent="0.15">
      <c r="A33" s="141" t="s">
        <v>102</v>
      </c>
      <c r="B33">
        <v>54311.731200000002</v>
      </c>
      <c r="C33">
        <v>41.793500000000002</v>
      </c>
      <c r="D33">
        <v>46.085599999999999</v>
      </c>
      <c r="E33">
        <v>46.3992</v>
      </c>
      <c r="F33">
        <v>60690.608999999997</v>
      </c>
      <c r="G33">
        <v>11.728</v>
      </c>
    </row>
    <row r="34" spans="1:7" x14ac:dyDescent="0.15">
      <c r="A34" s="141" t="s">
        <v>103</v>
      </c>
      <c r="B34">
        <v>37096.038399999998</v>
      </c>
      <c r="C34">
        <v>38.858699999999999</v>
      </c>
      <c r="D34">
        <v>44.3416</v>
      </c>
      <c r="E34">
        <v>44.681399999999996</v>
      </c>
      <c r="F34">
        <v>51329.457000000002</v>
      </c>
      <c r="G34">
        <v>10.465999999999999</v>
      </c>
    </row>
    <row r="35" spans="1:7" x14ac:dyDescent="0.15">
      <c r="A35" s="141" t="s">
        <v>104</v>
      </c>
      <c r="B35">
        <v>22065.952000000001</v>
      </c>
      <c r="C35">
        <v>35.467599999999997</v>
      </c>
      <c r="D35">
        <v>42.915300000000002</v>
      </c>
      <c r="E35">
        <v>43.236699999999999</v>
      </c>
      <c r="F35">
        <v>42590.453000000001</v>
      </c>
      <c r="G35">
        <v>9.2240000000000002</v>
      </c>
    </row>
    <row r="36" spans="1:7" x14ac:dyDescent="0.15">
      <c r="A36" s="141" t="s">
        <v>105</v>
      </c>
      <c r="B36">
        <v>10872.0448</v>
      </c>
      <c r="C36">
        <v>31.830100000000002</v>
      </c>
      <c r="D36">
        <v>41.523299999999999</v>
      </c>
      <c r="E36">
        <v>41.703899999999997</v>
      </c>
      <c r="F36">
        <v>30214.651999999998</v>
      </c>
      <c r="G36">
        <v>7.4809999999999999</v>
      </c>
    </row>
    <row r="37" spans="1:7" x14ac:dyDescent="0.15">
      <c r="A37" s="141" t="s">
        <v>106</v>
      </c>
      <c r="B37">
        <v>20341.382399999999</v>
      </c>
      <c r="C37">
        <v>42.722000000000001</v>
      </c>
      <c r="D37">
        <v>45.4833</v>
      </c>
      <c r="E37">
        <v>47.042900000000003</v>
      </c>
      <c r="F37">
        <v>39652.453000000001</v>
      </c>
      <c r="G37">
        <v>8.2530000000000001</v>
      </c>
    </row>
    <row r="38" spans="1:7" x14ac:dyDescent="0.15">
      <c r="A38" s="141" t="s">
        <v>107</v>
      </c>
      <c r="B38">
        <v>11536.793600000001</v>
      </c>
      <c r="C38">
        <v>40.692999999999998</v>
      </c>
      <c r="D38">
        <v>44.566699999999997</v>
      </c>
      <c r="E38">
        <v>45.414700000000003</v>
      </c>
      <c r="F38">
        <v>29103.311000000002</v>
      </c>
      <c r="G38">
        <v>7.1790000000000003</v>
      </c>
    </row>
    <row r="39" spans="1:7" x14ac:dyDescent="0.15">
      <c r="A39" s="141" t="s">
        <v>108</v>
      </c>
      <c r="B39">
        <v>6384.3519999999999</v>
      </c>
      <c r="C39">
        <v>38.685000000000002</v>
      </c>
      <c r="D39">
        <v>43.618400000000001</v>
      </c>
      <c r="E39">
        <v>43.623800000000003</v>
      </c>
      <c r="F39">
        <v>20190.965</v>
      </c>
      <c r="G39">
        <v>6.5179999999999998</v>
      </c>
    </row>
    <row r="40" spans="1:7" x14ac:dyDescent="0.15">
      <c r="A40" s="141" t="s">
        <v>109</v>
      </c>
      <c r="B40">
        <v>3257.3631999999998</v>
      </c>
      <c r="C40">
        <v>36.3127</v>
      </c>
      <c r="D40">
        <v>42.319000000000003</v>
      </c>
      <c r="E40">
        <v>41.463999999999999</v>
      </c>
      <c r="F40">
        <v>12231.248</v>
      </c>
      <c r="G40">
        <v>5.819</v>
      </c>
    </row>
    <row r="41" spans="1:7" x14ac:dyDescent="0.15">
      <c r="A41" s="141" t="s">
        <v>110</v>
      </c>
      <c r="B41">
        <v>15254.4128</v>
      </c>
      <c r="C41">
        <v>44.254399999999997</v>
      </c>
      <c r="D41">
        <v>47.075400000000002</v>
      </c>
      <c r="E41">
        <v>47.969700000000003</v>
      </c>
      <c r="F41">
        <v>31222.311000000002</v>
      </c>
      <c r="G41">
        <v>7.923</v>
      </c>
    </row>
    <row r="42" spans="1:7" x14ac:dyDescent="0.15">
      <c r="A42" s="141" t="s">
        <v>111</v>
      </c>
      <c r="B42">
        <v>10336.3712</v>
      </c>
      <c r="C42">
        <v>42.523000000000003</v>
      </c>
      <c r="D42">
        <v>45.941800000000001</v>
      </c>
      <c r="E42">
        <v>46.636899999999997</v>
      </c>
      <c r="F42">
        <v>24295.965</v>
      </c>
      <c r="G42">
        <v>7.4420000000000002</v>
      </c>
    </row>
    <row r="43" spans="1:7" x14ac:dyDescent="0.15">
      <c r="A43" s="141" t="s">
        <v>112</v>
      </c>
      <c r="B43">
        <v>6521.9712</v>
      </c>
      <c r="C43">
        <v>40.188000000000002</v>
      </c>
      <c r="D43">
        <v>44.602800000000002</v>
      </c>
      <c r="E43">
        <v>45.1158</v>
      </c>
      <c r="F43">
        <v>18233.776999999998</v>
      </c>
      <c r="G43">
        <v>6.8250000000000002</v>
      </c>
    </row>
    <row r="44" spans="1:7" x14ac:dyDescent="0.15">
      <c r="A44" s="141" t="s">
        <v>113</v>
      </c>
      <c r="B44">
        <v>3776.7487999999998</v>
      </c>
      <c r="C44">
        <v>37.208300000000001</v>
      </c>
      <c r="D44">
        <v>42.854799999999997</v>
      </c>
      <c r="E44">
        <v>43.065600000000003</v>
      </c>
      <c r="F44">
        <v>12459.232</v>
      </c>
      <c r="G44">
        <v>6.0510000000000002</v>
      </c>
    </row>
    <row r="45" spans="1:7" x14ac:dyDescent="0.15">
      <c r="A45" s="141" t="s">
        <v>114</v>
      </c>
      <c r="B45">
        <v>16539.616000000002</v>
      </c>
      <c r="C45">
        <v>44.199300000000001</v>
      </c>
      <c r="D45">
        <v>48.805399999999999</v>
      </c>
      <c r="E45">
        <v>48.348500000000001</v>
      </c>
      <c r="F45">
        <v>31686.684000000001</v>
      </c>
      <c r="G45">
        <v>7.6479999999999997</v>
      </c>
    </row>
    <row r="46" spans="1:7" x14ac:dyDescent="0.15">
      <c r="A46" s="141" t="s">
        <v>115</v>
      </c>
      <c r="B46">
        <v>11476.4864</v>
      </c>
      <c r="C46">
        <v>42.459699999999998</v>
      </c>
      <c r="D46">
        <v>47.7986</v>
      </c>
      <c r="E46">
        <v>46.870199999999997</v>
      </c>
      <c r="F46">
        <v>25445.342000000001</v>
      </c>
      <c r="G46">
        <v>6.9630000000000001</v>
      </c>
    </row>
    <row r="47" spans="1:7" x14ac:dyDescent="0.15">
      <c r="A47" s="141" t="s">
        <v>116</v>
      </c>
      <c r="B47">
        <v>7458.0288</v>
      </c>
      <c r="C47">
        <v>40.078699999999998</v>
      </c>
      <c r="D47">
        <v>46.623600000000003</v>
      </c>
      <c r="E47">
        <v>45.2928</v>
      </c>
      <c r="F47">
        <v>19097.627</v>
      </c>
      <c r="G47">
        <v>6.3760000000000003</v>
      </c>
    </row>
    <row r="48" spans="1:7" x14ac:dyDescent="0.15">
      <c r="A48" s="141" t="s">
        <v>117</v>
      </c>
      <c r="B48">
        <v>4345.0367999999999</v>
      </c>
      <c r="C48">
        <v>36.866700000000002</v>
      </c>
      <c r="D48">
        <v>44.744300000000003</v>
      </c>
      <c r="E48">
        <v>43.089599999999997</v>
      </c>
      <c r="F48">
        <v>13351.121999999999</v>
      </c>
      <c r="G48">
        <v>5.6020000000000003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14787.672</v>
      </c>
      <c r="C73">
        <v>40.089199999999998</v>
      </c>
      <c r="D73">
        <v>49.056699999999999</v>
      </c>
      <c r="E73">
        <v>47.055100000000003</v>
      </c>
      <c r="F73">
        <v>403892.37400000001</v>
      </c>
      <c r="G73">
        <v>78.022000000000006</v>
      </c>
    </row>
    <row r="74" spans="1:7" x14ac:dyDescent="0.15">
      <c r="A74" s="141" t="s">
        <v>223</v>
      </c>
      <c r="B74">
        <v>6751.3320000000003</v>
      </c>
      <c r="C74">
        <v>39.597700000000003</v>
      </c>
      <c r="D74">
        <v>48.460999999999999</v>
      </c>
      <c r="E74">
        <v>46.1494</v>
      </c>
      <c r="F74">
        <v>228804.74900000001</v>
      </c>
      <c r="G74">
        <v>71.061999999999998</v>
      </c>
    </row>
    <row r="75" spans="1:7" x14ac:dyDescent="0.15">
      <c r="A75" s="141" t="s">
        <v>224</v>
      </c>
      <c r="B75">
        <v>3660.62</v>
      </c>
      <c r="C75">
        <v>38.755400000000002</v>
      </c>
      <c r="D75">
        <v>47.620899999999999</v>
      </c>
      <c r="E75">
        <v>44.898600000000002</v>
      </c>
      <c r="F75">
        <v>113065.70299999999</v>
      </c>
      <c r="G75">
        <v>64.131</v>
      </c>
    </row>
    <row r="76" spans="1:7" x14ac:dyDescent="0.15">
      <c r="A76" s="141" t="s">
        <v>225</v>
      </c>
      <c r="B76">
        <v>1935.3320000000001</v>
      </c>
      <c r="C76">
        <v>37.2624</v>
      </c>
      <c r="D76">
        <v>46.253799999999998</v>
      </c>
      <c r="E76">
        <v>43.1785</v>
      </c>
      <c r="F76">
        <v>55638.983999999997</v>
      </c>
      <c r="G76">
        <v>56.381</v>
      </c>
    </row>
    <row r="77" spans="1:7" x14ac:dyDescent="0.15">
      <c r="A77" s="141" t="s">
        <v>226</v>
      </c>
      <c r="B77">
        <v>76293.16</v>
      </c>
      <c r="C77">
        <v>41.676299999999998</v>
      </c>
      <c r="D77">
        <v>36.512799999999999</v>
      </c>
      <c r="E77">
        <v>37.6203</v>
      </c>
      <c r="F77">
        <v>731661.45499999996</v>
      </c>
      <c r="G77">
        <v>86.259</v>
      </c>
    </row>
    <row r="78" spans="1:7" x14ac:dyDescent="0.15">
      <c r="A78" s="141" t="s">
        <v>227</v>
      </c>
      <c r="B78">
        <v>39389.328000000001</v>
      </c>
      <c r="C78">
        <v>39.070500000000003</v>
      </c>
      <c r="D78">
        <v>34.5869</v>
      </c>
      <c r="E78">
        <v>35.938699999999997</v>
      </c>
      <c r="F78">
        <v>489778.78499999997</v>
      </c>
      <c r="G78">
        <v>77.69</v>
      </c>
    </row>
    <row r="79" spans="1:7" x14ac:dyDescent="0.15">
      <c r="A79" s="141" t="s">
        <v>228</v>
      </c>
      <c r="B79">
        <v>18919.171999999999</v>
      </c>
      <c r="C79">
        <v>36.1631</v>
      </c>
      <c r="D79">
        <v>32.943199999999997</v>
      </c>
      <c r="E79">
        <v>34.550199999999997</v>
      </c>
      <c r="F79">
        <v>308796.37</v>
      </c>
      <c r="G79">
        <v>72.472999999999999</v>
      </c>
    </row>
    <row r="80" spans="1:7" x14ac:dyDescent="0.15">
      <c r="A80" s="141" t="s">
        <v>229</v>
      </c>
      <c r="B80">
        <v>7798.74</v>
      </c>
      <c r="C80">
        <v>33.090899999999998</v>
      </c>
      <c r="D80">
        <v>31.269600000000001</v>
      </c>
      <c r="E80">
        <v>33.114800000000002</v>
      </c>
      <c r="F80">
        <v>175109.1</v>
      </c>
      <c r="G80">
        <v>67.378</v>
      </c>
    </row>
    <row r="81" spans="1:7" x14ac:dyDescent="0.15">
      <c r="A81" s="141" t="s">
        <v>230</v>
      </c>
      <c r="B81">
        <v>38342.432000000001</v>
      </c>
      <c r="C81">
        <v>38.323</v>
      </c>
      <c r="D81">
        <v>40.512099999999997</v>
      </c>
      <c r="E81">
        <v>41.569600000000001</v>
      </c>
      <c r="F81">
        <v>428034.397</v>
      </c>
      <c r="G81">
        <v>46.390999999999998</v>
      </c>
    </row>
    <row r="82" spans="1:7" x14ac:dyDescent="0.15">
      <c r="A82" s="141" t="s">
        <v>231</v>
      </c>
      <c r="B82">
        <v>18808.288</v>
      </c>
      <c r="C82">
        <v>37.216500000000003</v>
      </c>
      <c r="D82">
        <v>37.966799999999999</v>
      </c>
      <c r="E82">
        <v>40.35</v>
      </c>
      <c r="F82">
        <v>258162.845</v>
      </c>
      <c r="G82">
        <v>41.457000000000001</v>
      </c>
    </row>
    <row r="83" spans="1:7" x14ac:dyDescent="0.15">
      <c r="A83" s="141" t="s">
        <v>232</v>
      </c>
      <c r="B83">
        <v>9298.4320000000007</v>
      </c>
      <c r="C83">
        <v>35.8491</v>
      </c>
      <c r="D83">
        <v>35.743600000000001</v>
      </c>
      <c r="E83">
        <v>39.034300000000002</v>
      </c>
      <c r="F83">
        <v>159864.54199999999</v>
      </c>
      <c r="G83">
        <v>37.649000000000001</v>
      </c>
    </row>
    <row r="84" spans="1:7" x14ac:dyDescent="0.15">
      <c r="A84" s="141" t="s">
        <v>233</v>
      </c>
      <c r="B84">
        <v>4709.0280000000002</v>
      </c>
      <c r="C84">
        <v>34.015300000000003</v>
      </c>
      <c r="D84">
        <v>33.840899999999998</v>
      </c>
      <c r="E84">
        <v>37.465299999999999</v>
      </c>
      <c r="F84">
        <v>90714.615000000005</v>
      </c>
      <c r="G84">
        <v>33.414999999999999</v>
      </c>
    </row>
    <row r="85" spans="1:7" x14ac:dyDescent="0.15">
      <c r="A85" s="141" t="s">
        <v>234</v>
      </c>
      <c r="B85">
        <v>26757.24</v>
      </c>
      <c r="C85">
        <v>37.6417</v>
      </c>
      <c r="D85">
        <v>45.347000000000001</v>
      </c>
      <c r="E85">
        <v>43.042200000000001</v>
      </c>
      <c r="F85">
        <v>570871.22900000005</v>
      </c>
      <c r="G85">
        <v>81.558000000000007</v>
      </c>
    </row>
    <row r="86" spans="1:7" x14ac:dyDescent="0.15">
      <c r="A86" s="141" t="s">
        <v>235</v>
      </c>
      <c r="B86">
        <v>9181.9639999999999</v>
      </c>
      <c r="C86">
        <v>37.090200000000003</v>
      </c>
      <c r="D86">
        <v>44.755600000000001</v>
      </c>
      <c r="E86">
        <v>42.418199999999999</v>
      </c>
      <c r="F86">
        <v>322109.32199999999</v>
      </c>
      <c r="G86">
        <v>76.67</v>
      </c>
    </row>
    <row r="87" spans="1:7" x14ac:dyDescent="0.15">
      <c r="A87" s="141" t="s">
        <v>236</v>
      </c>
      <c r="B87">
        <v>4542.0320000000002</v>
      </c>
      <c r="C87">
        <v>36.244799999999998</v>
      </c>
      <c r="D87">
        <v>43.985900000000001</v>
      </c>
      <c r="E87">
        <v>41.6235</v>
      </c>
      <c r="F87">
        <v>159925.93799999999</v>
      </c>
      <c r="G87">
        <v>59.372999999999998</v>
      </c>
    </row>
    <row r="88" spans="1:7" x14ac:dyDescent="0.15">
      <c r="A88" s="141" t="s">
        <v>237</v>
      </c>
      <c r="B88">
        <v>2196.6680000000001</v>
      </c>
      <c r="C88">
        <v>34.792200000000001</v>
      </c>
      <c r="D88">
        <v>42.645499999999998</v>
      </c>
      <c r="E88">
        <v>40.455800000000004</v>
      </c>
      <c r="F88">
        <v>76292.107000000004</v>
      </c>
      <c r="G88">
        <v>44.776000000000003</v>
      </c>
    </row>
    <row r="89" spans="1:7" x14ac:dyDescent="0.15">
      <c r="A89" s="141" t="s">
        <v>118</v>
      </c>
      <c r="B89">
        <v>9848.92</v>
      </c>
      <c r="C89">
        <v>38.017600000000002</v>
      </c>
      <c r="D89">
        <v>39.852499999999999</v>
      </c>
      <c r="E89">
        <v>43.3857</v>
      </c>
      <c r="F89">
        <v>126539.12699999999</v>
      </c>
      <c r="G89">
        <v>16.556999999999999</v>
      </c>
    </row>
    <row r="90" spans="1:7" x14ac:dyDescent="0.15">
      <c r="A90" s="141" t="s">
        <v>119</v>
      </c>
      <c r="B90">
        <v>4578.1639999999998</v>
      </c>
      <c r="C90">
        <v>36.930199999999999</v>
      </c>
      <c r="D90">
        <v>39.359099999999998</v>
      </c>
      <c r="E90">
        <v>42.254899999999999</v>
      </c>
      <c r="F90">
        <v>77612.474000000002</v>
      </c>
      <c r="G90">
        <v>13.377000000000001</v>
      </c>
    </row>
    <row r="91" spans="1:7" x14ac:dyDescent="0.15">
      <c r="A91" s="141" t="s">
        <v>120</v>
      </c>
      <c r="B91">
        <v>2329.8319999999999</v>
      </c>
      <c r="C91">
        <v>35.384999999999998</v>
      </c>
      <c r="D91">
        <v>38.745800000000003</v>
      </c>
      <c r="E91">
        <v>40.980200000000004</v>
      </c>
      <c r="F91">
        <v>45469.207000000002</v>
      </c>
      <c r="G91">
        <v>11.285</v>
      </c>
    </row>
    <row r="92" spans="1:7" x14ac:dyDescent="0.15">
      <c r="A92" s="141" t="s">
        <v>121</v>
      </c>
      <c r="B92">
        <v>1114.4760000000001</v>
      </c>
      <c r="C92">
        <v>33.188200000000002</v>
      </c>
      <c r="D92">
        <v>37.711599999999997</v>
      </c>
      <c r="E92">
        <v>39.224499999999999</v>
      </c>
      <c r="F92">
        <v>24355.782999999999</v>
      </c>
      <c r="G92">
        <v>9.6890000000000001</v>
      </c>
    </row>
    <row r="93" spans="1:7" x14ac:dyDescent="0.15">
      <c r="A93" s="141" t="s">
        <v>122</v>
      </c>
      <c r="B93">
        <v>8696.6360000000004</v>
      </c>
      <c r="C93">
        <v>38.953200000000002</v>
      </c>
      <c r="D93">
        <v>44.059199999999997</v>
      </c>
      <c r="E93">
        <v>45.231999999999999</v>
      </c>
      <c r="F93">
        <v>137336.39000000001</v>
      </c>
      <c r="G93">
        <v>18.96</v>
      </c>
    </row>
    <row r="94" spans="1:7" x14ac:dyDescent="0.15">
      <c r="A94" s="141" t="s">
        <v>123</v>
      </c>
      <c r="B94">
        <v>4334.7920000000004</v>
      </c>
      <c r="C94">
        <v>37.921799999999998</v>
      </c>
      <c r="D94">
        <v>43.213200000000001</v>
      </c>
      <c r="E94">
        <v>43.781399999999998</v>
      </c>
      <c r="F94">
        <v>83795.173999999999</v>
      </c>
      <c r="G94">
        <v>16.23</v>
      </c>
    </row>
    <row r="95" spans="1:7" x14ac:dyDescent="0.15">
      <c r="A95" s="141" t="s">
        <v>124</v>
      </c>
      <c r="B95">
        <v>2212.556</v>
      </c>
      <c r="C95">
        <v>36.431899999999999</v>
      </c>
      <c r="D95">
        <v>42.190300000000001</v>
      </c>
      <c r="E95">
        <v>42.230899999999998</v>
      </c>
      <c r="F95">
        <v>47293.826000000001</v>
      </c>
      <c r="G95">
        <v>14.132</v>
      </c>
    </row>
    <row r="96" spans="1:7" x14ac:dyDescent="0.15">
      <c r="A96" s="141" t="s">
        <v>125</v>
      </c>
      <c r="B96">
        <v>1089.144</v>
      </c>
      <c r="C96">
        <v>34.363399999999999</v>
      </c>
      <c r="D96">
        <v>40.841500000000003</v>
      </c>
      <c r="E96">
        <v>40.293500000000002</v>
      </c>
      <c r="F96">
        <v>25564.170999999998</v>
      </c>
      <c r="G96">
        <v>11.5</v>
      </c>
    </row>
    <row r="97" spans="1:7" x14ac:dyDescent="0.15">
      <c r="A97" s="141" t="s">
        <v>238</v>
      </c>
      <c r="B97">
        <v>6807.74</v>
      </c>
      <c r="C97">
        <v>39.708500000000001</v>
      </c>
      <c r="D97">
        <v>43.912199999999999</v>
      </c>
      <c r="E97">
        <v>45.049599999999998</v>
      </c>
      <c r="F97">
        <v>126059.22900000001</v>
      </c>
      <c r="G97">
        <v>18.943000000000001</v>
      </c>
    </row>
    <row r="98" spans="1:7" x14ac:dyDescent="0.15">
      <c r="A98" s="141" t="s">
        <v>239</v>
      </c>
      <c r="B98">
        <v>3231.8159999999998</v>
      </c>
      <c r="C98">
        <v>38.563099999999999</v>
      </c>
      <c r="D98">
        <v>43.161700000000003</v>
      </c>
      <c r="E98">
        <v>44.370199999999997</v>
      </c>
      <c r="F98">
        <v>75042.168999999994</v>
      </c>
      <c r="G98">
        <v>16.420000000000002</v>
      </c>
    </row>
    <row r="99" spans="1:7" x14ac:dyDescent="0.15">
      <c r="A99" s="141" t="s">
        <v>240</v>
      </c>
      <c r="B99">
        <v>1553.864</v>
      </c>
      <c r="C99">
        <v>36.890500000000003</v>
      </c>
      <c r="D99">
        <v>42.289299999999997</v>
      </c>
      <c r="E99">
        <v>43.494</v>
      </c>
      <c r="F99">
        <v>40202.667000000001</v>
      </c>
      <c r="G99">
        <v>14.076000000000001</v>
      </c>
    </row>
    <row r="100" spans="1:7" x14ac:dyDescent="0.15">
      <c r="A100" s="141" t="s">
        <v>241</v>
      </c>
      <c r="B100">
        <v>701.31600000000003</v>
      </c>
      <c r="C100">
        <v>34.649500000000003</v>
      </c>
      <c r="D100">
        <v>40.999099999999999</v>
      </c>
      <c r="E100">
        <v>42.129100000000001</v>
      </c>
      <c r="F100">
        <v>20929.166000000001</v>
      </c>
      <c r="G100">
        <v>11.891999999999999</v>
      </c>
    </row>
    <row r="101" spans="1:7" x14ac:dyDescent="0.15">
      <c r="A101" s="141" t="s">
        <v>242</v>
      </c>
      <c r="B101">
        <v>5625.8760000000002</v>
      </c>
      <c r="C101">
        <v>44.933799999999998</v>
      </c>
      <c r="D101">
        <v>47.759700000000002</v>
      </c>
      <c r="E101">
        <v>48.5548</v>
      </c>
      <c r="F101">
        <v>95985.630999999994</v>
      </c>
      <c r="G101">
        <v>18.606999999999999</v>
      </c>
    </row>
    <row r="102" spans="1:7" x14ac:dyDescent="0.15">
      <c r="A102" s="141" t="s">
        <v>243</v>
      </c>
      <c r="B102">
        <v>3458.424</v>
      </c>
      <c r="C102">
        <v>42.695999999999998</v>
      </c>
      <c r="D102">
        <v>46.200899999999997</v>
      </c>
      <c r="E102">
        <v>46.785899999999998</v>
      </c>
      <c r="F102">
        <v>65361.368000000002</v>
      </c>
      <c r="G102">
        <v>17.126000000000001</v>
      </c>
    </row>
    <row r="103" spans="1:7" x14ac:dyDescent="0.15">
      <c r="A103" s="141" t="s">
        <v>244</v>
      </c>
      <c r="B103">
        <v>1932.88</v>
      </c>
      <c r="C103">
        <v>39.8795</v>
      </c>
      <c r="D103">
        <v>44.640500000000003</v>
      </c>
      <c r="E103">
        <v>44.970500000000001</v>
      </c>
      <c r="F103">
        <v>41129.165999999997</v>
      </c>
      <c r="G103">
        <v>14.433999999999999</v>
      </c>
    </row>
    <row r="104" spans="1:7" x14ac:dyDescent="0.15">
      <c r="A104" s="141" t="s">
        <v>245</v>
      </c>
      <c r="B104">
        <v>987.15200000000004</v>
      </c>
      <c r="C104">
        <v>36.705800000000004</v>
      </c>
      <c r="D104">
        <v>42.859699999999997</v>
      </c>
      <c r="E104">
        <v>42.918700000000001</v>
      </c>
      <c r="F104">
        <v>22905.606</v>
      </c>
      <c r="G104">
        <v>11.259</v>
      </c>
    </row>
    <row r="105" spans="1:7" x14ac:dyDescent="0.15">
      <c r="A105" s="141" t="s">
        <v>126</v>
      </c>
      <c r="B105">
        <v>4137.7359999999999</v>
      </c>
      <c r="C105">
        <v>38.616799999999998</v>
      </c>
      <c r="D105">
        <v>46.239600000000003</v>
      </c>
      <c r="E105">
        <v>46.4848</v>
      </c>
      <c r="F105">
        <v>61264.661</v>
      </c>
      <c r="G105">
        <v>7.8230000000000004</v>
      </c>
    </row>
    <row r="106" spans="1:7" x14ac:dyDescent="0.15">
      <c r="A106" s="141" t="s">
        <v>127</v>
      </c>
      <c r="B106">
        <v>1798.2639999999999</v>
      </c>
      <c r="C106">
        <v>37.112499999999997</v>
      </c>
      <c r="D106">
        <v>45.178400000000003</v>
      </c>
      <c r="E106">
        <v>45.396599999999999</v>
      </c>
      <c r="F106">
        <v>32198.485000000001</v>
      </c>
      <c r="G106">
        <v>6.351</v>
      </c>
    </row>
    <row r="107" spans="1:7" x14ac:dyDescent="0.15">
      <c r="A107" s="141" t="s">
        <v>128</v>
      </c>
      <c r="B107">
        <v>849.24400000000003</v>
      </c>
      <c r="C107">
        <v>35.173400000000001</v>
      </c>
      <c r="D107">
        <v>43.948099999999997</v>
      </c>
      <c r="E107">
        <v>44.259300000000003</v>
      </c>
      <c r="F107">
        <v>18005.868999999999</v>
      </c>
      <c r="G107">
        <v>5.4050000000000002</v>
      </c>
    </row>
    <row r="108" spans="1:7" x14ac:dyDescent="0.15">
      <c r="A108" s="141" t="s">
        <v>129</v>
      </c>
      <c r="B108">
        <v>403.31200000000001</v>
      </c>
      <c r="C108">
        <v>32.500500000000002</v>
      </c>
      <c r="D108">
        <v>42.237499999999997</v>
      </c>
      <c r="E108">
        <v>42.4604</v>
      </c>
      <c r="F108">
        <v>9340.9779999999992</v>
      </c>
      <c r="G108">
        <v>4.3520000000000003</v>
      </c>
    </row>
    <row r="109" spans="1:7" x14ac:dyDescent="0.15">
      <c r="A109" s="141" t="s">
        <v>130</v>
      </c>
      <c r="B109">
        <v>2453.828</v>
      </c>
      <c r="C109">
        <v>40.649799999999999</v>
      </c>
      <c r="D109">
        <v>46.148299999999999</v>
      </c>
      <c r="E109">
        <v>47.3508</v>
      </c>
      <c r="F109">
        <v>48116.623</v>
      </c>
      <c r="G109">
        <v>7.7619999999999996</v>
      </c>
    </row>
    <row r="110" spans="1:7" x14ac:dyDescent="0.15">
      <c r="A110" s="141" t="s">
        <v>131</v>
      </c>
      <c r="B110">
        <v>1112.624</v>
      </c>
      <c r="C110">
        <v>39.526600000000002</v>
      </c>
      <c r="D110">
        <v>45.59</v>
      </c>
      <c r="E110">
        <v>46.0931</v>
      </c>
      <c r="F110">
        <v>26418.089</v>
      </c>
      <c r="G110">
        <v>6.3719999999999999</v>
      </c>
    </row>
    <row r="111" spans="1:7" x14ac:dyDescent="0.15">
      <c r="A111" s="141" t="s">
        <v>132</v>
      </c>
      <c r="B111">
        <v>523.32000000000005</v>
      </c>
      <c r="C111">
        <v>37.978400000000001</v>
      </c>
      <c r="D111">
        <v>44.800199999999997</v>
      </c>
      <c r="E111">
        <v>44.588299999999997</v>
      </c>
      <c r="F111">
        <v>13932.415000000001</v>
      </c>
      <c r="G111">
        <v>5.3789999999999996</v>
      </c>
    </row>
    <row r="112" spans="1:7" x14ac:dyDescent="0.15">
      <c r="A112" s="141" t="s">
        <v>133</v>
      </c>
      <c r="B112">
        <v>237.732</v>
      </c>
      <c r="C112">
        <v>35.9039</v>
      </c>
      <c r="D112">
        <v>43.604599999999998</v>
      </c>
      <c r="E112">
        <v>42.507300000000001</v>
      </c>
      <c r="F112">
        <v>6781.0720000000001</v>
      </c>
      <c r="G112">
        <v>4.4119999999999999</v>
      </c>
    </row>
    <row r="113" spans="1:7" x14ac:dyDescent="0.15">
      <c r="A113" s="141" t="s">
        <v>134</v>
      </c>
      <c r="B113">
        <v>938.96</v>
      </c>
      <c r="C113">
        <v>43.548499999999997</v>
      </c>
      <c r="D113">
        <v>47.293999999999997</v>
      </c>
      <c r="E113">
        <v>48.314399999999999</v>
      </c>
      <c r="F113">
        <v>21245.876</v>
      </c>
      <c r="G113">
        <v>5.274</v>
      </c>
    </row>
    <row r="114" spans="1:7" x14ac:dyDescent="0.15">
      <c r="A114" s="141" t="s">
        <v>135</v>
      </c>
      <c r="B114">
        <v>515.44000000000005</v>
      </c>
      <c r="C114">
        <v>42.301099999999998</v>
      </c>
      <c r="D114">
        <v>46.5381</v>
      </c>
      <c r="E114">
        <v>47.333399999999997</v>
      </c>
      <c r="F114">
        <v>12008.796</v>
      </c>
      <c r="G114">
        <v>4.8559999999999999</v>
      </c>
    </row>
    <row r="115" spans="1:7" x14ac:dyDescent="0.15">
      <c r="A115" s="141" t="s">
        <v>136</v>
      </c>
      <c r="B115">
        <v>295.61599999999999</v>
      </c>
      <c r="C115">
        <v>40.5413</v>
      </c>
      <c r="D115">
        <v>45.5486</v>
      </c>
      <c r="E115">
        <v>46.110100000000003</v>
      </c>
      <c r="F115">
        <v>6730.0609999999997</v>
      </c>
      <c r="G115">
        <v>4.3869999999999996</v>
      </c>
    </row>
    <row r="116" spans="1:7" x14ac:dyDescent="0.15">
      <c r="A116" s="141" t="s">
        <v>137</v>
      </c>
      <c r="B116">
        <v>165.452</v>
      </c>
      <c r="C116">
        <v>38.006999999999998</v>
      </c>
      <c r="D116">
        <v>43.878799999999998</v>
      </c>
      <c r="E116">
        <v>44.110500000000002</v>
      </c>
      <c r="F116">
        <v>3991.4079999999999</v>
      </c>
      <c r="G116">
        <v>4.3609999999999998</v>
      </c>
    </row>
    <row r="117" spans="1:7" x14ac:dyDescent="0.15">
      <c r="A117" s="141" t="s">
        <v>138</v>
      </c>
      <c r="B117">
        <v>1314.6</v>
      </c>
      <c r="C117">
        <v>42.926400000000001</v>
      </c>
      <c r="D117">
        <v>49.048400000000001</v>
      </c>
      <c r="E117">
        <v>48.688000000000002</v>
      </c>
      <c r="F117">
        <v>23953.004000000001</v>
      </c>
      <c r="G117">
        <v>5.1710000000000003</v>
      </c>
    </row>
    <row r="118" spans="1:7" x14ac:dyDescent="0.15">
      <c r="A118" s="141" t="s">
        <v>139</v>
      </c>
      <c r="B118">
        <v>710.98400000000004</v>
      </c>
      <c r="C118">
        <v>41.677300000000002</v>
      </c>
      <c r="D118">
        <v>48.283000000000001</v>
      </c>
      <c r="E118">
        <v>47.619100000000003</v>
      </c>
      <c r="F118">
        <v>14220.581</v>
      </c>
      <c r="G118">
        <v>4.7300000000000004</v>
      </c>
    </row>
    <row r="119" spans="1:7" x14ac:dyDescent="0.15">
      <c r="A119" s="141" t="s">
        <v>140</v>
      </c>
      <c r="B119">
        <v>405.036</v>
      </c>
      <c r="C119">
        <v>39.839100000000002</v>
      </c>
      <c r="D119">
        <v>47.215899999999998</v>
      </c>
      <c r="E119">
        <v>46.341700000000003</v>
      </c>
      <c r="F119">
        <v>8184.4380000000001</v>
      </c>
      <c r="G119">
        <v>4.5419999999999998</v>
      </c>
    </row>
    <row r="120" spans="1:7" x14ac:dyDescent="0.15">
      <c r="A120" s="141" t="s">
        <v>141</v>
      </c>
      <c r="B120">
        <v>225.2</v>
      </c>
      <c r="C120">
        <v>37.133299999999998</v>
      </c>
      <c r="D120">
        <v>45.621200000000002</v>
      </c>
      <c r="E120">
        <v>44.084899999999998</v>
      </c>
      <c r="F120">
        <v>4887.18</v>
      </c>
      <c r="G120">
        <v>4.3860000000000001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16805.024000000001</v>
      </c>
      <c r="C145">
        <v>40.163200000000003</v>
      </c>
      <c r="D145">
        <v>48.746600000000001</v>
      </c>
      <c r="E145">
        <v>46.686700000000002</v>
      </c>
      <c r="F145">
        <v>232499.28099999999</v>
      </c>
      <c r="G145">
        <v>37.918999999999997</v>
      </c>
    </row>
    <row r="146" spans="1:7" x14ac:dyDescent="0.15">
      <c r="A146" s="141" t="s">
        <v>255</v>
      </c>
      <c r="B146">
        <v>8427.3119999999999</v>
      </c>
      <c r="C146">
        <v>39.555599999999998</v>
      </c>
      <c r="D146">
        <v>47.9069</v>
      </c>
      <c r="E146">
        <v>45.5608</v>
      </c>
      <c r="F146">
        <v>136076.859</v>
      </c>
      <c r="G146">
        <v>35.584000000000003</v>
      </c>
    </row>
    <row r="147" spans="1:7" x14ac:dyDescent="0.15">
      <c r="A147" s="141" t="s">
        <v>256</v>
      </c>
      <c r="B147">
        <v>4600.0479999999998</v>
      </c>
      <c r="C147">
        <v>38.559899999999999</v>
      </c>
      <c r="D147">
        <v>46.947800000000001</v>
      </c>
      <c r="E147">
        <v>44.147199999999998</v>
      </c>
      <c r="F147">
        <v>70893.414000000004</v>
      </c>
      <c r="G147">
        <v>30.863</v>
      </c>
    </row>
    <row r="148" spans="1:7" x14ac:dyDescent="0.15">
      <c r="A148" s="141" t="s">
        <v>257</v>
      </c>
      <c r="B148">
        <v>2498.1680000000001</v>
      </c>
      <c r="C148">
        <v>37.011499999999998</v>
      </c>
      <c r="D148">
        <v>45.528300000000002</v>
      </c>
      <c r="E148">
        <v>42.475099999999998</v>
      </c>
      <c r="F148">
        <v>35728.394999999997</v>
      </c>
      <c r="G148">
        <v>25.646999999999998</v>
      </c>
    </row>
    <row r="149" spans="1:7" x14ac:dyDescent="0.15">
      <c r="A149" s="141" t="s">
        <v>258</v>
      </c>
      <c r="B149">
        <v>91818.535999999993</v>
      </c>
      <c r="C149">
        <v>41.760199999999998</v>
      </c>
      <c r="D149">
        <v>36.724699999999999</v>
      </c>
      <c r="E149">
        <v>37.719299999999997</v>
      </c>
      <c r="F149">
        <v>410049.28100000002</v>
      </c>
      <c r="G149">
        <v>41.601999999999997</v>
      </c>
    </row>
    <row r="150" spans="1:7" x14ac:dyDescent="0.15">
      <c r="A150" s="141" t="s">
        <v>259</v>
      </c>
      <c r="B150">
        <v>46994.368000000002</v>
      </c>
      <c r="C150">
        <v>38.962600000000002</v>
      </c>
      <c r="D150">
        <v>34.441099999999999</v>
      </c>
      <c r="E150">
        <v>35.768700000000003</v>
      </c>
      <c r="F150">
        <v>288476.625</v>
      </c>
      <c r="G150">
        <v>35.356000000000002</v>
      </c>
    </row>
    <row r="151" spans="1:7" x14ac:dyDescent="0.15">
      <c r="A151" s="141" t="s">
        <v>260</v>
      </c>
      <c r="B151">
        <v>21874.991999999998</v>
      </c>
      <c r="C151">
        <v>35.852200000000003</v>
      </c>
      <c r="D151">
        <v>32.514600000000002</v>
      </c>
      <c r="E151">
        <v>34.117100000000001</v>
      </c>
      <c r="F151">
        <v>185992.141</v>
      </c>
      <c r="G151">
        <v>32.341999999999999</v>
      </c>
    </row>
    <row r="152" spans="1:7" x14ac:dyDescent="0.15">
      <c r="A152" s="141" t="s">
        <v>261</v>
      </c>
      <c r="B152">
        <v>9227.2240000000002</v>
      </c>
      <c r="C152">
        <v>32.8142</v>
      </c>
      <c r="D152">
        <v>30.799099999999999</v>
      </c>
      <c r="E152">
        <v>32.689799999999998</v>
      </c>
      <c r="F152">
        <v>104070.164</v>
      </c>
      <c r="G152">
        <v>26.846</v>
      </c>
    </row>
    <row r="153" spans="1:7" x14ac:dyDescent="0.15">
      <c r="A153" s="141" t="s">
        <v>262</v>
      </c>
      <c r="B153">
        <v>46727.343999999997</v>
      </c>
      <c r="C153">
        <v>38.936</v>
      </c>
      <c r="D153">
        <v>41.308599999999998</v>
      </c>
      <c r="E153">
        <v>41.5336</v>
      </c>
      <c r="F153">
        <v>240210.78099999999</v>
      </c>
      <c r="G153">
        <v>23.995000000000001</v>
      </c>
    </row>
    <row r="154" spans="1:7" x14ac:dyDescent="0.15">
      <c r="A154" s="141" t="s">
        <v>263</v>
      </c>
      <c r="B154">
        <v>22979.272000000001</v>
      </c>
      <c r="C154">
        <v>37.565199999999997</v>
      </c>
      <c r="D154">
        <v>38.735300000000002</v>
      </c>
      <c r="E154">
        <v>40.150100000000002</v>
      </c>
      <c r="F154">
        <v>138931.53099999999</v>
      </c>
      <c r="G154">
        <v>20.097999999999999</v>
      </c>
    </row>
    <row r="155" spans="1:7" x14ac:dyDescent="0.15">
      <c r="A155" s="141" t="s">
        <v>264</v>
      </c>
      <c r="B155">
        <v>11967.272000000001</v>
      </c>
      <c r="C155">
        <v>36.017299999999999</v>
      </c>
      <c r="D155">
        <v>36.497799999999998</v>
      </c>
      <c r="E155">
        <v>38.71</v>
      </c>
      <c r="F155">
        <v>89568.156000000003</v>
      </c>
      <c r="G155">
        <v>18.295999999999999</v>
      </c>
    </row>
    <row r="156" spans="1:7" x14ac:dyDescent="0.15">
      <c r="A156" s="141" t="s">
        <v>265</v>
      </c>
      <c r="B156">
        <v>5894.32</v>
      </c>
      <c r="C156">
        <v>34.1021</v>
      </c>
      <c r="D156">
        <v>34.055</v>
      </c>
      <c r="E156">
        <v>36.948399999999999</v>
      </c>
      <c r="F156">
        <v>51057.762000000002</v>
      </c>
      <c r="G156">
        <v>16.091999999999999</v>
      </c>
    </row>
    <row r="157" spans="1:7" x14ac:dyDescent="0.15">
      <c r="A157" s="141" t="s">
        <v>266</v>
      </c>
      <c r="B157">
        <v>24370.400000000001</v>
      </c>
      <c r="C157">
        <v>37.5364</v>
      </c>
      <c r="D157">
        <v>45.037399999999998</v>
      </c>
      <c r="E157">
        <v>42.783099999999997</v>
      </c>
      <c r="F157">
        <v>320174.34399999998</v>
      </c>
      <c r="G157">
        <v>39.942999999999998</v>
      </c>
    </row>
    <row r="158" spans="1:7" x14ac:dyDescent="0.15">
      <c r="A158" s="141" t="s">
        <v>267</v>
      </c>
      <c r="B158">
        <v>10290.552</v>
      </c>
      <c r="C158">
        <v>36.899299999999997</v>
      </c>
      <c r="D158">
        <v>44.374899999999997</v>
      </c>
      <c r="E158">
        <v>42.069600000000001</v>
      </c>
      <c r="F158">
        <v>173742.20300000001</v>
      </c>
      <c r="G158">
        <v>33.112000000000002</v>
      </c>
    </row>
    <row r="159" spans="1:7" x14ac:dyDescent="0.15">
      <c r="A159" s="141" t="s">
        <v>268</v>
      </c>
      <c r="B159">
        <v>5164.0720000000001</v>
      </c>
      <c r="C159">
        <v>35.879600000000003</v>
      </c>
      <c r="D159">
        <v>43.433900000000001</v>
      </c>
      <c r="E159">
        <v>41.094200000000001</v>
      </c>
      <c r="F159">
        <v>96817.289000000004</v>
      </c>
      <c r="G159">
        <v>27.526</v>
      </c>
    </row>
    <row r="160" spans="1:7" x14ac:dyDescent="0.15">
      <c r="A160" s="141" t="s">
        <v>269</v>
      </c>
      <c r="B160">
        <v>2566.64</v>
      </c>
      <c r="C160">
        <v>34.303699999999999</v>
      </c>
      <c r="D160">
        <v>42.087299999999999</v>
      </c>
      <c r="E160">
        <v>39.927900000000001</v>
      </c>
      <c r="F160">
        <v>49684.398000000001</v>
      </c>
      <c r="G160">
        <v>21.134</v>
      </c>
    </row>
    <row r="161" spans="1:7" x14ac:dyDescent="0.15">
      <c r="A161" s="141" t="s">
        <v>142</v>
      </c>
      <c r="B161">
        <v>8047.8271999999997</v>
      </c>
      <c r="C161">
        <v>38.012500000000003</v>
      </c>
      <c r="D161">
        <v>39.745199999999997</v>
      </c>
      <c r="E161">
        <v>42.862000000000002</v>
      </c>
      <c r="F161">
        <v>367530.96899999998</v>
      </c>
      <c r="G161">
        <v>33.222999999999999</v>
      </c>
    </row>
    <row r="162" spans="1:7" x14ac:dyDescent="0.15">
      <c r="A162" s="141" t="s">
        <v>143</v>
      </c>
      <c r="B162">
        <v>3825.3760000000002</v>
      </c>
      <c r="C162">
        <v>36.671799999999998</v>
      </c>
      <c r="D162">
        <v>39.115499999999997</v>
      </c>
      <c r="E162">
        <v>41.6995</v>
      </c>
      <c r="F162">
        <v>221428.18799999999</v>
      </c>
      <c r="G162">
        <v>25.893999999999998</v>
      </c>
    </row>
    <row r="163" spans="1:7" x14ac:dyDescent="0.15">
      <c r="A163" s="141" t="s">
        <v>144</v>
      </c>
      <c r="B163">
        <v>1880.3008</v>
      </c>
      <c r="C163">
        <v>34.8416</v>
      </c>
      <c r="D163">
        <v>38.285400000000003</v>
      </c>
      <c r="E163">
        <v>40.210700000000003</v>
      </c>
      <c r="F163">
        <v>135324.31200000001</v>
      </c>
      <c r="G163">
        <v>21.766999999999999</v>
      </c>
    </row>
    <row r="164" spans="1:7" x14ac:dyDescent="0.15">
      <c r="A164" s="141" t="s">
        <v>145</v>
      </c>
      <c r="B164">
        <v>899.03359999999998</v>
      </c>
      <c r="C164">
        <v>32.533900000000003</v>
      </c>
      <c r="D164">
        <v>37.275199999999998</v>
      </c>
      <c r="E164">
        <v>38.549100000000003</v>
      </c>
      <c r="F164">
        <v>78960.125</v>
      </c>
      <c r="G164">
        <v>18.033000000000001</v>
      </c>
    </row>
    <row r="165" spans="1:7" x14ac:dyDescent="0.15">
      <c r="A165" s="141" t="s">
        <v>146</v>
      </c>
      <c r="B165">
        <v>9380.76</v>
      </c>
      <c r="C165">
        <v>38.738900000000001</v>
      </c>
      <c r="D165">
        <v>43.691899999999997</v>
      </c>
      <c r="E165">
        <v>44.637900000000002</v>
      </c>
      <c r="F165">
        <v>400338.06199999998</v>
      </c>
      <c r="G165">
        <v>44.720999999999997</v>
      </c>
    </row>
    <row r="166" spans="1:7" x14ac:dyDescent="0.15">
      <c r="A166" s="141" t="s">
        <v>147</v>
      </c>
      <c r="B166">
        <v>4793.2416000000003</v>
      </c>
      <c r="C166">
        <v>37.512900000000002</v>
      </c>
      <c r="D166">
        <v>42.723100000000002</v>
      </c>
      <c r="E166">
        <v>43.144599999999997</v>
      </c>
      <c r="F166">
        <v>253120.54699999999</v>
      </c>
      <c r="G166">
        <v>37.886000000000003</v>
      </c>
    </row>
    <row r="167" spans="1:7" x14ac:dyDescent="0.15">
      <c r="A167" s="141" t="s">
        <v>148</v>
      </c>
      <c r="B167">
        <v>2441.0544</v>
      </c>
      <c r="C167">
        <v>35.831699999999998</v>
      </c>
      <c r="D167">
        <v>41.492100000000001</v>
      </c>
      <c r="E167">
        <v>41.4056</v>
      </c>
      <c r="F167">
        <v>149458.609</v>
      </c>
      <c r="G167">
        <v>32.223999999999997</v>
      </c>
    </row>
    <row r="168" spans="1:7" x14ac:dyDescent="0.15">
      <c r="A168" s="141" t="s">
        <v>149</v>
      </c>
      <c r="B168">
        <v>1216.2832000000001</v>
      </c>
      <c r="C168">
        <v>33.748800000000003</v>
      </c>
      <c r="D168">
        <v>40.116</v>
      </c>
      <c r="E168">
        <v>39.480200000000004</v>
      </c>
      <c r="F168">
        <v>83609.460999999996</v>
      </c>
      <c r="G168">
        <v>27.004999999999999</v>
      </c>
    </row>
    <row r="169" spans="1:7" x14ac:dyDescent="0.15">
      <c r="A169" s="141" t="s">
        <v>270</v>
      </c>
      <c r="B169">
        <v>6405.1455999999998</v>
      </c>
      <c r="C169">
        <v>39.832799999999999</v>
      </c>
      <c r="D169">
        <v>43.815600000000003</v>
      </c>
      <c r="E169">
        <v>44.538400000000003</v>
      </c>
      <c r="F169">
        <v>359784.06199999998</v>
      </c>
      <c r="G169">
        <v>45.036000000000001</v>
      </c>
    </row>
    <row r="170" spans="1:7" x14ac:dyDescent="0.15">
      <c r="A170" s="141" t="s">
        <v>271</v>
      </c>
      <c r="B170">
        <v>3063.6288</v>
      </c>
      <c r="C170">
        <v>38.537799999999997</v>
      </c>
      <c r="D170">
        <v>42.933900000000001</v>
      </c>
      <c r="E170">
        <v>43.643799999999999</v>
      </c>
      <c r="F170">
        <v>212204.31200000001</v>
      </c>
      <c r="G170">
        <v>37.331000000000003</v>
      </c>
    </row>
    <row r="171" spans="1:7" x14ac:dyDescent="0.15">
      <c r="A171" s="141" t="s">
        <v>272</v>
      </c>
      <c r="B171">
        <v>1480.2431999999999</v>
      </c>
      <c r="C171">
        <v>36.718699999999998</v>
      </c>
      <c r="D171">
        <v>41.827500000000001</v>
      </c>
      <c r="E171">
        <v>42.392200000000003</v>
      </c>
      <c r="F171">
        <v>117693.742</v>
      </c>
      <c r="G171">
        <v>31.518000000000001</v>
      </c>
    </row>
    <row r="172" spans="1:7" x14ac:dyDescent="0.15">
      <c r="A172" s="141" t="s">
        <v>273</v>
      </c>
      <c r="B172">
        <v>694.33280000000002</v>
      </c>
      <c r="C172">
        <v>34.418500000000002</v>
      </c>
      <c r="D172">
        <v>40.643799999999999</v>
      </c>
      <c r="E172">
        <v>41.008000000000003</v>
      </c>
      <c r="F172">
        <v>62355.311999999998</v>
      </c>
      <c r="G172">
        <v>25.648</v>
      </c>
    </row>
    <row r="173" spans="1:7" x14ac:dyDescent="0.15">
      <c r="A173" s="141" t="s">
        <v>274</v>
      </c>
      <c r="B173">
        <v>6797.4880000000003</v>
      </c>
      <c r="C173">
        <v>43.380699999999997</v>
      </c>
      <c r="D173">
        <v>46.761499999999998</v>
      </c>
      <c r="E173">
        <v>47.358499999999999</v>
      </c>
      <c r="F173">
        <v>300938.5</v>
      </c>
      <c r="G173">
        <v>45.1</v>
      </c>
    </row>
    <row r="174" spans="1:7" x14ac:dyDescent="0.15">
      <c r="A174" s="141" t="s">
        <v>275</v>
      </c>
      <c r="B174">
        <v>4150.1632</v>
      </c>
      <c r="C174">
        <v>41.063899999999997</v>
      </c>
      <c r="D174">
        <v>45.308999999999997</v>
      </c>
      <c r="E174">
        <v>45.692399999999999</v>
      </c>
      <c r="F174">
        <v>214083.5</v>
      </c>
      <c r="G174">
        <v>39.17</v>
      </c>
    </row>
    <row r="175" spans="1:7" x14ac:dyDescent="0.15">
      <c r="A175" s="141" t="s">
        <v>276</v>
      </c>
      <c r="B175">
        <v>2301.0192000000002</v>
      </c>
      <c r="C175">
        <v>38.275100000000002</v>
      </c>
      <c r="D175">
        <v>43.661099999999998</v>
      </c>
      <c r="E175">
        <v>43.823</v>
      </c>
      <c r="F175">
        <v>132473.78099999999</v>
      </c>
      <c r="G175">
        <v>33.531999999999996</v>
      </c>
    </row>
    <row r="176" spans="1:7" x14ac:dyDescent="0.15">
      <c r="A176" s="141" t="s">
        <v>277</v>
      </c>
      <c r="B176">
        <v>1200.7760000000001</v>
      </c>
      <c r="C176">
        <v>35.321399999999997</v>
      </c>
      <c r="D176">
        <v>42.064799999999998</v>
      </c>
      <c r="E176">
        <v>41.935699999999997</v>
      </c>
      <c r="F176">
        <v>78959.898000000001</v>
      </c>
      <c r="G176">
        <v>28.908000000000001</v>
      </c>
    </row>
    <row r="177" spans="1:7" x14ac:dyDescent="0.15">
      <c r="A177" s="141" t="s">
        <v>150</v>
      </c>
      <c r="B177" s="71">
        <v>4746.72</v>
      </c>
      <c r="C177" s="71">
        <v>38.467500000000001</v>
      </c>
      <c r="D177" s="71">
        <v>45.536200000000001</v>
      </c>
      <c r="E177" s="71">
        <v>45.7331</v>
      </c>
      <c r="F177" s="71">
        <v>200633.28099999999</v>
      </c>
      <c r="G177" s="71">
        <v>19.652999999999999</v>
      </c>
    </row>
    <row r="178" spans="1:7" x14ac:dyDescent="0.15">
      <c r="A178" s="141" t="s">
        <v>151</v>
      </c>
      <c r="B178" s="71">
        <v>1668.6271999999999</v>
      </c>
      <c r="C178" s="71">
        <v>36.471600000000002</v>
      </c>
      <c r="D178" s="71">
        <v>44.548699999999997</v>
      </c>
      <c r="E178" s="71">
        <v>44.745399999999997</v>
      </c>
      <c r="F178" s="71">
        <v>107426.781</v>
      </c>
      <c r="G178" s="71">
        <v>15.391999999999999</v>
      </c>
    </row>
    <row r="179" spans="1:7" x14ac:dyDescent="0.15">
      <c r="A179" s="141" t="s">
        <v>152</v>
      </c>
      <c r="B179" s="71">
        <v>658.81119999999999</v>
      </c>
      <c r="C179" s="71">
        <v>34.013500000000001</v>
      </c>
      <c r="D179" s="71">
        <v>43.194400000000002</v>
      </c>
      <c r="E179" s="71">
        <v>43.372999999999998</v>
      </c>
      <c r="F179" s="71">
        <v>59909.527000000002</v>
      </c>
      <c r="G179" s="71">
        <v>11.606</v>
      </c>
    </row>
    <row r="180" spans="1:7" x14ac:dyDescent="0.15">
      <c r="A180" s="141" t="s">
        <v>153</v>
      </c>
      <c r="B180" s="71">
        <v>274.74079999999998</v>
      </c>
      <c r="C180" s="71">
        <v>30.979900000000001</v>
      </c>
      <c r="D180" s="71">
        <v>41.908700000000003</v>
      </c>
      <c r="E180" s="71">
        <v>42.039099999999998</v>
      </c>
      <c r="F180" s="71">
        <v>35728.851999999999</v>
      </c>
      <c r="G180" s="71">
        <v>8.8320000000000007</v>
      </c>
    </row>
    <row r="181" spans="1:7" x14ac:dyDescent="0.15">
      <c r="A181" s="141" t="s">
        <v>154</v>
      </c>
      <c r="B181" s="71">
        <v>3852.3904000000002</v>
      </c>
      <c r="C181" s="71">
        <v>40.525500000000001</v>
      </c>
      <c r="D181" s="71">
        <v>45.279899999999998</v>
      </c>
      <c r="E181" s="71">
        <v>46.119500000000002</v>
      </c>
      <c r="F181" s="71">
        <v>174765.78099999999</v>
      </c>
      <c r="G181" s="71">
        <v>20.481000000000002</v>
      </c>
    </row>
    <row r="182" spans="1:7" x14ac:dyDescent="0.15">
      <c r="A182" s="141" t="s">
        <v>155</v>
      </c>
      <c r="B182" s="71">
        <v>1751.6464000000001</v>
      </c>
      <c r="C182" s="71">
        <v>38.8996</v>
      </c>
      <c r="D182" s="71">
        <v>44.465600000000002</v>
      </c>
      <c r="E182" s="71">
        <v>44.5871</v>
      </c>
      <c r="F182" s="71">
        <v>103143.273</v>
      </c>
      <c r="G182" s="71">
        <v>16.843</v>
      </c>
    </row>
    <row r="183" spans="1:7" x14ac:dyDescent="0.15">
      <c r="A183" s="141" t="s">
        <v>156</v>
      </c>
      <c r="B183" s="71">
        <v>838.37760000000003</v>
      </c>
      <c r="C183" s="71">
        <v>36.97</v>
      </c>
      <c r="D183" s="71">
        <v>43.464300000000001</v>
      </c>
      <c r="E183" s="71">
        <v>42.7485</v>
      </c>
      <c r="F183" s="71">
        <v>60503.343999999997</v>
      </c>
      <c r="G183" s="71">
        <v>13.927</v>
      </c>
    </row>
    <row r="184" spans="1:7" x14ac:dyDescent="0.15">
      <c r="A184" s="141" t="s">
        <v>157</v>
      </c>
      <c r="B184" s="71">
        <v>394.08640000000003</v>
      </c>
      <c r="C184" s="71">
        <v>34.747199999999999</v>
      </c>
      <c r="D184" s="71">
        <v>42.187800000000003</v>
      </c>
      <c r="E184" s="71">
        <v>40.742600000000003</v>
      </c>
      <c r="F184" s="71">
        <v>30702.224999999999</v>
      </c>
      <c r="G184" s="71">
        <v>9.9160000000000004</v>
      </c>
    </row>
    <row r="185" spans="1:7" x14ac:dyDescent="0.15">
      <c r="A185" s="141" t="s">
        <v>158</v>
      </c>
      <c r="B185" s="71">
        <v>960.01919999999996</v>
      </c>
      <c r="C185" s="71">
        <v>42.994</v>
      </c>
      <c r="D185" s="71">
        <v>46.778100000000002</v>
      </c>
      <c r="E185" s="71">
        <v>47.569499999999998</v>
      </c>
      <c r="F185" s="71">
        <v>69596.468999999997</v>
      </c>
      <c r="G185" s="71">
        <v>11.311</v>
      </c>
    </row>
    <row r="186" spans="1:7" x14ac:dyDescent="0.15">
      <c r="A186" s="141" t="s">
        <v>159</v>
      </c>
      <c r="B186" s="71">
        <v>489.19839999999999</v>
      </c>
      <c r="C186" s="71">
        <v>41.357900000000001</v>
      </c>
      <c r="D186" s="71">
        <v>45.931899999999999</v>
      </c>
      <c r="E186" s="71">
        <v>46.563899999999997</v>
      </c>
      <c r="F186" s="71">
        <v>41245.68</v>
      </c>
      <c r="G186" s="71">
        <v>8.4390000000000001</v>
      </c>
    </row>
    <row r="187" spans="1:7" x14ac:dyDescent="0.15">
      <c r="A187" s="141" t="s">
        <v>160</v>
      </c>
      <c r="B187" s="71">
        <v>261.45440000000002</v>
      </c>
      <c r="C187" s="71">
        <v>39.201099999999997</v>
      </c>
      <c r="D187" s="71">
        <v>44.683500000000002</v>
      </c>
      <c r="E187" s="71">
        <v>45.0364</v>
      </c>
      <c r="F187" s="71">
        <v>24344.59</v>
      </c>
      <c r="G187" s="71">
        <v>6.1870000000000003</v>
      </c>
    </row>
    <row r="188" spans="1:7" x14ac:dyDescent="0.15">
      <c r="A188" s="141" t="s">
        <v>161</v>
      </c>
      <c r="B188" s="71">
        <v>141.94399999999999</v>
      </c>
      <c r="C188" s="71">
        <v>36.450299999999999</v>
      </c>
      <c r="D188" s="71">
        <v>43.0745</v>
      </c>
      <c r="E188" s="71">
        <v>43.341099999999997</v>
      </c>
      <c r="F188" s="71">
        <v>13859.614</v>
      </c>
      <c r="G188" s="71">
        <v>5.9640000000000004</v>
      </c>
    </row>
    <row r="189" spans="1:7" x14ac:dyDescent="0.15">
      <c r="A189" s="141" t="s">
        <v>162</v>
      </c>
      <c r="B189" s="71">
        <v>1335.6992</v>
      </c>
      <c r="C189" s="71">
        <v>42.7134</v>
      </c>
      <c r="D189" s="71">
        <v>48.613300000000002</v>
      </c>
      <c r="E189" s="71">
        <v>47.388199999999998</v>
      </c>
      <c r="F189" s="71">
        <v>75101.929999999993</v>
      </c>
      <c r="G189" s="71">
        <v>11.776</v>
      </c>
    </row>
    <row r="190" spans="1:7" x14ac:dyDescent="0.15">
      <c r="A190" s="141" t="s">
        <v>163</v>
      </c>
      <c r="B190" s="71">
        <v>651.90560000000005</v>
      </c>
      <c r="C190" s="71">
        <v>41.017699999999998</v>
      </c>
      <c r="D190" s="71">
        <v>47.843400000000003</v>
      </c>
      <c r="E190" s="71">
        <v>46.7729</v>
      </c>
      <c r="F190" s="71">
        <v>43715.961000000003</v>
      </c>
      <c r="G190" s="71">
        <v>7.9539999999999997</v>
      </c>
    </row>
    <row r="191" spans="1:7" x14ac:dyDescent="0.15">
      <c r="A191" s="141" t="s">
        <v>164</v>
      </c>
      <c r="B191" s="71">
        <v>346.83199999999999</v>
      </c>
      <c r="C191" s="71">
        <v>38.761899999999997</v>
      </c>
      <c r="D191" s="71">
        <v>46.662100000000002</v>
      </c>
      <c r="E191" s="71">
        <v>45.3643</v>
      </c>
      <c r="F191" s="71">
        <v>26166.58</v>
      </c>
      <c r="G191" s="71">
        <v>7.6239999999999997</v>
      </c>
    </row>
    <row r="192" spans="1:7" x14ac:dyDescent="0.15">
      <c r="A192" s="141" t="s">
        <v>165</v>
      </c>
      <c r="B192" s="71">
        <v>189.3536</v>
      </c>
      <c r="C192" s="71">
        <v>35.713200000000001</v>
      </c>
      <c r="D192" s="71">
        <v>45.209499999999998</v>
      </c>
      <c r="E192" s="71">
        <v>43.198300000000003</v>
      </c>
      <c r="F192" s="71">
        <v>15821.867</v>
      </c>
      <c r="G192" s="71">
        <v>6.077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390</v>
      </c>
    </row>
    <row r="274" spans="1:1" x14ac:dyDescent="0.15">
      <c r="A274" s="141" t="s">
        <v>391</v>
      </c>
    </row>
    <row r="275" spans="1:1" x14ac:dyDescent="0.15">
      <c r="A275" s="141" t="s">
        <v>392</v>
      </c>
    </row>
    <row r="276" spans="1:1" x14ac:dyDescent="0.15">
      <c r="A276" s="141" t="s">
        <v>393</v>
      </c>
    </row>
    <row r="277" spans="1:1" x14ac:dyDescent="0.15">
      <c r="A277" s="141" t="s">
        <v>394</v>
      </c>
    </row>
    <row r="278" spans="1:1" x14ac:dyDescent="0.15">
      <c r="A278" s="141" t="s">
        <v>395</v>
      </c>
    </row>
    <row r="279" spans="1:1" x14ac:dyDescent="0.15">
      <c r="A279" s="141" t="s">
        <v>396</v>
      </c>
    </row>
    <row r="280" spans="1:1" x14ac:dyDescent="0.15">
      <c r="A280" s="141" t="s">
        <v>397</v>
      </c>
    </row>
    <row r="281" spans="1:1" x14ac:dyDescent="0.15">
      <c r="A281" s="141" t="s">
        <v>398</v>
      </c>
    </row>
    <row r="282" spans="1:1" x14ac:dyDescent="0.15">
      <c r="A282" s="141" t="s">
        <v>399</v>
      </c>
    </row>
    <row r="283" spans="1:1" x14ac:dyDescent="0.15">
      <c r="A283" s="141" t="s">
        <v>400</v>
      </c>
    </row>
    <row r="284" spans="1:1" x14ac:dyDescent="0.15">
      <c r="A284" s="141" t="s">
        <v>401</v>
      </c>
    </row>
    <row r="285" spans="1:1" x14ac:dyDescent="0.15">
      <c r="A285" s="141" t="s">
        <v>402</v>
      </c>
    </row>
    <row r="286" spans="1:1" x14ac:dyDescent="0.15">
      <c r="A286" s="141" t="s">
        <v>403</v>
      </c>
    </row>
    <row r="287" spans="1:1" x14ac:dyDescent="0.15">
      <c r="A287" s="141" t="s">
        <v>404</v>
      </c>
    </row>
    <row r="288" spans="1:1" x14ac:dyDescent="0.1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李俊儒</cp:lastModifiedBy>
  <dcterms:created xsi:type="dcterms:W3CDTF">2011-06-30T00:09:01Z</dcterms:created>
  <dcterms:modified xsi:type="dcterms:W3CDTF">2021-03-15T09:46:51Z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