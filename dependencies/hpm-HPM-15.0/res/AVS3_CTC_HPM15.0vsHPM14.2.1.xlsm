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hpm1\res\"/>
    </mc:Choice>
  </mc:AlternateContent>
  <xr:revisionPtr revIDLastSave="0" documentId="13_ncr:1_{35D1D6FD-78F8-401D-8CB3-C72937A76B4E}" xr6:coauthVersionLast="47" xr6:coauthVersionMax="47" xr10:uidLastSave="{00000000-0000-0000-0000-000000000000}"/>
  <bookViews>
    <workbookView xWindow="-108" yWindow="-108" windowWidth="23256" windowHeight="12576" tabRatio="884" activeTab="3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J4" i="25" s="1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J47" i="20" s="1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J53" i="20" s="1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48" i="29"/>
  <c r="S31" i="29"/>
  <c r="M12" i="30" s="1"/>
  <c r="J31" i="29"/>
  <c r="J10" i="25"/>
  <c r="R25" i="29"/>
  <c r="T59" i="29" l="1"/>
  <c r="T79" i="29" s="1"/>
  <c r="N28" i="30" s="1"/>
  <c r="S47" i="25"/>
  <c r="T57" i="29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Z55" i="29"/>
  <c r="V7" i="29"/>
  <c r="Z43" i="29"/>
  <c r="X71" i="25"/>
  <c r="W3" i="29"/>
  <c r="AA31" i="29"/>
  <c r="W55" i="29"/>
  <c r="AA19" i="29"/>
  <c r="AA71" i="25"/>
  <c r="W31" i="29"/>
  <c r="Y59" i="29"/>
  <c r="Z71" i="25"/>
  <c r="Y67" i="29"/>
  <c r="X55" i="29"/>
  <c r="V71" i="29"/>
  <c r="AA67" i="25"/>
  <c r="Z23" i="29"/>
  <c r="X63" i="29"/>
  <c r="V31" i="29"/>
  <c r="Y67" i="25"/>
  <c r="W47" i="29"/>
  <c r="Y3" i="29"/>
  <c r="Y19" i="29"/>
  <c r="Z55" i="25"/>
  <c r="Z39" i="29"/>
  <c r="W71" i="25"/>
  <c r="AA67" i="29"/>
  <c r="Y51" i="25"/>
  <c r="W39" i="29"/>
  <c r="W7" i="29"/>
  <c r="Z67" i="25"/>
  <c r="X51" i="29"/>
  <c r="Z3" i="29"/>
  <c r="AA51" i="25"/>
  <c r="Y63" i="29"/>
  <c r="X59" i="25"/>
  <c r="AA27" i="29"/>
  <c r="Z59" i="25"/>
  <c r="Z59" i="29"/>
  <c r="X31" i="29"/>
  <c r="V3" i="29"/>
  <c r="Y31" i="29"/>
  <c r="AA51" i="29"/>
  <c r="Z11" i="29"/>
  <c r="V51" i="29"/>
  <c r="Z71" i="29"/>
  <c r="AA71" i="29"/>
  <c r="Y63" i="25"/>
  <c r="X71" i="29"/>
  <c r="Y55" i="25"/>
  <c r="V27" i="29"/>
  <c r="Y27" i="29"/>
  <c r="Y71" i="25"/>
  <c r="X47" i="29"/>
  <c r="V59" i="29"/>
  <c r="W63" i="25"/>
  <c r="AA39" i="29"/>
  <c r="W67" i="25"/>
  <c r="X43" i="29"/>
  <c r="AA43" i="29"/>
  <c r="W51" i="29"/>
  <c r="X7" i="29"/>
  <c r="V47" i="29"/>
  <c r="X23" i="29"/>
  <c r="W43" i="29"/>
  <c r="Y59" i="25"/>
  <c r="V55" i="25"/>
  <c r="Y55" i="29"/>
  <c r="Z27" i="29"/>
  <c r="W15" i="29"/>
  <c r="AA3" i="29"/>
  <c r="Z47" i="29"/>
  <c r="X63" i="25"/>
  <c r="Z35" i="29"/>
  <c r="V39" i="29"/>
  <c r="Y43" i="29"/>
  <c r="AA59" i="25"/>
  <c r="AA47" i="29"/>
  <c r="AA7" i="29"/>
  <c r="Z7" i="29"/>
  <c r="W59" i="25"/>
  <c r="X39" i="29"/>
  <c r="V43" i="29"/>
  <c r="X35" i="29"/>
  <c r="V67" i="25"/>
  <c r="X67" i="25"/>
  <c r="W19" i="29"/>
  <c r="AA55" i="25"/>
  <c r="V59" i="25"/>
  <c r="X51" i="25"/>
  <c r="V19" i="29"/>
  <c r="W23" i="29"/>
  <c r="X27" i="29"/>
  <c r="Y71" i="29"/>
  <c r="AA11" i="29"/>
  <c r="Y35" i="29"/>
  <c r="Z63" i="29"/>
  <c r="Y39" i="29"/>
  <c r="Y23" i="29"/>
  <c r="X67" i="29"/>
  <c r="V71" i="25"/>
  <c r="AA23" i="29"/>
  <c r="V35" i="29"/>
  <c r="Z19" i="29"/>
  <c r="AA59" i="29"/>
  <c r="Y47" i="29"/>
  <c r="Y7" i="29"/>
  <c r="AA35" i="29"/>
  <c r="V15" i="29"/>
  <c r="AA55" i="29"/>
  <c r="Y11" i="29"/>
  <c r="Y51" i="29"/>
  <c r="X59" i="29"/>
  <c r="W63" i="29"/>
  <c r="Z63" i="25"/>
  <c r="X55" i="25"/>
  <c r="V67" i="29"/>
  <c r="Z51" i="25"/>
  <c r="W11" i="29"/>
  <c r="V51" i="25"/>
  <c r="AA63" i="29"/>
  <c r="W35" i="29"/>
  <c r="X15" i="29"/>
  <c r="Z31" i="29"/>
  <c r="Z67" i="29"/>
  <c r="V63" i="29"/>
  <c r="Y15" i="29"/>
  <c r="X11" i="29"/>
  <c r="Z15" i="29"/>
  <c r="V23" i="29"/>
  <c r="Z51" i="29"/>
  <c r="X19" i="29"/>
  <c r="W59" i="29"/>
  <c r="W51" i="25"/>
  <c r="V63" i="25"/>
  <c r="AA15" i="29"/>
  <c r="X3" i="29"/>
  <c r="W27" i="29"/>
  <c r="V55" i="29"/>
  <c r="W67" i="29"/>
  <c r="W55" i="25"/>
  <c r="W71" i="29"/>
  <c r="AA63" i="25"/>
  <c r="V11" i="29"/>
  <c r="V47" i="27"/>
  <c r="V55" i="20"/>
  <c r="W47" i="20"/>
  <c r="AA59" i="27"/>
  <c r="X51" i="27"/>
  <c r="Z15" i="20"/>
  <c r="Y23" i="25"/>
  <c r="Y63" i="20"/>
  <c r="Y27" i="25"/>
  <c r="Y23" i="27"/>
  <c r="Z47" i="25"/>
  <c r="Y15" i="20"/>
  <c r="Y43" i="20"/>
  <c r="V39" i="20"/>
  <c r="V27" i="27"/>
  <c r="AA39" i="25"/>
  <c r="X47" i="20"/>
  <c r="Y15" i="25"/>
  <c r="Y27" i="27"/>
  <c r="Z71" i="20"/>
  <c r="X23" i="20"/>
  <c r="AA39" i="27"/>
  <c r="Z23" i="27"/>
  <c r="X43" i="25"/>
  <c r="Z7" i="25"/>
  <c r="Z23" i="20"/>
  <c r="X15" i="27"/>
  <c r="X35" i="25"/>
  <c r="X59" i="20"/>
  <c r="W3" i="25"/>
  <c r="W67" i="20"/>
  <c r="AA11" i="27"/>
  <c r="Z31" i="25"/>
  <c r="X27" i="25"/>
  <c r="W55" i="20"/>
  <c r="Y3" i="27"/>
  <c r="W3" i="27"/>
  <c r="X19" i="20"/>
  <c r="Z23" i="25"/>
  <c r="W15" i="20"/>
  <c r="Z7" i="27"/>
  <c r="Y31" i="27"/>
  <c r="AA7" i="25"/>
  <c r="AA27" i="25"/>
  <c r="W19" i="25"/>
  <c r="AA3" i="25"/>
  <c r="Z39" i="27"/>
  <c r="V43" i="20"/>
  <c r="Z3" i="27"/>
  <c r="Y11" i="20"/>
  <c r="Z51" i="20"/>
  <c r="W27" i="27"/>
  <c r="X63" i="27"/>
  <c r="X51" i="20"/>
  <c r="X27" i="27"/>
  <c r="Z31" i="27"/>
  <c r="Z35" i="20"/>
  <c r="W19" i="20"/>
  <c r="Y31" i="20"/>
  <c r="W7" i="20"/>
  <c r="V71" i="27"/>
  <c r="X43" i="27"/>
  <c r="Z3" i="20"/>
  <c r="Y35" i="20"/>
  <c r="V7" i="25"/>
  <c r="Y51" i="20"/>
  <c r="V67" i="20"/>
  <c r="Y3" i="20"/>
  <c r="Z11" i="27"/>
  <c r="W27" i="20"/>
  <c r="W39" i="27"/>
  <c r="V59" i="27"/>
  <c r="V19" i="25"/>
  <c r="V11" i="20"/>
  <c r="Y55" i="20"/>
  <c r="Y15" i="27"/>
  <c r="W11" i="20"/>
  <c r="AA47" i="20"/>
  <c r="Z55" i="27"/>
  <c r="W23" i="27"/>
  <c r="X31" i="20"/>
  <c r="W15" i="27"/>
  <c r="W31" i="25"/>
  <c r="AA35" i="20"/>
  <c r="W35" i="25"/>
  <c r="Y19" i="27"/>
  <c r="Y7" i="25"/>
  <c r="V51" i="27"/>
  <c r="AA23" i="27"/>
  <c r="Z71" i="27"/>
  <c r="W39" i="25"/>
  <c r="Y39" i="25"/>
  <c r="V15" i="25"/>
  <c r="Z27" i="27"/>
  <c r="AA19" i="20"/>
  <c r="W39" i="20"/>
  <c r="V47" i="20"/>
  <c r="AA47" i="27"/>
  <c r="X15" i="20"/>
  <c r="W27" i="25"/>
  <c r="Z15" i="25"/>
  <c r="X11" i="25"/>
  <c r="Z27" i="20"/>
  <c r="Y19" i="20"/>
  <c r="Y35" i="25"/>
  <c r="Z59" i="27"/>
  <c r="Z47" i="27"/>
  <c r="W11" i="25"/>
  <c r="Z51" i="27"/>
  <c r="X3" i="25"/>
  <c r="V3" i="25"/>
  <c r="AA67" i="20"/>
  <c r="V55" i="27"/>
  <c r="AA31" i="25"/>
  <c r="AA35" i="27"/>
  <c r="W71" i="27"/>
  <c r="V3" i="20"/>
  <c r="V43" i="25"/>
  <c r="AA11" i="25"/>
  <c r="Y59" i="20"/>
  <c r="Z3" i="25"/>
  <c r="W63" i="27"/>
  <c r="V23" i="20"/>
  <c r="W35" i="20"/>
  <c r="Y63" i="27"/>
  <c r="V11" i="25"/>
  <c r="V47" i="25"/>
  <c r="V19" i="27"/>
  <c r="Z7" i="20"/>
  <c r="W55" i="27"/>
  <c r="Y67" i="20"/>
  <c r="Y47" i="20"/>
  <c r="V27" i="20"/>
  <c r="Z63" i="20"/>
  <c r="Z67" i="20"/>
  <c r="X31" i="27"/>
  <c r="W59" i="20"/>
  <c r="X67" i="27"/>
  <c r="V27" i="25"/>
  <c r="Y71" i="27"/>
  <c r="Z43" i="20"/>
  <c r="AA51" i="27"/>
  <c r="Z35" i="25"/>
  <c r="W35" i="27"/>
  <c r="Z35" i="27"/>
  <c r="Z67" i="27"/>
  <c r="V35" i="20"/>
  <c r="AA43" i="20"/>
  <c r="AA19" i="25"/>
  <c r="AA39" i="20"/>
  <c r="X11" i="27"/>
  <c r="V67" i="27"/>
  <c r="W63" i="20"/>
  <c r="W43" i="25"/>
  <c r="AA31" i="20"/>
  <c r="AA3" i="27"/>
  <c r="V11" i="27"/>
  <c r="AA55" i="27"/>
  <c r="AA43" i="27"/>
  <c r="V35" i="27"/>
  <c r="Z31" i="20"/>
  <c r="Y39" i="27"/>
  <c r="X39" i="27"/>
  <c r="W43" i="20"/>
  <c r="Z55" i="20"/>
  <c r="AA15" i="20"/>
  <c r="Z11" i="25"/>
  <c r="X23" i="27"/>
  <c r="AA3" i="20"/>
  <c r="AA7" i="20"/>
  <c r="AA43" i="25"/>
  <c r="AA19" i="27"/>
  <c r="Z39" i="25"/>
  <c r="Z43" i="25"/>
  <c r="X59" i="27"/>
  <c r="Y35" i="27"/>
  <c r="Y59" i="27"/>
  <c r="W23" i="25"/>
  <c r="W19" i="27"/>
  <c r="X7" i="27"/>
  <c r="V43" i="27"/>
  <c r="Y27" i="20"/>
  <c r="AA15" i="25"/>
  <c r="Y43" i="25"/>
  <c r="AA55" i="20"/>
  <c r="X67" i="20"/>
  <c r="X39" i="20"/>
  <c r="AA35" i="25"/>
  <c r="Y7" i="27"/>
  <c r="V71" i="20"/>
  <c r="X3" i="20"/>
  <c r="AA11" i="20"/>
  <c r="V63" i="20"/>
  <c r="Z43" i="27"/>
  <c r="X31" i="25"/>
  <c r="AA27" i="27"/>
  <c r="Y43" i="27"/>
  <c r="Y47" i="27"/>
  <c r="X47" i="25"/>
  <c r="X39" i="25"/>
  <c r="X7" i="20"/>
  <c r="X55" i="20"/>
  <c r="W31" i="27"/>
  <c r="AA63" i="20"/>
  <c r="Y11" i="27"/>
  <c r="V31" i="25"/>
  <c r="W51" i="20"/>
  <c r="X55" i="27"/>
  <c r="AA47" i="25"/>
  <c r="Y55" i="27"/>
  <c r="AA15" i="27"/>
  <c r="Y39" i="20"/>
  <c r="V63" i="27"/>
  <c r="W51" i="27"/>
  <c r="X23" i="25"/>
  <c r="AA27" i="20"/>
  <c r="W59" i="27"/>
  <c r="AA67" i="27"/>
  <c r="V31" i="27"/>
  <c r="Y3" i="25"/>
  <c r="AA63" i="27"/>
  <c r="W7" i="25"/>
  <c r="W7" i="27"/>
  <c r="V23" i="27"/>
  <c r="W23" i="20"/>
  <c r="Y31" i="25"/>
  <c r="V23" i="25"/>
  <c r="AA23" i="25"/>
  <c r="W71" i="20"/>
  <c r="Z47" i="20"/>
  <c r="W47" i="25"/>
  <c r="W47" i="27"/>
  <c r="V19" i="20"/>
  <c r="Y51" i="27"/>
  <c r="AA51" i="20"/>
  <c r="Z59" i="20"/>
  <c r="X27" i="20"/>
  <c r="X19" i="27"/>
  <c r="W31" i="20"/>
  <c r="V59" i="20"/>
  <c r="Z15" i="27"/>
  <c r="Y23" i="20"/>
  <c r="AA59" i="20"/>
  <c r="V15" i="27"/>
  <c r="X63" i="20"/>
  <c r="V7" i="20"/>
  <c r="Y71" i="20"/>
  <c r="V51" i="20"/>
  <c r="X15" i="25"/>
  <c r="Z19" i="20"/>
  <c r="X3" i="27"/>
  <c r="V31" i="20"/>
  <c r="W67" i="27"/>
  <c r="V15" i="20"/>
  <c r="Y47" i="25"/>
  <c r="W11" i="27"/>
  <c r="AA31" i="27"/>
  <c r="X7" i="25"/>
  <c r="Z63" i="27"/>
  <c r="AA71" i="20"/>
  <c r="V7" i="27"/>
  <c r="W15" i="25"/>
  <c r="Z19" i="27"/>
  <c r="AA71" i="27"/>
  <c r="X35" i="20"/>
  <c r="X71" i="20"/>
  <c r="X43" i="20"/>
  <c r="Y67" i="27"/>
  <c r="W3" i="20"/>
  <c r="V39" i="25"/>
  <c r="X47" i="27"/>
  <c r="V3" i="27"/>
  <c r="Z39" i="20"/>
  <c r="X19" i="25"/>
  <c r="Z11" i="20"/>
  <c r="X35" i="27"/>
  <c r="Z27" i="25"/>
  <c r="V35" i="25"/>
  <c r="X11" i="20"/>
  <c r="Y7" i="20"/>
  <c r="V39" i="27"/>
  <c r="Y19" i="25"/>
  <c r="AA7" i="27"/>
  <c r="W43" i="27"/>
  <c r="X71" i="27"/>
  <c r="Z19" i="25"/>
  <c r="AA23" i="20"/>
  <c r="Y11" i="25"/>
  <c r="Z80" i="27" l="1"/>
  <c r="Z75" i="27"/>
  <c r="K6" i="30"/>
  <c r="Z76" i="29"/>
  <c r="Z75" i="25"/>
  <c r="Z80" i="25"/>
  <c r="E49" i="30"/>
  <c r="C38" i="30"/>
  <c r="Z80" i="29"/>
  <c r="Z75" i="29"/>
  <c r="Y77" i="27"/>
  <c r="AA78" i="29"/>
  <c r="C12" i="30"/>
  <c r="L16" i="30"/>
  <c r="L7" i="30"/>
  <c r="AA80" i="29"/>
  <c r="AA75" i="29"/>
  <c r="AA77" i="27"/>
  <c r="V78" i="29"/>
  <c r="J17" i="30"/>
  <c r="D33" i="30"/>
  <c r="W75" i="20"/>
  <c r="D15" i="9" s="1"/>
  <c r="W80" i="20"/>
  <c r="D18" i="9" s="1"/>
  <c r="V76" i="25"/>
  <c r="J52" i="30" s="1"/>
  <c r="J37" i="30"/>
  <c r="L6" i="30"/>
  <c r="D37" i="30"/>
  <c r="W76" i="20"/>
  <c r="E36" i="30"/>
  <c r="J35" i="30"/>
  <c r="Y79" i="25"/>
  <c r="Z76" i="20"/>
  <c r="X77" i="25"/>
  <c r="L53" i="30" s="1"/>
  <c r="L41" i="30"/>
  <c r="C39" i="30"/>
  <c r="D12" i="30"/>
  <c r="E42" i="30"/>
  <c r="K11" i="30"/>
  <c r="C8" i="30"/>
  <c r="E6" i="30"/>
  <c r="J43" i="30"/>
  <c r="K20" i="30"/>
  <c r="L35" i="30"/>
  <c r="L48" i="30"/>
  <c r="X80" i="20"/>
  <c r="E18" i="9" s="1"/>
  <c r="X75" i="20"/>
  <c r="E51" i="30" s="1"/>
  <c r="E33" i="30"/>
  <c r="K8" i="30"/>
  <c r="E37" i="30"/>
  <c r="X76" i="20"/>
  <c r="E16" i="9" s="1"/>
  <c r="V76" i="29"/>
  <c r="J9" i="30"/>
  <c r="L18" i="30"/>
  <c r="C18" i="30"/>
  <c r="AA77" i="20"/>
  <c r="D20" i="30"/>
  <c r="D16" i="30"/>
  <c r="C49" i="30"/>
  <c r="E35" i="30"/>
  <c r="AA79" i="27"/>
  <c r="K5" i="30"/>
  <c r="W80" i="29"/>
  <c r="W75" i="29"/>
  <c r="K23" i="30" s="1"/>
  <c r="K50" i="30"/>
  <c r="K10" i="30"/>
  <c r="E34" i="30"/>
  <c r="AA78" i="27"/>
  <c r="K13" i="30"/>
  <c r="W77" i="29"/>
  <c r="L44" i="30"/>
  <c r="E10" i="30"/>
  <c r="K45" i="30"/>
  <c r="W78" i="25"/>
  <c r="K55" i="30" s="1"/>
  <c r="L39" i="30"/>
  <c r="AA80" i="20"/>
  <c r="AA75" i="20"/>
  <c r="Z79" i="20"/>
  <c r="Y78" i="29"/>
  <c r="D22" i="30"/>
  <c r="C20" i="30"/>
  <c r="J38" i="30"/>
  <c r="Y78" i="20"/>
  <c r="Z76" i="25"/>
  <c r="L49" i="30"/>
  <c r="L38" i="30"/>
  <c r="Y78" i="25"/>
  <c r="Y80" i="20"/>
  <c r="Y75" i="20"/>
  <c r="D38" i="30"/>
  <c r="K17" i="30"/>
  <c r="W78" i="29"/>
  <c r="D49" i="30"/>
  <c r="C50" i="30"/>
  <c r="D9" i="30"/>
  <c r="W76" i="27"/>
  <c r="D6" i="9" s="1"/>
  <c r="Z79" i="29"/>
  <c r="C42" i="30"/>
  <c r="E16" i="30"/>
  <c r="V79" i="25"/>
  <c r="J47" i="30"/>
  <c r="AA76" i="29"/>
  <c r="E19" i="30"/>
  <c r="X79" i="27"/>
  <c r="E28" i="30" s="1"/>
  <c r="D21" i="30"/>
  <c r="C6" i="30"/>
  <c r="E43" i="30"/>
  <c r="L34" i="30"/>
  <c r="W79" i="29"/>
  <c r="K19" i="30"/>
  <c r="J6" i="30"/>
  <c r="V75" i="29"/>
  <c r="C35" i="9" s="1"/>
  <c r="V80" i="29"/>
  <c r="J5" i="30"/>
  <c r="J15" i="30"/>
  <c r="Y80" i="29"/>
  <c r="Y75" i="29"/>
  <c r="D35" i="30"/>
  <c r="L40" i="30"/>
  <c r="X79" i="20"/>
  <c r="E20" i="9" s="1"/>
  <c r="E47" i="30"/>
  <c r="Z79" i="27"/>
  <c r="L20" i="30"/>
  <c r="V78" i="25"/>
  <c r="J45" i="30"/>
  <c r="X75" i="29"/>
  <c r="X80" i="29"/>
  <c r="L5" i="30"/>
  <c r="C17" i="30"/>
  <c r="V78" i="27"/>
  <c r="C27" i="30" s="1"/>
  <c r="K39" i="30"/>
  <c r="K33" i="30"/>
  <c r="W75" i="25"/>
  <c r="W80" i="25"/>
  <c r="K54" i="30" s="1"/>
  <c r="E8" i="30"/>
  <c r="J20" i="30"/>
  <c r="K21" i="30"/>
  <c r="Z79" i="25"/>
  <c r="AA75" i="27"/>
  <c r="AA80" i="27"/>
  <c r="C37" i="30"/>
  <c r="V76" i="20"/>
  <c r="C52" i="30" s="1"/>
  <c r="Y80" i="27"/>
  <c r="Y75" i="27"/>
  <c r="L22" i="30"/>
  <c r="J40" i="30"/>
  <c r="AA76" i="20"/>
  <c r="J14" i="30"/>
  <c r="E22" i="30"/>
  <c r="L15" i="30"/>
  <c r="AA79" i="25"/>
  <c r="Y77" i="25"/>
  <c r="E5" i="30"/>
  <c r="X80" i="27"/>
  <c r="E26" i="30" s="1"/>
  <c r="X75" i="27"/>
  <c r="E5" i="9" s="1"/>
  <c r="K12" i="30"/>
  <c r="C11" i="30"/>
  <c r="C15" i="30"/>
  <c r="L17" i="30"/>
  <c r="X78" i="29"/>
  <c r="L27" i="30" s="1"/>
  <c r="E21" i="30"/>
  <c r="C48" i="30"/>
  <c r="C44" i="30"/>
  <c r="C22" i="30"/>
  <c r="K18" i="30"/>
  <c r="J18" i="30"/>
  <c r="K42" i="30"/>
  <c r="Y76" i="25"/>
  <c r="V76" i="27"/>
  <c r="C6" i="9" s="1"/>
  <c r="C9" i="30"/>
  <c r="D8" i="30"/>
  <c r="D42" i="30"/>
  <c r="D46" i="30"/>
  <c r="W77" i="25"/>
  <c r="K53" i="30" s="1"/>
  <c r="K41" i="30"/>
  <c r="X76" i="27"/>
  <c r="E6" i="9" s="1"/>
  <c r="E9" i="30"/>
  <c r="L46" i="30"/>
  <c r="K34" i="30"/>
  <c r="L42" i="30"/>
  <c r="K15" i="30"/>
  <c r="C13" i="30"/>
  <c r="V77" i="27"/>
  <c r="C7" i="9" s="1"/>
  <c r="J49" i="30"/>
  <c r="C34" i="30"/>
  <c r="J11" i="30"/>
  <c r="V79" i="29"/>
  <c r="J19" i="30"/>
  <c r="C7" i="30"/>
  <c r="C36" i="30"/>
  <c r="J22" i="30"/>
  <c r="V79" i="20"/>
  <c r="C20" i="9" s="1"/>
  <c r="C47" i="30"/>
  <c r="X79" i="29"/>
  <c r="L19" i="30"/>
  <c r="L21" i="30"/>
  <c r="J46" i="30"/>
  <c r="L10" i="30"/>
  <c r="K37" i="30"/>
  <c r="W76" i="25"/>
  <c r="K52" i="30" s="1"/>
  <c r="D7" i="30"/>
  <c r="D44" i="30"/>
  <c r="C16" i="30"/>
  <c r="X77" i="20"/>
  <c r="E53" i="30" s="1"/>
  <c r="E41" i="30"/>
  <c r="D14" i="30"/>
  <c r="Y79" i="20"/>
  <c r="C43" i="30"/>
  <c r="E18" i="30"/>
  <c r="X79" i="25"/>
  <c r="L47" i="30"/>
  <c r="AA78" i="25"/>
  <c r="V78" i="20"/>
  <c r="C55" i="30" s="1"/>
  <c r="C45" i="30"/>
  <c r="K35" i="30"/>
  <c r="E17" i="30"/>
  <c r="X78" i="27"/>
  <c r="E27" i="30" s="1"/>
  <c r="C21" i="30"/>
  <c r="Y76" i="27"/>
  <c r="L9" i="30"/>
  <c r="X76" i="29"/>
  <c r="L11" i="30"/>
  <c r="Y77" i="20"/>
  <c r="J13" i="30"/>
  <c r="V77" i="29"/>
  <c r="E38" i="30"/>
  <c r="J42" i="30"/>
  <c r="K22" i="30"/>
  <c r="E12" i="30"/>
  <c r="W77" i="20"/>
  <c r="D53" i="30" s="1"/>
  <c r="D41" i="30"/>
  <c r="D10" i="30"/>
  <c r="D13" i="30"/>
  <c r="W77" i="27"/>
  <c r="D25" i="30" s="1"/>
  <c r="Z77" i="20"/>
  <c r="C40" i="30"/>
  <c r="Z78" i="20"/>
  <c r="K46" i="30"/>
  <c r="D39" i="30"/>
  <c r="D15" i="30"/>
  <c r="J21" i="30"/>
  <c r="X80" i="25"/>
  <c r="E28" i="9" s="1"/>
  <c r="L33" i="30"/>
  <c r="X75" i="25"/>
  <c r="E11" i="30"/>
  <c r="E13" i="30"/>
  <c r="X77" i="27"/>
  <c r="E7" i="9" s="1"/>
  <c r="K49" i="30"/>
  <c r="K16" i="30"/>
  <c r="J48" i="30"/>
  <c r="Y80" i="25"/>
  <c r="Y75" i="25"/>
  <c r="Y76" i="29"/>
  <c r="Y79" i="27"/>
  <c r="W78" i="27"/>
  <c r="D9" i="9" s="1"/>
  <c r="D17" i="30"/>
  <c r="D45" i="30"/>
  <c r="W78" i="20"/>
  <c r="D55" i="30" s="1"/>
  <c r="V79" i="27"/>
  <c r="C19" i="30"/>
  <c r="C41" i="30"/>
  <c r="V77" i="20"/>
  <c r="C17" i="9" s="1"/>
  <c r="W76" i="29"/>
  <c r="K9" i="30"/>
  <c r="J41" i="30"/>
  <c r="V77" i="25"/>
  <c r="J53" i="30" s="1"/>
  <c r="D36" i="30"/>
  <c r="J7" i="30"/>
  <c r="Z77" i="25"/>
  <c r="L13" i="30"/>
  <c r="X77" i="29"/>
  <c r="D19" i="30"/>
  <c r="W79" i="27"/>
  <c r="D28" i="30" s="1"/>
  <c r="E40" i="30"/>
  <c r="D11" i="30"/>
  <c r="K47" i="30"/>
  <c r="W79" i="25"/>
  <c r="C46" i="30"/>
  <c r="Y79" i="29"/>
  <c r="J12" i="30"/>
  <c r="Z76" i="27"/>
  <c r="K43" i="30"/>
  <c r="E15" i="30"/>
  <c r="E48" i="30"/>
  <c r="AA78" i="20"/>
  <c r="D40" i="30"/>
  <c r="X78" i="25"/>
  <c r="L55" i="30" s="1"/>
  <c r="L45" i="30"/>
  <c r="D43" i="30"/>
  <c r="AA76" i="25"/>
  <c r="C35" i="30"/>
  <c r="V75" i="25"/>
  <c r="J33" i="30"/>
  <c r="V80" i="25"/>
  <c r="J54" i="30" s="1"/>
  <c r="AA80" i="25"/>
  <c r="AA75" i="25"/>
  <c r="L8" i="30"/>
  <c r="D47" i="30"/>
  <c r="W79" i="20"/>
  <c r="C33" i="30"/>
  <c r="V75" i="20"/>
  <c r="C15" i="9" s="1"/>
  <c r="V80" i="20"/>
  <c r="C54" i="30" s="1"/>
  <c r="D6" i="30"/>
  <c r="E20" i="30"/>
  <c r="L12" i="30"/>
  <c r="E44" i="30"/>
  <c r="L50" i="30"/>
  <c r="X78" i="20"/>
  <c r="E55" i="30" s="1"/>
  <c r="E45" i="30"/>
  <c r="K48" i="30"/>
  <c r="V75" i="27"/>
  <c r="C23" i="30" s="1"/>
  <c r="C5" i="30"/>
  <c r="V80" i="27"/>
  <c r="C26" i="30" s="1"/>
  <c r="C10" i="30"/>
  <c r="W80" i="27"/>
  <c r="D8" i="9" s="1"/>
  <c r="D5" i="30"/>
  <c r="W75" i="27"/>
  <c r="D23" i="30" s="1"/>
  <c r="K7" i="30"/>
  <c r="Z78" i="27"/>
  <c r="L36" i="30"/>
  <c r="Z78" i="25"/>
  <c r="J16" i="30"/>
  <c r="Y78" i="27"/>
  <c r="L43" i="30"/>
  <c r="J10" i="30"/>
  <c r="L37" i="30"/>
  <c r="X76" i="25"/>
  <c r="E26" i="9" s="1"/>
  <c r="J36" i="30"/>
  <c r="Y77" i="29"/>
  <c r="K38" i="30"/>
  <c r="J34" i="30"/>
  <c r="Z75" i="20"/>
  <c r="Z80" i="20"/>
  <c r="Z77" i="27"/>
  <c r="K44" i="30"/>
  <c r="L14" i="30"/>
  <c r="J44" i="30"/>
  <c r="J8" i="30"/>
  <c r="E46" i="30"/>
  <c r="D18" i="30"/>
  <c r="E50" i="30"/>
  <c r="K14" i="30"/>
  <c r="AA77" i="29"/>
  <c r="E7" i="30"/>
  <c r="AA79" i="29"/>
  <c r="D50" i="30"/>
  <c r="D34" i="30"/>
  <c r="J39" i="30"/>
  <c r="Z77" i="29"/>
  <c r="K36" i="30"/>
  <c r="J50" i="30"/>
  <c r="AA76" i="27"/>
  <c r="K40" i="30"/>
  <c r="Z78" i="29"/>
  <c r="C14" i="30"/>
  <c r="AA79" i="20"/>
  <c r="E39" i="30"/>
  <c r="AA77" i="25"/>
  <c r="E14" i="30"/>
  <c r="D48" i="30"/>
  <c r="Y76" i="20"/>
  <c r="G19" i="9"/>
  <c r="S78" i="25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K24" i="30"/>
  <c r="D36" i="9"/>
  <c r="E37" i="9"/>
  <c r="L25" i="30"/>
  <c r="D5" i="9"/>
  <c r="L26" i="30"/>
  <c r="E38" i="9"/>
  <c r="C19" i="9"/>
  <c r="C27" i="9"/>
  <c r="E25" i="9"/>
  <c r="L51" i="30"/>
  <c r="D40" i="9"/>
  <c r="K28" i="30"/>
  <c r="D38" i="9"/>
  <c r="K26" i="30"/>
  <c r="J28" i="30"/>
  <c r="C40" i="9"/>
  <c r="K25" i="30"/>
  <c r="D37" i="9"/>
  <c r="E9" i="9"/>
  <c r="E56" i="30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D39" i="9"/>
  <c r="K27" i="30"/>
  <c r="D30" i="9"/>
  <c r="K56" i="30"/>
  <c r="E8" i="9"/>
  <c r="E54" i="30"/>
  <c r="C10" i="9"/>
  <c r="C28" i="30"/>
  <c r="C36" i="9"/>
  <c r="J24" i="30"/>
  <c r="D56" i="30"/>
  <c r="D20" i="9"/>
  <c r="J27" i="30"/>
  <c r="C39" i="9"/>
  <c r="E30" i="9"/>
  <c r="L56" i="30"/>
  <c r="C51" i="30"/>
  <c r="E17" i="9"/>
  <c r="D35" i="9"/>
  <c r="L24" i="30"/>
  <c r="E36" i="9"/>
  <c r="C37" i="9"/>
  <c r="J25" i="30"/>
  <c r="D16" i="9"/>
  <c r="D52" i="30"/>
  <c r="C53" i="30"/>
  <c r="C16" i="9"/>
  <c r="AI3" i="10"/>
  <c r="AO3" i="10"/>
  <c r="AP3" i="10"/>
  <c r="AJ3" i="10"/>
  <c r="AD3" i="10"/>
  <c r="AK3" i="10"/>
  <c r="AE3" i="10"/>
  <c r="AG3" i="10"/>
  <c r="AL3" i="10"/>
  <c r="AF3" i="10"/>
  <c r="AN3" i="10"/>
  <c r="AQ3" i="10"/>
  <c r="D51" i="30" l="1"/>
  <c r="E15" i="9"/>
  <c r="D19" i="9"/>
  <c r="E52" i="30"/>
  <c r="E19" i="9"/>
  <c r="C26" i="9"/>
  <c r="L54" i="30"/>
  <c r="C9" i="9"/>
  <c r="C8" i="9"/>
  <c r="C24" i="30"/>
  <c r="D7" i="9"/>
  <c r="L52" i="30"/>
  <c r="D17" i="9"/>
  <c r="C18" i="9"/>
  <c r="D26" i="30"/>
  <c r="E23" i="30"/>
  <c r="C5" i="9"/>
  <c r="E24" i="30"/>
  <c r="D24" i="30"/>
  <c r="E10" i="9"/>
  <c r="E39" i="9"/>
  <c r="C56" i="30"/>
  <c r="C28" i="9"/>
  <c r="J23" i="30"/>
  <c r="E29" i="9"/>
  <c r="D26" i="9"/>
  <c r="D28" i="9"/>
  <c r="D27" i="9"/>
  <c r="D29" i="9"/>
  <c r="E27" i="9"/>
  <c r="D54" i="30"/>
  <c r="E25" i="30"/>
  <c r="C25" i="30"/>
  <c r="D27" i="30"/>
  <c r="D10" i="9"/>
  <c r="F29" i="9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E4" i="10"/>
  <c r="AQ4" i="10"/>
  <c r="AI4" i="10"/>
  <c r="AD4" i="10"/>
  <c r="AO4" i="10"/>
  <c r="AN4" i="10"/>
  <c r="AL4" i="10"/>
  <c r="AJ4" i="10"/>
  <c r="AF4" i="10"/>
  <c r="AG4" i="10"/>
  <c r="AK4" i="10"/>
  <c r="AP4" i="10"/>
  <c r="AC6" i="10" l="1"/>
  <c r="AD6" i="10"/>
  <c r="AP6" i="10"/>
  <c r="AD5" i="10"/>
  <c r="AL5" i="10"/>
  <c r="AN5" i="10"/>
  <c r="AG5" i="10"/>
  <c r="AP5" i="10"/>
  <c r="AN6" i="10"/>
  <c r="AE5" i="10"/>
  <c r="AO5" i="10"/>
  <c r="AG6" i="10"/>
  <c r="AK5" i="10"/>
  <c r="AJ6" i="10"/>
  <c r="AQ6" i="10"/>
  <c r="AL6" i="10"/>
  <c r="AI6" i="10"/>
  <c r="AF6" i="10"/>
  <c r="AO6" i="10"/>
  <c r="AK6" i="10"/>
  <c r="AJ5" i="10"/>
  <c r="AE6" i="10"/>
  <c r="AI5" i="10"/>
  <c r="AQ5" i="10"/>
  <c r="AF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<sst xmlns="http://schemas.openxmlformats.org/spreadsheetml/2006/main" count="1262" uniqueCount="696">
  <si>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</si>
  <si>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</si>
  <si>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</si>
  <si>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</si>
  <si>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</si>
  <si>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</si>
  <si>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</si>
  <si>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</si>
  <si>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</si>
  <si>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</si>
  <si>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</si>
  <si>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</si>
  <si>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</si>
  <si>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</si>
  <si>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</si>
  <si>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</si>
  <si>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</si>
  <si>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</si>
  <si>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</si>
  <si>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</si>
  <si>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</si>
  <si>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</si>
  <si>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</si>
  <si>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</si>
  <si>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</si>
  <si>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</si>
  <si>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</si>
  <si>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</si>
  <si>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</si>
  <si>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</si>
  <si>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</si>
  <si>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</si>
  <si>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</si>
  <si>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</si>
  <si>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</si>
  <si>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</si>
  <si>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</si>
  <si>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</si>
  <si>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</si>
  <si>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</si>
  <si>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</si>
  <si>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</si>
  <si>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</si>
  <si>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</si>
  <si>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</si>
  <si>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</si>
  <si>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</si>
  <si>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</si>
  <si>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</si>
  <si>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</si>
  <si>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</si>
  <si>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</si>
  <si>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</si>
  <si>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</si>
  <si>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</si>
  <si>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</si>
  <si>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</si>
  <si>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</si>
  <si>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</si>
  <si>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</si>
  <si>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</si>
  <si>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</si>
  <si>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</si>
  <si>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</si>
  <si>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</si>
  <si>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</si>
  <si>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</si>
  <si>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</si>
  <si>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</si>
  <si>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</si>
  <si>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</si>
  <si>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</si>
  <si>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</si>
  <si>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</si>
  <si>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</si>
  <si>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</si>
  <si>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</si>
  <si>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</si>
  <si>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</si>
  <si>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</si>
  <si>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</si>
  <si>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</si>
  <si>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</si>
  <si>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</si>
  <si>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</si>
  <si>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</si>
  <si>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</si>
  <si>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</si>
  <si>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</si>
  <si>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</si>
  <si>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</si>
  <si>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</si>
  <si>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</si>
  <si>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</si>
  <si>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</si>
  <si>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</si>
  <si>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</si>
  <si>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</si>
  <si>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</si>
  <si>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</si>
  <si>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</si>
  <si>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</si>
  <si>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</si>
  <si>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</si>
  <si>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</si>
  <si>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</si>
  <si>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</si>
  <si>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</si>
  <si>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</si>
  <si>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</si>
  <si>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</si>
  <si>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</si>
  <si>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</si>
  <si>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</si>
  <si>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</si>
  <si>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</si>
  <si>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</si>
  <si>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</si>
  <si>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</si>
  <si>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</si>
  <si>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</si>
  <si>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</si>
  <si>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</si>
  <si>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</si>
  <si>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</si>
  <si>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</si>
  <si>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</si>
  <si>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</si>
  <si>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</si>
  <si>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</si>
  <si>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</si>
  <si>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</si>
  <si>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</si>
  <si>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</si>
  <si>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</si>
  <si>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</si>
  <si>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</si>
  <si>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</si>
  <si>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</si>
  <si>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</si>
  <si>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</si>
  <si>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</si>
  <si>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</si>
  <si>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</si>
  <si>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</si>
  <si>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</si>
  <si>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</si>
  <si>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</si>
  <si>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</si>
  <si>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</si>
  <si>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</si>
  <si>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</si>
  <si>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</si>
  <si>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</si>
  <si>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</si>
  <si>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</si>
  <si>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</si>
  <si>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</si>
  <si>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</si>
  <si>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</si>
  <si>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</si>
  <si>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</si>
  <si>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</si>
  <si>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</si>
  <si>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</si>
  <si>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</si>
  <si>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</si>
  <si>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</si>
  <si>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</si>
  <si>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</si>
  <si>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</si>
  <si>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</si>
  <si>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</si>
  <si>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</si>
  <si>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</si>
  <si>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</si>
  <si>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</si>
  <si>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</si>
  <si>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</si>
  <si>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</si>
  <si>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</si>
  <si>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</si>
  <si>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</si>
  <si>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</si>
  <si>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</si>
  <si>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</si>
  <si>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</si>
  <si>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</si>
  <si>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</si>
  <si>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</si>
  <si>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</si>
  <si>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</si>
  <si>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</si>
  <si>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</si>
  <si>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</si>
  <si>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</si>
  <si>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</si>
  <si>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</si>
  <si>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</si>
  <si>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</si>
  <si>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</si>
  <si>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</si>
  <si>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</si>
  <si>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</si>
  <si>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</si>
  <si>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</si>
  <si>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</si>
  <si>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</si>
  <si>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</si>
  <si>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</si>
  <si>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</si>
  <si>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</si>
  <si>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</si>
  <si>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</si>
  <si>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</si>
  <si>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</si>
  <si>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</si>
  <si>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</si>
  <si>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</si>
  <si>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</si>
  <si>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</si>
  <si>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</si>
  <si>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</si>
  <si>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</si>
  <si>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</si>
  <si>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</si>
  <si>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</si>
  <si>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</si>
  <si>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</si>
  <si>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</si>
  <si>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</si>
  <si>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</si>
  <si>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</si>
  <si>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</si>
  <si>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</si>
  <si>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</si>
  <si>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</si>
  <si>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</si>
  <si>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</si>
  <si>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</si>
  <si>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</si>
  <si>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</si>
  <si>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</si>
  <si>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</si>
  <si>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</si>
  <si>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</si>
  <si>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</si>
  <si>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</si>
  <si>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</si>
  <si>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</si>
  <si>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</si>
  <si>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</si>
  <si>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</si>
  <si>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</si>
  <si>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</si>
  <si>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</si>
  <si>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</si>
  <si>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</si>
  <si>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</si>
  <si>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</si>
  <si>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</si>
  <si>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</si>
  <si>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</si>
  <si>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</si>
  <si>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</si>
  <si>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</si>
  <si>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</si>
  <si>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</si>
  <si>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</si>
  <si>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</si>
  <si>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</si>
  <si>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</si>
  <si>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</si>
  <si>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</si>
  <si>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</si>
  <si>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</si>
  <si>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</si>
  <si>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</si>
  <si>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</si>
  <si>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</si>
  <si>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</si>
  <si>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</si>
  <si>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</si>
  <si>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</si>
  <si>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</si>
  <si>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</si>
  <si>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</si>
  <si>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</si>
  <si>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</si>
  <si>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</si>
  <si>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</si>
  <si>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</si>
  <si>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</si>
  <si>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</si>
  <si>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</si>
  <si>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</si>
  <si>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</si>
  <si>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</si>
  <si>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</si>
  <si>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</si>
  <si>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</si>
  <si>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</si>
  <si>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</si>
  <si>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</si>
  <si>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</si>
  <si>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</si>
  <si>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</si>
  <si>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</si>
  <si>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</si>
  <si>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</si>
  <si>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</si>
  <si>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</si>
  <si>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</si>
  <si>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</si>
  <si>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</si>
  <si>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</si>
  <si>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</si>
  <si>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</si>
  <si>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</si>
  <si>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</si>
  <si>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</si>
  <si>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</si>
  <si>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</si>
  <si>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</si>
  <si>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</si>
  <si>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</si>
  <si>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</si>
  <si>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</si>
  <si>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</si>
  <si>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</si>
  <si>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</si>
  <si>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</si>
  <si>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</si>
  <si>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</si>
  <si>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</si>
  <si>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</si>
  <si>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</si>
  <si>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</si>
  <si>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</si>
  <si>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</si>
  <si>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</si>
  <si>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</si>
  <si>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</si>
  <si>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</si>
  <si>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</si>
  <si>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</si>
  <si>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</si>
  <si>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</si>
  <si>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</si>
  <si>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</si>
  <si>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</si>
  <si>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</si>
  <si>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</si>
  <si>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</si>
  <si>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</si>
  <si>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</si>
  <si>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</si>
  <si>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</si>
  <si>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</si>
  <si>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</si>
  <si>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</si>
  <si>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</si>
  <si>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</si>
  <si>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</si>
  <si>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</si>
  <si>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</si>
  <si>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</si>
  <si>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</si>
  <si>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</si>
  <si>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</si>
  <si>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</si>
  <si>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</si>
  <si>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</si>
  <si>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</si>
  <si>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</si>
  <si>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</si>
  <si>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</si>
  <si>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</si>
  <si>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</si>
  <si>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</si>
  <si>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</si>
  <si>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</si>
  <si>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</si>
  <si>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</si>
  <si>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</si>
  <si>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</si>
  <si>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</si>
  <si>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</si>
  <si>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</si>
  <si>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</si>
  <si>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</si>
  <si>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</si>
  <si>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</si>
  <si>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</si>
  <si>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</si>
  <si>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</si>
  <si>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</si>
  <si>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</si>
  <si>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</si>
  <si>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</si>
  <si>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</si>
  <si>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</si>
  <si>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</si>
  <si>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</si>
  <si>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</si>
  <si>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</si>
  <si>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HPM14.0</t>
    <phoneticPr fontId="1" type="noConversion"/>
  </si>
  <si>
    <t>phase-2</t>
    <phoneticPr fontId="1" type="noConversion"/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</si>
  <si>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</si>
  <si>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</si>
  <si>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</si>
  <si>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</si>
  <si>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</si>
  <si>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</si>
  <si>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</si>
  <si>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</si>
  <si>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</si>
  <si>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</si>
  <si>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</si>
  <si>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</si>
  <si>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</si>
  <si>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</si>
  <si>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</si>
  <si>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</si>
  <si>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</si>
  <si>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</si>
  <si>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</si>
  <si>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</si>
  <si>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</si>
  <si>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</si>
  <si>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</si>
  <si>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</si>
  <si>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</si>
  <si>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</si>
  <si>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</si>
  <si>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</si>
  <si>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</si>
  <si>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</si>
  <si>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</si>
  <si>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</si>
  <si>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</si>
  <si>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</si>
  <si>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</si>
  <si>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</si>
  <si>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</si>
  <si>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</si>
  <si>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</si>
  <si>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</si>
  <si>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</si>
  <si>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</si>
  <si>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</si>
  <si>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</si>
  <si>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</si>
  <si>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</si>
  <si>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</si>
  <si>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</si>
  <si>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</si>
  <si>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</si>
  <si>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</si>
  <si>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</si>
  <si>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</si>
  <si>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</si>
  <si>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</si>
  <si>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</si>
  <si>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</si>
  <si>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</si>
  <si>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</si>
  <si>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</si>
  <si>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</si>
  <si>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</si>
  <si>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</si>
  <si>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</si>
  <si>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</si>
  <si>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</si>
  <si>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</si>
  <si>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</si>
  <si>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</si>
  <si>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</si>
  <si>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</si>
  <si>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</si>
  <si>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</si>
  <si>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</si>
  <si>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</si>
  <si>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</si>
  <si>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</si>
  <si>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</si>
  <si>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</si>
  <si>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</si>
  <si>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</si>
  <si>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</si>
  <si>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</si>
  <si>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</si>
  <si>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</si>
  <si>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</si>
  <si>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</si>
  <si>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</si>
  <si>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</si>
  <si>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</si>
  <si>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</si>
  <si>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</si>
  <si>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</si>
  <si>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</si>
  <si>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</si>
  <si>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</si>
  <si>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RA_all_log/enc_log_Tango2_RA_27_rap0.txt</t>
  </si>
  <si>
    <t>RA_all_log/dec_log_Tango2_RA_27_rap0.txt</t>
  </si>
  <si>
    <t>RA_all_log/enc_log_Tango2_RA_32_rap0.txt</t>
  </si>
  <si>
    <t>RA_all_log/dec_log_Tango2_RA_32_rap0.txt</t>
  </si>
  <si>
    <t>RA_all_log/enc_log_Tango2_RA_38_rap0.txt</t>
  </si>
  <si>
    <t>RA_all_log/dec_log_Tango2_RA_38_rap0.txt</t>
  </si>
  <si>
    <t>RA_all_log/enc_log_Tango2_RA_45_rap1.txt</t>
  </si>
  <si>
    <t>RA_all_log/dec_log_Tango2_RA_45_rap1.txt</t>
  </si>
  <si>
    <t>RA_all_log/enc_log_ParkRunning3_RA_27_rap0.txt</t>
  </si>
  <si>
    <t>RA_all_log/dec_log_ParkRunning3_RA_27_rap0.txt</t>
  </si>
  <si>
    <t>RA_all_log/enc_log_ParkRunning3_RA_32_rap0.txt</t>
  </si>
  <si>
    <t>RA_all_log/dec_log_ParkRunning3_RA_32_rap0.txt</t>
  </si>
  <si>
    <t>RA_all_log/enc_log_ParkRunning3_RA_38_rap0.txt</t>
  </si>
  <si>
    <t>RA_all_log/dec_log_ParkRunning3_RA_38_rap0.txt</t>
  </si>
  <si>
    <t>RA_all_log/enc_log_ParkRunning3_RA_45_rap0.txt</t>
  </si>
  <si>
    <t>RA_all_log/dec_log_ParkRunning3_RA_45_rap0.txt</t>
  </si>
  <si>
    <t>RA_all_log/enc_log_Campfire_RA_27_rap0.txt</t>
  </si>
  <si>
    <t>RA_all_log/dec_log_Campfire_RA_27_rap0.txt</t>
  </si>
  <si>
    <t>RA_all_log/enc_log_Campfire_RA_32_rap0.txt</t>
  </si>
  <si>
    <t>RA_all_log/dec_log_Campfire_RA_32_rap0.txt</t>
  </si>
  <si>
    <t>RA_all_log/enc_log_Campfire_RA_38_rap0.txt</t>
  </si>
  <si>
    <t>RA_all_log/dec_log_Campfire_RA_38_rap0.txt</t>
  </si>
  <si>
    <t>RA_all_log/enc_log_Campfire_RA_45_rap1.txt</t>
  </si>
  <si>
    <t>RA_all_log/dec_log_Campfire_RA_45_rap1.txt</t>
  </si>
  <si>
    <t>RA_all_log/enc_log_DaylightRoad2_RA_27_rap0.txt</t>
  </si>
  <si>
    <t>RA_all_log/dec_log_DaylightRoad2_RA_27_rap0.txt</t>
  </si>
  <si>
    <t>RA_all_log/enc_log_DaylightRoad2_RA_32_rap0.txt</t>
  </si>
  <si>
    <t>RA_all_log/dec_log_DaylightRoad2_RA_32_rap0.txt</t>
  </si>
  <si>
    <t>RA_all_log/enc_log_DaylightRoad2_RA_38_rap0.txt</t>
  </si>
  <si>
    <t>RA_all_log/dec_log_DaylightRoad2_RA_38_rap0.txt</t>
  </si>
  <si>
    <t>RA_all_log/enc_log_DaylightRoad2_RA_45_rap1.txt</t>
  </si>
  <si>
    <t>RA_all_log/dec_log_DaylightRoad2_RA_45_rap1.txt</t>
  </si>
  <si>
    <t>RA_all_log/enc_log_Cactus_RA_27_rap0.txt</t>
  </si>
  <si>
    <t>RA_all_log/dec_log_Cactus_RA_27_rap0.txt</t>
  </si>
  <si>
    <t>RA_all_log/enc_log_Cactus_RA_32_rap1.txt</t>
  </si>
  <si>
    <t>RA_all_log/dec_log_Cactus_RA_32_rap1.txt</t>
  </si>
  <si>
    <t>RA_all_log/enc_log_Cactus_RA_38_rap1.txt</t>
  </si>
  <si>
    <t>RA_all_log/dec_log_Cactus_RA_38_rap1.txt</t>
  </si>
  <si>
    <t>RA_all_log/enc_log_Cactus_RA_45_rap1.txt</t>
  </si>
  <si>
    <t>RA_all_log/dec_log_Cactus_RA_45_rap1.txt</t>
  </si>
  <si>
    <t>RA_all_log/enc_log_BasketballDrive_RA_27_rap0.txt</t>
  </si>
  <si>
    <t>RA_all_log/dec_log_BasketballDrive_RA_27_rap0.txt</t>
  </si>
  <si>
    <t>RA_all_log/enc_log_BasketballDrive_RA_32_rap1.txt</t>
  </si>
  <si>
    <t>RA_all_log/dec_log_BasketballDrive_RA_32_rap1.txt</t>
  </si>
  <si>
    <t>RA_all_log/enc_log_BasketballDrive_RA_38_rap1.txt</t>
  </si>
  <si>
    <t>RA_all_log/dec_log_BasketballDrive_RA_38_rap1.txt</t>
  </si>
  <si>
    <t>RA_all_log/enc_log_BasketballDrive_RA_45_rap1.txt</t>
  </si>
  <si>
    <t>RA_all_log/dec_log_BasketballDrive_RA_45_rap1.txt</t>
  </si>
  <si>
    <t>RA_all_log/enc_log_MarketPlace_RA_27_rap0.txt</t>
  </si>
  <si>
    <t>RA_all_log/dec_log_MarketPlace_RA_27_rap0.txt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</si>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</sst>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176" fontId="2" fillId="4" borderId="8" xfId="0" applyNumberFormat="1" applyFont="1" applyFill="1" applyBorder="1"/>
    <xf numFmtId="176" fontId="2" fillId="4" borderId="0" xfId="0" applyNumberFormat="1" applyFont="1" applyFill="1" applyBorder="1"/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2" t="s">
        <v>74</v>
      </c>
      <c r="D2" s="153"/>
      <c r="E2" s="153"/>
      <c r="F2" s="153"/>
      <c r="G2" s="154"/>
      <c r="I2" s="102"/>
      <c r="J2" s="152" t="s">
        <v>75</v>
      </c>
      <c r="K2" s="153"/>
      <c r="L2" s="153"/>
      <c r="M2" s="153"/>
      <c r="N2" s="154"/>
    </row>
    <row r="3" spans="2:15" ht="12.75" customHeight="1" x14ac:dyDescent="0.25">
      <c r="C3" s="152" t="str">
        <f>CONCATENATE("Over ", Summary!$J$3)</f>
        <v>Over HPM14.0</v>
      </c>
      <c r="D3" s="153"/>
      <c r="E3" s="153"/>
      <c r="F3" s="153"/>
      <c r="G3" s="154"/>
      <c r="I3" s="102"/>
      <c r="J3" s="152" t="str">
        <f>CONCATENATE("Over ", Summary!$J$3)</f>
        <v>Over HPM14.0</v>
      </c>
      <c r="K3" s="153"/>
      <c r="L3" s="153"/>
      <c r="M3" s="153"/>
      <c r="N3" s="154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0</v>
      </c>
      <c r="D5" s="112">
        <f>'AI-10'!$W$3</f>
        <v>0</v>
      </c>
      <c r="E5" s="113">
        <f>'AI-10'!$X$3</f>
        <v>0</v>
      </c>
      <c r="F5" s="114">
        <f>GEOMEAN('AI-10'!$S$3:'AI-10'!$S$6)</f>
        <v>1.0119967194672472</v>
      </c>
      <c r="G5" s="115">
        <f>GEOMEAN('AI-10'!$T$3:'AI-10'!$T$6)</f>
        <v>1.020091535090792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 t="e">
        <f>'AI-10'!$V$7</f>
        <v>#VALUE!</v>
      </c>
      <c r="D6" s="118" t="e">
        <f>'AI-10'!$W$7</f>
        <v>#VALUE!</v>
      </c>
      <c r="E6" s="119" t="e">
        <f>'AI-10'!$X$7</f>
        <v>#VALUE!</v>
      </c>
      <c r="F6" s="120" t="e">
        <f>GEOMEAN('AI-10'!$S$7:'AI-10'!$S$10)</f>
        <v>#NUM!</v>
      </c>
      <c r="G6" s="121" t="e">
        <f>GEOMEAN('AI-10'!$T$7:'AI-10'!$T$10)</f>
        <v>#NUM!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0</v>
      </c>
      <c r="D7" s="118">
        <f>'AI-10'!$W$11</f>
        <v>0</v>
      </c>
      <c r="E7" s="119">
        <f>'AI-10'!$X$11</f>
        <v>0</v>
      </c>
      <c r="F7" s="130">
        <f>GEOMEAN('AI-10'!$S$11:'AI-10'!$S$14)</f>
        <v>1.0177614474170735</v>
      </c>
      <c r="G7" s="121">
        <f>GEOMEAN('AI-10'!$T$11:'AI-10'!$T$14)</f>
        <v>1.0079825302742242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0</v>
      </c>
      <c r="D8" s="124">
        <f>'AI-10'!$W$15</f>
        <v>0</v>
      </c>
      <c r="E8" s="125">
        <f>'AI-10'!$X$15</f>
        <v>0</v>
      </c>
      <c r="F8" s="126">
        <f>GEOMEAN('AI-10'!$S$15:'AI-10'!$S$18)</f>
        <v>1.0013910117550291</v>
      </c>
      <c r="G8" s="127">
        <f>GEOMEAN('AI-10'!$T$15:'AI-10'!$T$18)</f>
        <v>0.98761489430754179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0</v>
      </c>
      <c r="D9" s="112">
        <f>'AI-10'!$W$19</f>
        <v>0</v>
      </c>
      <c r="E9" s="113">
        <f>'AI-10'!$X$19</f>
        <v>0</v>
      </c>
      <c r="F9" s="114">
        <f>GEOMEAN('AI-10'!$S$19:'AI-10'!$S$22)</f>
        <v>1.0076188812559277</v>
      </c>
      <c r="G9" s="115">
        <f>GEOMEAN('AI-10'!$T$19:'AI-10'!$T$22)</f>
        <v>1.0118442013466364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0</v>
      </c>
      <c r="D10" s="118">
        <f>'AI-10'!$W$23</f>
        <v>0</v>
      </c>
      <c r="E10" s="119">
        <f>'AI-10'!$X$23</f>
        <v>0</v>
      </c>
      <c r="F10" s="120">
        <f>GEOMEAN('AI-10'!$S$23:'AI-10'!$S$26)</f>
        <v>0.99788672784536891</v>
      </c>
      <c r="G10" s="121">
        <f>GEOMEAN('AI-10'!$T$23:'AI-10'!$T$26)</f>
        <v>1.0153668394016384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0</v>
      </c>
      <c r="D11" s="118">
        <f>'AI-10'!$W$27</f>
        <v>0</v>
      </c>
      <c r="E11" s="119">
        <f>'AI-10'!$X$27</f>
        <v>0</v>
      </c>
      <c r="F11" s="120">
        <f>GEOMEAN('AI-10'!$S$27:'AI-10'!$S$30)</f>
        <v>0.99802562738198719</v>
      </c>
      <c r="G11" s="121">
        <f>GEOMEAN('AI-10'!$T$27:'AI-10'!$T$30)</f>
        <v>1.0105380005984406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0</v>
      </c>
      <c r="D12" s="124">
        <f>'AI-10'!$W$31</f>
        <v>0</v>
      </c>
      <c r="E12" s="125">
        <f>'AI-10'!$X$31</f>
        <v>0</v>
      </c>
      <c r="F12" s="126">
        <f>GEOMEAN('AI-10'!$S$31:'AI-10'!$S$34)</f>
        <v>0.99354783084430265</v>
      </c>
      <c r="G12" s="127">
        <f>GEOMEAN('AI-10'!$T$31:'AI-10'!$T$34)</f>
        <v>1.0059588319303538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0</v>
      </c>
      <c r="D13" s="112">
        <f>'AI-10'!$W$35</f>
        <v>0</v>
      </c>
      <c r="E13" s="113">
        <f>'AI-10'!$X$35</f>
        <v>0</v>
      </c>
      <c r="F13" s="114">
        <f>GEOMEAN('AI-10'!$S$35:'AI-10'!$S$38)</f>
        <v>0.9992507742763056</v>
      </c>
      <c r="G13" s="115">
        <f>GEOMEAN('AI-10'!$T$35:'AI-10'!$T$38)</f>
        <v>1.0093059401370237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0</v>
      </c>
      <c r="D14" s="118">
        <f>'AI-10'!$W$39</f>
        <v>0</v>
      </c>
      <c r="E14" s="119">
        <f>'AI-10'!$X$39</f>
        <v>0</v>
      </c>
      <c r="F14" s="120">
        <f>GEOMEAN('AI-10'!$S$39:'AI-10'!$S$42)</f>
        <v>1.0144834744754292</v>
      </c>
      <c r="G14" s="121">
        <f>GEOMEAN('AI-10'!$T$39:'AI-10'!$T$42)</f>
        <v>1.0252060367388232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0</v>
      </c>
      <c r="D15" s="118">
        <f>'AI-10'!$W$43</f>
        <v>0</v>
      </c>
      <c r="E15" s="119">
        <f>'AI-10'!$X$43</f>
        <v>0</v>
      </c>
      <c r="F15" s="120">
        <f>GEOMEAN('AI-10'!$S$43:'AI-10'!$S$46)</f>
        <v>0.99711404770012435</v>
      </c>
      <c r="G15" s="121">
        <f>GEOMEAN('AI-10'!$T$43:'AI-10'!$T$46)</f>
        <v>1.0216308658743858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0</v>
      </c>
      <c r="D16" s="124">
        <f>'AI-10'!$W$47</f>
        <v>0</v>
      </c>
      <c r="E16" s="125">
        <f>'AI-10'!$X$47</f>
        <v>0</v>
      </c>
      <c r="F16" s="126">
        <f>GEOMEAN('AI-10'!$S$47:'AI-10'!$S$50)</f>
        <v>1.0117632401918797</v>
      </c>
      <c r="G16" s="127">
        <f>GEOMEAN('AI-10'!$T$47:'AI-10'!$T$50)</f>
        <v>1.0343767046150374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 t="e">
        <f>'AI-10'!$V75</f>
        <v>#VALUE!</v>
      </c>
      <c r="D23" s="112" t="e">
        <f>'AI-10'!$W75</f>
        <v>#VALUE!</v>
      </c>
      <c r="E23" s="113" t="e">
        <f>'AI-10'!$X75</f>
        <v>#VALUE!</v>
      </c>
      <c r="F23" s="128" t="e">
        <f>'AI-10'!$S75</f>
        <v>#NUM!</v>
      </c>
      <c r="G23" s="115" t="e">
        <f>'AI-10'!$T75</f>
        <v>#NUM!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0</v>
      </c>
      <c r="D24" s="118">
        <f>'AI-10'!$W76</f>
        <v>0</v>
      </c>
      <c r="E24" s="119">
        <f>'AI-10'!$X76</f>
        <v>0</v>
      </c>
      <c r="F24" s="130">
        <f>'AI-10'!$S76</f>
        <v>0.99925655081169273</v>
      </c>
      <c r="G24" s="121">
        <f>'AI-10'!$T76</f>
        <v>1.0109213533625074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0</v>
      </c>
      <c r="D25" s="118">
        <f>'AI-10'!$W77</f>
        <v>0</v>
      </c>
      <c r="E25" s="119">
        <f>'AI-10'!$X77</f>
        <v>0</v>
      </c>
      <c r="F25" s="130">
        <f>'AI-10'!$S77</f>
        <v>1.005624395532835</v>
      </c>
      <c r="G25" s="121">
        <f>'AI-10'!$T77</f>
        <v>1.0225903267435632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 t="e">
        <f>'AI-10'!$V80</f>
        <v>#VALUE!</v>
      </c>
      <c r="D26" s="137" t="e">
        <f>'AI-10'!$W80</f>
        <v>#VALUE!</v>
      </c>
      <c r="E26" s="136" t="e">
        <f>'AI-10'!$X80</f>
        <v>#VALUE!</v>
      </c>
      <c r="F26" s="135" t="e">
        <f>'AI-10'!$S80</f>
        <v>#NUM!</v>
      </c>
      <c r="G26" s="134" t="e">
        <f>'AI-10'!$T80</f>
        <v>#NUM!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2" t="s">
        <v>76</v>
      </c>
      <c r="D30" s="153"/>
      <c r="E30" s="153"/>
      <c r="F30" s="153"/>
      <c r="G30" s="154"/>
      <c r="I30" s="102"/>
      <c r="J30" s="152" t="s">
        <v>77</v>
      </c>
      <c r="K30" s="153"/>
      <c r="L30" s="153"/>
      <c r="M30" s="153"/>
      <c r="N30" s="154"/>
    </row>
    <row r="31" spans="2:15" ht="12.75" customHeight="1" x14ac:dyDescent="0.2">
      <c r="C31" s="152" t="str">
        <f>CONCATENATE("Over ", Summary!$J$3)</f>
        <v>Over HPM14.0</v>
      </c>
      <c r="D31" s="153"/>
      <c r="E31" s="153"/>
      <c r="F31" s="153"/>
      <c r="G31" s="154"/>
      <c r="I31" s="102"/>
      <c r="J31" s="152" t="str">
        <f>CONCATENATE("Over ", Summary!$J$3)</f>
        <v>Over HPM14.0</v>
      </c>
      <c r="K31" s="153"/>
      <c r="L31" s="153"/>
      <c r="M31" s="153"/>
      <c r="N31" s="154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 t="e">
        <f>'RA-10'!$V$3</f>
        <v>#VALUE!</v>
      </c>
      <c r="D33" s="112" t="e">
        <f>'RA-10'!$W$3</f>
        <v>#VALUE!</v>
      </c>
      <c r="E33" s="113" t="e">
        <f>'RA-10'!$X$3</f>
        <v>#VALUE!</v>
      </c>
      <c r="F33" s="114" t="e">
        <f>GEOMEAN('RA-10'!$S$3:'RA-10'!$S$6)</f>
        <v>#DIV/0!</v>
      </c>
      <c r="G33" s="115" t="e">
        <f>GEOMEAN('RA-10'!$T$3:'RA-10'!$T$6)</f>
        <v>#DIV/0!</v>
      </c>
      <c r="I33" s="110" t="str">
        <f>'AI-10'!$B$3</f>
        <v>Tango2</v>
      </c>
      <c r="J33" s="111" t="e">
        <f>'LDB-10'!$V$3</f>
        <v>#VALUE!</v>
      </c>
      <c r="K33" s="112" t="e">
        <f>'LDB-10'!$W$3</f>
        <v>#VALUE!</v>
      </c>
      <c r="L33" s="113" t="e">
        <f>'LDB-10'!$X$3</f>
        <v>#VALUE!</v>
      </c>
      <c r="M33" s="114" t="e">
        <f>GEOMEAN('LDB-10'!$S$3:'LDB-10'!$S$6)</f>
        <v>#NUM!</v>
      </c>
      <c r="N33" s="115" t="e">
        <f>GEOMEAN('LDB-10'!$T$3:'LDB-10'!$T$6)</f>
        <v>#NUM!</v>
      </c>
    </row>
    <row r="34" spans="2:14" ht="12.75" customHeight="1" x14ac:dyDescent="0.2">
      <c r="B34" s="116" t="str">
        <f>'AI-10'!$B$7</f>
        <v>ParkRunning3</v>
      </c>
      <c r="C34" s="117" t="e">
        <f>'RA-10'!$V$7</f>
        <v>#VALUE!</v>
      </c>
      <c r="D34" s="118" t="e">
        <f>'RA-10'!$W$7</f>
        <v>#VALUE!</v>
      </c>
      <c r="E34" s="119" t="e">
        <f>'RA-10'!$X$7</f>
        <v>#VALUE!</v>
      </c>
      <c r="F34" s="120" t="e">
        <f>GEOMEAN('RA-10'!$S$7:'RA-10'!$S$10)</f>
        <v>#DIV/0!</v>
      </c>
      <c r="G34" s="121" t="e">
        <f>GEOMEAN('RA-10'!$T$7:'RA-10'!$T$10)</f>
        <v>#DIV/0!</v>
      </c>
      <c r="I34" s="116" t="str">
        <f>'AI-10'!$B$7</f>
        <v>ParkRunning3</v>
      </c>
      <c r="J34" s="117" t="e">
        <f>'LDB-10'!$V$7</f>
        <v>#VALUE!</v>
      </c>
      <c r="K34" s="118" t="e">
        <f>'LDB-10'!$W$7</f>
        <v>#VALUE!</v>
      </c>
      <c r="L34" s="119" t="e">
        <f>'LDB-10'!$X$7</f>
        <v>#VALUE!</v>
      </c>
      <c r="M34" s="120" t="e">
        <f>GEOMEAN('LDB-10'!$S$7:'LDB-10'!$S$10)</f>
        <v>#NUM!</v>
      </c>
      <c r="N34" s="121" t="e">
        <f>GEOMEAN('LDB-10'!$T$7:'LDB-10'!$T$10)</f>
        <v>#NUM!</v>
      </c>
    </row>
    <row r="35" spans="2:14" ht="12.75" customHeight="1" x14ac:dyDescent="0.2">
      <c r="B35" s="116" t="str">
        <f>'AI-10'!$B$11</f>
        <v>Campfire</v>
      </c>
      <c r="C35" s="117" t="e">
        <f>'RA-10'!$V$11</f>
        <v>#VALUE!</v>
      </c>
      <c r="D35" s="118" t="e">
        <f>'RA-10'!$W$11</f>
        <v>#VALUE!</v>
      </c>
      <c r="E35" s="119" t="e">
        <f>'RA-10'!$X$11</f>
        <v>#VALUE!</v>
      </c>
      <c r="F35" s="130" t="e">
        <f>GEOMEAN('RA-10'!$S$11:'RA-10'!$S$14)</f>
        <v>#DIV/0!</v>
      </c>
      <c r="G35" s="121" t="e">
        <f>GEOMEAN('RA-10'!$T$11:'RA-10'!$T$14)</f>
        <v>#DIV/0!</v>
      </c>
      <c r="I35" s="116" t="str">
        <f>'AI-10'!$B$11</f>
        <v>Campfire</v>
      </c>
      <c r="J35" s="117" t="e">
        <f>'LDB-10'!$V$11</f>
        <v>#VALUE!</v>
      </c>
      <c r="K35" s="118" t="e">
        <f>'LDB-10'!$W$11</f>
        <v>#VALUE!</v>
      </c>
      <c r="L35" s="119" t="e">
        <f>'LDB-10'!$X$11</f>
        <v>#VALUE!</v>
      </c>
      <c r="M35" s="130" t="e">
        <f>GEOMEAN('LDB-10'!$S$11:'LDB-10'!$S$14)</f>
        <v>#NUM!</v>
      </c>
      <c r="N35" s="121" t="e">
        <f>GEOMEAN('LDB-10'!$T$11:'LDB-10'!$T$14)</f>
        <v>#NUM!</v>
      </c>
    </row>
    <row r="36" spans="2:14" ht="12.75" customHeight="1" thickBot="1" x14ac:dyDescent="0.25">
      <c r="B36" s="122" t="str">
        <f>'AI-10'!$B$15</f>
        <v>DaylightRoad2</v>
      </c>
      <c r="C36" s="123" t="e">
        <f>'RA-10'!$V$15</f>
        <v>#VALUE!</v>
      </c>
      <c r="D36" s="124" t="e">
        <f>'RA-10'!$W$15</f>
        <v>#VALUE!</v>
      </c>
      <c r="E36" s="125" t="e">
        <f>'RA-10'!$X$15</f>
        <v>#VALUE!</v>
      </c>
      <c r="F36" s="126" t="e">
        <f>GEOMEAN('RA-10'!$S$15:'RA-10'!$S$18)</f>
        <v>#DIV/0!</v>
      </c>
      <c r="G36" s="127" t="e">
        <f>GEOMEAN('RA-10'!$T$15:'RA-10'!$T$18)</f>
        <v>#DIV/0!</v>
      </c>
      <c r="I36" s="122" t="str">
        <f>'AI-10'!$B$15</f>
        <v>DaylightRoad2</v>
      </c>
      <c r="J36" s="123" t="e">
        <f>'LDB-10'!$V$15</f>
        <v>#VALUE!</v>
      </c>
      <c r="K36" s="124" t="e">
        <f>'LDB-10'!$W$15</f>
        <v>#VALUE!</v>
      </c>
      <c r="L36" s="125" t="e">
        <f>'LDB-10'!$X$15</f>
        <v>#VALUE!</v>
      </c>
      <c r="M36" s="126" t="e">
        <f>GEOMEAN('LDB-10'!$S$15:'LDB-10'!$S$18)</f>
        <v>#NUM!</v>
      </c>
      <c r="N36" s="127" t="e">
        <f>GEOMEAN('LDB-10'!$T$15:'LDB-10'!$T$18)</f>
        <v>#NUM!</v>
      </c>
    </row>
    <row r="37" spans="2:14" ht="12.75" customHeight="1" x14ac:dyDescent="0.2">
      <c r="B37" s="110" t="str">
        <f>'AI-10'!$B$19</f>
        <v>Cactus</v>
      </c>
      <c r="C37" s="111" t="e">
        <f>'RA-10'!$V$19</f>
        <v>#VALUE!</v>
      </c>
      <c r="D37" s="112" t="e">
        <f>'RA-10'!$W$19</f>
        <v>#VALUE!</v>
      </c>
      <c r="E37" s="113" t="e">
        <f>'RA-10'!$X$19</f>
        <v>#VALUE!</v>
      </c>
      <c r="F37" s="114" t="e">
        <f>GEOMEAN('RA-10'!$S$19:'RA-10'!$S$22)</f>
        <v>#DIV/0!</v>
      </c>
      <c r="G37" s="115" t="e">
        <f>GEOMEAN('RA-10'!$T$19:'RA-10'!$T$22)</f>
        <v>#DIV/0!</v>
      </c>
      <c r="I37" s="110" t="str">
        <f>'AI-10'!$B$19</f>
        <v>Cactus</v>
      </c>
      <c r="J37" s="111" t="e">
        <f>'LDB-10'!$V$19</f>
        <v>#VALUE!</v>
      </c>
      <c r="K37" s="112" t="e">
        <f>'LDB-10'!$W$19</f>
        <v>#VALUE!</v>
      </c>
      <c r="L37" s="113" t="e">
        <f>'LDB-10'!$X$19</f>
        <v>#VALUE!</v>
      </c>
      <c r="M37" s="114" t="e">
        <f>GEOMEAN('LDB-10'!$S$19:'LDB-10'!$S$22)</f>
        <v>#NUM!</v>
      </c>
      <c r="N37" s="115" t="e">
        <f>GEOMEAN('LDB-10'!$T$19:'LDB-10'!$T$22)</f>
        <v>#NUM!</v>
      </c>
    </row>
    <row r="38" spans="2:14" ht="12.75" customHeight="1" x14ac:dyDescent="0.2">
      <c r="B38" s="116" t="str">
        <f>'AI-10'!$B$23</f>
        <v>BasketballDrive</v>
      </c>
      <c r="C38" s="117" t="e">
        <f>'RA-10'!$V$23</f>
        <v>#VALUE!</v>
      </c>
      <c r="D38" s="118" t="e">
        <f>'RA-10'!$W$23</f>
        <v>#VALUE!</v>
      </c>
      <c r="E38" s="119" t="e">
        <f>'RA-10'!$X$23</f>
        <v>#VALUE!</v>
      </c>
      <c r="F38" s="120" t="e">
        <f>GEOMEAN('RA-10'!$S$23:'RA-10'!$S$26)</f>
        <v>#DIV/0!</v>
      </c>
      <c r="G38" s="121" t="e">
        <f>GEOMEAN('RA-10'!$T$23:'RA-10'!$T$26)</f>
        <v>#DIV/0!</v>
      </c>
      <c r="I38" s="116" t="str">
        <f>'AI-10'!$B$23</f>
        <v>BasketballDrive</v>
      </c>
      <c r="J38" s="117" t="e">
        <f>'LDB-10'!$V$23</f>
        <v>#VALUE!</v>
      </c>
      <c r="K38" s="118" t="e">
        <f>'LDB-10'!$W$23</f>
        <v>#VALUE!</v>
      </c>
      <c r="L38" s="119" t="e">
        <f>'LDB-10'!$X$23</f>
        <v>#VALUE!</v>
      </c>
      <c r="M38" s="120" t="e">
        <f>GEOMEAN('LDB-10'!$S$23:'LDB-10'!$S$26)</f>
        <v>#NUM!</v>
      </c>
      <c r="N38" s="121" t="e">
        <f>GEOMEAN('LDB-10'!$T$23:'LDB-10'!$T$26)</f>
        <v>#NUM!</v>
      </c>
    </row>
    <row r="39" spans="2:14" ht="12.75" customHeight="1" x14ac:dyDescent="0.2">
      <c r="B39" s="116" t="str">
        <f>'AI-10'!$B$27</f>
        <v>MarketPlace</v>
      </c>
      <c r="C39" s="117" t="e">
        <f>'RA-10'!$V$27</f>
        <v>#VALUE!</v>
      </c>
      <c r="D39" s="118" t="e">
        <f>'RA-10'!$W$27</f>
        <v>#VALUE!</v>
      </c>
      <c r="E39" s="119" t="e">
        <f>'RA-10'!$X$27</f>
        <v>#VALUE!</v>
      </c>
      <c r="F39" s="120" t="e">
        <f>GEOMEAN('RA-10'!$S$27:'RA-10'!$S$30)</f>
        <v>#DIV/0!</v>
      </c>
      <c r="G39" s="121" t="e">
        <f>GEOMEAN('RA-10'!$T$27:'RA-10'!$T$30)</f>
        <v>#DIV/0!</v>
      </c>
      <c r="I39" s="116" t="str">
        <f>'AI-10'!$B$27</f>
        <v>MarketPlace</v>
      </c>
      <c r="J39" s="117" t="e">
        <f>'LDB-10'!$V$27</f>
        <v>#VALUE!</v>
      </c>
      <c r="K39" s="118" t="e">
        <f>'LDB-10'!$W$27</f>
        <v>#VALUE!</v>
      </c>
      <c r="L39" s="119" t="e">
        <f>'LDB-10'!$X$27</f>
        <v>#VALUE!</v>
      </c>
      <c r="M39" s="120" t="e">
        <f>GEOMEAN('LDB-10'!$S$27:'LDB-10'!$S$30)</f>
        <v>#NUM!</v>
      </c>
      <c r="N39" s="121" t="e">
        <f>GEOMEAN('LDB-10'!$T$27:'LDB-10'!$T$30)</f>
        <v>#NUM!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-1.0527710976927507E-3</v>
      </c>
      <c r="D40" s="124">
        <f>'RA-10'!$W$31</f>
        <v>5.894782307961588E-3</v>
      </c>
      <c r="E40" s="125">
        <f>'RA-10'!$X$31</f>
        <v>4.5976668189711134E-3</v>
      </c>
      <c r="F40" s="126">
        <f>GEOMEAN('RA-10'!$S$31:'RA-10'!$S$34)</f>
        <v>1.0017166951790542</v>
      </c>
      <c r="G40" s="127">
        <f>GEOMEAN('RA-10'!$T$31:'RA-10'!$T$34)</f>
        <v>0.99291494587425488</v>
      </c>
      <c r="I40" s="122" t="str">
        <f>'AI-10'!$B$31</f>
        <v>RitualDance</v>
      </c>
      <c r="J40" s="123" t="e">
        <f>'LDB-10'!$V$31</f>
        <v>#VALUE!</v>
      </c>
      <c r="K40" s="124" t="e">
        <f>'LDB-10'!$W$31</f>
        <v>#VALUE!</v>
      </c>
      <c r="L40" s="125" t="e">
        <f>'LDB-10'!$X$31</f>
        <v>#VALUE!</v>
      </c>
      <c r="M40" s="126" t="e">
        <f>GEOMEAN('LDB-10'!$S$31:'LDB-10'!$S$34)</f>
        <v>#NUM!</v>
      </c>
      <c r="N40" s="127" t="e">
        <f>GEOMEAN('LDB-10'!$T$31:'LDB-10'!$T$34)</f>
        <v>#NUM!</v>
      </c>
    </row>
    <row r="41" spans="2:14" ht="12.75" customHeight="1" x14ac:dyDescent="0.2">
      <c r="B41" s="110" t="str">
        <f>'AI-10'!$B$35</f>
        <v>City</v>
      </c>
      <c r="C41" s="111">
        <f>'RA-10'!$V$35</f>
        <v>-0.11818767529701235</v>
      </c>
      <c r="D41" s="112">
        <f>'RA-10'!$W$35</f>
        <v>-9.0902631731565209E-2</v>
      </c>
      <c r="E41" s="113">
        <f>'RA-10'!$X$35</f>
        <v>-0.11079781061554383</v>
      </c>
      <c r="F41" s="114">
        <f>GEOMEAN('RA-10'!$S$35:'RA-10'!$S$38)</f>
        <v>0.93446557727418889</v>
      </c>
      <c r="G41" s="115">
        <f>GEOMEAN('RA-10'!$T$35:'RA-10'!$T$38)</f>
        <v>0.98270319801989292</v>
      </c>
      <c r="I41" s="110" t="str">
        <f>'AI-10'!$B$35</f>
        <v>City</v>
      </c>
      <c r="J41" s="111" t="e">
        <f>'LDB-10'!$V$35</f>
        <v>#VALUE!</v>
      </c>
      <c r="K41" s="112" t="e">
        <f>'LDB-10'!$W$35</f>
        <v>#VALUE!</v>
      </c>
      <c r="L41" s="113" t="e">
        <f>'LDB-10'!$X$35</f>
        <v>#VALUE!</v>
      </c>
      <c r="M41" s="114" t="e">
        <f>GEOMEAN('LDB-10'!$S$35:'LDB-10'!$S$38)</f>
        <v>#NUM!</v>
      </c>
      <c r="N41" s="115" t="e">
        <f>GEOMEAN('LDB-10'!$T$35:'LDB-10'!$T$38)</f>
        <v>#NUM!</v>
      </c>
    </row>
    <row r="42" spans="2:14" ht="12.75" customHeight="1" x14ac:dyDescent="0.2">
      <c r="B42" s="116" t="str">
        <f>'AI-10'!$B$39</f>
        <v>Crew</v>
      </c>
      <c r="C42" s="117">
        <f>'RA-10'!$V$39</f>
        <v>-8.8728965285380323E-2</v>
      </c>
      <c r="D42" s="118">
        <f>'RA-10'!$W$39</f>
        <v>-9.797092817703934E-2</v>
      </c>
      <c r="E42" s="119">
        <f>'RA-10'!$X$39</f>
        <v>-0.10701943024147931</v>
      </c>
      <c r="F42" s="120">
        <f>GEOMEAN('RA-10'!$S$39:'RA-10'!$S$42)</f>
        <v>0.92899138088738353</v>
      </c>
      <c r="G42" s="121">
        <f>GEOMEAN('RA-10'!$T$39:'RA-10'!$T$42)</f>
        <v>0.97832679686563884</v>
      </c>
      <c r="I42" s="116" t="str">
        <f>'AI-10'!$B$39</f>
        <v>Crew</v>
      </c>
      <c r="J42" s="117">
        <f>'LDB-10'!$V$39</f>
        <v>1.7377388874999733E-2</v>
      </c>
      <c r="K42" s="118">
        <f>'LDB-10'!$W$39</f>
        <v>6.2150331023584915E-2</v>
      </c>
      <c r="L42" s="119">
        <f>'LDB-10'!$X$39</f>
        <v>2.6529168488846677E-2</v>
      </c>
      <c r="M42" s="120">
        <f>GEOMEAN('LDB-10'!$S$39:'LDB-10'!$S$42)</f>
        <v>0.99668533488940425</v>
      </c>
      <c r="N42" s="121">
        <f>GEOMEAN('LDB-10'!$T$39:'LDB-10'!$T$42)</f>
        <v>1.0156470799992658</v>
      </c>
    </row>
    <row r="43" spans="2:14" ht="12.75" customHeight="1" x14ac:dyDescent="0.2">
      <c r="B43" s="116" t="str">
        <f>'AI-10'!$B$43</f>
        <v>vidyo1</v>
      </c>
      <c r="C43" s="117">
        <f>'RA-10'!$V$43</f>
        <v>-5.8042272348834412E-2</v>
      </c>
      <c r="D43" s="118">
        <f>'RA-10'!$W$43</f>
        <v>-4.3387933486921826E-2</v>
      </c>
      <c r="E43" s="119">
        <f>'RA-10'!$X$43</f>
        <v>-4.9606508702268681E-2</v>
      </c>
      <c r="F43" s="120">
        <f>GEOMEAN('RA-10'!$S$43:'RA-10'!$S$46)</f>
        <v>0.9825723954952057</v>
      </c>
      <c r="G43" s="121">
        <f>GEOMEAN('RA-10'!$T$43:'RA-10'!$T$46)</f>
        <v>1.0028500576742252</v>
      </c>
      <c r="I43" s="116" t="str">
        <f>'AI-10'!$B$43</f>
        <v>vidyo1</v>
      </c>
      <c r="J43" s="117">
        <f>'LDB-10'!$V$43</f>
        <v>-2.8638680438898279E-3</v>
      </c>
      <c r="K43" s="118">
        <f>'LDB-10'!$W$43</f>
        <v>1.2941836301438192E-2</v>
      </c>
      <c r="L43" s="119">
        <f>'LDB-10'!$X$43</f>
        <v>1.3755463917131117E-3</v>
      </c>
      <c r="M43" s="120">
        <f>GEOMEAN('LDB-10'!$S$43:'LDB-10'!$S$46)</f>
        <v>1.0468146707179862</v>
      </c>
      <c r="N43" s="121">
        <f>GEOMEAN('LDB-10'!$T$43:'LDB-10'!$T$46)</f>
        <v>1.069461957059912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-7.6936750828565437E-2</v>
      </c>
      <c r="D44" s="124">
        <f>'RA-10'!$W$47</f>
        <v>-3.7006476270837974E-2</v>
      </c>
      <c r="E44" s="125">
        <f>'RA-10'!$X$47</f>
        <v>-7.9266836244450745E-2</v>
      </c>
      <c r="F44" s="126">
        <f>GEOMEAN('RA-10'!$S$47:'RA-10'!$S$50)</f>
        <v>0.95782832188569411</v>
      </c>
      <c r="G44" s="127">
        <f>GEOMEAN('RA-10'!$T$47:'RA-10'!$T$50)</f>
        <v>0.97146679493715582</v>
      </c>
      <c r="I44" s="122" t="str">
        <f>'AI-10'!$B$47</f>
        <v>vidyo3</v>
      </c>
      <c r="J44" s="123">
        <f>'LDB-10'!$V$47</f>
        <v>-1.3314477166137539E-3</v>
      </c>
      <c r="K44" s="124">
        <f>'LDB-10'!$W$47</f>
        <v>-1.0879375641012934E-2</v>
      </c>
      <c r="L44" s="125">
        <f>'LDB-10'!$X$47</f>
        <v>-1.6639314206847278E-2</v>
      </c>
      <c r="M44" s="126">
        <f>GEOMEAN('LDB-10'!$S$47:'LDB-10'!$S$50)</f>
        <v>1.0414732754990625</v>
      </c>
      <c r="N44" s="127">
        <f>GEOMEAN('LDB-10'!$T$47:'LDB-10'!$T$50)</f>
        <v>1.0261375488333915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 t="e">
        <f>'RA-10'!$V75</f>
        <v>#VALUE!</v>
      </c>
      <c r="D51" s="112" t="e">
        <f>'RA-10'!$W75</f>
        <v>#VALUE!</v>
      </c>
      <c r="E51" s="113" t="e">
        <f>'RA-10'!$X75</f>
        <v>#VALUE!</v>
      </c>
      <c r="F51" s="128" t="e">
        <f>'RA-10'!$S75</f>
        <v>#DIV/0!</v>
      </c>
      <c r="G51" s="115" t="e">
        <f>'RA-10'!$T75</f>
        <v>#DIV/0!</v>
      </c>
      <c r="I51" s="132" t="s">
        <v>78</v>
      </c>
      <c r="J51" s="111" t="e">
        <f>'LDB-10'!$V75</f>
        <v>#VALUE!</v>
      </c>
      <c r="K51" s="112" t="e">
        <f>'LDB-10'!$W75</f>
        <v>#VALUE!</v>
      </c>
      <c r="L51" s="113" t="e">
        <f>'LDB-10'!$X75</f>
        <v>#VALUE!</v>
      </c>
      <c r="M51" s="128" t="e">
        <f>'LDB-10'!$S75</f>
        <v>#NUM!</v>
      </c>
      <c r="N51" s="115" t="e">
        <f>'LDB-10'!$T75</f>
        <v>#NUM!</v>
      </c>
    </row>
    <row r="52" spans="2:14" ht="12.75" customHeight="1" x14ac:dyDescent="0.2">
      <c r="B52" s="133" t="s">
        <v>79</v>
      </c>
      <c r="C52" s="117" t="e">
        <f>'RA-10'!$V76</f>
        <v>#VALUE!</v>
      </c>
      <c r="D52" s="118" t="e">
        <f>'RA-10'!$W76</f>
        <v>#VALUE!</v>
      </c>
      <c r="E52" s="119" t="e">
        <f>'RA-10'!$X76</f>
        <v>#VALUE!</v>
      </c>
      <c r="F52" s="130" t="e">
        <f>'RA-10'!$S76</f>
        <v>#DIV/0!</v>
      </c>
      <c r="G52" s="121" t="e">
        <f>'RA-10'!$T76</f>
        <v>#DIV/0!</v>
      </c>
      <c r="I52" s="133" t="s">
        <v>79</v>
      </c>
      <c r="J52" s="117" t="e">
        <f>'LDB-10'!$V76</f>
        <v>#VALUE!</v>
      </c>
      <c r="K52" s="118" t="e">
        <f>'LDB-10'!$W76</f>
        <v>#VALUE!</v>
      </c>
      <c r="L52" s="119" t="e">
        <f>'LDB-10'!$X76</f>
        <v>#VALUE!</v>
      </c>
      <c r="M52" s="130" t="e">
        <f>'LDB-10'!$S76</f>
        <v>#NUM!</v>
      </c>
      <c r="N52" s="121" t="e">
        <f>'LDB-10'!$T76</f>
        <v>#NUM!</v>
      </c>
    </row>
    <row r="53" spans="2:14" ht="12.75" customHeight="1" thickBot="1" x14ac:dyDescent="0.25">
      <c r="B53" s="133" t="s">
        <v>51</v>
      </c>
      <c r="C53" s="117">
        <f>'RA-10'!$V77</f>
        <v>-8.5473915939948131E-2</v>
      </c>
      <c r="D53" s="118">
        <f>'RA-10'!$W77</f>
        <v>-6.7316992416591087E-2</v>
      </c>
      <c r="E53" s="119">
        <f>'RA-10'!$X77</f>
        <v>-8.6672646450935642E-2</v>
      </c>
      <c r="F53" s="130">
        <f>'RA-10'!$S77</f>
        <v>0.95072914259885466</v>
      </c>
      <c r="G53" s="121">
        <f>'RA-10'!$T77</f>
        <v>0.98376772613132413</v>
      </c>
      <c r="I53" s="133" t="s">
        <v>80</v>
      </c>
      <c r="J53" s="117" t="e">
        <f>'LDB-10'!$V77</f>
        <v>#VALUE!</v>
      </c>
      <c r="K53" s="118" t="e">
        <f>'LDB-10'!$W77</f>
        <v>#VALUE!</v>
      </c>
      <c r="L53" s="119" t="e">
        <f>'LDB-10'!$X77</f>
        <v>#VALUE!</v>
      </c>
      <c r="M53" s="130" t="e">
        <f>'LDB-10'!$S77</f>
        <v>#NUM!</v>
      </c>
      <c r="N53" s="121" t="e">
        <f>'LDB-10'!$T77</f>
        <v>#NUM!</v>
      </c>
    </row>
    <row r="54" spans="2:14" ht="12.75" customHeight="1" thickBot="1" x14ac:dyDescent="0.25">
      <c r="B54" s="139" t="s">
        <v>37</v>
      </c>
      <c r="C54" s="138" t="e">
        <f>'RA-10'!$V80</f>
        <v>#VALUE!</v>
      </c>
      <c r="D54" s="137" t="e">
        <f>'RA-10'!$W80</f>
        <v>#VALUE!</v>
      </c>
      <c r="E54" s="136" t="e">
        <f>'RA-10'!$X80</f>
        <v>#VALUE!</v>
      </c>
      <c r="F54" s="135" t="e">
        <f>'RA-10'!$S80</f>
        <v>#DIV/0!</v>
      </c>
      <c r="G54" s="134" t="e">
        <f>'RA-10'!$T80</f>
        <v>#DIV/0!</v>
      </c>
      <c r="I54" s="139" t="s">
        <v>37</v>
      </c>
      <c r="J54" s="138" t="e">
        <f>'LDB-10'!$V80</f>
        <v>#VALUE!</v>
      </c>
      <c r="K54" s="137" t="e">
        <f>'LDB-10'!$W80</f>
        <v>#VALUE!</v>
      </c>
      <c r="L54" s="136" t="e">
        <f>'LDB-10'!$X80</f>
        <v>#VALUE!</v>
      </c>
      <c r="M54" s="135" t="e">
        <f>'LDB-10'!$S80</f>
        <v>#NUM!</v>
      </c>
      <c r="N54" s="134" t="e">
        <f>'LDB-10'!$T80</f>
        <v>#NUM!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L26" sqref="L26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HPM14.0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5">
      <c r="B5" s="93" t="s">
        <v>92</v>
      </c>
      <c r="C5" s="60" t="e">
        <f>'AI-10'!V75</f>
        <v>#VALUE!</v>
      </c>
      <c r="D5" s="61" t="e">
        <f>'AI-10'!W75</f>
        <v>#VALUE!</v>
      </c>
      <c r="E5" s="62" t="e">
        <f>'AI-10'!X75</f>
        <v>#VALUE!</v>
      </c>
      <c r="F5" s="63" t="e">
        <f>'AI-10'!S75</f>
        <v>#NUM!</v>
      </c>
      <c r="G5" s="64" t="e">
        <f>'AI-10'!T75</f>
        <v>#NUM!</v>
      </c>
      <c r="H5" s="25"/>
      <c r="J5" s="28"/>
    </row>
    <row r="6" spans="2:10" ht="12.75" customHeight="1" x14ac:dyDescent="0.25">
      <c r="B6" s="94" t="s">
        <v>91</v>
      </c>
      <c r="C6" s="65">
        <f>'AI-10'!V76</f>
        <v>0</v>
      </c>
      <c r="D6" s="66">
        <f>'AI-10'!W76</f>
        <v>0</v>
      </c>
      <c r="E6" s="67">
        <f>'AI-10'!X76</f>
        <v>0</v>
      </c>
      <c r="F6" s="68">
        <f>'AI-10'!S76</f>
        <v>0.99925655081169273</v>
      </c>
      <c r="G6" s="69">
        <f>'AI-10'!T76</f>
        <v>1.0109213533625074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0</v>
      </c>
      <c r="D7" s="66">
        <f>'AI-10'!W77</f>
        <v>0</v>
      </c>
      <c r="E7" s="67">
        <f>'AI-10'!X77</f>
        <v>0</v>
      </c>
      <c r="F7" s="68">
        <f>'AI-10'!S77</f>
        <v>1.005624395532835</v>
      </c>
      <c r="G7" s="69">
        <f>'AI-10'!T77</f>
        <v>1.0225903267435632</v>
      </c>
      <c r="H7" s="25"/>
    </row>
    <row r="8" spans="2:10" s="20" customFormat="1" ht="12.75" customHeight="1" thickBot="1" x14ac:dyDescent="0.3">
      <c r="B8" s="81" t="s">
        <v>37</v>
      </c>
      <c r="C8" s="60" t="e">
        <f>'AI-10'!V80</f>
        <v>#VALUE!</v>
      </c>
      <c r="D8" s="61" t="e">
        <f>'AI-10'!W80</f>
        <v>#VALUE!</v>
      </c>
      <c r="E8" s="61" t="e">
        <f>'AI-10'!X80</f>
        <v>#VALUE!</v>
      </c>
      <c r="F8" s="100" t="e">
        <f>'AI-10'!S80</f>
        <v>#NUM!</v>
      </c>
      <c r="G8" s="101" t="e">
        <f>'AI-10'!T80</f>
        <v>#NUM!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HPM14.0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 t="e">
        <f>'RA-10'!V75</f>
        <v>#VALUE!</v>
      </c>
      <c r="D15" s="61" t="e">
        <f>'RA-10'!W75</f>
        <v>#VALUE!</v>
      </c>
      <c r="E15" s="62" t="e">
        <f>'RA-10'!X75</f>
        <v>#VALUE!</v>
      </c>
      <c r="F15" s="63" t="e">
        <f>'RA-10'!S75</f>
        <v>#DIV/0!</v>
      </c>
      <c r="G15" s="64" t="e">
        <f>'RA-10'!T75</f>
        <v>#DIV/0!</v>
      </c>
      <c r="H15" s="25"/>
      <c r="I15" s="28"/>
    </row>
    <row r="16" spans="2:10" ht="12.75" customHeight="1" x14ac:dyDescent="0.25">
      <c r="B16" s="94" t="s">
        <v>91</v>
      </c>
      <c r="C16" s="65" t="e">
        <f>'RA-10'!V76</f>
        <v>#VALUE!</v>
      </c>
      <c r="D16" s="66" t="e">
        <f>'RA-10'!W76</f>
        <v>#VALUE!</v>
      </c>
      <c r="E16" s="67" t="e">
        <f>'RA-10'!X76</f>
        <v>#VALUE!</v>
      </c>
      <c r="F16" s="68" t="e">
        <f>'RA-10'!S76</f>
        <v>#DIV/0!</v>
      </c>
      <c r="G16" s="69" t="e">
        <f>'RA-10'!T76</f>
        <v>#DIV/0!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-8.5473915939948131E-2</v>
      </c>
      <c r="D17" s="66">
        <f>'RA-10'!W77</f>
        <v>-6.7316992416591087E-2</v>
      </c>
      <c r="E17" s="67">
        <f>'RA-10'!X77</f>
        <v>-8.6672646450935642E-2</v>
      </c>
      <c r="F17" s="68">
        <f>'RA-10'!S77</f>
        <v>0.95072914259885466</v>
      </c>
      <c r="G17" s="69">
        <f>'RA-10'!T77</f>
        <v>0.98376772613132413</v>
      </c>
      <c r="H17" s="25"/>
    </row>
    <row r="18" spans="2:9" ht="12.75" customHeight="1" thickBot="1" x14ac:dyDescent="0.3">
      <c r="B18" s="81" t="s">
        <v>37</v>
      </c>
      <c r="C18" s="60" t="e">
        <f>'RA-10'!V80</f>
        <v>#VALUE!</v>
      </c>
      <c r="D18" s="61" t="e">
        <f>'RA-10'!W80</f>
        <v>#VALUE!</v>
      </c>
      <c r="E18" s="61" t="e">
        <f>'RA-10'!X80</f>
        <v>#VALUE!</v>
      </c>
      <c r="F18" s="100" t="e">
        <f>'RA-10'!S80</f>
        <v>#DIV/0!</v>
      </c>
      <c r="G18" s="101" t="e">
        <f>'RA-10'!T80</f>
        <v>#DIV/0!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HPM14.0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 t="e">
        <f>'LDB-10'!V75</f>
        <v>#VALUE!</v>
      </c>
      <c r="D25" s="61" t="e">
        <f>'LDB-10'!W75</f>
        <v>#VALUE!</v>
      </c>
      <c r="E25" s="62" t="e">
        <f>'LDB-10'!X75</f>
        <v>#VALUE!</v>
      </c>
      <c r="F25" s="63" t="e">
        <f>'LDB-10'!S75</f>
        <v>#NUM!</v>
      </c>
      <c r="G25" s="64" t="e">
        <f>'LDB-10'!T75</f>
        <v>#NUM!</v>
      </c>
      <c r="H25" s="25"/>
      <c r="I25" s="28"/>
    </row>
    <row r="26" spans="2:9" ht="12.75" customHeight="1" x14ac:dyDescent="0.2">
      <c r="B26" s="94" t="s">
        <v>91</v>
      </c>
      <c r="C26" s="65" t="e">
        <f>'LDB-10'!V76</f>
        <v>#VALUE!</v>
      </c>
      <c r="D26" s="66" t="e">
        <f>'LDB-10'!W76</f>
        <v>#VALUE!</v>
      </c>
      <c r="E26" s="67" t="e">
        <f>'LDB-10'!X76</f>
        <v>#VALUE!</v>
      </c>
      <c r="F26" s="68" t="e">
        <f>'LDB-10'!S76</f>
        <v>#NUM!</v>
      </c>
      <c r="G26" s="69" t="e">
        <f>'LDB-10'!T76</f>
        <v>#NUM!</v>
      </c>
      <c r="H26" s="25"/>
    </row>
    <row r="27" spans="2:9" ht="12.75" customHeight="1" thickBot="1" x14ac:dyDescent="0.3">
      <c r="B27" s="95" t="s">
        <v>93</v>
      </c>
      <c r="C27" s="65" t="e">
        <f>'LDB-10'!V77</f>
        <v>#VALUE!</v>
      </c>
      <c r="D27" s="66" t="e">
        <f>'LDB-10'!W77</f>
        <v>#VALUE!</v>
      </c>
      <c r="E27" s="67" t="e">
        <f>'LDB-10'!X77</f>
        <v>#VALUE!</v>
      </c>
      <c r="F27" s="68" t="e">
        <f>'LDB-10'!S77</f>
        <v>#NUM!</v>
      </c>
      <c r="G27" s="69" t="e">
        <f>'LDB-10'!T77</f>
        <v>#NUM!</v>
      </c>
      <c r="H27" s="25"/>
      <c r="I27" s="28"/>
    </row>
    <row r="28" spans="2:9" ht="12.75" customHeight="1" thickBot="1" x14ac:dyDescent="0.25">
      <c r="B28" s="81" t="s">
        <v>37</v>
      </c>
      <c r="C28" s="60" t="e">
        <f>'LDB-10'!V80</f>
        <v>#VALUE!</v>
      </c>
      <c r="D28" s="61" t="e">
        <f>'LDB-10'!W80</f>
        <v>#VALUE!</v>
      </c>
      <c r="E28" s="61" t="e">
        <f>'LDB-10'!X80</f>
        <v>#VALUE!</v>
      </c>
      <c r="F28" s="100" t="e">
        <f>'LDB-10'!S80</f>
        <v>#NUM!</v>
      </c>
      <c r="G28" s="101" t="e">
        <f>'LDB-10'!T80</f>
        <v>#NUM!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HPM14.0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tabSelected="1" topLeftCell="A40"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76135.238899999997</v>
      </c>
      <c r="E3" s="13">
        <f>Reference!C1</f>
        <v>40.81</v>
      </c>
      <c r="F3" s="13">
        <f>Reference!D1</f>
        <v>49.247500000000002</v>
      </c>
      <c r="G3" s="13">
        <f>Reference!E1</f>
        <v>47.755499999999998</v>
      </c>
      <c r="H3" s="13">
        <f>Reference!F1</f>
        <v>125395.31200000001</v>
      </c>
      <c r="I3" s="13">
        <f>Reference!G1</f>
        <v>26.408000000000001</v>
      </c>
      <c r="J3" s="14">
        <f>H3/3600</f>
        <v>34.832031111111114</v>
      </c>
      <c r="L3" s="12">
        <f>Test!B1</f>
        <v>76135.238899999997</v>
      </c>
      <c r="M3" s="13">
        <f>Test!C1</f>
        <v>40.81</v>
      </c>
      <c r="N3" s="13">
        <f>Test!D1</f>
        <v>49.247500000000002</v>
      </c>
      <c r="O3" s="13">
        <f>Test!E1</f>
        <v>47.755499999999998</v>
      </c>
      <c r="P3" s="13">
        <f>Test!F1</f>
        <v>126307.19500000001</v>
      </c>
      <c r="Q3" s="13">
        <f>Test!G1</f>
        <v>26.082000000000001</v>
      </c>
      <c r="R3" s="13">
        <f>P3/3600</f>
        <v>35.085331944444448</v>
      </c>
      <c r="S3" s="12">
        <f>P3/H3</f>
        <v>1.0072720661199839</v>
      </c>
      <c r="T3" s="13">
        <f>Q3/I3</f>
        <v>0.98765525598303539</v>
      </c>
      <c r="U3" s="90"/>
      <c r="V3" s="42">
        <f>bdrate($D3:$D6,E3:E6,$L3:$L6,M3:M6)</f>
        <v>0</v>
      </c>
      <c r="W3" s="42">
        <f>bdrate($D3:$D6,F3:F6,$L3:$L6,N3:N6)</f>
        <v>0</v>
      </c>
      <c r="X3" s="43">
        <f>bdrate($D3:$D6,G3:G6,$L3:$L6,O3:O6)</f>
        <v>0</v>
      </c>
      <c r="Y3" s="37">
        <f>bdrateOld($D3:$D6,E3:E6,$L3:$L6,M3:M6)</f>
        <v>0</v>
      </c>
      <c r="Z3" s="42">
        <f>bdrateOld($D3:$D6,F3:F6,$L3:$L6,N3:N6)</f>
        <v>0</v>
      </c>
      <c r="AA3" s="43">
        <f>bdrateOld($D3:$D6,G3:G6,$L3:$L6,O3:O6)</f>
        <v>0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41142.123200000002</v>
      </c>
      <c r="E4" s="18">
        <f>Reference!C2</f>
        <v>40.157800000000002</v>
      </c>
      <c r="F4" s="18">
        <f>Reference!D2</f>
        <v>48.549500000000002</v>
      </c>
      <c r="G4" s="18">
        <f>Reference!E2</f>
        <v>46.668199999999999</v>
      </c>
      <c r="H4" s="18">
        <f>Reference!F2</f>
        <v>68781.570000000007</v>
      </c>
      <c r="I4" s="18">
        <f>Reference!G2</f>
        <v>22.690999999999999</v>
      </c>
      <c r="J4" s="19">
        <f t="shared" ref="J4:J14" si="0">H4/3600</f>
        <v>19.105991666666668</v>
      </c>
      <c r="L4" s="17">
        <f>Test!B2</f>
        <v>41142.123200000002</v>
      </c>
      <c r="M4" s="18">
        <f>Test!C2</f>
        <v>40.157800000000002</v>
      </c>
      <c r="N4" s="18">
        <f>Test!D2</f>
        <v>48.549500000000002</v>
      </c>
      <c r="O4" s="18">
        <f>Test!E2</f>
        <v>46.668199999999999</v>
      </c>
      <c r="P4" s="18">
        <f>Test!F2</f>
        <v>70423.008000000002</v>
      </c>
      <c r="Q4" s="18">
        <f>Test!G2</f>
        <v>23.175999999999998</v>
      </c>
      <c r="R4" s="18">
        <f t="shared" ref="R4:R14" si="1">P4/3600</f>
        <v>19.561946666666667</v>
      </c>
      <c r="S4" s="17">
        <f t="shared" ref="S4:T14" si="2">P4/H4</f>
        <v>1.0238645032382947</v>
      </c>
      <c r="T4" s="18">
        <f t="shared" si="2"/>
        <v>1.0213741130844829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24680.9254</v>
      </c>
      <c r="E5" s="18">
        <f>Reference!C3</f>
        <v>39.432400000000001</v>
      </c>
      <c r="F5" s="18">
        <f>Reference!D3</f>
        <v>47.614400000000003</v>
      </c>
      <c r="G5" s="18">
        <f>Reference!E3</f>
        <v>45.377000000000002</v>
      </c>
      <c r="H5" s="18">
        <f>Reference!F3</f>
        <v>41427.016000000003</v>
      </c>
      <c r="I5" s="18">
        <f>Reference!G3</f>
        <v>20.638000000000002</v>
      </c>
      <c r="J5" s="19">
        <f t="shared" si="0"/>
        <v>11.507504444444445</v>
      </c>
      <c r="L5" s="17">
        <f>Test!B3</f>
        <v>24680.9254</v>
      </c>
      <c r="M5" s="18">
        <f>Test!C3</f>
        <v>39.432400000000001</v>
      </c>
      <c r="N5" s="18">
        <f>Test!D3</f>
        <v>47.614400000000003</v>
      </c>
      <c r="O5" s="18">
        <f>Test!E3</f>
        <v>45.377000000000002</v>
      </c>
      <c r="P5" s="18">
        <f>Test!F3</f>
        <v>41975.425999999999</v>
      </c>
      <c r="Q5" s="18">
        <f>Test!G3</f>
        <v>21.850999999999999</v>
      </c>
      <c r="R5" s="18">
        <f t="shared" si="1"/>
        <v>11.659840555555556</v>
      </c>
      <c r="S5" s="17">
        <f t="shared" si="2"/>
        <v>1.0132379797762889</v>
      </c>
      <c r="T5" s="18">
        <f t="shared" si="2"/>
        <v>1.0587750751041767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14114.374100000001</v>
      </c>
      <c r="E6" s="23">
        <f>Reference!C4</f>
        <v>38.220999999999997</v>
      </c>
      <c r="F6" s="23">
        <f>Reference!D4</f>
        <v>46.13</v>
      </c>
      <c r="G6" s="23">
        <f>Reference!E4</f>
        <v>43.600099999999998</v>
      </c>
      <c r="H6" s="23">
        <f>Reference!F4</f>
        <v>23415.063999999998</v>
      </c>
      <c r="I6" s="23">
        <f>Reference!G4</f>
        <v>19.314</v>
      </c>
      <c r="J6" s="24">
        <f t="shared" si="0"/>
        <v>6.5041844444444443</v>
      </c>
      <c r="L6" s="22">
        <f>Test!B4</f>
        <v>14114.374100000001</v>
      </c>
      <c r="M6" s="23">
        <f>Test!C4</f>
        <v>38.220999999999997</v>
      </c>
      <c r="N6" s="23">
        <f>Test!D4</f>
        <v>46.13</v>
      </c>
      <c r="O6" s="23">
        <f>Test!E4</f>
        <v>43.600099999999998</v>
      </c>
      <c r="P6" s="23">
        <f>Test!F4</f>
        <v>23502.335999999999</v>
      </c>
      <c r="Q6" s="23">
        <f>Test!G4</f>
        <v>19.581</v>
      </c>
      <c r="R6" s="23">
        <f t="shared" si="1"/>
        <v>6.5284266666666664</v>
      </c>
      <c r="S6" s="17">
        <f t="shared" si="2"/>
        <v>1.0037271732419779</v>
      </c>
      <c r="T6" s="18">
        <f t="shared" si="2"/>
        <v>1.0138241689965828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322470.57890000002</v>
      </c>
      <c r="E7" s="13">
        <f>Reference!C5</f>
        <v>44.758800000000001</v>
      </c>
      <c r="F7" s="13">
        <f>Reference!D5</f>
        <v>39.171599999999998</v>
      </c>
      <c r="G7" s="13">
        <f>Reference!E5</f>
        <v>39.639600000000002</v>
      </c>
      <c r="H7" s="13">
        <f>Reference!F5</f>
        <v>198040.54699999999</v>
      </c>
      <c r="I7" s="13">
        <f>Reference!G5</f>
        <v>40.024999999999999</v>
      </c>
      <c r="J7" s="14">
        <f t="shared" si="0"/>
        <v>55.011263055555553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3">
        <f t="shared" si="1"/>
        <v>0</v>
      </c>
      <c r="S7" s="17">
        <f t="shared" si="2"/>
        <v>0</v>
      </c>
      <c r="T7" s="18">
        <f t="shared" si="2"/>
        <v>0</v>
      </c>
      <c r="U7" s="91"/>
      <c r="V7" s="42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Reference!B6</f>
        <v>205575.6526</v>
      </c>
      <c r="E8" s="18">
        <f>Reference!C6</f>
        <v>41.968699999999998</v>
      </c>
      <c r="F8" s="18">
        <f>Reference!D6</f>
        <v>36.68</v>
      </c>
      <c r="G8" s="18">
        <f>Reference!E6</f>
        <v>37.465600000000002</v>
      </c>
      <c r="H8" s="18">
        <f>Reference!F6</f>
        <v>160850.07800000001</v>
      </c>
      <c r="I8" s="18">
        <f>Reference!G6</f>
        <v>35.537999999999997</v>
      </c>
      <c r="J8" s="19">
        <f t="shared" si="0"/>
        <v>44.680577222222226</v>
      </c>
      <c r="L8" s="17">
        <f>Test!B6</f>
        <v>205575.6526</v>
      </c>
      <c r="M8" s="18">
        <f>Test!C6</f>
        <v>41.968699999999998</v>
      </c>
      <c r="N8" s="18">
        <f>Test!D6</f>
        <v>36.68</v>
      </c>
      <c r="O8" s="18">
        <f>Test!E6</f>
        <v>37.465600000000002</v>
      </c>
      <c r="P8" s="18">
        <f>Test!F6</f>
        <v>161952.641</v>
      </c>
      <c r="Q8" s="18">
        <f>Test!G6</f>
        <v>35.634999999999998</v>
      </c>
      <c r="R8" s="18">
        <f t="shared" si="1"/>
        <v>44.986844722222223</v>
      </c>
      <c r="S8" s="17">
        <f t="shared" si="2"/>
        <v>1.0068546003440546</v>
      </c>
      <c r="T8" s="18">
        <f t="shared" si="2"/>
        <v>1.0027294726771343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117427.71580000001</v>
      </c>
      <c r="E9" s="18">
        <f>Reference!C7</f>
        <v>38.707900000000002</v>
      </c>
      <c r="F9" s="18">
        <f>Reference!D7</f>
        <v>34.389200000000002</v>
      </c>
      <c r="G9" s="18">
        <f>Reference!E7</f>
        <v>35.543399999999998</v>
      </c>
      <c r="H9" s="18">
        <f>Reference!F7</f>
        <v>120856.67200000001</v>
      </c>
      <c r="I9" s="18">
        <f>Reference!G7</f>
        <v>31.004000000000001</v>
      </c>
      <c r="J9" s="19">
        <f t="shared" si="0"/>
        <v>33.571297777777779</v>
      </c>
      <c r="L9" s="17">
        <f>Test!B7</f>
        <v>117427.71580000001</v>
      </c>
      <c r="M9" s="18">
        <f>Test!C7</f>
        <v>38.707900000000002</v>
      </c>
      <c r="N9" s="18">
        <f>Test!D7</f>
        <v>34.389200000000002</v>
      </c>
      <c r="O9" s="18">
        <f>Test!E7</f>
        <v>35.543399999999998</v>
      </c>
      <c r="P9" s="18">
        <f>Test!F7</f>
        <v>120849.141</v>
      </c>
      <c r="Q9" s="18">
        <f>Test!G7</f>
        <v>30.420999999999999</v>
      </c>
      <c r="R9" s="18">
        <f t="shared" si="1"/>
        <v>33.569205833333335</v>
      </c>
      <c r="S9" s="17">
        <f t="shared" si="2"/>
        <v>0.99993768651845716</v>
      </c>
      <c r="T9" s="18">
        <f t="shared" si="2"/>
        <v>0.98119597471294018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55577</v>
      </c>
      <c r="E10" s="23">
        <f>Reference!C8</f>
        <v>35.227899999999998</v>
      </c>
      <c r="F10" s="23">
        <f>Reference!D8</f>
        <v>32.031500000000001</v>
      </c>
      <c r="G10" s="23">
        <f>Reference!E8</f>
        <v>33.7044</v>
      </c>
      <c r="H10" s="23">
        <f>Reference!F8</f>
        <v>78469.289000000004</v>
      </c>
      <c r="I10" s="23">
        <f>Reference!G8</f>
        <v>24.962</v>
      </c>
      <c r="J10" s="24">
        <f t="shared" si="0"/>
        <v>21.797024722222222</v>
      </c>
      <c r="L10" s="22">
        <f>Test!B8</f>
        <v>55577</v>
      </c>
      <c r="M10" s="23">
        <f>Test!C8</f>
        <v>35.227899999999998</v>
      </c>
      <c r="N10" s="23">
        <f>Test!D8</f>
        <v>32.031500000000001</v>
      </c>
      <c r="O10" s="23">
        <f>Test!E8</f>
        <v>33.7044</v>
      </c>
      <c r="P10" s="23">
        <f>Test!F8</f>
        <v>79721.366999999998</v>
      </c>
      <c r="Q10" s="23">
        <f>Test!G8</f>
        <v>26.082999999999998</v>
      </c>
      <c r="R10" s="23">
        <f t="shared" si="1"/>
        <v>22.144824166666666</v>
      </c>
      <c r="S10" s="17">
        <f t="shared" si="2"/>
        <v>1.0159562806794387</v>
      </c>
      <c r="T10" s="18">
        <f t="shared" si="2"/>
        <v>1.0449082605560451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124782.9032</v>
      </c>
      <c r="E11" s="13">
        <f>Reference!C9</f>
        <v>41.574599999999997</v>
      </c>
      <c r="F11" s="13">
        <f>Reference!D9</f>
        <v>44.011099999999999</v>
      </c>
      <c r="G11" s="13">
        <f>Reference!E9</f>
        <v>42.914900000000003</v>
      </c>
      <c r="H11" s="13">
        <f>Reference!F9</f>
        <v>163585.67199999999</v>
      </c>
      <c r="I11" s="13">
        <f>Reference!G9</f>
        <v>35.51</v>
      </c>
      <c r="J11" s="14">
        <f t="shared" si="0"/>
        <v>45.440464444444444</v>
      </c>
      <c r="L11" s="12">
        <f>Test!B9</f>
        <v>124782.9032</v>
      </c>
      <c r="M11" s="13">
        <f>Test!C9</f>
        <v>41.574599999999997</v>
      </c>
      <c r="N11" s="13">
        <f>Test!D9</f>
        <v>44.011099999999999</v>
      </c>
      <c r="O11" s="13">
        <f>Test!E9</f>
        <v>42.914900000000003</v>
      </c>
      <c r="P11" s="13">
        <f>Test!F9</f>
        <v>163372.03099999999</v>
      </c>
      <c r="Q11" s="13">
        <f>Test!G9</f>
        <v>35.555999999999997</v>
      </c>
      <c r="R11" s="13">
        <f t="shared" si="1"/>
        <v>45.381119722222216</v>
      </c>
      <c r="S11" s="17">
        <f t="shared" si="2"/>
        <v>0.99869401153910353</v>
      </c>
      <c r="T11" s="18">
        <f t="shared" si="2"/>
        <v>1.0012954097437341</v>
      </c>
      <c r="U11" s="91"/>
      <c r="V11" s="42">
        <f>bdrate($D11:$D14,E11:E14,$L11:$L14,M11:M14)</f>
        <v>0</v>
      </c>
      <c r="W11" s="42">
        <f>bdrate($D11:$D14,F11:F14,$L11:$L14,N11:N14)</f>
        <v>0</v>
      </c>
      <c r="X11" s="42">
        <f>bdrate($D11:$D14,G11:G14,$L11:$L14,O11:O14)</f>
        <v>0</v>
      </c>
      <c r="Y11" s="40">
        <f>bdrateOld($D11:$D14,E11:E14,$L11:$L14,M11:M14)</f>
        <v>0</v>
      </c>
      <c r="Z11" s="44">
        <f>bdrateOld($D11:$D14,F11:F14,$L11:$L14,N11:N14)</f>
        <v>0</v>
      </c>
      <c r="AA11" s="45">
        <f>bdrateOld($D11:$D14,G11:G14,$L11:$L14,O11:O14)</f>
        <v>0</v>
      </c>
    </row>
    <row r="12" spans="1:27" x14ac:dyDescent="0.2">
      <c r="A12" s="34"/>
      <c r="B12" s="83"/>
      <c r="C12" s="16">
        <v>48</v>
      </c>
      <c r="D12" s="17">
        <f>Reference!B10</f>
        <v>55913.330499999996</v>
      </c>
      <c r="E12" s="18">
        <f>Reference!C10</f>
        <v>38.881799999999998</v>
      </c>
      <c r="F12" s="18">
        <f>Reference!D10</f>
        <v>41.389200000000002</v>
      </c>
      <c r="G12" s="18">
        <f>Reference!E10</f>
        <v>41.788600000000002</v>
      </c>
      <c r="H12" s="18">
        <f>Reference!F10</f>
        <v>114595.469</v>
      </c>
      <c r="I12" s="18">
        <f>Reference!G10</f>
        <v>27.298999999999999</v>
      </c>
      <c r="J12" s="19">
        <f t="shared" si="0"/>
        <v>31.83207472222222</v>
      </c>
      <c r="L12" s="17">
        <f>Test!B10</f>
        <v>55913.330499999996</v>
      </c>
      <c r="M12" s="18">
        <f>Test!C10</f>
        <v>38.881799999999998</v>
      </c>
      <c r="N12" s="18">
        <f>Test!D10</f>
        <v>41.389200000000002</v>
      </c>
      <c r="O12" s="18">
        <f>Test!E10</f>
        <v>41.788600000000002</v>
      </c>
      <c r="P12" s="18">
        <f>Test!F10</f>
        <v>119518.67200000001</v>
      </c>
      <c r="Q12" s="18">
        <f>Test!G10</f>
        <v>27.260999999999999</v>
      </c>
      <c r="R12" s="18">
        <f t="shared" si="1"/>
        <v>33.19963111111111</v>
      </c>
      <c r="S12" s="17">
        <f t="shared" si="2"/>
        <v>1.042961585156565</v>
      </c>
      <c r="T12" s="18">
        <f t="shared" si="2"/>
        <v>0.99860800761932667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25280.905299999999</v>
      </c>
      <c r="E13" s="18">
        <f>Reference!C11</f>
        <v>37.308100000000003</v>
      </c>
      <c r="F13" s="18">
        <f>Reference!D11</f>
        <v>39.061300000000003</v>
      </c>
      <c r="G13" s="18">
        <f>Reference!E11</f>
        <v>40.706600000000002</v>
      </c>
      <c r="H13" s="18">
        <f>Reference!F11</f>
        <v>66957.891000000003</v>
      </c>
      <c r="I13" s="18">
        <f>Reference!G11</f>
        <v>21.08</v>
      </c>
      <c r="J13" s="19">
        <f t="shared" si="0"/>
        <v>18.599414166666669</v>
      </c>
      <c r="L13" s="17">
        <f>Test!B11</f>
        <v>25280.905299999999</v>
      </c>
      <c r="M13" s="18">
        <f>Test!C11</f>
        <v>37.308100000000003</v>
      </c>
      <c r="N13" s="18">
        <f>Test!D11</f>
        <v>39.061300000000003</v>
      </c>
      <c r="O13" s="18">
        <f>Test!E11</f>
        <v>40.706600000000002</v>
      </c>
      <c r="P13" s="18">
        <f>Test!F11</f>
        <v>67450.5</v>
      </c>
      <c r="Q13" s="18">
        <f>Test!G11</f>
        <v>21.55</v>
      </c>
      <c r="R13" s="18">
        <f t="shared" si="1"/>
        <v>18.736249999999998</v>
      </c>
      <c r="S13" s="17">
        <f t="shared" si="2"/>
        <v>1.0073569969520098</v>
      </c>
      <c r="T13" s="18">
        <f t="shared" si="2"/>
        <v>1.0222960151802658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12247.8189</v>
      </c>
      <c r="E14" s="23">
        <f>Reference!C12</f>
        <v>35.924999999999997</v>
      </c>
      <c r="F14" s="23">
        <f>Reference!D12</f>
        <v>36.337499999999999</v>
      </c>
      <c r="G14" s="23">
        <f>Reference!E12</f>
        <v>39.221600000000002</v>
      </c>
      <c r="H14" s="23">
        <f>Reference!F12</f>
        <v>37391.578000000001</v>
      </c>
      <c r="I14" s="23">
        <f>Reference!G12</f>
        <v>17.88</v>
      </c>
      <c r="J14" s="24">
        <f t="shared" si="0"/>
        <v>10.386549444444444</v>
      </c>
      <c r="L14" s="22">
        <f>Test!B12</f>
        <v>12247.8189</v>
      </c>
      <c r="M14" s="23">
        <f>Test!C12</f>
        <v>35.924999999999997</v>
      </c>
      <c r="N14" s="23">
        <f>Test!D12</f>
        <v>36.337499999999999</v>
      </c>
      <c r="O14" s="23">
        <f>Test!E12</f>
        <v>39.221600000000002</v>
      </c>
      <c r="P14" s="23">
        <f>Test!F12</f>
        <v>38236.101999999999</v>
      </c>
      <c r="Q14" s="23">
        <f>Test!G12</f>
        <v>18.056999999999999</v>
      </c>
      <c r="R14" s="23">
        <f t="shared" si="1"/>
        <v>10.621139444444443</v>
      </c>
      <c r="S14" s="17">
        <f t="shared" si="2"/>
        <v>1.0225859416791663</v>
      </c>
      <c r="T14" s="18">
        <f t="shared" si="2"/>
        <v>1.0098993288590603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177362.8547</v>
      </c>
      <c r="E15" s="13">
        <f>Reference!C13</f>
        <v>38.623800000000003</v>
      </c>
      <c r="F15" s="13">
        <f>Reference!D13</f>
        <v>45.669899999999998</v>
      </c>
      <c r="G15" s="13">
        <f>Reference!E13</f>
        <v>43.4878</v>
      </c>
      <c r="H15" s="13">
        <f>Reference!F13</f>
        <v>203948.484</v>
      </c>
      <c r="I15" s="13">
        <f>Reference!G13</f>
        <v>37.558999999999997</v>
      </c>
      <c r="J15" s="14">
        <f>H15/3600</f>
        <v>56.652356666666662</v>
      </c>
      <c r="L15" s="12">
        <f>Test!B13</f>
        <v>177362.8547</v>
      </c>
      <c r="M15" s="13">
        <f>Test!C13</f>
        <v>38.623800000000003</v>
      </c>
      <c r="N15" s="13">
        <f>Test!D13</f>
        <v>45.669899999999998</v>
      </c>
      <c r="O15" s="13">
        <f>Test!E13</f>
        <v>43.4878</v>
      </c>
      <c r="P15" s="13">
        <f>Test!F13</f>
        <v>203940</v>
      </c>
      <c r="Q15" s="13">
        <f>Test!G13</f>
        <v>36.607999999999997</v>
      </c>
      <c r="R15" s="13">
        <f>P15/3600</f>
        <v>56.65</v>
      </c>
      <c r="S15" s="17">
        <f>P15/H15</f>
        <v>0.99995840125980051</v>
      </c>
      <c r="T15" s="18">
        <f>Q15/I15</f>
        <v>0.97467983705636463</v>
      </c>
      <c r="U15" s="91"/>
      <c r="V15" s="42">
        <f>bdrate($D15:$D18,E15:E18,$L15:$L18,M15:M18)</f>
        <v>0</v>
      </c>
      <c r="W15" s="42">
        <f>bdrate($D15:$D18,F15:F18,$L15:$L18,N15:N18)</f>
        <v>0</v>
      </c>
      <c r="X15" s="43">
        <f>bdrate($D15:$D18,G15:G18,$L15:$L18,O15:O18)</f>
        <v>0</v>
      </c>
      <c r="Y15" s="37">
        <f>bdrateOld($D15:$D18,E15:E18,$L15:$L18,M15:M18)</f>
        <v>0</v>
      </c>
      <c r="Z15" s="42">
        <f>bdrateOld($D15:$D18,F15:F18,$L15:$L18,N15:N18)</f>
        <v>0</v>
      </c>
      <c r="AA15" s="43">
        <f>bdrateOld($D15:$D18,G15:G18,$L15:$L18,O15:O18)</f>
        <v>0</v>
      </c>
    </row>
    <row r="16" spans="1:27" x14ac:dyDescent="0.2">
      <c r="A16" s="16"/>
      <c r="B16" s="85"/>
      <c r="C16" s="16">
        <v>48</v>
      </c>
      <c r="D16" s="17">
        <f>Reference!B14</f>
        <v>86194.623200000002</v>
      </c>
      <c r="E16" s="18">
        <f>Reference!C14</f>
        <v>37.677599999999998</v>
      </c>
      <c r="F16" s="18">
        <f>Reference!D14</f>
        <v>44.8095</v>
      </c>
      <c r="G16" s="18">
        <f>Reference!E14</f>
        <v>42.5075</v>
      </c>
      <c r="H16" s="18">
        <f>Reference!F14</f>
        <v>124349.086</v>
      </c>
      <c r="I16" s="18">
        <f>Reference!G14</f>
        <v>28.795999999999999</v>
      </c>
      <c r="J16" s="19">
        <f t="shared" ref="J16:J26" si="3">H16/3600</f>
        <v>34.541412777777779</v>
      </c>
      <c r="L16" s="17">
        <f>Test!B14</f>
        <v>86194.623200000002</v>
      </c>
      <c r="M16" s="18">
        <f>Test!C14</f>
        <v>37.677599999999998</v>
      </c>
      <c r="N16" s="18">
        <f>Test!D14</f>
        <v>44.8095</v>
      </c>
      <c r="O16" s="18">
        <f>Test!E14</f>
        <v>42.5075</v>
      </c>
      <c r="P16" s="18">
        <f>Test!F14</f>
        <v>122496.57</v>
      </c>
      <c r="Q16" s="18">
        <f>Test!G14</f>
        <v>27.675000000000001</v>
      </c>
      <c r="R16" s="18">
        <f t="shared" ref="R16:R26" si="4">P16/3600</f>
        <v>34.026825000000002</v>
      </c>
      <c r="S16" s="17">
        <f t="shared" ref="S16:S26" si="5">P16/H16</f>
        <v>0.98510229500199153</v>
      </c>
      <c r="T16" s="18">
        <f t="shared" ref="T16:T26" si="6">Q16/I16</f>
        <v>0.96107098208084463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49732.926299999999</v>
      </c>
      <c r="E17" s="18">
        <f>Reference!C15</f>
        <v>36.7592</v>
      </c>
      <c r="F17" s="18">
        <f>Reference!D15</f>
        <v>43.838500000000003</v>
      </c>
      <c r="G17" s="18">
        <f>Reference!E15</f>
        <v>41.489100000000001</v>
      </c>
      <c r="H17" s="18">
        <f>Reference!F15</f>
        <v>79585.327999999994</v>
      </c>
      <c r="I17" s="18">
        <f>Reference!G15</f>
        <v>23.806000000000001</v>
      </c>
      <c r="J17" s="19">
        <f t="shared" si="3"/>
        <v>22.107035555555555</v>
      </c>
      <c r="L17" s="17">
        <f>Test!B15</f>
        <v>49732.926299999999</v>
      </c>
      <c r="M17" s="18">
        <f>Test!C15</f>
        <v>36.7592</v>
      </c>
      <c r="N17" s="18">
        <f>Test!D15</f>
        <v>43.838500000000003</v>
      </c>
      <c r="O17" s="18">
        <f>Test!E15</f>
        <v>41.489100000000001</v>
      </c>
      <c r="P17" s="18">
        <f>Test!F15</f>
        <v>78506.398000000001</v>
      </c>
      <c r="Q17" s="18">
        <f>Test!G15</f>
        <v>23.687999999999999</v>
      </c>
      <c r="R17" s="18">
        <f t="shared" si="4"/>
        <v>21.807332777777777</v>
      </c>
      <c r="S17" s="17">
        <f t="shared" si="5"/>
        <v>0.98644310418623904</v>
      </c>
      <c r="T17" s="18">
        <f t="shared" si="6"/>
        <v>0.99504326640342766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26286.947400000001</v>
      </c>
      <c r="E18" s="23">
        <f>Reference!C16</f>
        <v>35.259</v>
      </c>
      <c r="F18" s="23">
        <f>Reference!D16</f>
        <v>42.436</v>
      </c>
      <c r="G18" s="23">
        <f>Reference!E16</f>
        <v>40.221699999999998</v>
      </c>
      <c r="H18" s="23">
        <f>Reference!F16</f>
        <v>47731.055</v>
      </c>
      <c r="I18" s="23">
        <f>Reference!G16</f>
        <v>20.306000000000001</v>
      </c>
      <c r="J18" s="24">
        <f t="shared" si="3"/>
        <v>13.258626388888889</v>
      </c>
      <c r="L18" s="22">
        <f>Test!B16</f>
        <v>26286.947400000001</v>
      </c>
      <c r="M18" s="23">
        <f>Test!C16</f>
        <v>35.259</v>
      </c>
      <c r="N18" s="23">
        <f>Test!D16</f>
        <v>42.436</v>
      </c>
      <c r="O18" s="23">
        <f>Test!E16</f>
        <v>40.221699999999998</v>
      </c>
      <c r="P18" s="23">
        <f>Test!F16</f>
        <v>49394.714999999997</v>
      </c>
      <c r="Q18" s="23">
        <f>Test!G16</f>
        <v>20.725999999999999</v>
      </c>
      <c r="R18" s="23">
        <f t="shared" si="4"/>
        <v>13.720754166666666</v>
      </c>
      <c r="S18" s="17">
        <f t="shared" si="5"/>
        <v>1.0348548759293084</v>
      </c>
      <c r="T18" s="18">
        <f t="shared" si="6"/>
        <v>1.0206835418103022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67509.873000000007</v>
      </c>
      <c r="E19" s="13">
        <f>Reference!C17</f>
        <v>39.563000000000002</v>
      </c>
      <c r="F19" s="13">
        <f>Reference!D17</f>
        <v>40.538200000000003</v>
      </c>
      <c r="G19" s="13">
        <f>Reference!E17</f>
        <v>43.602899999999998</v>
      </c>
      <c r="H19" s="13">
        <f>Reference!F17</f>
        <v>86558.023000000001</v>
      </c>
      <c r="I19" s="13">
        <f>Reference!G17</f>
        <v>18.138000000000002</v>
      </c>
      <c r="J19" s="14">
        <f t="shared" si="3"/>
        <v>24.043895277777779</v>
      </c>
      <c r="L19" s="12">
        <f>Test!B17</f>
        <v>67509.873000000007</v>
      </c>
      <c r="M19" s="13">
        <f>Test!C17</f>
        <v>39.563000000000002</v>
      </c>
      <c r="N19" s="13">
        <f>Test!D17</f>
        <v>40.538200000000003</v>
      </c>
      <c r="O19" s="13">
        <f>Test!E17</f>
        <v>43.602899999999998</v>
      </c>
      <c r="P19" s="13">
        <f>Test!F17</f>
        <v>85464.491999999998</v>
      </c>
      <c r="Q19" s="13">
        <f>Test!G17</f>
        <v>18.213000000000001</v>
      </c>
      <c r="R19" s="13">
        <f t="shared" si="4"/>
        <v>23.740136666666665</v>
      </c>
      <c r="S19" s="12">
        <f t="shared" si="5"/>
        <v>0.98736649749960204</v>
      </c>
      <c r="T19" s="13">
        <f t="shared" si="6"/>
        <v>1.0041349652662916</v>
      </c>
      <c r="U19" s="90"/>
      <c r="V19" s="42">
        <f>bdrate($D19:$D22,E19:E22,$L19:$L22,M19:M22)</f>
        <v>0</v>
      </c>
      <c r="W19" s="42">
        <f>bdrate($D19:$D22,F19:F22,$L19:$L22,N19:N22)</f>
        <v>0</v>
      </c>
      <c r="X19" s="42">
        <f>bdrate($D19:$D22,G19:G22,$L19:$L22,O19:O22)</f>
        <v>0</v>
      </c>
      <c r="Y19" s="40">
        <f>bdrateOld($D19:$D22,E19:E22,$L19:$L22,M19:M22)</f>
        <v>0</v>
      </c>
      <c r="Z19" s="44">
        <f>bdrateOld($D19:$D22,F19:F22,$L19:$L22,N19:N22)</f>
        <v>0</v>
      </c>
      <c r="AA19" s="45">
        <f>bdrateOld($D19:$D22,G19:G22,$L19:$L22,O19:O22)</f>
        <v>0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40263.104800000001</v>
      </c>
      <c r="E20" s="18">
        <f>Reference!C18</f>
        <v>37.927999999999997</v>
      </c>
      <c r="F20" s="18">
        <f>Reference!D18</f>
        <v>39.564799999999998</v>
      </c>
      <c r="G20" s="18">
        <f>Reference!E18</f>
        <v>42.206200000000003</v>
      </c>
      <c r="H20" s="18">
        <f>Reference!F18</f>
        <v>65336.737999999998</v>
      </c>
      <c r="I20" s="18">
        <f>Reference!G18</f>
        <v>15.177</v>
      </c>
      <c r="J20" s="19">
        <f t="shared" si="3"/>
        <v>18.149093888888888</v>
      </c>
      <c r="L20" s="17">
        <f>Test!B18</f>
        <v>40263.104800000001</v>
      </c>
      <c r="M20" s="18">
        <f>Test!C18</f>
        <v>37.927999999999997</v>
      </c>
      <c r="N20" s="18">
        <f>Test!D18</f>
        <v>39.564799999999998</v>
      </c>
      <c r="O20" s="18">
        <f>Test!E18</f>
        <v>42.206200000000003</v>
      </c>
      <c r="P20" s="18">
        <f>Test!F18</f>
        <v>66437.812000000005</v>
      </c>
      <c r="Q20" s="18">
        <f>Test!G18</f>
        <v>15.292999999999999</v>
      </c>
      <c r="R20" s="18">
        <f t="shared" si="4"/>
        <v>18.454947777777779</v>
      </c>
      <c r="S20" s="17">
        <f t="shared" si="5"/>
        <v>1.0168522952584502</v>
      </c>
      <c r="T20" s="18">
        <f t="shared" si="6"/>
        <v>1.0076431442314027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23228.679400000001</v>
      </c>
      <c r="E21" s="18">
        <f>Reference!C19</f>
        <v>36.016399999999997</v>
      </c>
      <c r="F21" s="18">
        <f>Reference!D19</f>
        <v>38.7166</v>
      </c>
      <c r="G21" s="18">
        <f>Reference!E19</f>
        <v>40.7639</v>
      </c>
      <c r="H21" s="18">
        <f>Reference!F19</f>
        <v>47935.949000000001</v>
      </c>
      <c r="I21" s="18">
        <f>Reference!G19</f>
        <v>12.276999999999999</v>
      </c>
      <c r="J21" s="19">
        <f t="shared" si="3"/>
        <v>13.315541388888889</v>
      </c>
      <c r="L21" s="17">
        <f>Test!B19</f>
        <v>23228.679400000001</v>
      </c>
      <c r="M21" s="18">
        <f>Test!C19</f>
        <v>36.016399999999997</v>
      </c>
      <c r="N21" s="18">
        <f>Test!D19</f>
        <v>38.7166</v>
      </c>
      <c r="O21" s="18">
        <f>Test!E19</f>
        <v>40.7639</v>
      </c>
      <c r="P21" s="18">
        <f>Test!F19</f>
        <v>48745.203000000001</v>
      </c>
      <c r="Q21" s="18">
        <f>Test!G19</f>
        <v>12.516</v>
      </c>
      <c r="R21" s="18">
        <f t="shared" si="4"/>
        <v>13.540334166666668</v>
      </c>
      <c r="S21" s="17">
        <f t="shared" si="5"/>
        <v>1.0168819855845557</v>
      </c>
      <c r="T21" s="18">
        <f t="shared" si="6"/>
        <v>1.0194672965708236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11838.5841</v>
      </c>
      <c r="E22" s="23">
        <f>Reference!C20</f>
        <v>33.539299999999997</v>
      </c>
      <c r="F22" s="23">
        <f>Reference!D20</f>
        <v>37.528199999999998</v>
      </c>
      <c r="G22" s="23">
        <f>Reference!E20</f>
        <v>38.914700000000003</v>
      </c>
      <c r="H22" s="23">
        <f>Reference!F20</f>
        <v>31889.655999999999</v>
      </c>
      <c r="I22" s="23">
        <f>Reference!G20</f>
        <v>10.057</v>
      </c>
      <c r="J22" s="24">
        <f t="shared" si="3"/>
        <v>8.8582377777777772</v>
      </c>
      <c r="L22" s="22">
        <f>Test!B20</f>
        <v>11838.5841</v>
      </c>
      <c r="M22" s="23">
        <f>Test!C20</f>
        <v>33.539299999999997</v>
      </c>
      <c r="N22" s="23">
        <f>Test!D20</f>
        <v>37.528199999999998</v>
      </c>
      <c r="O22" s="23">
        <f>Test!E20</f>
        <v>38.914700000000003</v>
      </c>
      <c r="P22" s="23">
        <f>Test!F20</f>
        <v>32197.949000000001</v>
      </c>
      <c r="Q22" s="23">
        <f>Test!G20</f>
        <v>10.220000000000001</v>
      </c>
      <c r="R22" s="23">
        <f t="shared" si="4"/>
        <v>8.9438747222222226</v>
      </c>
      <c r="S22" s="17">
        <f t="shared" si="5"/>
        <v>1.0096674921799094</v>
      </c>
      <c r="T22" s="18">
        <f t="shared" si="6"/>
        <v>1.016207616585463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42277.771399999998</v>
      </c>
      <c r="E23" s="13">
        <f>Reference!C21</f>
        <v>40.197600000000001</v>
      </c>
      <c r="F23" s="13">
        <f>Reference!D21</f>
        <v>44.213799999999999</v>
      </c>
      <c r="G23" s="13">
        <f>Reference!E21</f>
        <v>45.688499999999998</v>
      </c>
      <c r="H23" s="13">
        <f>Reference!F21</f>
        <v>74769.781000000003</v>
      </c>
      <c r="I23" s="13">
        <f>Reference!G21</f>
        <v>15.387</v>
      </c>
      <c r="J23" s="14">
        <f t="shared" si="3"/>
        <v>20.769383611111113</v>
      </c>
      <c r="L23" s="12">
        <f>Test!B21</f>
        <v>42277.771399999998</v>
      </c>
      <c r="M23" s="13">
        <f>Test!C21</f>
        <v>40.197600000000001</v>
      </c>
      <c r="N23" s="13">
        <f>Test!D21</f>
        <v>44.213799999999999</v>
      </c>
      <c r="O23" s="13">
        <f>Test!E21</f>
        <v>45.688499999999998</v>
      </c>
      <c r="P23" s="13">
        <f>Test!F21</f>
        <v>75318.781000000003</v>
      </c>
      <c r="Q23" s="13">
        <f>Test!G21</f>
        <v>15.711</v>
      </c>
      <c r="R23" s="13">
        <f t="shared" si="4"/>
        <v>20.921883611111113</v>
      </c>
      <c r="S23" s="17">
        <f t="shared" si="5"/>
        <v>1.0073425385584585</v>
      </c>
      <c r="T23" s="18">
        <f t="shared" si="6"/>
        <v>1.021056736205888</v>
      </c>
      <c r="U23" s="91"/>
      <c r="V23" s="42">
        <f>bdrate($D23:$D26,E23:E26,$L23:$L26,M23:M26)</f>
        <v>0</v>
      </c>
      <c r="W23" s="42">
        <f>bdrate($D23:$D26,F23:F26,$L23:$L26,N23:N26)</f>
        <v>0</v>
      </c>
      <c r="X23" s="42">
        <f>bdrate($D23:$D26,G23:G26,$L23:$L26,O23:O26)</f>
        <v>0</v>
      </c>
      <c r="Y23" s="40">
        <f>bdrateOld($D23:$D26,E23:E26,$L23:$L26,M23:M26)</f>
        <v>0</v>
      </c>
      <c r="Z23" s="44">
        <f>bdrateOld($D23:$D26,F23:F26,$L23:$L26,N23:N26)</f>
        <v>0</v>
      </c>
      <c r="AA23" s="45">
        <f>bdrateOld($D23:$D26,G23:G26,$L23:$L26,O23:O26)</f>
        <v>0</v>
      </c>
    </row>
    <row r="24" spans="1:27" x14ac:dyDescent="0.2">
      <c r="A24" s="34"/>
      <c r="B24" s="85"/>
      <c r="C24" s="16">
        <v>32</v>
      </c>
      <c r="D24" s="17">
        <f>Reference!B22</f>
        <v>22916.838100000001</v>
      </c>
      <c r="E24" s="18">
        <f>Reference!C22</f>
        <v>38.720999999999997</v>
      </c>
      <c r="F24" s="18">
        <f>Reference!D22</f>
        <v>43.268700000000003</v>
      </c>
      <c r="G24" s="18">
        <f>Reference!E22</f>
        <v>44.243000000000002</v>
      </c>
      <c r="H24" s="18">
        <f>Reference!F22</f>
        <v>52590.504000000001</v>
      </c>
      <c r="I24" s="18">
        <f>Reference!G22</f>
        <v>12.670999999999999</v>
      </c>
      <c r="J24" s="19">
        <f t="shared" si="3"/>
        <v>14.608473333333334</v>
      </c>
      <c r="L24" s="17">
        <f>Test!B22</f>
        <v>22916.838100000001</v>
      </c>
      <c r="M24" s="18">
        <f>Test!C22</f>
        <v>38.720999999999997</v>
      </c>
      <c r="N24" s="18">
        <f>Test!D22</f>
        <v>43.268700000000003</v>
      </c>
      <c r="O24" s="18">
        <f>Test!E22</f>
        <v>44.243000000000002</v>
      </c>
      <c r="P24" s="18">
        <f>Test!F22</f>
        <v>51808.203000000001</v>
      </c>
      <c r="Q24" s="18">
        <f>Test!G22</f>
        <v>12.791</v>
      </c>
      <c r="R24" s="18">
        <f t="shared" si="4"/>
        <v>14.3911675</v>
      </c>
      <c r="S24" s="17">
        <f t="shared" si="5"/>
        <v>0.98512467193697173</v>
      </c>
      <c r="T24" s="18">
        <f t="shared" si="6"/>
        <v>1.0094704443216795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12958.7683</v>
      </c>
      <c r="E25" s="18">
        <f>Reference!C23</f>
        <v>37.281399999999998</v>
      </c>
      <c r="F25" s="18">
        <f>Reference!D23</f>
        <v>42.192</v>
      </c>
      <c r="G25" s="18">
        <f>Reference!E23</f>
        <v>42.683500000000002</v>
      </c>
      <c r="H25" s="18">
        <f>Reference!F23</f>
        <v>35174.578000000001</v>
      </c>
      <c r="I25" s="18">
        <f>Reference!G23</f>
        <v>10.566000000000001</v>
      </c>
      <c r="J25" s="19">
        <f t="shared" si="3"/>
        <v>9.7707161111111116</v>
      </c>
      <c r="L25" s="17">
        <f>Test!B23</f>
        <v>12958.7683</v>
      </c>
      <c r="M25" s="18">
        <f>Test!C23</f>
        <v>37.281399999999998</v>
      </c>
      <c r="N25" s="18">
        <f>Test!D23</f>
        <v>42.192</v>
      </c>
      <c r="O25" s="18">
        <f>Test!E23</f>
        <v>42.683500000000002</v>
      </c>
      <c r="P25" s="18">
        <f>Test!F23</f>
        <v>35457.671999999999</v>
      </c>
      <c r="Q25" s="18">
        <f>Test!G23</f>
        <v>10.801</v>
      </c>
      <c r="R25" s="18">
        <f t="shared" si="4"/>
        <v>9.8493533333333332</v>
      </c>
      <c r="S25" s="17">
        <f t="shared" si="5"/>
        <v>1.0080482557601684</v>
      </c>
      <c r="T25" s="18">
        <f t="shared" si="6"/>
        <v>1.022241150861253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6931.0032000000001</v>
      </c>
      <c r="E26" s="23">
        <f>Reference!C24</f>
        <v>35.360100000000003</v>
      </c>
      <c r="F26" s="23">
        <f>Reference!D24</f>
        <v>40.700400000000002</v>
      </c>
      <c r="G26" s="23">
        <f>Reference!E24</f>
        <v>40.672600000000003</v>
      </c>
      <c r="H26" s="23">
        <f>Reference!F24</f>
        <v>21845.344000000001</v>
      </c>
      <c r="I26" s="23">
        <f>Reference!G24</f>
        <v>9.1150000000000002</v>
      </c>
      <c r="J26" s="24">
        <f t="shared" si="3"/>
        <v>6.0681511111111117</v>
      </c>
      <c r="L26" s="22">
        <f>Test!B24</f>
        <v>6931.0032000000001</v>
      </c>
      <c r="M26" s="23">
        <f>Test!C24</f>
        <v>35.360100000000003</v>
      </c>
      <c r="N26" s="23">
        <f>Test!D24</f>
        <v>40.700400000000002</v>
      </c>
      <c r="O26" s="23">
        <f>Test!E24</f>
        <v>40.672600000000003</v>
      </c>
      <c r="P26" s="23">
        <f>Test!F24</f>
        <v>21653.803</v>
      </c>
      <c r="Q26" s="23">
        <f>Test!G24</f>
        <v>9.1950000000000003</v>
      </c>
      <c r="R26" s="23">
        <f t="shared" si="4"/>
        <v>6.0149452777777777</v>
      </c>
      <c r="S26" s="17">
        <f t="shared" si="5"/>
        <v>0.99123195313381185</v>
      </c>
      <c r="T26" s="18">
        <f t="shared" si="6"/>
        <v>1.0087767416346682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64687.839999999997</v>
      </c>
      <c r="E27" s="13">
        <f>Reference!C25</f>
        <v>41.738100000000003</v>
      </c>
      <c r="F27" s="13">
        <f>Reference!D25</f>
        <v>44.445300000000003</v>
      </c>
      <c r="G27" s="13">
        <f>Reference!E25</f>
        <v>45.165100000000002</v>
      </c>
      <c r="H27" s="13">
        <f>Reference!F25</f>
        <v>89183.414000000004</v>
      </c>
      <c r="I27" s="13">
        <f>Reference!G25</f>
        <v>18.193000000000001</v>
      </c>
      <c r="J27" s="14">
        <f>H27/3600</f>
        <v>24.773170555555556</v>
      </c>
      <c r="L27" s="12">
        <f>Test!B25</f>
        <v>64687.839999999997</v>
      </c>
      <c r="M27" s="13">
        <f>Test!C25</f>
        <v>41.738100000000003</v>
      </c>
      <c r="N27" s="13">
        <f>Test!D25</f>
        <v>44.445300000000003</v>
      </c>
      <c r="O27" s="13">
        <f>Test!E25</f>
        <v>45.165100000000002</v>
      </c>
      <c r="P27" s="13">
        <f>Test!F25</f>
        <v>90614.25</v>
      </c>
      <c r="Q27" s="13">
        <f>Test!G25</f>
        <v>18.582000000000001</v>
      </c>
      <c r="R27" s="13">
        <f>P27/3600</f>
        <v>25.170625000000001</v>
      </c>
      <c r="S27" s="17">
        <f>P27/H27</f>
        <v>1.0160437455332221</v>
      </c>
      <c r="T27" s="18">
        <f>Q27/I27</f>
        <v>1.0213818501621503</v>
      </c>
      <c r="U27" s="91"/>
      <c r="V27" s="42">
        <f>bdrate($D27:$D30,E27:E30,$L27:$L30,M27:M30)</f>
        <v>0</v>
      </c>
      <c r="W27" s="42">
        <f>bdrate($D27:$D30,F27:F30,$L27:$L30,N27:N30)</f>
        <v>0</v>
      </c>
      <c r="X27" s="43">
        <f>bdrate($D27:$D30,G27:G30,$L27:$L30,O27:O30)</f>
        <v>0</v>
      </c>
      <c r="Y27" s="37">
        <f>bdrateOld($D27:$D30,E27:E30,$L27:$L30,M27:M30)</f>
        <v>0</v>
      </c>
      <c r="Z27" s="42">
        <f>bdrateOld($D27:$D30,F27:F30,$L27:$L30,N27:N30)</f>
        <v>0</v>
      </c>
      <c r="AA27" s="43">
        <f>bdrateOld($D27:$D30,G27:G30,$L27:$L30,O27:O30)</f>
        <v>0</v>
      </c>
    </row>
    <row r="28" spans="1:27" x14ac:dyDescent="0.2">
      <c r="A28" s="16"/>
      <c r="B28" s="85"/>
      <c r="C28" s="16">
        <v>48</v>
      </c>
      <c r="D28" s="17">
        <f>Reference!B26</f>
        <v>41706.982400000001</v>
      </c>
      <c r="E28" s="18">
        <f>Reference!C26</f>
        <v>39.930500000000002</v>
      </c>
      <c r="F28" s="18">
        <f>Reference!D26</f>
        <v>43.036799999999999</v>
      </c>
      <c r="G28" s="18">
        <f>Reference!E26</f>
        <v>43.930199999999999</v>
      </c>
      <c r="H28" s="18">
        <f>Reference!F26</f>
        <v>69022.233999999997</v>
      </c>
      <c r="I28" s="18">
        <f>Reference!G26</f>
        <v>15.712</v>
      </c>
      <c r="J28" s="19">
        <f t="shared" ref="J28:J46" si="7">H28/3600</f>
        <v>19.172842777777777</v>
      </c>
      <c r="L28" s="17">
        <f>Test!B26</f>
        <v>41706.982400000001</v>
      </c>
      <c r="M28" s="18">
        <f>Test!C26</f>
        <v>39.930500000000002</v>
      </c>
      <c r="N28" s="18">
        <f>Test!D26</f>
        <v>43.036799999999999</v>
      </c>
      <c r="O28" s="18">
        <f>Test!E26</f>
        <v>43.930199999999999</v>
      </c>
      <c r="P28" s="18">
        <f>Test!F26</f>
        <v>68087.187999999995</v>
      </c>
      <c r="Q28" s="18">
        <f>Test!G26</f>
        <v>15.787000000000001</v>
      </c>
      <c r="R28" s="18">
        <f t="shared" ref="R28:R46" si="8">P28/3600</f>
        <v>18.913107777777775</v>
      </c>
      <c r="S28" s="17">
        <f t="shared" ref="S28:S46" si="9">P28/H28</f>
        <v>0.98645297397937015</v>
      </c>
      <c r="T28" s="18">
        <f t="shared" ref="T28:T46" si="10">Q28/I28</f>
        <v>1.0047734215885948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24527.808000000001</v>
      </c>
      <c r="E29" s="18">
        <f>Reference!C27</f>
        <v>37.702800000000003</v>
      </c>
      <c r="F29" s="18">
        <f>Reference!D27</f>
        <v>41.739800000000002</v>
      </c>
      <c r="G29" s="18">
        <f>Reference!E27</f>
        <v>42.634099999999997</v>
      </c>
      <c r="H29" s="18">
        <f>Reference!F27</f>
        <v>49913.324000000001</v>
      </c>
      <c r="I29" s="18">
        <f>Reference!G27</f>
        <v>13.609</v>
      </c>
      <c r="J29" s="19">
        <f t="shared" si="7"/>
        <v>13.864812222222222</v>
      </c>
      <c r="L29" s="17">
        <f>Test!B27</f>
        <v>24527.808000000001</v>
      </c>
      <c r="M29" s="18">
        <f>Test!C27</f>
        <v>37.702800000000003</v>
      </c>
      <c r="N29" s="18">
        <f>Test!D27</f>
        <v>41.739800000000002</v>
      </c>
      <c r="O29" s="18">
        <f>Test!E27</f>
        <v>42.634099999999997</v>
      </c>
      <c r="P29" s="18">
        <f>Test!F27</f>
        <v>49584.633000000002</v>
      </c>
      <c r="Q29" s="18">
        <f>Test!G27</f>
        <v>13.859</v>
      </c>
      <c r="R29" s="18">
        <f t="shared" si="8"/>
        <v>13.773509166666667</v>
      </c>
      <c r="S29" s="17">
        <f t="shared" si="9"/>
        <v>0.99341476436231735</v>
      </c>
      <c r="T29" s="18">
        <f t="shared" si="10"/>
        <v>1.0183701961936953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12371.36</v>
      </c>
      <c r="E30" s="23">
        <f>Reference!C28</f>
        <v>35.007399999999997</v>
      </c>
      <c r="F30" s="23">
        <f>Reference!D28</f>
        <v>40.157400000000003</v>
      </c>
      <c r="G30" s="23">
        <f>Reference!E28</f>
        <v>41.011099999999999</v>
      </c>
      <c r="H30" s="23">
        <f>Reference!F28</f>
        <v>31317.455000000002</v>
      </c>
      <c r="I30" s="23">
        <f>Reference!G28</f>
        <v>11.425000000000001</v>
      </c>
      <c r="J30" s="24">
        <f t="shared" si="7"/>
        <v>8.6992930555555557</v>
      </c>
      <c r="L30" s="22">
        <f>Test!B28</f>
        <v>12371.36</v>
      </c>
      <c r="M30" s="23">
        <f>Test!C28</f>
        <v>35.007399999999997</v>
      </c>
      <c r="N30" s="23">
        <f>Test!D28</f>
        <v>40.157400000000003</v>
      </c>
      <c r="O30" s="23">
        <f>Test!E28</f>
        <v>41.011099999999999</v>
      </c>
      <c r="P30" s="23">
        <f>Test!F28</f>
        <v>31205.692999999999</v>
      </c>
      <c r="Q30" s="23">
        <f>Test!G28</f>
        <v>11.4</v>
      </c>
      <c r="R30" s="23">
        <f t="shared" si="8"/>
        <v>8.668248055555555</v>
      </c>
      <c r="S30" s="17">
        <f t="shared" si="9"/>
        <v>0.99643131921160255</v>
      </c>
      <c r="T30" s="18">
        <f t="shared" si="10"/>
        <v>0.9978118161925601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39539.251199999999</v>
      </c>
      <c r="E31" s="13">
        <f>Reference!C29</f>
        <v>44.935200000000002</v>
      </c>
      <c r="F31" s="13">
        <f>Reference!D29</f>
        <v>47.6053</v>
      </c>
      <c r="G31" s="13">
        <f>Reference!E29</f>
        <v>48.342300000000002</v>
      </c>
      <c r="H31" s="13">
        <f>Reference!F29</f>
        <v>61344.847999999998</v>
      </c>
      <c r="I31" s="13">
        <f>Reference!G29</f>
        <v>16.413</v>
      </c>
      <c r="J31" s="14">
        <f t="shared" si="7"/>
        <v>17.040235555555554</v>
      </c>
      <c r="L31" s="12">
        <f>Test!B29</f>
        <v>39539.251199999999</v>
      </c>
      <c r="M31" s="13">
        <f>Test!C29</f>
        <v>44.935200000000002</v>
      </c>
      <c r="N31" s="13">
        <f>Test!D29</f>
        <v>47.6053</v>
      </c>
      <c r="O31" s="13">
        <f>Test!E29</f>
        <v>48.342300000000002</v>
      </c>
      <c r="P31" s="13">
        <f>Test!F29</f>
        <v>60291.137000000002</v>
      </c>
      <c r="Q31" s="13">
        <f>Test!G29</f>
        <v>16.318999999999999</v>
      </c>
      <c r="R31" s="13">
        <f t="shared" si="8"/>
        <v>16.747538055555555</v>
      </c>
      <c r="S31" s="17">
        <f t="shared" si="9"/>
        <v>0.98282315411393639</v>
      </c>
      <c r="T31" s="18">
        <f t="shared" si="10"/>
        <v>0.99427283251081455</v>
      </c>
      <c r="U31" s="91"/>
      <c r="V31" s="42">
        <f>bdrate($D31:$D34,E31:E34,$L31:$L34,M31:M34)</f>
        <v>0</v>
      </c>
      <c r="W31" s="42">
        <f>bdrate($D31:$D34,F31:F34,$L31:$L34,N31:N34)</f>
        <v>0</v>
      </c>
      <c r="X31" s="42">
        <f>bdrate($D31:$D34,G31:G34,$L31:$L34,O31:O34)</f>
        <v>0</v>
      </c>
      <c r="Y31" s="40">
        <f>bdrateOld($D31:$D34,E31:E34,$L31:$L34,M31:M34)</f>
        <v>0</v>
      </c>
      <c r="Z31" s="44">
        <f>bdrateOld($D31:$D34,F31:F34,$L31:$L34,N31:N34)</f>
        <v>0</v>
      </c>
      <c r="AA31" s="45">
        <f>bdrateOld($D31:$D34,G31:G34,$L31:$L34,O31:O34)</f>
        <v>0</v>
      </c>
    </row>
    <row r="32" spans="1:27" x14ac:dyDescent="0.2">
      <c r="A32" s="16"/>
      <c r="B32" s="85"/>
      <c r="C32" s="16">
        <v>48</v>
      </c>
      <c r="D32" s="17">
        <f>Reference!B30</f>
        <v>26059.852800000001</v>
      </c>
      <c r="E32" s="18">
        <f>Reference!C30</f>
        <v>42.767600000000002</v>
      </c>
      <c r="F32" s="18">
        <f>Reference!D30</f>
        <v>46.010100000000001</v>
      </c>
      <c r="G32" s="18">
        <f>Reference!E30</f>
        <v>46.542400000000001</v>
      </c>
      <c r="H32" s="18">
        <f>Reference!F30</f>
        <v>49311.625</v>
      </c>
      <c r="I32" s="18">
        <f>Reference!G30</f>
        <v>14.066000000000001</v>
      </c>
      <c r="J32" s="19">
        <f t="shared" si="7"/>
        <v>13.697673611111112</v>
      </c>
      <c r="L32" s="17">
        <f>Test!B30</f>
        <v>26059.852800000001</v>
      </c>
      <c r="M32" s="18">
        <f>Test!C30</f>
        <v>42.767600000000002</v>
      </c>
      <c r="N32" s="18">
        <f>Test!D30</f>
        <v>46.010100000000001</v>
      </c>
      <c r="O32" s="18">
        <f>Test!E30</f>
        <v>46.542400000000001</v>
      </c>
      <c r="P32" s="18">
        <f>Test!F30</f>
        <v>48615.311999999998</v>
      </c>
      <c r="Q32" s="18">
        <f>Test!G30</f>
        <v>14.302</v>
      </c>
      <c r="R32" s="18">
        <f t="shared" si="8"/>
        <v>13.504253333333333</v>
      </c>
      <c r="S32" s="17">
        <f t="shared" si="9"/>
        <v>0.98587933372708769</v>
      </c>
      <c r="T32" s="18">
        <f t="shared" si="10"/>
        <v>1.0167780463529077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15445.190399999999</v>
      </c>
      <c r="E33" s="18">
        <f>Reference!C31</f>
        <v>40.082900000000002</v>
      </c>
      <c r="F33" s="18">
        <f>Reference!D31</f>
        <v>44.476799999999997</v>
      </c>
      <c r="G33" s="18">
        <f>Reference!E31</f>
        <v>44.715400000000002</v>
      </c>
      <c r="H33" s="18">
        <f>Reference!F31</f>
        <v>36847.25</v>
      </c>
      <c r="I33" s="18">
        <f>Reference!G31</f>
        <v>12.509</v>
      </c>
      <c r="J33" s="19">
        <f t="shared" si="7"/>
        <v>10.235347222222222</v>
      </c>
      <c r="L33" s="17">
        <f>Test!B31</f>
        <v>15445.190399999999</v>
      </c>
      <c r="M33" s="18">
        <f>Test!C31</f>
        <v>40.082900000000002</v>
      </c>
      <c r="N33" s="18">
        <f>Test!D31</f>
        <v>44.476799999999997</v>
      </c>
      <c r="O33" s="18">
        <f>Test!E31</f>
        <v>44.715400000000002</v>
      </c>
      <c r="P33" s="18">
        <f>Test!F31</f>
        <v>36442.93</v>
      </c>
      <c r="Q33" s="18">
        <f>Test!G31</f>
        <v>12.337</v>
      </c>
      <c r="R33" s="18">
        <f t="shared" si="8"/>
        <v>10.12303611111111</v>
      </c>
      <c r="S33" s="17">
        <f t="shared" si="9"/>
        <v>0.98902713228259909</v>
      </c>
      <c r="T33" s="18">
        <f t="shared" si="10"/>
        <v>0.98624990007194813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8062.2272000000003</v>
      </c>
      <c r="E34" s="23">
        <f>Reference!C32</f>
        <v>37.007599999999996</v>
      </c>
      <c r="F34" s="23">
        <f>Reference!D32</f>
        <v>42.452599999999997</v>
      </c>
      <c r="G34" s="23">
        <f>Reference!E32</f>
        <v>42.498600000000003</v>
      </c>
      <c r="H34" s="23">
        <f>Reference!F32</f>
        <v>23462.146000000001</v>
      </c>
      <c r="I34" s="23">
        <f>Reference!G32</f>
        <v>10.157</v>
      </c>
      <c r="J34" s="24">
        <f t="shared" si="7"/>
        <v>6.5172627777777778</v>
      </c>
      <c r="L34" s="22">
        <f>Test!B32</f>
        <v>8062.2272000000003</v>
      </c>
      <c r="M34" s="23">
        <f>Test!C32</f>
        <v>37.007599999999996</v>
      </c>
      <c r="N34" s="23">
        <f>Test!D32</f>
        <v>42.452599999999997</v>
      </c>
      <c r="O34" s="23">
        <f>Test!E32</f>
        <v>42.498600000000003</v>
      </c>
      <c r="P34" s="23">
        <f>Test!F32</f>
        <v>23856.982</v>
      </c>
      <c r="Q34" s="23">
        <f>Test!G32</f>
        <v>10.432</v>
      </c>
      <c r="R34" s="23">
        <f t="shared" si="8"/>
        <v>6.626939444444444</v>
      </c>
      <c r="S34" s="17">
        <f t="shared" si="9"/>
        <v>1.0168286396308335</v>
      </c>
      <c r="T34" s="18">
        <f t="shared" si="10"/>
        <v>1.0270749236979424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53887.2768</v>
      </c>
      <c r="E35" s="13">
        <f>Reference!C33</f>
        <v>41.745100000000001</v>
      </c>
      <c r="F35" s="13">
        <f>Reference!D33</f>
        <v>46.068300000000001</v>
      </c>
      <c r="G35" s="13">
        <f>Reference!E33</f>
        <v>46.391300000000001</v>
      </c>
      <c r="H35" s="13">
        <f>Reference!F33</f>
        <v>51517.805</v>
      </c>
      <c r="I35" s="13">
        <f>Reference!G33</f>
        <v>10.961</v>
      </c>
      <c r="J35" s="14">
        <f t="shared" si="7"/>
        <v>14.310501388888889</v>
      </c>
      <c r="L35" s="12">
        <f>Test!B33</f>
        <v>53887.2768</v>
      </c>
      <c r="M35" s="13">
        <f>Test!C33</f>
        <v>41.745100000000001</v>
      </c>
      <c r="N35" s="13">
        <f>Test!D33</f>
        <v>46.068300000000001</v>
      </c>
      <c r="O35" s="13">
        <f>Test!E33</f>
        <v>46.391300000000001</v>
      </c>
      <c r="P35" s="13">
        <f>Test!F33</f>
        <v>50451.921999999999</v>
      </c>
      <c r="Q35" s="13">
        <f>Test!G33</f>
        <v>11.58</v>
      </c>
      <c r="R35" s="13">
        <f t="shared" si="8"/>
        <v>14.014422777777778</v>
      </c>
      <c r="S35" s="12">
        <f t="shared" si="9"/>
        <v>0.97931039569717693</v>
      </c>
      <c r="T35" s="13">
        <f t="shared" si="10"/>
        <v>1.0564729495483989</v>
      </c>
      <c r="U35" s="90"/>
      <c r="V35" s="42">
        <f>bdrate($D35:$D38,E35:E38,$L35:$L38,M35:M38)</f>
        <v>0</v>
      </c>
      <c r="W35" s="42">
        <f>bdrate($D35:$D38,F35:F38,$L35:$L38,N35:N38)</f>
        <v>0</v>
      </c>
      <c r="X35" s="42">
        <f>bdrate($D35:$D38,G35:G38,$L35:$L38,O35:O38)</f>
        <v>0</v>
      </c>
      <c r="Y35" s="40">
        <f>bdrateOld($D35:$D38,E35:E38,$L35:$L38,M35:M38)</f>
        <v>0</v>
      </c>
      <c r="Z35" s="44">
        <f>bdrateOld($D35:$D38,F35:F38,$L35:$L38,N35:N38)</f>
        <v>0</v>
      </c>
      <c r="AA35" s="45">
        <f>bdrateOld($D35:$D38,G35:G38,$L35:$L38,O35:O38)</f>
        <v>0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36766.342400000001</v>
      </c>
      <c r="E36" s="18">
        <f>Reference!C34</f>
        <v>38.810699999999997</v>
      </c>
      <c r="F36" s="18">
        <f>Reference!D34</f>
        <v>44.3279</v>
      </c>
      <c r="G36" s="18">
        <f>Reference!E34</f>
        <v>44.675899999999999</v>
      </c>
      <c r="H36" s="18">
        <f>Reference!F34</f>
        <v>43263.601999999999</v>
      </c>
      <c r="I36" s="18">
        <f>Reference!G34</f>
        <v>10.058999999999999</v>
      </c>
      <c r="J36" s="19">
        <f t="shared" si="7"/>
        <v>12.017667222222222</v>
      </c>
      <c r="L36" s="17">
        <f>Test!B34</f>
        <v>36766.342400000001</v>
      </c>
      <c r="M36" s="18">
        <f>Test!C34</f>
        <v>38.810699999999997</v>
      </c>
      <c r="N36" s="18">
        <f>Test!D34</f>
        <v>44.3279</v>
      </c>
      <c r="O36" s="18">
        <f>Test!E34</f>
        <v>44.675899999999999</v>
      </c>
      <c r="P36" s="18">
        <f>Test!F34</f>
        <v>43630.233999999997</v>
      </c>
      <c r="Q36" s="18">
        <f>Test!G34</f>
        <v>9.6579999999999995</v>
      </c>
      <c r="R36" s="18">
        <f t="shared" si="8"/>
        <v>12.119509444444443</v>
      </c>
      <c r="S36" s="17">
        <f t="shared" si="9"/>
        <v>1.0084743752958896</v>
      </c>
      <c r="T36" s="18">
        <f t="shared" si="10"/>
        <v>0.96013520230639227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21844.371200000001</v>
      </c>
      <c r="E37" s="18">
        <f>Reference!C35</f>
        <v>35.426200000000001</v>
      </c>
      <c r="F37" s="18">
        <f>Reference!D35</f>
        <v>42.8767</v>
      </c>
      <c r="G37" s="18">
        <f>Reference!E35</f>
        <v>43.213200000000001</v>
      </c>
      <c r="H37" s="18">
        <f>Reference!F35</f>
        <v>35791.292999999998</v>
      </c>
      <c r="I37" s="18">
        <f>Reference!G35</f>
        <v>8.0660000000000007</v>
      </c>
      <c r="J37" s="19">
        <f t="shared" si="7"/>
        <v>9.9420258333333322</v>
      </c>
      <c r="L37" s="17">
        <f>Test!B35</f>
        <v>21844.371200000001</v>
      </c>
      <c r="M37" s="18">
        <f>Test!C35</f>
        <v>35.426200000000001</v>
      </c>
      <c r="N37" s="18">
        <f>Test!D35</f>
        <v>42.8767</v>
      </c>
      <c r="O37" s="18">
        <f>Test!E35</f>
        <v>43.213200000000001</v>
      </c>
      <c r="P37" s="18">
        <f>Test!F35</f>
        <v>35624.332000000002</v>
      </c>
      <c r="Q37" s="18">
        <f>Test!G35</f>
        <v>8.1920000000000002</v>
      </c>
      <c r="R37" s="18">
        <f t="shared" si="8"/>
        <v>9.8956477777777785</v>
      </c>
      <c r="S37" s="17">
        <f t="shared" si="9"/>
        <v>0.99533515036743725</v>
      </c>
      <c r="T37" s="18">
        <f t="shared" si="10"/>
        <v>1.0156211257128687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10754.227199999999</v>
      </c>
      <c r="E38" s="23">
        <f>Reference!C36</f>
        <v>31.7958</v>
      </c>
      <c r="F38" s="23">
        <f>Reference!D36</f>
        <v>41.514099999999999</v>
      </c>
      <c r="G38" s="23">
        <f>Reference!E36</f>
        <v>41.691800000000001</v>
      </c>
      <c r="H38" s="23">
        <f>Reference!F36</f>
        <v>25615.065999999999</v>
      </c>
      <c r="I38" s="23">
        <f>Reference!G36</f>
        <v>6.4180000000000001</v>
      </c>
      <c r="J38" s="24">
        <f t="shared" si="7"/>
        <v>7.1152961111111104</v>
      </c>
      <c r="L38" s="22">
        <f>Test!B36</f>
        <v>10754.227199999999</v>
      </c>
      <c r="M38" s="23">
        <f>Test!C36</f>
        <v>31.7958</v>
      </c>
      <c r="N38" s="23">
        <f>Test!D36</f>
        <v>41.514099999999999</v>
      </c>
      <c r="O38" s="23">
        <f>Test!E36</f>
        <v>41.691800000000001</v>
      </c>
      <c r="P38" s="23">
        <f>Test!F36</f>
        <v>25979.984</v>
      </c>
      <c r="Q38" s="23">
        <f>Test!G36</f>
        <v>6.4649999999999999</v>
      </c>
      <c r="R38" s="23">
        <f t="shared" si="8"/>
        <v>7.2166622222222223</v>
      </c>
      <c r="S38" s="17">
        <f t="shared" si="9"/>
        <v>1.0142462252488438</v>
      </c>
      <c r="T38" s="18">
        <f t="shared" si="10"/>
        <v>1.0073231536304144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20106.047999999999</v>
      </c>
      <c r="E39" s="13">
        <f>Reference!C37</f>
        <v>42.687399999999997</v>
      </c>
      <c r="F39" s="13">
        <f>Reference!D37</f>
        <v>45.478999999999999</v>
      </c>
      <c r="G39" s="13">
        <f>Reference!E37</f>
        <v>47.0383</v>
      </c>
      <c r="H39" s="13">
        <f>Reference!F37</f>
        <v>33921.082000000002</v>
      </c>
      <c r="I39" s="13">
        <f>Reference!G37</f>
        <v>7.2889999999999997</v>
      </c>
      <c r="J39" s="14">
        <f t="shared" si="7"/>
        <v>9.4225227777777789</v>
      </c>
      <c r="L39" s="12">
        <f>Test!B37</f>
        <v>20106.047999999999</v>
      </c>
      <c r="M39" s="13">
        <f>Test!C37</f>
        <v>42.687399999999997</v>
      </c>
      <c r="N39" s="13">
        <f>Test!D37</f>
        <v>45.478999999999999</v>
      </c>
      <c r="O39" s="13">
        <f>Test!E37</f>
        <v>47.0383</v>
      </c>
      <c r="P39" s="13">
        <f>Test!F37</f>
        <v>34115.754000000001</v>
      </c>
      <c r="Q39" s="13">
        <f>Test!G37</f>
        <v>7.4180000000000001</v>
      </c>
      <c r="R39" s="13">
        <f t="shared" si="8"/>
        <v>9.4765983333333335</v>
      </c>
      <c r="S39" s="17">
        <f t="shared" si="9"/>
        <v>1.0057389678784421</v>
      </c>
      <c r="T39" s="18">
        <f t="shared" si="10"/>
        <v>1.017697900946632</v>
      </c>
      <c r="U39" s="91"/>
      <c r="V39" s="42">
        <f>bdrate($D39:$D42,E39:E42,$L39:$L42,M39:M42)</f>
        <v>0</v>
      </c>
      <c r="W39" s="42">
        <f>bdrate($D39:$D42,F39:F42,$L39:$L42,N39:N42)</f>
        <v>0</v>
      </c>
      <c r="X39" s="42">
        <f>bdrate($D39:$D42,G39:G42,$L39:$L42,O39:O42)</f>
        <v>0</v>
      </c>
      <c r="Y39" s="40">
        <f>bdrateOld($D39:$D42,E39:E42,$L39:$L42,M39:M42)</f>
        <v>0</v>
      </c>
      <c r="Z39" s="44">
        <f>bdrateOld($D39:$D42,F39:F42,$L39:$L42,N39:N42)</f>
        <v>0</v>
      </c>
      <c r="AA39" s="45">
        <f>bdrateOld($D39:$D42,G39:G42,$L39:$L42,O39:O42)</f>
        <v>0</v>
      </c>
    </row>
    <row r="40" spans="1:27" x14ac:dyDescent="0.2">
      <c r="A40" s="16"/>
      <c r="B40" s="85"/>
      <c r="C40" s="16">
        <v>32</v>
      </c>
      <c r="D40" s="17">
        <f>Reference!B38</f>
        <v>11429.1648</v>
      </c>
      <c r="E40" s="18">
        <f>Reference!C38</f>
        <v>40.669699999999999</v>
      </c>
      <c r="F40" s="18">
        <f>Reference!D38</f>
        <v>44.567500000000003</v>
      </c>
      <c r="G40" s="18">
        <f>Reference!E38</f>
        <v>45.402000000000001</v>
      </c>
      <c r="H40" s="18">
        <f>Reference!F38</f>
        <v>24971.638999999999</v>
      </c>
      <c r="I40" s="18">
        <f>Reference!G38</f>
        <v>6.1239999999999997</v>
      </c>
      <c r="J40" s="19">
        <f t="shared" si="7"/>
        <v>6.9365663888888891</v>
      </c>
      <c r="L40" s="17">
        <f>Test!B38</f>
        <v>11429.1648</v>
      </c>
      <c r="M40" s="18">
        <f>Test!C38</f>
        <v>40.669699999999999</v>
      </c>
      <c r="N40" s="18">
        <f>Test!D38</f>
        <v>44.567500000000003</v>
      </c>
      <c r="O40" s="18">
        <f>Test!E38</f>
        <v>45.402000000000001</v>
      </c>
      <c r="P40" s="18">
        <f>Test!F38</f>
        <v>25329.613000000001</v>
      </c>
      <c r="Q40" s="18">
        <f>Test!G38</f>
        <v>6.1459999999999999</v>
      </c>
      <c r="R40" s="18">
        <f t="shared" si="8"/>
        <v>7.0360036111111111</v>
      </c>
      <c r="S40" s="17">
        <f t="shared" si="9"/>
        <v>1.0143352224497559</v>
      </c>
      <c r="T40" s="18">
        <f t="shared" si="10"/>
        <v>1.003592423252776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6331.8464000000004</v>
      </c>
      <c r="E41" s="18">
        <f>Reference!C39</f>
        <v>38.662500000000001</v>
      </c>
      <c r="F41" s="18">
        <f>Reference!D39</f>
        <v>43.615099999999998</v>
      </c>
      <c r="G41" s="18">
        <f>Reference!E39</f>
        <v>43.636600000000001</v>
      </c>
      <c r="H41" s="18">
        <f>Reference!F39</f>
        <v>17261.592000000001</v>
      </c>
      <c r="I41" s="18">
        <f>Reference!G39</f>
        <v>5.2519999999999998</v>
      </c>
      <c r="J41" s="19">
        <f t="shared" si="7"/>
        <v>4.7948866666666667</v>
      </c>
      <c r="L41" s="17">
        <f>Test!B39</f>
        <v>6331.8464000000004</v>
      </c>
      <c r="M41" s="18">
        <f>Test!C39</f>
        <v>38.662500000000001</v>
      </c>
      <c r="N41" s="18">
        <f>Test!D39</f>
        <v>43.615099999999998</v>
      </c>
      <c r="O41" s="18">
        <f>Test!E39</f>
        <v>43.636600000000001</v>
      </c>
      <c r="P41" s="18">
        <f>Test!F39</f>
        <v>17715.68</v>
      </c>
      <c r="Q41" s="18">
        <f>Test!G39</f>
        <v>5.556</v>
      </c>
      <c r="R41" s="18">
        <f t="shared" si="8"/>
        <v>4.9210222222222226</v>
      </c>
      <c r="S41" s="17">
        <f t="shared" si="9"/>
        <v>1.0263062642194301</v>
      </c>
      <c r="T41" s="18">
        <f t="shared" si="10"/>
        <v>1.057882711348058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3230.2592</v>
      </c>
      <c r="E42" s="23">
        <f>Reference!C40</f>
        <v>36.288499999999999</v>
      </c>
      <c r="F42" s="23">
        <f>Reference!D40</f>
        <v>42.322899999999997</v>
      </c>
      <c r="G42" s="23">
        <f>Reference!E40</f>
        <v>41.456499999999998</v>
      </c>
      <c r="H42" s="23">
        <f>Reference!F40</f>
        <v>10434.986999999999</v>
      </c>
      <c r="I42" s="23">
        <f>Reference!G40</f>
        <v>4.415</v>
      </c>
      <c r="J42" s="24">
        <f t="shared" si="7"/>
        <v>2.8986074999999998</v>
      </c>
      <c r="L42" s="22">
        <f>Test!B40</f>
        <v>3230.2592</v>
      </c>
      <c r="M42" s="23">
        <f>Test!C40</f>
        <v>36.288499999999999</v>
      </c>
      <c r="N42" s="23">
        <f>Test!D40</f>
        <v>42.322899999999997</v>
      </c>
      <c r="O42" s="23">
        <f>Test!E40</f>
        <v>41.456499999999998</v>
      </c>
      <c r="P42" s="23">
        <f>Test!F40</f>
        <v>10556.697</v>
      </c>
      <c r="Q42" s="23">
        <f>Test!G40</f>
        <v>4.5140000000000002</v>
      </c>
      <c r="R42" s="23">
        <f t="shared" si="8"/>
        <v>2.9324158333333332</v>
      </c>
      <c r="S42" s="17">
        <f t="shared" si="9"/>
        <v>1.0116636465383235</v>
      </c>
      <c r="T42" s="18">
        <f t="shared" si="10"/>
        <v>1.0224235560588901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15118.24</v>
      </c>
      <c r="E43" s="13">
        <f>Reference!C41</f>
        <v>44.226100000000002</v>
      </c>
      <c r="F43" s="13">
        <f>Reference!D41</f>
        <v>47.075699999999998</v>
      </c>
      <c r="G43" s="13">
        <f>Reference!E41</f>
        <v>47.98</v>
      </c>
      <c r="H43" s="13">
        <f>Reference!F41</f>
        <v>27098.794999999998</v>
      </c>
      <c r="I43" s="13">
        <f>Reference!G41</f>
        <v>6.9169999999999998</v>
      </c>
      <c r="J43" s="14">
        <f t="shared" si="7"/>
        <v>7.5274430555555547</v>
      </c>
      <c r="L43" s="12">
        <f>Test!B41</f>
        <v>15118.24</v>
      </c>
      <c r="M43" s="13">
        <f>Test!C41</f>
        <v>44.226100000000002</v>
      </c>
      <c r="N43" s="13">
        <f>Test!D41</f>
        <v>47.075699999999998</v>
      </c>
      <c r="O43" s="13">
        <f>Test!E41</f>
        <v>47.98</v>
      </c>
      <c r="P43" s="13">
        <f>Test!F41</f>
        <v>26414.932000000001</v>
      </c>
      <c r="Q43" s="13">
        <f>Test!G41</f>
        <v>6.8540000000000001</v>
      </c>
      <c r="R43" s="13">
        <f t="shared" si="8"/>
        <v>7.3374811111111109</v>
      </c>
      <c r="S43" s="17">
        <f t="shared" si="9"/>
        <v>0.97476408083828092</v>
      </c>
      <c r="T43" s="18">
        <f t="shared" si="10"/>
        <v>0.99089200520456855</v>
      </c>
      <c r="U43" s="91"/>
      <c r="V43" s="42">
        <f>bdrate($D43:$D46,E43:E46,$L43:$L46,M43:M46)</f>
        <v>0</v>
      </c>
      <c r="W43" s="42">
        <f>bdrate($D43:$D46,F43:F46,$L43:$L46,N43:N46)</f>
        <v>0</v>
      </c>
      <c r="X43" s="42">
        <f>bdrate($D43:$D46,G43:G46,$L43:$L46,O43:O46)</f>
        <v>0</v>
      </c>
      <c r="Y43" s="40">
        <f>bdrateOld($D43:$D46,E43:E46,$L43:$L46,M43:M46)</f>
        <v>0</v>
      </c>
      <c r="Z43" s="44">
        <f>bdrateOld($D43:$D46,F43:F46,$L43:$L46,N43:N46)</f>
        <v>0</v>
      </c>
      <c r="AA43" s="45">
        <f>bdrateOld($D43:$D46,G43:G46,$L43:$L46,O43:O46)</f>
        <v>0</v>
      </c>
    </row>
    <row r="44" spans="1:27" x14ac:dyDescent="0.2">
      <c r="A44" s="16"/>
      <c r="B44" s="85"/>
      <c r="C44" s="16">
        <v>32</v>
      </c>
      <c r="D44" s="17">
        <f>Reference!B42</f>
        <v>10264.198399999999</v>
      </c>
      <c r="E44" s="18">
        <f>Reference!C42</f>
        <v>42.498100000000001</v>
      </c>
      <c r="F44" s="18">
        <f>Reference!D42</f>
        <v>45.938499999999998</v>
      </c>
      <c r="G44" s="18">
        <f>Reference!E42</f>
        <v>46.6325</v>
      </c>
      <c r="H44" s="18">
        <f>Reference!F42</f>
        <v>21065.713</v>
      </c>
      <c r="I44" s="18">
        <f>Reference!G42</f>
        <v>6.1360000000000001</v>
      </c>
      <c r="J44" s="19">
        <f t="shared" si="7"/>
        <v>5.8515869444444446</v>
      </c>
      <c r="L44" s="17">
        <f>Test!B42</f>
        <v>10264.198399999999</v>
      </c>
      <c r="M44" s="18">
        <f>Test!C42</f>
        <v>42.498100000000001</v>
      </c>
      <c r="N44" s="18">
        <f>Test!D42</f>
        <v>45.938499999999998</v>
      </c>
      <c r="O44" s="18">
        <f>Test!E42</f>
        <v>46.6325</v>
      </c>
      <c r="P44" s="18">
        <f>Test!F42</f>
        <v>21633.467000000001</v>
      </c>
      <c r="Q44" s="18">
        <f>Test!G42</f>
        <v>6.149</v>
      </c>
      <c r="R44" s="18">
        <f t="shared" si="8"/>
        <v>6.0092963888888891</v>
      </c>
      <c r="S44" s="17">
        <f t="shared" si="9"/>
        <v>1.0269515681714643</v>
      </c>
      <c r="T44" s="18">
        <f t="shared" si="10"/>
        <v>1.0021186440677965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6482.3552</v>
      </c>
      <c r="E45" s="18">
        <f>Reference!C43</f>
        <v>40.1616</v>
      </c>
      <c r="F45" s="18">
        <f>Reference!D43</f>
        <v>44.616700000000002</v>
      </c>
      <c r="G45" s="18">
        <f>Reference!E43</f>
        <v>45.099200000000003</v>
      </c>
      <c r="H45" s="18">
        <f>Reference!F43</f>
        <v>15884.606</v>
      </c>
      <c r="I45" s="18">
        <f>Reference!G43</f>
        <v>5.4669999999999996</v>
      </c>
      <c r="J45" s="19">
        <f t="shared" si="7"/>
        <v>4.4123905555555556</v>
      </c>
      <c r="L45" s="17">
        <f>Test!B43</f>
        <v>6482.3552</v>
      </c>
      <c r="M45" s="18">
        <f>Test!C43</f>
        <v>40.1616</v>
      </c>
      <c r="N45" s="18">
        <f>Test!D43</f>
        <v>44.616700000000002</v>
      </c>
      <c r="O45" s="18">
        <f>Test!E43</f>
        <v>45.099200000000003</v>
      </c>
      <c r="P45" s="18">
        <f>Test!F43</f>
        <v>15698.543</v>
      </c>
      <c r="Q45" s="18">
        <f>Test!G43</f>
        <v>5.5819999999999999</v>
      </c>
      <c r="R45" s="18">
        <f t="shared" si="8"/>
        <v>4.3607063888888886</v>
      </c>
      <c r="S45" s="17">
        <f t="shared" si="9"/>
        <v>0.98828658387875656</v>
      </c>
      <c r="T45" s="18">
        <f t="shared" si="10"/>
        <v>1.0210353027254435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3757.9456</v>
      </c>
      <c r="E46" s="23">
        <f>Reference!C44</f>
        <v>37.1785</v>
      </c>
      <c r="F46" s="23">
        <f>Reference!D44</f>
        <v>42.869700000000002</v>
      </c>
      <c r="G46" s="23">
        <f>Reference!E44</f>
        <v>43.0717</v>
      </c>
      <c r="H46" s="23">
        <f>Reference!F44</f>
        <v>10710.39</v>
      </c>
      <c r="I46" s="23">
        <f>Reference!G44</f>
        <v>4.62</v>
      </c>
      <c r="J46" s="24">
        <f t="shared" si="7"/>
        <v>2.975108333333333</v>
      </c>
      <c r="L46" s="22">
        <f>Test!B44</f>
        <v>3757.9456</v>
      </c>
      <c r="M46" s="23">
        <f>Test!C44</f>
        <v>37.1785</v>
      </c>
      <c r="N46" s="23">
        <f>Test!D44</f>
        <v>42.869700000000002</v>
      </c>
      <c r="O46" s="23">
        <f>Test!E44</f>
        <v>43.0717</v>
      </c>
      <c r="P46" s="23">
        <f>Test!F44</f>
        <v>10701.687</v>
      </c>
      <c r="Q46" s="23">
        <f>Test!G44</f>
        <v>4.9640000000000004</v>
      </c>
      <c r="R46" s="23">
        <f t="shared" si="8"/>
        <v>2.9726908333333335</v>
      </c>
      <c r="S46" s="17">
        <f t="shared" si="9"/>
        <v>0.99918742454756559</v>
      </c>
      <c r="T46" s="18">
        <f t="shared" si="10"/>
        <v>1.0744588744588746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16387.756799999999</v>
      </c>
      <c r="E47" s="13">
        <f>Reference!C45</f>
        <v>44.167999999999999</v>
      </c>
      <c r="F47" s="13">
        <f>Reference!D45</f>
        <v>48.803899999999999</v>
      </c>
      <c r="G47" s="13">
        <f>Reference!E45</f>
        <v>48.4664</v>
      </c>
      <c r="H47" s="13">
        <f>Reference!F45</f>
        <v>26577.942999999999</v>
      </c>
      <c r="I47" s="13">
        <f>Reference!G45</f>
        <v>6.5069999999999997</v>
      </c>
      <c r="J47" s="14">
        <f>H47/3600</f>
        <v>7.3827619444444439</v>
      </c>
      <c r="L47" s="12">
        <f>Test!B45</f>
        <v>16387.756799999999</v>
      </c>
      <c r="M47" s="13">
        <f>Test!C45</f>
        <v>44.167999999999999</v>
      </c>
      <c r="N47" s="13">
        <f>Test!D45</f>
        <v>48.803899999999999</v>
      </c>
      <c r="O47" s="13">
        <f>Test!E45</f>
        <v>48.4664</v>
      </c>
      <c r="P47" s="13">
        <f>Test!F45</f>
        <v>27546.33</v>
      </c>
      <c r="Q47" s="13">
        <f>Test!G45</f>
        <v>6.657</v>
      </c>
      <c r="R47" s="13">
        <f>P47/3600</f>
        <v>7.6517583333333334</v>
      </c>
      <c r="S47" s="17">
        <f>P47/H47</f>
        <v>1.0364357392142802</v>
      </c>
      <c r="T47" s="18">
        <f>Q47/I47</f>
        <v>1.0230520977408946</v>
      </c>
      <c r="U47" s="91"/>
      <c r="V47" s="42">
        <f>bdrate($D47:$D50,E47:E50,$L47:$L50,M47:M50)</f>
        <v>0</v>
      </c>
      <c r="W47" s="42">
        <f>bdrate($D47:$D50,F47:F50,$L47:$L50,N47:N50)</f>
        <v>0</v>
      </c>
      <c r="X47" s="43">
        <f>bdrate($D47:$D50,G47:G50,$L47:$L50,O47:O50)</f>
        <v>0</v>
      </c>
      <c r="Y47" s="37">
        <f>bdrateOld($D47:$D50,E47:E50,$L47:$L50,M47:M50)</f>
        <v>0</v>
      </c>
      <c r="Z47" s="42">
        <f>bdrateOld($D47:$D50,F47:F50,$L47:$L50,N47:N50)</f>
        <v>0</v>
      </c>
      <c r="AA47" s="43">
        <f>bdrateOld($D47:$D50,G47:G50,$L47:$L50,O47:O50)</f>
        <v>0</v>
      </c>
    </row>
    <row r="48" spans="1:27" x14ac:dyDescent="0.2">
      <c r="A48" s="16"/>
      <c r="B48" s="85"/>
      <c r="C48" s="16">
        <v>32</v>
      </c>
      <c r="D48" s="17">
        <f>Reference!B46</f>
        <v>11402.707200000001</v>
      </c>
      <c r="E48" s="18">
        <f>Reference!C46</f>
        <v>42.432899999999997</v>
      </c>
      <c r="F48" s="18">
        <f>Reference!D46</f>
        <v>47.811</v>
      </c>
      <c r="G48" s="18">
        <f>Reference!E46</f>
        <v>47.002000000000002</v>
      </c>
      <c r="H48" s="18">
        <f>Reference!F46</f>
        <v>21527.421999999999</v>
      </c>
      <c r="I48" s="18">
        <f>Reference!G46</f>
        <v>5.9619999999999997</v>
      </c>
      <c r="J48" s="19">
        <f t="shared" ref="J48:J70" si="11">H48/3600</f>
        <v>5.979839444444444</v>
      </c>
      <c r="L48" s="17">
        <f>Test!B46</f>
        <v>11402.707200000001</v>
      </c>
      <c r="M48" s="18">
        <f>Test!C46</f>
        <v>42.432899999999997</v>
      </c>
      <c r="N48" s="18">
        <f>Test!D46</f>
        <v>47.811</v>
      </c>
      <c r="O48" s="18">
        <f>Test!E46</f>
        <v>47.002000000000002</v>
      </c>
      <c r="P48" s="18">
        <f>Test!F46</f>
        <v>21730.498</v>
      </c>
      <c r="Q48" s="18">
        <f>Test!G46</f>
        <v>5.915</v>
      </c>
      <c r="R48" s="18">
        <f t="shared" ref="R48:R70" si="12">P48/3600</f>
        <v>6.0362494444444446</v>
      </c>
      <c r="S48" s="17">
        <f t="shared" ref="S48:S70" si="13">P48/H48</f>
        <v>1.0094333636419632</v>
      </c>
      <c r="T48" s="18">
        <f t="shared" ref="T48:T70" si="14">Q48/I48</f>
        <v>0.99211673934921174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7418.0928000000004</v>
      </c>
      <c r="E49" s="18">
        <f>Reference!C47</f>
        <v>40.051900000000003</v>
      </c>
      <c r="F49" s="18">
        <f>Reference!D47</f>
        <v>46.609200000000001</v>
      </c>
      <c r="G49" s="18">
        <f>Reference!E47</f>
        <v>45.324199999999998</v>
      </c>
      <c r="H49" s="18">
        <f>Reference!F47</f>
        <v>16256.047</v>
      </c>
      <c r="I49" s="18">
        <f>Reference!G47</f>
        <v>5.1550000000000002</v>
      </c>
      <c r="J49" s="19">
        <f t="shared" si="11"/>
        <v>4.5155686111111111</v>
      </c>
      <c r="L49" s="17">
        <f>Test!B47</f>
        <v>7418.0928000000004</v>
      </c>
      <c r="M49" s="18">
        <f>Test!C47</f>
        <v>40.051900000000003</v>
      </c>
      <c r="N49" s="18">
        <f>Test!D47</f>
        <v>46.609200000000001</v>
      </c>
      <c r="O49" s="18">
        <f>Test!E47</f>
        <v>45.324199999999998</v>
      </c>
      <c r="P49" s="18">
        <f>Test!F47</f>
        <v>16338.217000000001</v>
      </c>
      <c r="Q49" s="18">
        <f>Test!G47</f>
        <v>5.4160000000000004</v>
      </c>
      <c r="R49" s="18">
        <f t="shared" si="12"/>
        <v>4.5383936111111112</v>
      </c>
      <c r="S49" s="17">
        <f t="shared" si="13"/>
        <v>1.005054734401297</v>
      </c>
      <c r="T49" s="18">
        <f t="shared" si="14"/>
        <v>1.0506304558680892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4308.1408000000001</v>
      </c>
      <c r="E50" s="23">
        <f>Reference!C48</f>
        <v>36.828099999999999</v>
      </c>
      <c r="F50" s="23">
        <f>Reference!D48</f>
        <v>44.733899999999998</v>
      </c>
      <c r="G50" s="23">
        <f>Reference!E48</f>
        <v>43.087699999999998</v>
      </c>
      <c r="H50" s="23">
        <f>Reference!F48</f>
        <v>11339.263000000001</v>
      </c>
      <c r="I50" s="23">
        <f>Reference!G48</f>
        <v>4.367</v>
      </c>
      <c r="J50" s="24">
        <f t="shared" si="11"/>
        <v>3.1497952777777778</v>
      </c>
      <c r="L50" s="22">
        <f>Test!B48</f>
        <v>4308.1408000000001</v>
      </c>
      <c r="M50" s="23">
        <f>Test!C48</f>
        <v>36.828099999999999</v>
      </c>
      <c r="N50" s="23">
        <f>Test!D48</f>
        <v>44.733899999999998</v>
      </c>
      <c r="O50" s="23">
        <f>Test!E48</f>
        <v>43.087699999999998</v>
      </c>
      <c r="P50" s="23">
        <f>Test!F48</f>
        <v>11300.317999999999</v>
      </c>
      <c r="Q50" s="23">
        <f>Test!G48</f>
        <v>4.6879999999999997</v>
      </c>
      <c r="R50" s="23">
        <f t="shared" si="12"/>
        <v>3.1389772222222221</v>
      </c>
      <c r="S50" s="22">
        <f t="shared" si="13"/>
        <v>0.99656547343508994</v>
      </c>
      <c r="T50" s="23">
        <f t="shared" si="14"/>
        <v>1.0735058392489123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26.230642826741136</v>
      </c>
      <c r="J75" s="15">
        <f>GEOMEAN(J3:J18)</f>
        <v>24.256057820249964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9">AVERAGE(W3:W18)</f>
        <v>#VALUE!</v>
      </c>
      <c r="X75" s="42" t="e">
        <f t="shared" si="19"/>
        <v>#VALUE!</v>
      </c>
      <c r="Y75" s="37" t="e">
        <f>AVERAGE(Y3:Y18)</f>
        <v>#VALUE!</v>
      </c>
      <c r="Z75" s="42" t="e">
        <f t="shared" si="19"/>
        <v>#VALUE!</v>
      </c>
      <c r="AA75" s="43" t="e">
        <f t="shared" si="19"/>
        <v>#VALUE!</v>
      </c>
    </row>
    <row r="76" spans="1:27" x14ac:dyDescent="0.2">
      <c r="B76" s="89" t="s">
        <v>47</v>
      </c>
      <c r="I76" s="15">
        <f>GEOMEAN(I19:I34)</f>
        <v>13.18281970931084</v>
      </c>
      <c r="J76" s="15">
        <f>GEOMEAN(J19:J34)</f>
        <v>13.176751018453006</v>
      </c>
      <c r="Q76" s="15">
        <f>GEOMEAN(Q19:Q34)</f>
        <v>13.326793941670452</v>
      </c>
      <c r="R76" s="15">
        <f>GEOMEAN(R19:R34)</f>
        <v>13.166954773603811</v>
      </c>
      <c r="S76" s="15">
        <f>GEOMEAN(S19:S34)</f>
        <v>0.99925655081169273</v>
      </c>
      <c r="T76" s="15">
        <f>GEOMEAN(T19:T34)</f>
        <v>1.0109213533625074</v>
      </c>
      <c r="V76" s="40">
        <f>AVERAGE(V19:V34)</f>
        <v>0</v>
      </c>
      <c r="W76" s="44">
        <f t="shared" ref="W76:AA76" si="20">AVERAGE(W19:W34)</f>
        <v>0</v>
      </c>
      <c r="X76" s="44">
        <f t="shared" si="20"/>
        <v>0</v>
      </c>
      <c r="Y76" s="40">
        <f t="shared" si="20"/>
        <v>0</v>
      </c>
      <c r="Z76" s="44">
        <f t="shared" si="20"/>
        <v>0</v>
      </c>
      <c r="AA76" s="45">
        <f t="shared" si="20"/>
        <v>0</v>
      </c>
    </row>
    <row r="77" spans="1:27" x14ac:dyDescent="0.2">
      <c r="B77" s="89" t="s">
        <v>51</v>
      </c>
      <c r="I77" s="15">
        <f>GEOMEAN(I35:I50)</f>
        <v>6.2578481149814502</v>
      </c>
      <c r="J77" s="15">
        <f>GEOMEAN(J35:J50)</f>
        <v>6.1335790099465504</v>
      </c>
      <c r="Q77" s="15">
        <f>GEOMEAN(Q35:Q50)</f>
        <v>6.3992149486104717</v>
      </c>
      <c r="R77" s="15">
        <f>GEOMEAN(R35:R50)</f>
        <v>6.1680766843303845</v>
      </c>
      <c r="S77" s="15">
        <f>GEOMEAN(S35:S50)</f>
        <v>1.005624395532835</v>
      </c>
      <c r="T77" s="15">
        <f>GEOMEAN(T35:T50)</f>
        <v>1.0225903267435632</v>
      </c>
      <c r="V77" s="40">
        <f>AVERAGE(V35:V50)</f>
        <v>0</v>
      </c>
      <c r="W77" s="44">
        <f t="shared" ref="W77:AA77" si="21">AVERAGE(W35:W50)</f>
        <v>0</v>
      </c>
      <c r="X77" s="44">
        <f t="shared" si="21"/>
        <v>0</v>
      </c>
      <c r="Y77" s="40">
        <f t="shared" si="21"/>
        <v>0</v>
      </c>
      <c r="Z77" s="44">
        <f t="shared" si="21"/>
        <v>0</v>
      </c>
      <c r="AA77" s="45">
        <f t="shared" si="21"/>
        <v>0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12.934433774463052</v>
      </c>
      <c r="J80" s="54">
        <f xml:space="preserve"> GEOMEAN(J3:J50)</f>
        <v>12.515479917289673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 xml:space="preserve"> 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5">AVERAGE(W3:W50)</f>
        <v>#VALUE!</v>
      </c>
      <c r="X80" s="47" t="e">
        <f t="shared" si="25"/>
        <v>#VALUE!</v>
      </c>
      <c r="Y80" s="46" t="e">
        <f t="shared" si="25"/>
        <v>#VALUE!</v>
      </c>
      <c r="Z80" s="46" t="e">
        <f t="shared" si="25"/>
        <v>#VALUE!</v>
      </c>
      <c r="AA80" s="47" t="e">
        <f t="shared" si="25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19" zoomScale="85" zoomScaleNormal="85" workbookViewId="0">
      <selection activeCell="T45" sqref="S45:T45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0</v>
      </c>
      <c r="E3" s="13">
        <f>Reference!C73</f>
        <v>0</v>
      </c>
      <c r="F3" s="13">
        <f>Reference!D73</f>
        <v>0</v>
      </c>
      <c r="G3" s="13">
        <f>Reference!E73</f>
        <v>0</v>
      </c>
      <c r="H3" s="13">
        <f>Reference!F73</f>
        <v>0</v>
      </c>
      <c r="I3" s="13">
        <f>Reference!G73</f>
        <v>0</v>
      </c>
      <c r="J3" s="14">
        <f>H3/3600</f>
        <v>0</v>
      </c>
      <c r="L3" s="12">
        <f>Test!B73</f>
        <v>0</v>
      </c>
      <c r="M3" s="13">
        <f>Test!C73</f>
        <v>0</v>
      </c>
      <c r="N3" s="13">
        <f>Test!D73</f>
        <v>0</v>
      </c>
      <c r="O3" s="13">
        <f>Test!E73</f>
        <v>0</v>
      </c>
      <c r="P3" s="13">
        <f>Test!F73</f>
        <v>0</v>
      </c>
      <c r="Q3" s="13">
        <f>Test!G73</f>
        <v>0</v>
      </c>
      <c r="R3" s="14">
        <f>P3/3600</f>
        <v>0</v>
      </c>
      <c r="S3" s="12" t="e">
        <f>P3/H3</f>
        <v>#DIV/0!</v>
      </c>
      <c r="T3" s="13" t="e">
        <f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Reference!B74</f>
        <v>0</v>
      </c>
      <c r="E4" s="18">
        <f>Reference!C74</f>
        <v>0</v>
      </c>
      <c r="F4" s="18">
        <f>Reference!D74</f>
        <v>0</v>
      </c>
      <c r="G4" s="18">
        <f>Reference!E74</f>
        <v>0</v>
      </c>
      <c r="H4" s="18">
        <f>Reference!F74</f>
        <v>0</v>
      </c>
      <c r="I4" s="18">
        <f>Reference!G74</f>
        <v>0</v>
      </c>
      <c r="J4" s="19">
        <f t="shared" ref="J4:J14" si="0">H4/3600</f>
        <v>0</v>
      </c>
      <c r="L4" s="17">
        <f>Test!B74</f>
        <v>0</v>
      </c>
      <c r="M4" s="18">
        <f>Test!C74</f>
        <v>0</v>
      </c>
      <c r="N4" s="18">
        <f>Test!D74</f>
        <v>0</v>
      </c>
      <c r="O4" s="18">
        <f>Test!E74</f>
        <v>0</v>
      </c>
      <c r="P4" s="18">
        <f>Test!F74</f>
        <v>0</v>
      </c>
      <c r="Q4" s="18">
        <f>Test!G74</f>
        <v>0</v>
      </c>
      <c r="R4" s="19">
        <f t="shared" ref="R4:R14" si="1">P4/3600</f>
        <v>0</v>
      </c>
      <c r="S4" s="17" t="e">
        <f t="shared" ref="S4:T46" si="2">P4/H4</f>
        <v>#DIV/0!</v>
      </c>
      <c r="T4" s="18" t="e">
        <f t="shared" si="2"/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0</v>
      </c>
      <c r="E5" s="18">
        <f>Reference!C75</f>
        <v>0</v>
      </c>
      <c r="F5" s="18">
        <f>Reference!D75</f>
        <v>0</v>
      </c>
      <c r="G5" s="18">
        <f>Reference!E75</f>
        <v>0</v>
      </c>
      <c r="H5" s="18">
        <f>Reference!F75</f>
        <v>0</v>
      </c>
      <c r="I5" s="18">
        <f>Reference!G75</f>
        <v>0</v>
      </c>
      <c r="J5" s="19">
        <f t="shared" si="0"/>
        <v>0</v>
      </c>
      <c r="L5" s="17">
        <f>Test!B75</f>
        <v>0</v>
      </c>
      <c r="M5" s="18">
        <f>Test!C75</f>
        <v>0</v>
      </c>
      <c r="N5" s="18">
        <f>Test!D75</f>
        <v>0</v>
      </c>
      <c r="O5" s="18">
        <f>Test!E75</f>
        <v>0</v>
      </c>
      <c r="P5" s="18">
        <f>Test!F75</f>
        <v>0</v>
      </c>
      <c r="Q5" s="18">
        <f>Test!G75</f>
        <v>0</v>
      </c>
      <c r="R5" s="19">
        <f t="shared" si="1"/>
        <v>0</v>
      </c>
      <c r="S5" s="17" t="e">
        <f t="shared" si="2"/>
        <v>#DIV/0!</v>
      </c>
      <c r="T5" s="18" t="e">
        <f t="shared" si="2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1919.5</v>
      </c>
      <c r="E6" s="23">
        <f>Reference!C76</f>
        <v>37.279699999999998</v>
      </c>
      <c r="F6" s="23">
        <f>Reference!D76</f>
        <v>46.364100000000001</v>
      </c>
      <c r="G6" s="23">
        <f>Reference!E76</f>
        <v>43.2363</v>
      </c>
      <c r="H6" s="23">
        <f>Reference!F76</f>
        <v>50758.64</v>
      </c>
      <c r="I6" s="23">
        <f>Reference!G76</f>
        <v>41.960999999999999</v>
      </c>
      <c r="J6" s="24">
        <f t="shared" si="0"/>
        <v>14.099622222222223</v>
      </c>
      <c r="L6" s="22">
        <f>Test!B76</f>
        <v>1885.2239999999999</v>
      </c>
      <c r="M6" s="23">
        <f>Test!C76</f>
        <v>37.2575</v>
      </c>
      <c r="N6" s="23">
        <f>Test!D76</f>
        <v>46.316099999999999</v>
      </c>
      <c r="O6" s="23">
        <f>Test!E76</f>
        <v>43.160899999999998</v>
      </c>
      <c r="P6" s="23">
        <f>Test!F76</f>
        <v>50589.413999999997</v>
      </c>
      <c r="Q6" s="23">
        <f>Test!G76</f>
        <v>43.082000000000001</v>
      </c>
      <c r="R6" s="24">
        <f t="shared" si="1"/>
        <v>14.052614999999999</v>
      </c>
      <c r="S6" s="17">
        <f t="shared" si="2"/>
        <v>0.99666606512704037</v>
      </c>
      <c r="T6" s="18">
        <f t="shared" si="2"/>
        <v>1.0267152832391984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0</v>
      </c>
      <c r="E7" s="13">
        <f>Reference!C77</f>
        <v>0</v>
      </c>
      <c r="F7" s="13">
        <f>Reference!D77</f>
        <v>0</v>
      </c>
      <c r="G7" s="13">
        <f>Reference!E77</f>
        <v>0</v>
      </c>
      <c r="H7" s="13">
        <f>Reference!F77</f>
        <v>0</v>
      </c>
      <c r="I7" s="13">
        <f>Reference!G77</f>
        <v>0</v>
      </c>
      <c r="J7" s="14">
        <f t="shared" si="0"/>
        <v>0</v>
      </c>
      <c r="L7" s="12">
        <f>Test!B77</f>
        <v>0</v>
      </c>
      <c r="M7" s="13">
        <f>Test!C77</f>
        <v>0</v>
      </c>
      <c r="N7" s="13">
        <f>Test!D77</f>
        <v>0</v>
      </c>
      <c r="O7" s="13">
        <f>Test!E77</f>
        <v>0</v>
      </c>
      <c r="P7" s="13">
        <f>Test!F77</f>
        <v>0</v>
      </c>
      <c r="Q7" s="13">
        <f>Test!G77</f>
        <v>0</v>
      </c>
      <c r="R7" s="14">
        <f t="shared" si="1"/>
        <v>0</v>
      </c>
      <c r="S7" s="17" t="e">
        <f t="shared" si="2"/>
        <v>#DIV/0!</v>
      </c>
      <c r="T7" s="18" t="e">
        <f t="shared" si="2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Reference!B78</f>
        <v>0</v>
      </c>
      <c r="E8" s="18">
        <f>Reference!C78</f>
        <v>0</v>
      </c>
      <c r="F8" s="18">
        <f>Reference!D78</f>
        <v>0</v>
      </c>
      <c r="G8" s="18">
        <f>Reference!E78</f>
        <v>0</v>
      </c>
      <c r="H8" s="18">
        <f>Reference!F78</f>
        <v>0</v>
      </c>
      <c r="I8" s="18">
        <f>Reference!G78</f>
        <v>0</v>
      </c>
      <c r="J8" s="19">
        <f t="shared" si="0"/>
        <v>0</v>
      </c>
      <c r="L8" s="17">
        <f>Test!B78</f>
        <v>0</v>
      </c>
      <c r="M8" s="18">
        <f>Test!C78</f>
        <v>0</v>
      </c>
      <c r="N8" s="18">
        <f>Test!D78</f>
        <v>0</v>
      </c>
      <c r="O8" s="18">
        <f>Test!E78</f>
        <v>0</v>
      </c>
      <c r="P8" s="18">
        <f>Test!F78</f>
        <v>0</v>
      </c>
      <c r="Q8" s="18">
        <f>Test!G78</f>
        <v>0</v>
      </c>
      <c r="R8" s="19">
        <f t="shared" si="1"/>
        <v>0</v>
      </c>
      <c r="S8" s="17" t="e">
        <f t="shared" si="2"/>
        <v>#DIV/0!</v>
      </c>
      <c r="T8" s="18" t="e">
        <f t="shared" si="2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0</v>
      </c>
      <c r="E9" s="18">
        <f>Reference!C79</f>
        <v>0</v>
      </c>
      <c r="F9" s="18">
        <f>Reference!D79</f>
        <v>0</v>
      </c>
      <c r="G9" s="18">
        <f>Reference!E79</f>
        <v>0</v>
      </c>
      <c r="H9" s="18">
        <f>Reference!F79</f>
        <v>0</v>
      </c>
      <c r="I9" s="18">
        <f>Reference!G79</f>
        <v>0</v>
      </c>
      <c r="J9" s="19">
        <f t="shared" si="0"/>
        <v>0</v>
      </c>
      <c r="L9" s="17">
        <f>Test!B79</f>
        <v>0</v>
      </c>
      <c r="M9" s="18">
        <f>Test!C79</f>
        <v>0</v>
      </c>
      <c r="N9" s="18">
        <f>Test!D79</f>
        <v>0</v>
      </c>
      <c r="O9" s="18">
        <f>Test!E79</f>
        <v>0</v>
      </c>
      <c r="P9" s="18">
        <f>Test!F79</f>
        <v>0</v>
      </c>
      <c r="Q9" s="18">
        <f>Test!G79</f>
        <v>0</v>
      </c>
      <c r="R9" s="19">
        <f t="shared" si="1"/>
        <v>0</v>
      </c>
      <c r="S9" s="17" t="e">
        <f t="shared" si="2"/>
        <v>#DIV/0!</v>
      </c>
      <c r="T9" s="18" t="e">
        <f t="shared" si="2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0</v>
      </c>
      <c r="E10" s="23">
        <f>Reference!C80</f>
        <v>0</v>
      </c>
      <c r="F10" s="23">
        <f>Reference!D80</f>
        <v>0</v>
      </c>
      <c r="G10" s="23">
        <f>Reference!E80</f>
        <v>0</v>
      </c>
      <c r="H10" s="23">
        <f>Reference!F80</f>
        <v>0</v>
      </c>
      <c r="I10" s="23">
        <f>Reference!G80</f>
        <v>0</v>
      </c>
      <c r="J10" s="24">
        <f t="shared" si="0"/>
        <v>0</v>
      </c>
      <c r="L10" s="22">
        <f>Test!B80</f>
        <v>0</v>
      </c>
      <c r="M10" s="23">
        <f>Test!C80</f>
        <v>0</v>
      </c>
      <c r="N10" s="23">
        <f>Test!D80</f>
        <v>0</v>
      </c>
      <c r="O10" s="23">
        <f>Test!E80</f>
        <v>0</v>
      </c>
      <c r="P10" s="23">
        <f>Test!F80</f>
        <v>0</v>
      </c>
      <c r="Q10" s="23">
        <f>Test!G80</f>
        <v>0</v>
      </c>
      <c r="R10" s="24">
        <f t="shared" si="1"/>
        <v>0</v>
      </c>
      <c r="S10" s="17" t="e">
        <f t="shared" si="2"/>
        <v>#DIV/0!</v>
      </c>
      <c r="T10" s="18" t="e">
        <f t="shared" si="2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0</v>
      </c>
      <c r="E11" s="13">
        <f>Reference!C81</f>
        <v>0</v>
      </c>
      <c r="F11" s="13">
        <f>Reference!D81</f>
        <v>0</v>
      </c>
      <c r="G11" s="13">
        <f>Reference!E81</f>
        <v>0</v>
      </c>
      <c r="H11" s="13">
        <f>Reference!F81</f>
        <v>0</v>
      </c>
      <c r="I11" s="13">
        <f>Reference!G81</f>
        <v>0</v>
      </c>
      <c r="J11" s="14">
        <f t="shared" si="0"/>
        <v>0</v>
      </c>
      <c r="L11" s="12">
        <f>Test!B81</f>
        <v>0</v>
      </c>
      <c r="M11" s="13">
        <f>Test!C81</f>
        <v>0</v>
      </c>
      <c r="N11" s="13">
        <f>Test!D81</f>
        <v>0</v>
      </c>
      <c r="O11" s="13">
        <f>Test!E81</f>
        <v>0</v>
      </c>
      <c r="P11" s="13">
        <f>Test!F81</f>
        <v>0</v>
      </c>
      <c r="Q11" s="13">
        <f>Test!G81</f>
        <v>0</v>
      </c>
      <c r="R11" s="14">
        <f t="shared" si="1"/>
        <v>0</v>
      </c>
      <c r="S11" s="17" t="e">
        <f t="shared" si="2"/>
        <v>#DIV/0!</v>
      </c>
      <c r="T11" s="18" t="e">
        <f t="shared" si="2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Reference!B82</f>
        <v>0</v>
      </c>
      <c r="E12" s="18">
        <f>Reference!C82</f>
        <v>0</v>
      </c>
      <c r="F12" s="18">
        <f>Reference!D82</f>
        <v>0</v>
      </c>
      <c r="G12" s="18">
        <f>Reference!E82</f>
        <v>0</v>
      </c>
      <c r="H12" s="18">
        <f>Reference!F82</f>
        <v>0</v>
      </c>
      <c r="I12" s="18">
        <f>Reference!G82</f>
        <v>0</v>
      </c>
      <c r="J12" s="19">
        <f t="shared" si="0"/>
        <v>0</v>
      </c>
      <c r="L12" s="17">
        <f>Test!B82</f>
        <v>0</v>
      </c>
      <c r="M12" s="18">
        <f>Test!C82</f>
        <v>0</v>
      </c>
      <c r="N12" s="18">
        <f>Test!D82</f>
        <v>0</v>
      </c>
      <c r="O12" s="18">
        <f>Test!E82</f>
        <v>0</v>
      </c>
      <c r="P12" s="18">
        <f>Test!F82</f>
        <v>0</v>
      </c>
      <c r="Q12" s="18">
        <f>Test!G82</f>
        <v>0</v>
      </c>
      <c r="R12" s="19">
        <f t="shared" si="1"/>
        <v>0</v>
      </c>
      <c r="S12" s="17" t="e">
        <f t="shared" si="2"/>
        <v>#DIV/0!</v>
      </c>
      <c r="T12" s="18" t="e">
        <f t="shared" si="2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0</v>
      </c>
      <c r="E13" s="18">
        <f>Reference!C83</f>
        <v>0</v>
      </c>
      <c r="F13" s="18">
        <f>Reference!D83</f>
        <v>0</v>
      </c>
      <c r="G13" s="18">
        <f>Reference!E83</f>
        <v>0</v>
      </c>
      <c r="H13" s="18">
        <f>Reference!F83</f>
        <v>0</v>
      </c>
      <c r="I13" s="18">
        <f>Reference!G83</f>
        <v>0</v>
      </c>
      <c r="J13" s="19">
        <f t="shared" si="0"/>
        <v>0</v>
      </c>
      <c r="L13" s="17">
        <f>Test!B83</f>
        <v>0</v>
      </c>
      <c r="M13" s="18">
        <f>Test!C83</f>
        <v>0</v>
      </c>
      <c r="N13" s="18">
        <f>Test!D83</f>
        <v>0</v>
      </c>
      <c r="O13" s="18">
        <f>Test!E83</f>
        <v>0</v>
      </c>
      <c r="P13" s="18">
        <f>Test!F83</f>
        <v>0</v>
      </c>
      <c r="Q13" s="18">
        <f>Test!G83</f>
        <v>0</v>
      </c>
      <c r="R13" s="19">
        <f t="shared" si="1"/>
        <v>0</v>
      </c>
      <c r="S13" s="17" t="e">
        <f t="shared" si="2"/>
        <v>#DIV/0!</v>
      </c>
      <c r="T13" s="18" t="e">
        <f t="shared" si="2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4654.0039999999999</v>
      </c>
      <c r="E14" s="23">
        <f>Reference!C84</f>
        <v>34.0486</v>
      </c>
      <c r="F14" s="23">
        <f>Reference!D84</f>
        <v>33.847700000000003</v>
      </c>
      <c r="G14" s="23">
        <f>Reference!E84</f>
        <v>37.530200000000001</v>
      </c>
      <c r="H14" s="23">
        <f>Reference!F84</f>
        <v>84014.115000000005</v>
      </c>
      <c r="I14" s="23">
        <f>Reference!G84</f>
        <v>24.684999999999999</v>
      </c>
      <c r="J14" s="24">
        <f t="shared" si="0"/>
        <v>23.337254166666668</v>
      </c>
      <c r="L14" s="22">
        <f>Test!B84</f>
        <v>4517.5200000000004</v>
      </c>
      <c r="M14" s="23">
        <f>Test!C84</f>
        <v>33.979300000000002</v>
      </c>
      <c r="N14" s="23">
        <f>Test!D84</f>
        <v>33.799900000000001</v>
      </c>
      <c r="O14" s="23">
        <f>Test!E84</f>
        <v>37.477899999999998</v>
      </c>
      <c r="P14" s="23">
        <f>Test!F84</f>
        <v>82901.035999999993</v>
      </c>
      <c r="Q14" s="23">
        <f>Test!G84</f>
        <v>23.82</v>
      </c>
      <c r="R14" s="24">
        <f t="shared" si="1"/>
        <v>23.028065555555553</v>
      </c>
      <c r="S14" s="17">
        <f t="shared" si="2"/>
        <v>0.98675128578096649</v>
      </c>
      <c r="T14" s="18">
        <f t="shared" si="2"/>
        <v>0.96495847680777802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0</v>
      </c>
      <c r="E15" s="13">
        <f>Reference!C85</f>
        <v>0</v>
      </c>
      <c r="F15" s="13">
        <f>Reference!D85</f>
        <v>0</v>
      </c>
      <c r="G15" s="13">
        <f>Reference!E85</f>
        <v>0</v>
      </c>
      <c r="H15" s="13">
        <f>Reference!F85</f>
        <v>0</v>
      </c>
      <c r="I15" s="13">
        <f>Reference!G85</f>
        <v>0</v>
      </c>
      <c r="J15" s="14">
        <f>H15/3600</f>
        <v>0</v>
      </c>
      <c r="L15" s="12">
        <f>Test!B85</f>
        <v>0</v>
      </c>
      <c r="M15" s="13">
        <f>Test!C85</f>
        <v>0</v>
      </c>
      <c r="N15" s="13">
        <f>Test!D85</f>
        <v>0</v>
      </c>
      <c r="O15" s="13">
        <f>Test!E85</f>
        <v>0</v>
      </c>
      <c r="P15" s="13">
        <f>Test!F85</f>
        <v>0</v>
      </c>
      <c r="Q15" s="13">
        <f>Test!G85</f>
        <v>0</v>
      </c>
      <c r="R15" s="14">
        <f>P15/3600</f>
        <v>0</v>
      </c>
      <c r="S15" s="17" t="e">
        <f>P15/H15</f>
        <v>#DIV/0!</v>
      </c>
      <c r="T15" s="18" t="e">
        <f>Q15/I15</f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Reference!B86</f>
        <v>0</v>
      </c>
      <c r="E16" s="18">
        <f>Reference!C86</f>
        <v>0</v>
      </c>
      <c r="F16" s="18">
        <f>Reference!D86</f>
        <v>0</v>
      </c>
      <c r="G16" s="18">
        <f>Reference!E86</f>
        <v>0</v>
      </c>
      <c r="H16" s="18">
        <f>Reference!F86</f>
        <v>0</v>
      </c>
      <c r="I16" s="18">
        <f>Reference!G86</f>
        <v>0</v>
      </c>
      <c r="J16" s="19">
        <f t="shared" ref="J16:J26" si="3">H16/3600</f>
        <v>0</v>
      </c>
      <c r="L16" s="17">
        <f>Test!B86</f>
        <v>0</v>
      </c>
      <c r="M16" s="18">
        <f>Test!C86</f>
        <v>0</v>
      </c>
      <c r="N16" s="18">
        <f>Test!D86</f>
        <v>0</v>
      </c>
      <c r="O16" s="18">
        <f>Test!E86</f>
        <v>0</v>
      </c>
      <c r="P16" s="18">
        <f>Test!F86</f>
        <v>0</v>
      </c>
      <c r="Q16" s="18">
        <f>Test!G86</f>
        <v>0</v>
      </c>
      <c r="R16" s="19">
        <f t="shared" ref="R16:R26" si="4">P16/3600</f>
        <v>0</v>
      </c>
      <c r="S16" s="17" t="e">
        <f t="shared" ref="S16:S26" si="5">P16/H16</f>
        <v>#DIV/0!</v>
      </c>
      <c r="T16" s="18" t="e">
        <f t="shared" ref="T16:T26" si="6">Q16/I16</f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0</v>
      </c>
      <c r="E17" s="18">
        <f>Reference!C87</f>
        <v>0</v>
      </c>
      <c r="F17" s="18">
        <f>Reference!D87</f>
        <v>0</v>
      </c>
      <c r="G17" s="18">
        <f>Reference!E87</f>
        <v>0</v>
      </c>
      <c r="H17" s="18">
        <f>Reference!F87</f>
        <v>0</v>
      </c>
      <c r="I17" s="18">
        <f>Reference!G87</f>
        <v>0</v>
      </c>
      <c r="J17" s="19">
        <f t="shared" si="3"/>
        <v>0</v>
      </c>
      <c r="L17" s="17">
        <f>Test!B87</f>
        <v>0</v>
      </c>
      <c r="M17" s="18">
        <f>Test!C87</f>
        <v>0</v>
      </c>
      <c r="N17" s="18">
        <f>Test!D87</f>
        <v>0</v>
      </c>
      <c r="O17" s="18">
        <f>Test!E87</f>
        <v>0</v>
      </c>
      <c r="P17" s="18">
        <f>Test!F87</f>
        <v>0</v>
      </c>
      <c r="Q17" s="18">
        <f>Test!G87</f>
        <v>0</v>
      </c>
      <c r="R17" s="19">
        <f t="shared" si="4"/>
        <v>0</v>
      </c>
      <c r="S17" s="17" t="e">
        <f t="shared" si="5"/>
        <v>#DIV/0!</v>
      </c>
      <c r="T17" s="18" t="e">
        <f t="shared" si="6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2192.58</v>
      </c>
      <c r="E18" s="23">
        <f>Reference!C88</f>
        <v>34.855400000000003</v>
      </c>
      <c r="F18" s="23">
        <f>Reference!D88</f>
        <v>42.808900000000001</v>
      </c>
      <c r="G18" s="23">
        <f>Reference!E88</f>
        <v>40.509300000000003</v>
      </c>
      <c r="H18" s="23">
        <f>Reference!F88</f>
        <v>69806.778000000006</v>
      </c>
      <c r="I18" s="23">
        <f>Reference!G88</f>
        <v>37.140999999999998</v>
      </c>
      <c r="J18" s="24">
        <f t="shared" si="3"/>
        <v>19.390771666666669</v>
      </c>
      <c r="L18" s="22">
        <f>Test!B88</f>
        <v>2119.14</v>
      </c>
      <c r="M18" s="23">
        <f>Test!C88</f>
        <v>34.822899999999997</v>
      </c>
      <c r="N18" s="23">
        <f>Test!D88</f>
        <v>42.731200000000001</v>
      </c>
      <c r="O18" s="23">
        <f>Test!E88</f>
        <v>40.457799999999999</v>
      </c>
      <c r="P18" s="23">
        <f>Test!F88</f>
        <v>66542.724000000002</v>
      </c>
      <c r="Q18" s="23">
        <f>Test!G88</f>
        <v>37.162999999999997</v>
      </c>
      <c r="R18" s="24">
        <f t="shared" si="4"/>
        <v>18.484090000000002</v>
      </c>
      <c r="S18" s="17">
        <f t="shared" si="5"/>
        <v>0.95324158923364144</v>
      </c>
      <c r="T18" s="18">
        <f t="shared" si="6"/>
        <v>1.0005923373091732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0</v>
      </c>
      <c r="E19" s="13">
        <f>Reference!C89</f>
        <v>0</v>
      </c>
      <c r="F19" s="13">
        <f>Reference!D89</f>
        <v>0</v>
      </c>
      <c r="G19" s="13">
        <f>Reference!E89</f>
        <v>0</v>
      </c>
      <c r="H19" s="13">
        <f>Reference!F89</f>
        <v>0</v>
      </c>
      <c r="I19" s="13">
        <f>Reference!G89</f>
        <v>0</v>
      </c>
      <c r="J19" s="14">
        <f t="shared" si="3"/>
        <v>0</v>
      </c>
      <c r="L19" s="12">
        <f>Test!B89</f>
        <v>0</v>
      </c>
      <c r="M19" s="13">
        <f>Test!C89</f>
        <v>0</v>
      </c>
      <c r="N19" s="13">
        <f>Test!D89</f>
        <v>0</v>
      </c>
      <c r="O19" s="13">
        <f>Test!E89</f>
        <v>0</v>
      </c>
      <c r="P19" s="13">
        <f>Test!F89</f>
        <v>0</v>
      </c>
      <c r="Q19" s="13">
        <f>Test!G89</f>
        <v>0</v>
      </c>
      <c r="R19" s="14">
        <f t="shared" si="4"/>
        <v>0</v>
      </c>
      <c r="S19" s="12" t="e">
        <f t="shared" si="5"/>
        <v>#DIV/0!</v>
      </c>
      <c r="T19" s="13" t="e">
        <f t="shared" si="6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2" t="e">
        <f>bdrate($D19:$D22,G19:G22,$L19:$L22,O19:O22)</f>
        <v>#VALUE!</v>
      </c>
      <c r="Y19" s="40" t="e">
        <f>bdrateOld($D19:$D22,E19:E22,$L19:$L22,M19:M22)</f>
        <v>#VALUE!</v>
      </c>
      <c r="Z19" s="44" t="e">
        <f>bdrateOld($D19:$D22,F19:F22,$L19:$L22,N19:N22)</f>
        <v>#VALUE!</v>
      </c>
      <c r="AA19" s="45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4345.0200000000004</v>
      </c>
      <c r="E20" s="18">
        <f>Reference!C90</f>
        <v>36.988900000000001</v>
      </c>
      <c r="F20" s="18">
        <f>Reference!D90</f>
        <v>39.3964</v>
      </c>
      <c r="G20" s="18">
        <f>Reference!E90</f>
        <v>42.355499999999999</v>
      </c>
      <c r="H20" s="18">
        <f>Reference!F90</f>
        <v>78209.770999999993</v>
      </c>
      <c r="I20" s="18">
        <f>Reference!G90</f>
        <v>10.944000000000001</v>
      </c>
      <c r="J20" s="19">
        <f t="shared" si="3"/>
        <v>21.724936388888889</v>
      </c>
      <c r="L20" s="17">
        <f>Test!B90</f>
        <v>3829.904</v>
      </c>
      <c r="M20" s="18">
        <f>Test!C90</f>
        <v>36.948799999999999</v>
      </c>
      <c r="N20" s="18">
        <f>Test!D90</f>
        <v>39.428199999999997</v>
      </c>
      <c r="O20" s="18">
        <f>Test!E90</f>
        <v>42.309600000000003</v>
      </c>
      <c r="P20" s="18">
        <f>Test!F90</f>
        <v>72136.100999999995</v>
      </c>
      <c r="Q20" s="18">
        <f>Test!G90</f>
        <v>10.529</v>
      </c>
      <c r="R20" s="19">
        <f t="shared" si="4"/>
        <v>20.037805833333334</v>
      </c>
      <c r="S20" s="17">
        <f t="shared" si="5"/>
        <v>0.92234128904430623</v>
      </c>
      <c r="T20" s="18">
        <f t="shared" si="6"/>
        <v>0.96207967836257302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2151.348</v>
      </c>
      <c r="E21" s="18">
        <f>Reference!C91</f>
        <v>35.426900000000003</v>
      </c>
      <c r="F21" s="18">
        <f>Reference!D91</f>
        <v>38.792200000000001</v>
      </c>
      <c r="G21" s="18">
        <f>Reference!E91</f>
        <v>41.058</v>
      </c>
      <c r="H21" s="18">
        <f>Reference!F91</f>
        <v>43473.514000000003</v>
      </c>
      <c r="I21" s="18">
        <f>Reference!G91</f>
        <v>9.0299999999999994</v>
      </c>
      <c r="J21" s="19">
        <f t="shared" si="3"/>
        <v>12.075976111111112</v>
      </c>
      <c r="L21" s="17">
        <f>Test!B91</f>
        <v>2030.2159999999999</v>
      </c>
      <c r="M21" s="18">
        <f>Test!C91</f>
        <v>35.392899999999997</v>
      </c>
      <c r="N21" s="18">
        <f>Test!D91</f>
        <v>38.784100000000002</v>
      </c>
      <c r="O21" s="18">
        <f>Test!E91</f>
        <v>40.989600000000003</v>
      </c>
      <c r="P21" s="18">
        <f>Test!F91</f>
        <v>42055.038999999997</v>
      </c>
      <c r="Q21" s="18">
        <f>Test!G91</f>
        <v>8.8960000000000008</v>
      </c>
      <c r="R21" s="19">
        <f t="shared" si="4"/>
        <v>11.681955277777776</v>
      </c>
      <c r="S21" s="17">
        <f t="shared" si="5"/>
        <v>0.96737151268701205</v>
      </c>
      <c r="T21" s="18">
        <f t="shared" si="6"/>
        <v>0.98516057585825045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1003.94</v>
      </c>
      <c r="E22" s="23">
        <f>Reference!C92</f>
        <v>33.205500000000001</v>
      </c>
      <c r="F22" s="23">
        <f>Reference!D92</f>
        <v>37.767499999999998</v>
      </c>
      <c r="G22" s="23">
        <f>Reference!E92</f>
        <v>39.255200000000002</v>
      </c>
      <c r="H22" s="23">
        <f>Reference!F92</f>
        <v>23120.252</v>
      </c>
      <c r="I22" s="23">
        <f>Reference!G92</f>
        <v>8.0459999999999994</v>
      </c>
      <c r="J22" s="24">
        <f t="shared" si="3"/>
        <v>6.4222922222222225</v>
      </c>
      <c r="L22" s="22">
        <f>Test!B92</f>
        <v>969.92399999999998</v>
      </c>
      <c r="M22" s="23">
        <f>Test!C92</f>
        <v>33.176400000000001</v>
      </c>
      <c r="N22" s="23">
        <f>Test!D92</f>
        <v>37.729900000000001</v>
      </c>
      <c r="O22" s="23">
        <f>Test!E92</f>
        <v>39.207900000000002</v>
      </c>
      <c r="P22" s="23">
        <f>Test!F92</f>
        <v>22329.273000000001</v>
      </c>
      <c r="Q22" s="23">
        <f>Test!G92</f>
        <v>7.9630000000000001</v>
      </c>
      <c r="R22" s="24">
        <f t="shared" si="4"/>
        <v>6.2025758333333334</v>
      </c>
      <c r="S22" s="17">
        <f t="shared" si="5"/>
        <v>0.96578847843007942</v>
      </c>
      <c r="T22" s="18">
        <f t="shared" si="6"/>
        <v>0.98968431518767097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0</v>
      </c>
      <c r="E23" s="13">
        <f>Reference!C93</f>
        <v>0</v>
      </c>
      <c r="F23" s="13">
        <f>Reference!D93</f>
        <v>0</v>
      </c>
      <c r="G23" s="13">
        <f>Reference!E93</f>
        <v>0</v>
      </c>
      <c r="H23" s="13">
        <f>Reference!F93</f>
        <v>0</v>
      </c>
      <c r="I23" s="13">
        <f>Reference!G93</f>
        <v>0</v>
      </c>
      <c r="J23" s="14">
        <f t="shared" si="3"/>
        <v>0</v>
      </c>
      <c r="L23" s="12">
        <f>Test!B93</f>
        <v>0</v>
      </c>
      <c r="M23" s="13">
        <f>Test!C93</f>
        <v>0</v>
      </c>
      <c r="N23" s="13">
        <f>Test!D93</f>
        <v>0</v>
      </c>
      <c r="O23" s="13">
        <f>Test!E93</f>
        <v>0</v>
      </c>
      <c r="P23" s="13">
        <f>Test!F93</f>
        <v>0</v>
      </c>
      <c r="Q23" s="13">
        <f>Test!G93</f>
        <v>0</v>
      </c>
      <c r="R23" s="14">
        <f t="shared" si="4"/>
        <v>0</v>
      </c>
      <c r="S23" s="17" t="e">
        <f t="shared" si="5"/>
        <v>#DIV/0!</v>
      </c>
      <c r="T23" s="18" t="e">
        <f t="shared" si="6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2" t="e">
        <f>bdrate($D23:$D26,G23:G26,$L23:$L26,O23:O26)</f>
        <v>#VALUE!</v>
      </c>
      <c r="Y23" s="40" t="e">
        <f>bdrateOld($D23:$D26,E23:E26,$L23:$L26,M23:M26)</f>
        <v>#VALUE!</v>
      </c>
      <c r="Z23" s="44" t="e">
        <f>bdrateOld($D23:$D26,F23:F26,$L23:$L26,N23:N26)</f>
        <v>#VALUE!</v>
      </c>
      <c r="AA23" s="45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Reference!B94</f>
        <v>4332.9480000000003</v>
      </c>
      <c r="E24" s="18">
        <f>Reference!C94</f>
        <v>37.9634</v>
      </c>
      <c r="F24" s="18">
        <f>Reference!D94</f>
        <v>43.261000000000003</v>
      </c>
      <c r="G24" s="18">
        <f>Reference!E94</f>
        <v>43.838099999999997</v>
      </c>
      <c r="H24" s="18">
        <f>Reference!F94</f>
        <v>83834.203999999998</v>
      </c>
      <c r="I24" s="18">
        <f>Reference!G94</f>
        <v>11.853</v>
      </c>
      <c r="J24" s="19">
        <f t="shared" si="3"/>
        <v>23.287278888888888</v>
      </c>
      <c r="L24" s="17">
        <f>Test!B94</f>
        <v>3945.348</v>
      </c>
      <c r="M24" s="18">
        <f>Test!C94</f>
        <v>37.8596</v>
      </c>
      <c r="N24" s="18">
        <f>Test!D94</f>
        <v>43.195099999999996</v>
      </c>
      <c r="O24" s="18">
        <f>Test!E94</f>
        <v>43.748399999999997</v>
      </c>
      <c r="P24" s="18">
        <f>Test!F94</f>
        <v>79274.432000000001</v>
      </c>
      <c r="Q24" s="18">
        <f>Test!G94</f>
        <v>11.808999999999999</v>
      </c>
      <c r="R24" s="19">
        <f t="shared" si="4"/>
        <v>22.020675555555556</v>
      </c>
      <c r="S24" s="17">
        <f t="shared" si="5"/>
        <v>0.94560964639206213</v>
      </c>
      <c r="T24" s="18">
        <f t="shared" si="6"/>
        <v>0.99628785961359989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2183.3040000000001</v>
      </c>
      <c r="E25" s="18">
        <f>Reference!C95</f>
        <v>36.461500000000001</v>
      </c>
      <c r="F25" s="18">
        <f>Reference!D95</f>
        <v>42.2346</v>
      </c>
      <c r="G25" s="18">
        <f>Reference!E95</f>
        <v>42.225900000000003</v>
      </c>
      <c r="H25" s="18">
        <f>Reference!F95</f>
        <v>45786.756000000001</v>
      </c>
      <c r="I25" s="18">
        <f>Reference!G95</f>
        <v>10.054</v>
      </c>
      <c r="J25" s="19">
        <f t="shared" si="3"/>
        <v>12.718543333333333</v>
      </c>
      <c r="L25" s="17">
        <f>Test!B95</f>
        <v>2081.96</v>
      </c>
      <c r="M25" s="18">
        <f>Test!C95</f>
        <v>36.371099999999998</v>
      </c>
      <c r="N25" s="18">
        <f>Test!D95</f>
        <v>42.152200000000001</v>
      </c>
      <c r="O25" s="18">
        <f>Test!E95</f>
        <v>42.125900000000001</v>
      </c>
      <c r="P25" s="18">
        <f>Test!F95</f>
        <v>44234.224000000002</v>
      </c>
      <c r="Q25" s="18">
        <f>Test!G95</f>
        <v>10.035</v>
      </c>
      <c r="R25" s="19">
        <f t="shared" si="4"/>
        <v>12.287284444444445</v>
      </c>
      <c r="S25" s="17">
        <f t="shared" si="5"/>
        <v>0.96609211624426938</v>
      </c>
      <c r="T25" s="18">
        <f t="shared" si="6"/>
        <v>0.99811020489357472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1060.18</v>
      </c>
      <c r="E26" s="23">
        <f>Reference!C96</f>
        <v>34.369700000000002</v>
      </c>
      <c r="F26" s="23">
        <f>Reference!D96</f>
        <v>40.840899999999998</v>
      </c>
      <c r="G26" s="23">
        <f>Reference!E96</f>
        <v>40.325800000000001</v>
      </c>
      <c r="H26" s="23">
        <f>Reference!F96</f>
        <v>24378.888999999999</v>
      </c>
      <c r="I26" s="23">
        <f>Reference!G96</f>
        <v>8.64</v>
      </c>
      <c r="J26" s="24">
        <f t="shared" si="3"/>
        <v>6.7719136111111107</v>
      </c>
      <c r="L26" s="22">
        <f>Test!B96</f>
        <v>1025.7919999999999</v>
      </c>
      <c r="M26" s="23">
        <f>Test!C96</f>
        <v>34.315199999999997</v>
      </c>
      <c r="N26" s="23">
        <f>Test!D96</f>
        <v>40.758299999999998</v>
      </c>
      <c r="O26" s="23">
        <f>Test!E96</f>
        <v>40.241599999999998</v>
      </c>
      <c r="P26" s="23">
        <f>Test!F96</f>
        <v>23715.089</v>
      </c>
      <c r="Q26" s="23">
        <f>Test!G96</f>
        <v>8.5250000000000004</v>
      </c>
      <c r="R26" s="24">
        <f t="shared" si="4"/>
        <v>6.5875247222222226</v>
      </c>
      <c r="S26" s="17">
        <f t="shared" si="5"/>
        <v>0.97277152375565601</v>
      </c>
      <c r="T26" s="18">
        <f t="shared" si="6"/>
        <v>0.98668981481481477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0</v>
      </c>
      <c r="E27" s="13">
        <f>Reference!C97</f>
        <v>0</v>
      </c>
      <c r="F27" s="13">
        <f>Reference!D97</f>
        <v>0</v>
      </c>
      <c r="G27" s="13">
        <f>Reference!E97</f>
        <v>0</v>
      </c>
      <c r="H27" s="13">
        <f>Reference!F97</f>
        <v>0</v>
      </c>
      <c r="I27" s="13">
        <f>Reference!G97</f>
        <v>0</v>
      </c>
      <c r="J27" s="14">
        <f>H27/3600</f>
        <v>0</v>
      </c>
      <c r="L27" s="12">
        <f>Test!B97</f>
        <v>0</v>
      </c>
      <c r="M27" s="13">
        <f>Test!C97</f>
        <v>0</v>
      </c>
      <c r="N27" s="13">
        <f>Test!D97</f>
        <v>0</v>
      </c>
      <c r="O27" s="13">
        <f>Test!E97</f>
        <v>0</v>
      </c>
      <c r="P27" s="13">
        <f>Test!F97</f>
        <v>0</v>
      </c>
      <c r="Q27" s="13">
        <f>Test!G97</f>
        <v>0</v>
      </c>
      <c r="R27" s="14">
        <f>P27/3600</f>
        <v>0</v>
      </c>
      <c r="S27" s="17" t="e">
        <f t="shared" si="2"/>
        <v>#DIV/0!</v>
      </c>
      <c r="T27" s="18" t="e">
        <f t="shared" si="2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Reference!B98</f>
        <v>3344.1</v>
      </c>
      <c r="E28" s="18">
        <f>Reference!C98</f>
        <v>38.682000000000002</v>
      </c>
      <c r="F28" s="18">
        <f>Reference!D98</f>
        <v>43.312399999999997</v>
      </c>
      <c r="G28" s="18">
        <f>Reference!E98</f>
        <v>44.494999999999997</v>
      </c>
      <c r="H28" s="18">
        <f>Reference!F98</f>
        <v>72363.538</v>
      </c>
      <c r="I28" s="18">
        <f>Reference!G98</f>
        <v>12.004</v>
      </c>
      <c r="J28" s="19">
        <f t="shared" ref="J28:J46" si="7">H28/3600</f>
        <v>20.100982777777777</v>
      </c>
      <c r="L28" s="17">
        <f>Test!B98</f>
        <v>2902.4679999999998</v>
      </c>
      <c r="M28" s="18">
        <f>Test!C98</f>
        <v>38.652900000000002</v>
      </c>
      <c r="N28" s="18">
        <f>Test!D98</f>
        <v>43.3217</v>
      </c>
      <c r="O28" s="18">
        <f>Test!E98</f>
        <v>44.487000000000002</v>
      </c>
      <c r="P28" s="18">
        <f>Test!F98</f>
        <v>66285.941999999995</v>
      </c>
      <c r="Q28" s="18">
        <f>Test!G98</f>
        <v>11.672000000000001</v>
      </c>
      <c r="R28" s="19">
        <f t="shared" ref="R28:R46" si="8">P28/3600</f>
        <v>18.412761666666665</v>
      </c>
      <c r="S28" s="17">
        <f t="shared" si="2"/>
        <v>0.91601300643979011</v>
      </c>
      <c r="T28" s="18">
        <f t="shared" si="2"/>
        <v>0.9723425524825059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1575.672</v>
      </c>
      <c r="E29" s="18">
        <f>Reference!C99</f>
        <v>37.024999999999999</v>
      </c>
      <c r="F29" s="18">
        <f>Reference!D99</f>
        <v>42.407200000000003</v>
      </c>
      <c r="G29" s="18">
        <f>Reference!E99</f>
        <v>43.598999999999997</v>
      </c>
      <c r="H29" s="18">
        <f>Reference!F99</f>
        <v>37445.637999999999</v>
      </c>
      <c r="I29" s="18">
        <f>Reference!G99</f>
        <v>10.438000000000001</v>
      </c>
      <c r="J29" s="19">
        <f t="shared" si="7"/>
        <v>10.40156611111111</v>
      </c>
      <c r="L29" s="17">
        <f>Test!B99</f>
        <v>1468.14</v>
      </c>
      <c r="M29" s="18">
        <f>Test!C99</f>
        <v>36.997700000000002</v>
      </c>
      <c r="N29" s="18">
        <f>Test!D99</f>
        <v>42.3919</v>
      </c>
      <c r="O29" s="18">
        <f>Test!E99</f>
        <v>43.587400000000002</v>
      </c>
      <c r="P29" s="18">
        <f>Test!F99</f>
        <v>35798.267</v>
      </c>
      <c r="Q29" s="18">
        <f>Test!G99</f>
        <v>10.265000000000001</v>
      </c>
      <c r="R29" s="19">
        <f t="shared" si="8"/>
        <v>9.9439630555555549</v>
      </c>
      <c r="S29" s="17">
        <f t="shared" si="2"/>
        <v>0.95600633109789723</v>
      </c>
      <c r="T29" s="18">
        <f t="shared" si="2"/>
        <v>0.98342594366736924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705.38800000000003</v>
      </c>
      <c r="E30" s="23">
        <f>Reference!C100</f>
        <v>34.779200000000003</v>
      </c>
      <c r="F30" s="23">
        <f>Reference!D100</f>
        <v>41.103499999999997</v>
      </c>
      <c r="G30" s="23">
        <f>Reference!E100</f>
        <v>42.264899999999997</v>
      </c>
      <c r="H30" s="23">
        <f>Reference!F100</f>
        <v>18593.333999999999</v>
      </c>
      <c r="I30" s="23">
        <f>Reference!G100</f>
        <v>9.1140000000000008</v>
      </c>
      <c r="J30" s="24">
        <f t="shared" si="7"/>
        <v>5.1648149999999999</v>
      </c>
      <c r="L30" s="22">
        <f>Test!B100</f>
        <v>677.07600000000002</v>
      </c>
      <c r="M30" s="23">
        <f>Test!C100</f>
        <v>34.760100000000001</v>
      </c>
      <c r="N30" s="23">
        <f>Test!D100</f>
        <v>41.117199999999997</v>
      </c>
      <c r="O30" s="23">
        <f>Test!E100</f>
        <v>42.236600000000003</v>
      </c>
      <c r="P30" s="23">
        <f>Test!F100</f>
        <v>18280.042000000001</v>
      </c>
      <c r="Q30" s="23">
        <f>Test!G100</f>
        <v>9.2590000000000003</v>
      </c>
      <c r="R30" s="24">
        <f t="shared" si="8"/>
        <v>5.0777894444444449</v>
      </c>
      <c r="S30" s="17">
        <f t="shared" si="2"/>
        <v>0.98315030537288273</v>
      </c>
      <c r="T30" s="18">
        <f t="shared" si="2"/>
        <v>1.0159095896423085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5738.72</v>
      </c>
      <c r="E31" s="13">
        <f>Reference!C101</f>
        <v>45.065300000000001</v>
      </c>
      <c r="F31" s="13">
        <f>Reference!D101</f>
        <v>47.918100000000003</v>
      </c>
      <c r="G31" s="13">
        <f>Reference!E101</f>
        <v>48.721699999999998</v>
      </c>
      <c r="H31" s="13">
        <f>Reference!F101</f>
        <v>92418.811000000002</v>
      </c>
      <c r="I31" s="13">
        <f>Reference!G101</f>
        <v>14.679</v>
      </c>
      <c r="J31" s="14">
        <f t="shared" si="7"/>
        <v>25.671891944444443</v>
      </c>
      <c r="L31" s="12">
        <f>Test!B101</f>
        <v>5596.82</v>
      </c>
      <c r="M31" s="13">
        <f>Test!C101</f>
        <v>44.9026</v>
      </c>
      <c r="N31" s="13">
        <f>Test!D101</f>
        <v>47.787300000000002</v>
      </c>
      <c r="O31" s="13">
        <f>Test!E101</f>
        <v>48.55</v>
      </c>
      <c r="P31" s="13">
        <f>Test!F101</f>
        <v>90484.032000000007</v>
      </c>
      <c r="Q31" s="13">
        <f>Test!G101</f>
        <v>14.236000000000001</v>
      </c>
      <c r="R31" s="14">
        <f t="shared" si="8"/>
        <v>25.134453333333337</v>
      </c>
      <c r="S31" s="17">
        <f t="shared" si="2"/>
        <v>0.97906509530835673</v>
      </c>
      <c r="T31" s="18">
        <f t="shared" si="2"/>
        <v>0.96982083248177675</v>
      </c>
      <c r="U31" s="91"/>
      <c r="V31" s="37">
        <f>bdrate($D31:$D34,E31:E34,$L31:$L34,M31:M34)</f>
        <v>-1.0527710976927507E-3</v>
      </c>
      <c r="W31" s="42">
        <f>bdrate($D31:$D34,F31:F34,$L31:$L34,N31:N34)</f>
        <v>5.894782307961588E-3</v>
      </c>
      <c r="X31" s="42">
        <f>bdrate($D31:$D34,G31:G34,$L31:$L34,O31:O34)</f>
        <v>4.5976668189711134E-3</v>
      </c>
      <c r="Y31" s="40">
        <f>bdrateOld($D31:$D34,E31:E34,$L31:$L34,M31:M34)</f>
        <v>-1.2150281434456511E-3</v>
      </c>
      <c r="Z31" s="44">
        <f>bdrateOld($D31:$D34,F31:F34,$L31:$L34,N31:N34)</f>
        <v>6.5109096481037465E-3</v>
      </c>
      <c r="AA31" s="45">
        <f>bdrateOld($D31:$D34,G31:G34,$L31:$L34,O31:O34)</f>
        <v>4.7805098051563188E-3</v>
      </c>
    </row>
    <row r="32" spans="1:27" x14ac:dyDescent="0.2">
      <c r="A32" s="16"/>
      <c r="B32" s="85"/>
      <c r="C32" s="16">
        <v>48</v>
      </c>
      <c r="D32" s="17">
        <f>Reference!B102</f>
        <v>3501.4839999999999</v>
      </c>
      <c r="E32" s="18">
        <f>Reference!C102</f>
        <v>42.808799999999998</v>
      </c>
      <c r="F32" s="18">
        <f>Reference!D102</f>
        <v>46.3324</v>
      </c>
      <c r="G32" s="18">
        <f>Reference!E102</f>
        <v>46.904600000000002</v>
      </c>
      <c r="H32" s="18">
        <f>Reference!F102</f>
        <v>61986.042999999998</v>
      </c>
      <c r="I32" s="18">
        <f>Reference!G102</f>
        <v>12.808</v>
      </c>
      <c r="J32" s="19">
        <f t="shared" si="7"/>
        <v>17.218345277777779</v>
      </c>
      <c r="L32" s="17">
        <f>Test!B102</f>
        <v>3422.152</v>
      </c>
      <c r="M32" s="18">
        <f>Test!C102</f>
        <v>42.680799999999998</v>
      </c>
      <c r="N32" s="18">
        <f>Test!D102</f>
        <v>46.237400000000001</v>
      </c>
      <c r="O32" s="18">
        <f>Test!E102</f>
        <v>46.7988</v>
      </c>
      <c r="P32" s="18">
        <f>Test!F102</f>
        <v>62485.233</v>
      </c>
      <c r="Q32" s="18">
        <f>Test!G102</f>
        <v>12.891999999999999</v>
      </c>
      <c r="R32" s="19">
        <f t="shared" si="8"/>
        <v>17.357009166666668</v>
      </c>
      <c r="S32" s="17">
        <f t="shared" si="2"/>
        <v>1.0080532645066569</v>
      </c>
      <c r="T32" s="18">
        <f t="shared" si="2"/>
        <v>1.0065584009993753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1947.9559999999999</v>
      </c>
      <c r="E33" s="18">
        <f>Reference!C103</f>
        <v>39.980200000000004</v>
      </c>
      <c r="F33" s="18">
        <f>Reference!D103</f>
        <v>44.784999999999997</v>
      </c>
      <c r="G33" s="18">
        <f>Reference!E103</f>
        <v>45.106400000000001</v>
      </c>
      <c r="H33" s="18">
        <f>Reference!F103</f>
        <v>38525.896999999997</v>
      </c>
      <c r="I33" s="18">
        <f>Reference!G103</f>
        <v>11.1</v>
      </c>
      <c r="J33" s="19">
        <f t="shared" si="7"/>
        <v>10.701638055555554</v>
      </c>
      <c r="L33" s="17">
        <f>Test!B103</f>
        <v>1900.6</v>
      </c>
      <c r="M33" s="18">
        <f>Test!C103</f>
        <v>39.890799999999999</v>
      </c>
      <c r="N33" s="18">
        <f>Test!D103</f>
        <v>44.690399999999997</v>
      </c>
      <c r="O33" s="18">
        <f>Test!E103</f>
        <v>45.021000000000001</v>
      </c>
      <c r="P33" s="18">
        <f>Test!F103</f>
        <v>38992.057000000001</v>
      </c>
      <c r="Q33" s="18">
        <f>Test!G103</f>
        <v>11.260999999999999</v>
      </c>
      <c r="R33" s="19">
        <f t="shared" si="8"/>
        <v>10.831126944444444</v>
      </c>
      <c r="S33" s="150">
        <f t="shared" si="2"/>
        <v>1.0120999129494637</v>
      </c>
      <c r="T33" s="151">
        <f t="shared" si="2"/>
        <v>1.0145045045045045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985.904</v>
      </c>
      <c r="E34" s="23">
        <f>Reference!C104</f>
        <v>36.7729</v>
      </c>
      <c r="F34" s="23">
        <f>Reference!D104</f>
        <v>42.909199999999998</v>
      </c>
      <c r="G34" s="23">
        <f>Reference!E104</f>
        <v>43.007899999999999</v>
      </c>
      <c r="H34" s="23">
        <f>Reference!F104</f>
        <v>21653.475999999999</v>
      </c>
      <c r="I34" s="23">
        <f>Reference!G104</f>
        <v>9.8059999999999992</v>
      </c>
      <c r="J34" s="24">
        <f t="shared" si="7"/>
        <v>6.0148544444444445</v>
      </c>
      <c r="L34" s="22">
        <f>Test!B104</f>
        <v>966.01199999999994</v>
      </c>
      <c r="M34" s="23">
        <f>Test!C104</f>
        <v>36.709800000000001</v>
      </c>
      <c r="N34" s="23">
        <f>Test!D104</f>
        <v>42.921599999999998</v>
      </c>
      <c r="O34" s="23">
        <f>Test!E104</f>
        <v>42.990600000000001</v>
      </c>
      <c r="P34" s="23">
        <f>Test!F104</f>
        <v>21826.738000000001</v>
      </c>
      <c r="Q34" s="23">
        <f>Test!G104</f>
        <v>9.6240000000000006</v>
      </c>
      <c r="R34" s="24">
        <f t="shared" si="8"/>
        <v>6.0629827777777781</v>
      </c>
      <c r="S34" s="17">
        <f t="shared" si="2"/>
        <v>1.0080015790536356</v>
      </c>
      <c r="T34" s="18">
        <f t="shared" si="2"/>
        <v>0.98143993473383662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4491.5240000000003</v>
      </c>
      <c r="E35" s="13">
        <f>Reference!C105</f>
        <v>38.758800000000001</v>
      </c>
      <c r="F35" s="13">
        <f>Reference!D105</f>
        <v>46.419899999999998</v>
      </c>
      <c r="G35" s="13">
        <f>Reference!E105</f>
        <v>46.630600000000001</v>
      </c>
      <c r="H35" s="13">
        <f>Reference!F105</f>
        <v>60301.648999999998</v>
      </c>
      <c r="I35" s="13">
        <f>Reference!G105</f>
        <v>5.9379999999999997</v>
      </c>
      <c r="J35" s="14">
        <f t="shared" si="7"/>
        <v>16.750458055555555</v>
      </c>
      <c r="L35" s="12">
        <f>Test!B105</f>
        <v>3303.404</v>
      </c>
      <c r="M35" s="13">
        <f>Test!C105</f>
        <v>38.732300000000002</v>
      </c>
      <c r="N35" s="13">
        <f>Test!D105</f>
        <v>46.351599999999998</v>
      </c>
      <c r="O35" s="13">
        <f>Test!E105</f>
        <v>46.605699999999999</v>
      </c>
      <c r="P35" s="13">
        <f>Test!F105</f>
        <v>53308.531000000003</v>
      </c>
      <c r="Q35" s="13">
        <f>Test!G105</f>
        <v>5.7009999999999996</v>
      </c>
      <c r="R35" s="14">
        <f t="shared" si="8"/>
        <v>14.807925277777779</v>
      </c>
      <c r="S35" s="12">
        <f t="shared" si="2"/>
        <v>0.88403106522012365</v>
      </c>
      <c r="T35" s="13">
        <f t="shared" si="2"/>
        <v>0.96008757157292013</v>
      </c>
      <c r="U35" s="90"/>
      <c r="V35" s="37">
        <f>bdrate($D35:$D38,E35:E38,$L35:$L38,M35:M38)</f>
        <v>-0.11818767529701235</v>
      </c>
      <c r="W35" s="42">
        <f>bdrate($D35:$D38,F35:F38,$L35:$L38,N35:N38)</f>
        <v>-9.0902631731565209E-2</v>
      </c>
      <c r="X35" s="42">
        <f>bdrate($D35:$D38,G35:G38,$L35:$L38,O35:O38)</f>
        <v>-0.11079781061554383</v>
      </c>
      <c r="Y35" s="40">
        <f>bdrateOld($D35:$D38,E35:E38,$L35:$L38,M35:M38)</f>
        <v>-0.11545101762753729</v>
      </c>
      <c r="Z35" s="44">
        <f>bdrateOld($D35:$D38,F35:F38,$L35:$L38,N35:N38)</f>
        <v>-8.7532377025922314E-2</v>
      </c>
      <c r="AA35" s="45">
        <f>bdrateOld($D35:$D38,G35:G38,$L35:$L38,O35:O38)</f>
        <v>-0.11138899766881405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1877.18</v>
      </c>
      <c r="E36" s="18">
        <f>Reference!C106</f>
        <v>37.267000000000003</v>
      </c>
      <c r="F36" s="18">
        <f>Reference!D106</f>
        <v>45.292099999999998</v>
      </c>
      <c r="G36" s="18">
        <f>Reference!E106</f>
        <v>45.558300000000003</v>
      </c>
      <c r="H36" s="18">
        <f>Reference!F106</f>
        <v>32234.292000000001</v>
      </c>
      <c r="I36" s="18">
        <f>Reference!G106</f>
        <v>4.6680000000000001</v>
      </c>
      <c r="J36" s="19">
        <f t="shared" si="7"/>
        <v>8.95397</v>
      </c>
      <c r="L36" s="17">
        <f>Test!B106</f>
        <v>1531.0160000000001</v>
      </c>
      <c r="M36" s="18">
        <f>Test!C106</f>
        <v>37.278399999999998</v>
      </c>
      <c r="N36" s="18">
        <f>Test!D106</f>
        <v>45.255499999999998</v>
      </c>
      <c r="O36" s="18">
        <f>Test!E106</f>
        <v>45.503599999999999</v>
      </c>
      <c r="P36" s="18">
        <f>Test!F106</f>
        <v>29088.679</v>
      </c>
      <c r="Q36" s="18">
        <f>Test!G106</f>
        <v>4.5259999999999998</v>
      </c>
      <c r="R36" s="19">
        <f t="shared" si="8"/>
        <v>8.0801886111111116</v>
      </c>
      <c r="S36" s="17">
        <f t="shared" si="2"/>
        <v>0.90241408125235067</v>
      </c>
      <c r="T36" s="18">
        <f t="shared" si="2"/>
        <v>0.96958011996572402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836.38400000000001</v>
      </c>
      <c r="E37" s="18">
        <f>Reference!C107</f>
        <v>35.334200000000003</v>
      </c>
      <c r="F37" s="18">
        <f>Reference!D107</f>
        <v>44.000700000000002</v>
      </c>
      <c r="G37" s="18">
        <f>Reference!E107</f>
        <v>44.2697</v>
      </c>
      <c r="H37" s="18">
        <f>Reference!F107</f>
        <v>16324.204</v>
      </c>
      <c r="I37" s="18">
        <f>Reference!G107</f>
        <v>3.9079999999999999</v>
      </c>
      <c r="J37" s="19">
        <f t="shared" si="7"/>
        <v>4.5345011111111111</v>
      </c>
      <c r="L37" s="17">
        <f>Test!B107</f>
        <v>776.34400000000005</v>
      </c>
      <c r="M37" s="18">
        <f>Test!C107</f>
        <v>35.358199999999997</v>
      </c>
      <c r="N37" s="18">
        <f>Test!D107</f>
        <v>43.920699999999997</v>
      </c>
      <c r="O37" s="18">
        <f>Test!E107</f>
        <v>44.2896</v>
      </c>
      <c r="P37" s="18">
        <f>Test!F107</f>
        <v>15674.924000000001</v>
      </c>
      <c r="Q37" s="18">
        <f>Test!G107</f>
        <v>3.9369999999999998</v>
      </c>
      <c r="R37" s="19">
        <f t="shared" si="8"/>
        <v>4.3541455555555562</v>
      </c>
      <c r="S37" s="17">
        <f t="shared" si="2"/>
        <v>0.96022593199643924</v>
      </c>
      <c r="T37" s="18">
        <f t="shared" si="2"/>
        <v>1.0074206755373591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393.18799999999999</v>
      </c>
      <c r="E38" s="23">
        <f>Reference!C108</f>
        <v>32.654600000000002</v>
      </c>
      <c r="F38" s="23">
        <f>Reference!D108</f>
        <v>42.284700000000001</v>
      </c>
      <c r="G38" s="23">
        <f>Reference!E108</f>
        <v>42.598799999999997</v>
      </c>
      <c r="H38" s="23">
        <f>Reference!F108</f>
        <v>8178.1490000000003</v>
      </c>
      <c r="I38" s="23">
        <f>Reference!G108</f>
        <v>3.4249999999999998</v>
      </c>
      <c r="J38" s="24">
        <f t="shared" si="7"/>
        <v>2.2717080555555555</v>
      </c>
      <c r="L38" s="22">
        <f>Test!B108</f>
        <v>387.49200000000002</v>
      </c>
      <c r="M38" s="23">
        <f>Test!C108</f>
        <v>32.707500000000003</v>
      </c>
      <c r="N38" s="23">
        <f>Test!D108</f>
        <v>42.2759</v>
      </c>
      <c r="O38" s="23">
        <f>Test!E108</f>
        <v>42.602699999999999</v>
      </c>
      <c r="P38" s="23">
        <f>Test!F108</f>
        <v>8140.6940000000004</v>
      </c>
      <c r="Q38" s="23">
        <f>Test!G108</f>
        <v>3.4060000000000001</v>
      </c>
      <c r="R38" s="24">
        <f t="shared" si="8"/>
        <v>2.261303888888889</v>
      </c>
      <c r="S38" s="17">
        <f t="shared" si="2"/>
        <v>0.99542011279080389</v>
      </c>
      <c r="T38" s="18">
        <f t="shared" si="2"/>
        <v>0.99445255474452565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2690.9079999999999</v>
      </c>
      <c r="E39" s="13">
        <f>Reference!C109</f>
        <v>40.7453</v>
      </c>
      <c r="F39" s="13">
        <f>Reference!D109</f>
        <v>46.209099999999999</v>
      </c>
      <c r="G39" s="13">
        <f>Reference!E109</f>
        <v>47.510899999999999</v>
      </c>
      <c r="H39" s="13">
        <f>Reference!F109</f>
        <v>47580.430999999997</v>
      </c>
      <c r="I39" s="13">
        <f>Reference!G109</f>
        <v>5.9749999999999996</v>
      </c>
      <c r="J39" s="14">
        <f t="shared" si="7"/>
        <v>13.216786388888888</v>
      </c>
      <c r="L39" s="12">
        <f>Test!B109</f>
        <v>1889.6759999999999</v>
      </c>
      <c r="M39" s="13">
        <f>Test!C109</f>
        <v>40.657800000000002</v>
      </c>
      <c r="N39" s="13">
        <f>Test!D109</f>
        <v>46.243699999999997</v>
      </c>
      <c r="O39" s="13">
        <f>Test!E109</f>
        <v>47.497399999999999</v>
      </c>
      <c r="P39" s="13">
        <f>Test!F109</f>
        <v>41108.432000000001</v>
      </c>
      <c r="Q39" s="13">
        <f>Test!G109</f>
        <v>5.5289999999999999</v>
      </c>
      <c r="R39" s="14">
        <f t="shared" si="8"/>
        <v>11.419008888888889</v>
      </c>
      <c r="S39" s="17">
        <f t="shared" si="2"/>
        <v>0.86397771386307964</v>
      </c>
      <c r="T39" s="18">
        <f t="shared" si="2"/>
        <v>0.92535564853556485</v>
      </c>
      <c r="U39" s="91"/>
      <c r="V39" s="37">
        <f>bdrate($D39:$D42,E39:E42,$L39:$L42,M39:M42)</f>
        <v>-8.8728965285380323E-2</v>
      </c>
      <c r="W39" s="42">
        <f>bdrate($D39:$D42,F39:F42,$L39:$L42,N39:N42)</f>
        <v>-9.797092817703934E-2</v>
      </c>
      <c r="X39" s="42">
        <f>bdrate($D39:$D42,G39:G42,$L39:$L42,O39:O42)</f>
        <v>-0.10701943024147931</v>
      </c>
      <c r="Y39" s="40">
        <f>bdrateOld($D39:$D42,E39:E42,$L39:$L42,M39:M42)</f>
        <v>-8.9706883022840356E-2</v>
      </c>
      <c r="Z39" s="44">
        <f>bdrateOld($D39:$D42,F39:F42,$L39:$L42,N39:N42)</f>
        <v>-0.10337333755994838</v>
      </c>
      <c r="AA39" s="45">
        <f>bdrateOld($D39:$D42,G39:G42,$L39:$L42,O39:O42)</f>
        <v>-0.11062760140407468</v>
      </c>
    </row>
    <row r="40" spans="1:27" x14ac:dyDescent="0.2">
      <c r="A40" s="16"/>
      <c r="B40" s="85"/>
      <c r="C40" s="16">
        <v>32</v>
      </c>
      <c r="D40" s="17">
        <f>Reference!B110</f>
        <v>1156.9480000000001</v>
      </c>
      <c r="E40" s="18">
        <f>Reference!C110</f>
        <v>39.606900000000003</v>
      </c>
      <c r="F40" s="18">
        <f>Reference!D110</f>
        <v>45.644100000000002</v>
      </c>
      <c r="G40" s="18">
        <f>Reference!E110</f>
        <v>46.245100000000001</v>
      </c>
      <c r="H40" s="18">
        <f>Reference!F110</f>
        <v>25614.644</v>
      </c>
      <c r="I40" s="18">
        <f>Reference!G110</f>
        <v>4.8179999999999996</v>
      </c>
      <c r="J40" s="19">
        <f t="shared" si="7"/>
        <v>7.1151788888888889</v>
      </c>
      <c r="L40" s="17">
        <f>Test!B110</f>
        <v>984.32</v>
      </c>
      <c r="M40" s="18">
        <f>Test!C110</f>
        <v>39.5884</v>
      </c>
      <c r="N40" s="18">
        <f>Test!D110</f>
        <v>45.643300000000004</v>
      </c>
      <c r="O40" s="18">
        <f>Test!E110</f>
        <v>46.226100000000002</v>
      </c>
      <c r="P40" s="18">
        <f>Test!F110</f>
        <v>23444.308000000001</v>
      </c>
      <c r="Q40" s="18">
        <f>Test!G110</f>
        <v>4.96</v>
      </c>
      <c r="R40" s="19">
        <f t="shared" si="8"/>
        <v>6.512307777777778</v>
      </c>
      <c r="S40" s="17">
        <f t="shared" si="2"/>
        <v>0.91526971836891435</v>
      </c>
      <c r="T40" s="18">
        <f t="shared" si="2"/>
        <v>1.0294728102947281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531.48</v>
      </c>
      <c r="E41" s="18">
        <f>Reference!C111</f>
        <v>38.039700000000003</v>
      </c>
      <c r="F41" s="18">
        <f>Reference!D111</f>
        <v>44.882899999999999</v>
      </c>
      <c r="G41" s="18">
        <f>Reference!E111</f>
        <v>44.668399999999998</v>
      </c>
      <c r="H41" s="18">
        <f>Reference!F111</f>
        <v>12908.779</v>
      </c>
      <c r="I41" s="18">
        <f>Reference!G111</f>
        <v>4.226</v>
      </c>
      <c r="J41" s="19">
        <f t="shared" si="7"/>
        <v>3.5857719444444447</v>
      </c>
      <c r="L41" s="17">
        <f>Test!B111</f>
        <v>495.56400000000002</v>
      </c>
      <c r="M41" s="18">
        <f>Test!C111</f>
        <v>38.003799999999998</v>
      </c>
      <c r="N41" s="18">
        <f>Test!D111</f>
        <v>44.8568</v>
      </c>
      <c r="O41" s="18">
        <f>Test!E111</f>
        <v>44.688200000000002</v>
      </c>
      <c r="P41" s="18">
        <f>Test!F111</f>
        <v>12389.83</v>
      </c>
      <c r="Q41" s="18">
        <f>Test!G111</f>
        <v>4.1289999999999996</v>
      </c>
      <c r="R41" s="19">
        <f t="shared" si="8"/>
        <v>3.4416194444444446</v>
      </c>
      <c r="S41" s="17">
        <f t="shared" si="2"/>
        <v>0.95979875401073944</v>
      </c>
      <c r="T41" s="18">
        <f t="shared" si="2"/>
        <v>0.97704685281590142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236.584</v>
      </c>
      <c r="E42" s="23">
        <f>Reference!C112</f>
        <v>35.927500000000002</v>
      </c>
      <c r="F42" s="23">
        <f>Reference!D112</f>
        <v>43.656700000000001</v>
      </c>
      <c r="G42" s="23">
        <f>Reference!E112</f>
        <v>42.531599999999997</v>
      </c>
      <c r="H42" s="23">
        <f>Reference!F112</f>
        <v>6337.8580000000002</v>
      </c>
      <c r="I42" s="23">
        <f>Reference!G112</f>
        <v>3.6779999999999999</v>
      </c>
      <c r="J42" s="24">
        <f t="shared" si="7"/>
        <v>1.7605161111111112</v>
      </c>
      <c r="L42" s="22">
        <f>Test!B112</f>
        <v>228.84800000000001</v>
      </c>
      <c r="M42" s="23">
        <f>Test!C112</f>
        <v>35.898499999999999</v>
      </c>
      <c r="N42" s="23">
        <f>Test!D112</f>
        <v>43.682200000000002</v>
      </c>
      <c r="O42" s="23">
        <f>Test!E112</f>
        <v>42.482799999999997</v>
      </c>
      <c r="P42" s="23">
        <f>Test!F112</f>
        <v>6219.5280000000002</v>
      </c>
      <c r="Q42" s="23">
        <f>Test!G112</f>
        <v>3.62</v>
      </c>
      <c r="R42" s="24">
        <f t="shared" si="8"/>
        <v>1.7276466666666668</v>
      </c>
      <c r="S42" s="17">
        <f t="shared" si="2"/>
        <v>0.98132965427751773</v>
      </c>
      <c r="T42" s="18">
        <f t="shared" si="2"/>
        <v>0.98423056008700383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999.66399999999999</v>
      </c>
      <c r="E43" s="13">
        <f>Reference!C113</f>
        <v>43.728200000000001</v>
      </c>
      <c r="F43" s="13">
        <f>Reference!D113</f>
        <v>47.391100000000002</v>
      </c>
      <c r="G43" s="13">
        <f>Reference!E113</f>
        <v>48.459200000000003</v>
      </c>
      <c r="H43" s="13">
        <f>Reference!F113</f>
        <v>20480.973000000002</v>
      </c>
      <c r="I43" s="13">
        <f>Reference!G113</f>
        <v>4.3280000000000003</v>
      </c>
      <c r="J43" s="14">
        <f t="shared" si="7"/>
        <v>5.6891591666666672</v>
      </c>
      <c r="L43" s="12">
        <f>Test!B113</f>
        <v>851.14400000000001</v>
      </c>
      <c r="M43" s="13">
        <f>Test!C113</f>
        <v>43.760199999999998</v>
      </c>
      <c r="N43" s="13">
        <f>Test!D113</f>
        <v>47.427500000000002</v>
      </c>
      <c r="O43" s="13">
        <f>Test!E113</f>
        <v>48.482799999999997</v>
      </c>
      <c r="P43" s="13">
        <f>Test!F113</f>
        <v>19012.501</v>
      </c>
      <c r="Q43" s="13">
        <f>Test!G113</f>
        <v>4.3410000000000002</v>
      </c>
      <c r="R43" s="14">
        <f t="shared" si="8"/>
        <v>5.2812502777777777</v>
      </c>
      <c r="S43" s="17">
        <f t="shared" si="2"/>
        <v>0.92830067204326661</v>
      </c>
      <c r="T43" s="18">
        <f t="shared" si="2"/>
        <v>1.003003696857671</v>
      </c>
      <c r="U43" s="91"/>
      <c r="V43" s="37">
        <f>bdrate($D43:$D46,E43:E46,$L43:$L46,M43:M46)</f>
        <v>-5.8042272348834412E-2</v>
      </c>
      <c r="W43" s="42">
        <f>bdrate($D43:$D46,F43:F46,$L43:$L46,N43:N46)</f>
        <v>-4.3387933486921826E-2</v>
      </c>
      <c r="X43" s="42">
        <f>bdrate($D43:$D46,G43:G46,$L43:$L46,O43:O46)</f>
        <v>-4.9606508702268681E-2</v>
      </c>
      <c r="Y43" s="40">
        <f>bdrateOld($D43:$D46,E43:E46,$L43:$L46,M43:M46)</f>
        <v>-5.9361661611839422E-2</v>
      </c>
      <c r="Z43" s="44">
        <f>bdrateOld($D43:$D46,F43:F46,$L43:$L46,N43:N46)</f>
        <v>-4.942954074315109E-2</v>
      </c>
      <c r="AA43" s="45">
        <f>bdrateOld($D43:$D46,G43:G46,$L43:$L46,O43:O46)</f>
        <v>-4.7796783756531624E-2</v>
      </c>
    </row>
    <row r="44" spans="1:27" x14ac:dyDescent="0.2">
      <c r="A44" s="16"/>
      <c r="B44" s="85"/>
      <c r="C44" s="16">
        <v>32</v>
      </c>
      <c r="D44" s="17">
        <f>Reference!B114</f>
        <v>527.976</v>
      </c>
      <c r="E44" s="18">
        <f>Reference!C114</f>
        <v>42.457099999999997</v>
      </c>
      <c r="F44" s="18">
        <f>Reference!D114</f>
        <v>46.640099999999997</v>
      </c>
      <c r="G44" s="18">
        <f>Reference!E114</f>
        <v>47.467599999999997</v>
      </c>
      <c r="H44" s="18">
        <f>Reference!F114</f>
        <v>11181.615</v>
      </c>
      <c r="I44" s="18">
        <f>Reference!G114</f>
        <v>3.847</v>
      </c>
      <c r="J44" s="19">
        <f t="shared" si="7"/>
        <v>3.1060041666666667</v>
      </c>
      <c r="L44" s="17">
        <f>Test!B114</f>
        <v>494.58</v>
      </c>
      <c r="M44" s="18">
        <f>Test!C114</f>
        <v>42.520299999999999</v>
      </c>
      <c r="N44" s="18">
        <f>Test!D114</f>
        <v>46.631300000000003</v>
      </c>
      <c r="O44" s="18">
        <f>Test!E114</f>
        <v>47.531799999999997</v>
      </c>
      <c r="P44" s="18">
        <f>Test!F114</f>
        <v>10858.897000000001</v>
      </c>
      <c r="Q44" s="18">
        <f>Test!G114</f>
        <v>3.83</v>
      </c>
      <c r="R44" s="19">
        <f t="shared" si="8"/>
        <v>3.0163602777777778</v>
      </c>
      <c r="S44" s="150">
        <f t="shared" si="2"/>
        <v>0.97113851621612812</v>
      </c>
      <c r="T44" s="151">
        <f t="shared" si="2"/>
        <v>0.99558097218611907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294.65199999999999</v>
      </c>
      <c r="E45" s="18">
        <f>Reference!C115</f>
        <v>40.668500000000002</v>
      </c>
      <c r="F45" s="18">
        <f>Reference!D115</f>
        <v>45.633000000000003</v>
      </c>
      <c r="G45" s="18">
        <f>Reference!E115</f>
        <v>46.2318</v>
      </c>
      <c r="H45" s="18">
        <f>Reference!F115</f>
        <v>6206.4589999999998</v>
      </c>
      <c r="I45" s="18">
        <f>Reference!G115</f>
        <v>3.7189999999999999</v>
      </c>
      <c r="J45" s="19">
        <f t="shared" si="7"/>
        <v>1.7240163888888889</v>
      </c>
      <c r="L45" s="17">
        <f>Test!B115</f>
        <v>287.35599999999999</v>
      </c>
      <c r="M45" s="18">
        <f>Test!C115</f>
        <v>40.722700000000003</v>
      </c>
      <c r="N45" s="18">
        <f>Test!D115</f>
        <v>45.627200000000002</v>
      </c>
      <c r="O45" s="18">
        <f>Test!E115</f>
        <v>46.2226</v>
      </c>
      <c r="P45" s="18">
        <f>Test!F115</f>
        <v>6147.3559999999998</v>
      </c>
      <c r="Q45" s="18">
        <f>Test!G115</f>
        <v>3.7679999999999998</v>
      </c>
      <c r="R45" s="19">
        <f t="shared" si="8"/>
        <v>1.7075988888888889</v>
      </c>
      <c r="S45" s="150">
        <f t="shared" si="2"/>
        <v>0.99047717869400242</v>
      </c>
      <c r="T45" s="151">
        <f t="shared" si="2"/>
        <v>1.0131755848346329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161.804</v>
      </c>
      <c r="E46" s="23">
        <f>Reference!C116</f>
        <v>38.113500000000002</v>
      </c>
      <c r="F46" s="23">
        <f>Reference!D116</f>
        <v>43.901299999999999</v>
      </c>
      <c r="G46" s="23">
        <f>Reference!E116</f>
        <v>44.251600000000003</v>
      </c>
      <c r="H46" s="23">
        <f>Reference!F116</f>
        <v>3506.2469999999998</v>
      </c>
      <c r="I46" s="23">
        <f>Reference!G116</f>
        <v>3.625</v>
      </c>
      <c r="J46" s="24">
        <f t="shared" si="7"/>
        <v>0.97395749999999992</v>
      </c>
      <c r="L46" s="22">
        <f>Test!B116</f>
        <v>159.76</v>
      </c>
      <c r="M46" s="23">
        <f>Test!C116</f>
        <v>38.146500000000003</v>
      </c>
      <c r="N46" s="23">
        <f>Test!D116</f>
        <v>43.9529</v>
      </c>
      <c r="O46" s="23">
        <f>Test!E116</f>
        <v>44.231000000000002</v>
      </c>
      <c r="P46" s="23">
        <f>Test!F116</f>
        <v>3660.0450000000001</v>
      </c>
      <c r="Q46" s="23">
        <f>Test!G116</f>
        <v>3.6240000000000001</v>
      </c>
      <c r="R46" s="24">
        <f t="shared" si="8"/>
        <v>1.0166791666666666</v>
      </c>
      <c r="S46" s="17">
        <f t="shared" si="2"/>
        <v>1.0438639947499422</v>
      </c>
      <c r="T46" s="18">
        <f t="shared" si="2"/>
        <v>0.99972413793103454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1378.2159999999999</v>
      </c>
      <c r="E47" s="13">
        <f>Reference!C117</f>
        <v>43.095100000000002</v>
      </c>
      <c r="F47" s="13">
        <f>Reference!D117</f>
        <v>49.194699999999997</v>
      </c>
      <c r="G47" s="13">
        <f>Reference!E117</f>
        <v>48.868099999999998</v>
      </c>
      <c r="H47" s="13">
        <f>Reference!F117</f>
        <v>23481.228999999999</v>
      </c>
      <c r="I47" s="13">
        <f>Reference!G117</f>
        <v>4.3239999999999998</v>
      </c>
      <c r="J47" s="14">
        <f>H47/3600</f>
        <v>6.5225636111111109</v>
      </c>
      <c r="L47" s="12">
        <f>Test!B117</f>
        <v>1112.056</v>
      </c>
      <c r="M47" s="13">
        <f>Test!C117</f>
        <v>43.162399999999998</v>
      </c>
      <c r="N47" s="13">
        <f>Test!D117</f>
        <v>49.201300000000003</v>
      </c>
      <c r="O47" s="13">
        <f>Test!E117</f>
        <v>48.991199999999999</v>
      </c>
      <c r="P47" s="13">
        <f>Test!F117</f>
        <v>21050.562999999998</v>
      </c>
      <c r="Q47" s="13">
        <f>Test!G117</f>
        <v>4.1269999999999998</v>
      </c>
      <c r="R47" s="14">
        <f>P47/3600</f>
        <v>5.847378611111111</v>
      </c>
      <c r="S47" s="17">
        <f t="shared" ref="S47:T62" si="9">P47/H47</f>
        <v>0.8964847197733985</v>
      </c>
      <c r="T47" s="18">
        <f t="shared" si="9"/>
        <v>0.95444033302497688</v>
      </c>
      <c r="U47" s="91"/>
      <c r="V47" s="72">
        <f>bdrate($D47:$D50,E47:E50,$L47:$L50,M47:M50)</f>
        <v>-7.6936750828565437E-2</v>
      </c>
      <c r="W47" s="73">
        <f>bdrate($D47:$D50,F47:F50,$L47:$L50,N47:N50)</f>
        <v>-3.7006476270837974E-2</v>
      </c>
      <c r="X47" s="74">
        <f>bdrate($D47:$D50,G47:G50,$L47:$L50,O47:O50)</f>
        <v>-7.9266836244450745E-2</v>
      </c>
      <c r="Y47" s="37">
        <f>bdrateOld($D47:$D50,E47:E50,$L47:$L50,M47:M50)</f>
        <v>-7.9780113579383749E-2</v>
      </c>
      <c r="Z47" s="42">
        <f>bdrateOld($D47:$D50,F47:F50,$L47:$L50,N47:N50)</f>
        <v>-2.9859209057127356E-2</v>
      </c>
      <c r="AA47" s="43">
        <f>bdrateOld($D47:$D50,G47:G50,$L47:$L50,O47:O50)</f>
        <v>-8.4001436394335438E-2</v>
      </c>
    </row>
    <row r="48" spans="1:27" x14ac:dyDescent="0.2">
      <c r="A48" s="16"/>
      <c r="B48" s="85"/>
      <c r="C48" s="16">
        <v>32</v>
      </c>
      <c r="D48" s="17">
        <f>Reference!B118</f>
        <v>727.23599999999999</v>
      </c>
      <c r="E48" s="18">
        <f>Reference!C118</f>
        <v>41.857399999999998</v>
      </c>
      <c r="F48" s="18">
        <f>Reference!D118</f>
        <v>48.3322</v>
      </c>
      <c r="G48" s="18">
        <f>Reference!E118</f>
        <v>47.8538</v>
      </c>
      <c r="H48" s="18">
        <f>Reference!F118</f>
        <v>13176.511</v>
      </c>
      <c r="I48" s="18">
        <f>Reference!G118</f>
        <v>3.911</v>
      </c>
      <c r="J48" s="19">
        <f t="shared" ref="J48:J70" si="10">H48/3600</f>
        <v>3.6601419444444447</v>
      </c>
      <c r="L48" s="17">
        <f>Test!B118</f>
        <v>665.96400000000006</v>
      </c>
      <c r="M48" s="18">
        <f>Test!C118</f>
        <v>41.955199999999998</v>
      </c>
      <c r="N48" s="18">
        <f>Test!D118</f>
        <v>48.366500000000002</v>
      </c>
      <c r="O48" s="18">
        <f>Test!E118</f>
        <v>47.936799999999998</v>
      </c>
      <c r="P48" s="18">
        <f>Test!F118</f>
        <v>12345.540999999999</v>
      </c>
      <c r="Q48" s="18">
        <f>Test!G118</f>
        <v>3.7320000000000002</v>
      </c>
      <c r="R48" s="19">
        <f t="shared" ref="R48:R70" si="11">P48/3600</f>
        <v>3.4293169444444445</v>
      </c>
      <c r="S48" s="17">
        <f t="shared" si="9"/>
        <v>0.93693550591655095</v>
      </c>
      <c r="T48" s="18">
        <f t="shared" si="9"/>
        <v>0.9542316543083611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408.44400000000002</v>
      </c>
      <c r="E49" s="18">
        <f>Reference!C119</f>
        <v>40.019500000000001</v>
      </c>
      <c r="F49" s="18">
        <f>Reference!D119</f>
        <v>47.481200000000001</v>
      </c>
      <c r="G49" s="18">
        <f>Reference!E119</f>
        <v>46.457799999999999</v>
      </c>
      <c r="H49" s="18">
        <f>Reference!F119</f>
        <v>7562.0649999999996</v>
      </c>
      <c r="I49" s="18">
        <f>Reference!G119</f>
        <v>3.601</v>
      </c>
      <c r="J49" s="19">
        <f t="shared" si="10"/>
        <v>2.1005736111111108</v>
      </c>
      <c r="L49" s="17">
        <f>Test!B119</f>
        <v>391.93599999999998</v>
      </c>
      <c r="M49" s="18">
        <f>Test!C119</f>
        <v>40.082000000000001</v>
      </c>
      <c r="N49" s="18">
        <f>Test!D119</f>
        <v>47.377899999999997</v>
      </c>
      <c r="O49" s="18">
        <f>Test!E119</f>
        <v>46.471899999999998</v>
      </c>
      <c r="P49" s="18">
        <f>Test!F119</f>
        <v>7369.7179999999998</v>
      </c>
      <c r="Q49" s="18">
        <f>Test!G119</f>
        <v>3.6579999999999999</v>
      </c>
      <c r="R49" s="19">
        <f t="shared" si="11"/>
        <v>2.0471438888888889</v>
      </c>
      <c r="S49" s="17">
        <f t="shared" si="9"/>
        <v>0.97456422286769551</v>
      </c>
      <c r="T49" s="18">
        <f t="shared" si="9"/>
        <v>1.0158289364065538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222.608</v>
      </c>
      <c r="E50" s="23">
        <f>Reference!C120</f>
        <v>37.307699999999997</v>
      </c>
      <c r="F50" s="23">
        <f>Reference!D120</f>
        <v>45.817799999999998</v>
      </c>
      <c r="G50" s="23">
        <f>Reference!E120</f>
        <v>44.082900000000002</v>
      </c>
      <c r="H50" s="23">
        <f>Reference!F120</f>
        <v>4267.5709999999999</v>
      </c>
      <c r="I50" s="23">
        <f>Reference!G120</f>
        <v>3.5920000000000001</v>
      </c>
      <c r="J50" s="24">
        <f t="shared" si="10"/>
        <v>1.1854363888888888</v>
      </c>
      <c r="L50" s="22">
        <f>Test!B120</f>
        <v>218.744</v>
      </c>
      <c r="M50" s="23">
        <f>Test!C120</f>
        <v>37.311599999999999</v>
      </c>
      <c r="N50" s="23">
        <f>Test!D120</f>
        <v>45.6584</v>
      </c>
      <c r="O50" s="23">
        <f>Test!E120</f>
        <v>44.240699999999997</v>
      </c>
      <c r="P50" s="23">
        <f>Test!F120</f>
        <v>4388.018</v>
      </c>
      <c r="Q50" s="23">
        <f>Test!G120</f>
        <v>3.4580000000000002</v>
      </c>
      <c r="R50" s="24">
        <f t="shared" si="11"/>
        <v>1.2188938888888889</v>
      </c>
      <c r="S50" s="22">
        <f t="shared" si="9"/>
        <v>1.0282237835058867</v>
      </c>
      <c r="T50" s="23">
        <f t="shared" si="9"/>
        <v>0.96269487750556793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6">AVERAGE(W3:W18)</f>
        <v>#VALUE!</v>
      </c>
      <c r="X75" s="42" t="e">
        <f t="shared" si="16"/>
        <v>#VALUE!</v>
      </c>
      <c r="Y75" s="37" t="e">
        <f>AVERAGE(Y3:Y18)</f>
        <v>#VALUE!</v>
      </c>
      <c r="Z75" s="42" t="e">
        <f t="shared" si="16"/>
        <v>#VALUE!</v>
      </c>
      <c r="AA75" s="43" t="e">
        <f t="shared" si="16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7">AVERAGE(W19:W34)</f>
        <v>#VALUE!</v>
      </c>
      <c r="X76" s="44" t="e">
        <f t="shared" si="17"/>
        <v>#VALUE!</v>
      </c>
      <c r="Y76" s="40" t="e">
        <f t="shared" si="17"/>
        <v>#VALUE!</v>
      </c>
      <c r="Z76" s="44" t="e">
        <f t="shared" si="17"/>
        <v>#VALUE!</v>
      </c>
      <c r="AA76" s="45" t="e">
        <f t="shared" si="17"/>
        <v>#VALUE!</v>
      </c>
    </row>
    <row r="77" spans="1:27" x14ac:dyDescent="0.2">
      <c r="B77" s="89" t="s">
        <v>51</v>
      </c>
      <c r="I77" s="15">
        <f>GEOMEAN(I35:I50)</f>
        <v>4.163423047825237</v>
      </c>
      <c r="J77" s="15">
        <f>GEOMEAN(J35:J50)</f>
        <v>3.7632031634392877</v>
      </c>
      <c r="Q77" s="15">
        <f>GEOMEAN(Q35:Q50)</f>
        <v>4.0958412246817808</v>
      </c>
      <c r="R77" s="15">
        <f>GEOMEAN(R35:R50)</f>
        <v>3.5777869170019314</v>
      </c>
      <c r="S77" s="15">
        <f>GEOMEAN(S35:S50)</f>
        <v>0.95072914259885466</v>
      </c>
      <c r="T77" s="15">
        <f>GEOMEAN(T35:T50)</f>
        <v>0.98376772613132413</v>
      </c>
      <c r="V77" s="40">
        <f>AVERAGE(V35:V50)</f>
        <v>-8.5473915939948131E-2</v>
      </c>
      <c r="W77" s="44">
        <f t="shared" ref="W77:AA77" si="18">AVERAGE(W35:W50)</f>
        <v>-6.7316992416591087E-2</v>
      </c>
      <c r="X77" s="44">
        <f t="shared" si="18"/>
        <v>-8.6672646450935642E-2</v>
      </c>
      <c r="Y77" s="40">
        <f t="shared" si="18"/>
        <v>-8.6074918960400204E-2</v>
      </c>
      <c r="Z77" s="44">
        <f t="shared" si="18"/>
        <v>-6.7548616096537284E-2</v>
      </c>
      <c r="AA77" s="45">
        <f t="shared" si="18"/>
        <v>-8.8453704805938949E-2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22">AVERAGE(W3:W50)</f>
        <v>#VALUE!</v>
      </c>
      <c r="X80" s="47" t="e">
        <f t="shared" si="22"/>
        <v>#VALUE!</v>
      </c>
      <c r="Y80" s="46" t="e">
        <f t="shared" si="22"/>
        <v>#VALUE!</v>
      </c>
      <c r="Z80" s="46" t="e">
        <f t="shared" si="22"/>
        <v>#VALUE!</v>
      </c>
      <c r="AA80" s="47" t="e">
        <f t="shared" si="22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17057.103999999999</v>
      </c>
      <c r="E3" s="13">
        <f>Reference!C145</f>
        <v>40.171100000000003</v>
      </c>
      <c r="F3" s="13">
        <f>Reference!D145</f>
        <v>48.7592</v>
      </c>
      <c r="G3" s="13">
        <f>Reference!E145</f>
        <v>46.689100000000003</v>
      </c>
      <c r="H3" s="13">
        <f>Reference!F145</f>
        <v>220751.484</v>
      </c>
      <c r="I3" s="13">
        <f>Reference!G145</f>
        <v>28.821000000000002</v>
      </c>
      <c r="J3" s="14">
        <f>H3/3600</f>
        <v>61.319856666666666</v>
      </c>
      <c r="L3" s="12">
        <f>Test!B145</f>
        <v>0</v>
      </c>
      <c r="M3" s="13">
        <f>Test!C145</f>
        <v>0</v>
      </c>
      <c r="N3" s="13">
        <f>Test!D145</f>
        <v>0</v>
      </c>
      <c r="O3" s="13">
        <f>Test!E145</f>
        <v>0</v>
      </c>
      <c r="P3" s="13">
        <f>Test!F145</f>
        <v>0</v>
      </c>
      <c r="Q3" s="13">
        <f>Test!G145</f>
        <v>0</v>
      </c>
      <c r="R3" s="14">
        <f>P3/3600</f>
        <v>0</v>
      </c>
      <c r="S3" s="12">
        <f t="shared" ref="S3:T3" si="0">P3/H3</f>
        <v>0</v>
      </c>
      <c r="T3" s="13">
        <f t="shared" si="0"/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8438.9439999999995</v>
      </c>
      <c r="E4" s="18">
        <f>Reference!C146</f>
        <v>39.564</v>
      </c>
      <c r="F4" s="18">
        <f>Reference!D146</f>
        <v>47.940199999999997</v>
      </c>
      <c r="G4" s="18">
        <f>Reference!E146</f>
        <v>45.561999999999998</v>
      </c>
      <c r="H4" s="18">
        <f>Reference!F146</f>
        <v>122523.352</v>
      </c>
      <c r="I4" s="18">
        <f>Reference!G146</f>
        <v>26.154</v>
      </c>
      <c r="J4" s="19">
        <f t="shared" ref="J4:J14" si="1">H4/3600</f>
        <v>34.034264444444446</v>
      </c>
      <c r="L4" s="17">
        <f>Test!B146</f>
        <v>8060.9120000000003</v>
      </c>
      <c r="M4" s="18">
        <f>Test!C146</f>
        <v>39.504100000000001</v>
      </c>
      <c r="N4" s="18">
        <f>Test!D146</f>
        <v>47.822800000000001</v>
      </c>
      <c r="O4" s="18">
        <f>Test!E146</f>
        <v>45.398099999999999</v>
      </c>
      <c r="P4" s="18">
        <f>Test!F146</f>
        <v>117247.45299999999</v>
      </c>
      <c r="Q4" s="18">
        <f>Test!G146</f>
        <v>25.315000000000001</v>
      </c>
      <c r="R4" s="19">
        <f t="shared" ref="R4:R14" si="2">P4/3600</f>
        <v>32.568736944444446</v>
      </c>
      <c r="S4" s="17">
        <f t="shared" ref="S4:S26" si="3">P4/H4</f>
        <v>0.95693964526860154</v>
      </c>
      <c r="T4" s="18">
        <f t="shared" ref="T4:T26" si="4">Q4/I4</f>
        <v>0.96792077693660628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4602.2879999999996</v>
      </c>
      <c r="E5" s="18">
        <f>Reference!C147</f>
        <v>38.5777</v>
      </c>
      <c r="F5" s="18">
        <f>Reference!D147</f>
        <v>46.942399999999999</v>
      </c>
      <c r="G5" s="18">
        <f>Reference!E147</f>
        <v>44.169699999999999</v>
      </c>
      <c r="H5" s="18">
        <f>Reference!F147</f>
        <v>64343.983999999997</v>
      </c>
      <c r="I5" s="18">
        <f>Reference!G147</f>
        <v>21.324000000000002</v>
      </c>
      <c r="J5" s="19">
        <f t="shared" si="1"/>
        <v>17.873328888888889</v>
      </c>
      <c r="L5" s="17">
        <f>Test!B147</f>
        <v>4491.3999999999996</v>
      </c>
      <c r="M5" s="18">
        <f>Test!C147</f>
        <v>38.508299999999998</v>
      </c>
      <c r="N5" s="18">
        <f>Test!D147</f>
        <v>46.851599999999998</v>
      </c>
      <c r="O5" s="18">
        <f>Test!E147</f>
        <v>44.036000000000001</v>
      </c>
      <c r="P5" s="18">
        <f>Test!F147</f>
        <v>62740.144999999997</v>
      </c>
      <c r="Q5" s="18">
        <f>Test!G147</f>
        <v>22.021999999999998</v>
      </c>
      <c r="R5" s="19">
        <f t="shared" si="2"/>
        <v>17.427818055555555</v>
      </c>
      <c r="S5" s="17">
        <f t="shared" si="3"/>
        <v>0.97507398671490408</v>
      </c>
      <c r="T5" s="18">
        <f t="shared" si="4"/>
        <v>1.0327330707184392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2501.6480000000001</v>
      </c>
      <c r="E6" s="23">
        <f>Reference!C148</f>
        <v>37.031999999999996</v>
      </c>
      <c r="F6" s="23">
        <f>Reference!D148</f>
        <v>45.562100000000001</v>
      </c>
      <c r="G6" s="23">
        <f>Reference!E148</f>
        <v>42.505000000000003</v>
      </c>
      <c r="H6" s="23">
        <f>Reference!F148</f>
        <v>32695.998</v>
      </c>
      <c r="I6" s="23">
        <f>Reference!G148</f>
        <v>18.681999999999999</v>
      </c>
      <c r="J6" s="24">
        <f t="shared" si="1"/>
        <v>9.0822216666666673</v>
      </c>
      <c r="L6" s="22">
        <f>Test!B148</f>
        <v>2465.8000000000002</v>
      </c>
      <c r="M6" s="23">
        <f>Test!C148</f>
        <v>36.971800000000002</v>
      </c>
      <c r="N6" s="23">
        <f>Test!D148</f>
        <v>45.408499999999997</v>
      </c>
      <c r="O6" s="23">
        <f>Test!E148</f>
        <v>42.3474</v>
      </c>
      <c r="P6" s="23">
        <f>Test!F148</f>
        <v>32134.728999999999</v>
      </c>
      <c r="Q6" s="23">
        <f>Test!G148</f>
        <v>18.637</v>
      </c>
      <c r="R6" s="24">
        <f t="shared" si="2"/>
        <v>8.9263136111111105</v>
      </c>
      <c r="S6" s="17">
        <f t="shared" si="3"/>
        <v>0.98283370949557802</v>
      </c>
      <c r="T6" s="18">
        <f t="shared" si="4"/>
        <v>0.99759126431859557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90946.024000000005</v>
      </c>
      <c r="E7" s="13">
        <f>Reference!C149</f>
        <v>41.735399999999998</v>
      </c>
      <c r="F7" s="13">
        <f>Reference!D149</f>
        <v>36.7301</v>
      </c>
      <c r="G7" s="13">
        <f>Reference!E149</f>
        <v>37.7346</v>
      </c>
      <c r="H7" s="13">
        <f>Reference!F149</f>
        <v>378046.06199999998</v>
      </c>
      <c r="I7" s="13">
        <f>Reference!G149</f>
        <v>32.613999999999997</v>
      </c>
      <c r="J7" s="14">
        <f t="shared" si="1"/>
        <v>105.012795</v>
      </c>
      <c r="L7" s="12">
        <f>Test!B149</f>
        <v>0</v>
      </c>
      <c r="M7" s="13">
        <f>Test!C149</f>
        <v>0</v>
      </c>
      <c r="N7" s="13">
        <f>Test!D149</f>
        <v>0</v>
      </c>
      <c r="O7" s="13">
        <f>Test!E149</f>
        <v>0</v>
      </c>
      <c r="P7" s="13">
        <f>Test!F149</f>
        <v>0</v>
      </c>
      <c r="Q7" s="13">
        <f>Test!G149</f>
        <v>0</v>
      </c>
      <c r="R7" s="14">
        <f t="shared" si="2"/>
        <v>0</v>
      </c>
      <c r="S7" s="17">
        <f t="shared" si="3"/>
        <v>0</v>
      </c>
      <c r="T7" s="18">
        <f t="shared" si="4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Reference!B150</f>
        <v>46539.792000000001</v>
      </c>
      <c r="E8" s="18">
        <f>Reference!C150</f>
        <v>38.939300000000003</v>
      </c>
      <c r="F8" s="18">
        <f>Reference!D150</f>
        <v>34.454000000000001</v>
      </c>
      <c r="G8" s="18">
        <f>Reference!E150</f>
        <v>35.835299999999997</v>
      </c>
      <c r="H8" s="18">
        <f>Reference!F150</f>
        <v>261513.93799999999</v>
      </c>
      <c r="I8" s="18">
        <f>Reference!G150</f>
        <v>27.504999999999999</v>
      </c>
      <c r="J8" s="19">
        <f t="shared" si="1"/>
        <v>72.642760555555554</v>
      </c>
      <c r="L8" s="17">
        <f>Test!B150</f>
        <v>0</v>
      </c>
      <c r="M8" s="18">
        <f>Test!C150</f>
        <v>0</v>
      </c>
      <c r="N8" s="18">
        <f>Test!D150</f>
        <v>0</v>
      </c>
      <c r="O8" s="18">
        <f>Test!E150</f>
        <v>0</v>
      </c>
      <c r="P8" s="18">
        <f>Test!F150</f>
        <v>0</v>
      </c>
      <c r="Q8" s="18">
        <f>Test!G150</f>
        <v>0</v>
      </c>
      <c r="R8" s="19">
        <f t="shared" si="2"/>
        <v>0</v>
      </c>
      <c r="S8" s="17">
        <f t="shared" si="3"/>
        <v>0</v>
      </c>
      <c r="T8" s="18">
        <f t="shared" si="4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21654.008000000002</v>
      </c>
      <c r="E9" s="18">
        <f>Reference!C151</f>
        <v>35.847099999999998</v>
      </c>
      <c r="F9" s="18">
        <f>Reference!D151</f>
        <v>32.535200000000003</v>
      </c>
      <c r="G9" s="18">
        <f>Reference!E151</f>
        <v>34.222200000000001</v>
      </c>
      <c r="H9" s="18">
        <f>Reference!F151</f>
        <v>174528.78099999999</v>
      </c>
      <c r="I9" s="18">
        <f>Reference!G151</f>
        <v>23.154</v>
      </c>
      <c r="J9" s="19">
        <f t="shared" si="1"/>
        <v>48.480216944444443</v>
      </c>
      <c r="L9" s="17">
        <f>Test!B151</f>
        <v>20783.367999999999</v>
      </c>
      <c r="M9" s="18">
        <f>Test!C151</f>
        <v>35.659700000000001</v>
      </c>
      <c r="N9" s="18">
        <f>Test!D151</f>
        <v>32.441099999999999</v>
      </c>
      <c r="O9" s="18">
        <f>Test!E151</f>
        <v>34.1342</v>
      </c>
      <c r="P9" s="18">
        <f>Test!F151</f>
        <v>176777.68799999999</v>
      </c>
      <c r="Q9" s="18">
        <f>Test!G151</f>
        <v>22.817</v>
      </c>
      <c r="R9" s="19">
        <f t="shared" si="2"/>
        <v>49.104913333333329</v>
      </c>
      <c r="S9" s="17">
        <f t="shared" si="3"/>
        <v>1.0128855939239041</v>
      </c>
      <c r="T9" s="18">
        <f t="shared" si="4"/>
        <v>0.98544527943335924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9160.0239999999994</v>
      </c>
      <c r="E10" s="23">
        <f>Reference!C152</f>
        <v>32.828400000000002</v>
      </c>
      <c r="F10" s="23">
        <f>Reference!D152</f>
        <v>30.811800000000002</v>
      </c>
      <c r="G10" s="23">
        <f>Reference!E152</f>
        <v>32.819200000000002</v>
      </c>
      <c r="H10" s="23">
        <f>Reference!F152</f>
        <v>97639.945000000007</v>
      </c>
      <c r="I10" s="23">
        <f>Reference!G152</f>
        <v>19.818999999999999</v>
      </c>
      <c r="J10" s="24">
        <f t="shared" si="1"/>
        <v>27.122206944444446</v>
      </c>
      <c r="L10" s="22">
        <f>Test!B152</f>
        <v>8866.5040000000008</v>
      </c>
      <c r="M10" s="23">
        <f>Test!C152</f>
        <v>32.706099999999999</v>
      </c>
      <c r="N10" s="23">
        <f>Test!D152</f>
        <v>30.768599999999999</v>
      </c>
      <c r="O10" s="23">
        <f>Test!E152</f>
        <v>32.764899999999997</v>
      </c>
      <c r="P10" s="23">
        <f>Test!F152</f>
        <v>97846.335999999996</v>
      </c>
      <c r="Q10" s="23">
        <f>Test!G152</f>
        <v>19.55</v>
      </c>
      <c r="R10" s="24">
        <f t="shared" si="2"/>
        <v>27.179537777777778</v>
      </c>
      <c r="S10" s="17">
        <f t="shared" si="3"/>
        <v>1.0021137967662721</v>
      </c>
      <c r="T10" s="18">
        <f t="shared" si="4"/>
        <v>0.98642716585095114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45122.296000000002</v>
      </c>
      <c r="E11" s="13">
        <f>Reference!C153</f>
        <v>38.880800000000001</v>
      </c>
      <c r="F11" s="13">
        <f>Reference!D153</f>
        <v>41.214300000000001</v>
      </c>
      <c r="G11" s="13">
        <f>Reference!E153</f>
        <v>41.491</v>
      </c>
      <c r="H11" s="13">
        <f>Reference!F153</f>
        <v>205216.42199999999</v>
      </c>
      <c r="I11" s="13">
        <f>Reference!G153</f>
        <v>20.603999999999999</v>
      </c>
      <c r="J11" s="14">
        <f t="shared" si="1"/>
        <v>57.004561666666667</v>
      </c>
      <c r="L11" s="12">
        <f>Test!B153</f>
        <v>0</v>
      </c>
      <c r="M11" s="13">
        <f>Test!C153</f>
        <v>0</v>
      </c>
      <c r="N11" s="13">
        <f>Test!D153</f>
        <v>0</v>
      </c>
      <c r="O11" s="13">
        <f>Test!E153</f>
        <v>0</v>
      </c>
      <c r="P11" s="13">
        <f>Test!F153</f>
        <v>0</v>
      </c>
      <c r="Q11" s="13">
        <f>Test!G153</f>
        <v>0</v>
      </c>
      <c r="R11" s="14">
        <f t="shared" si="2"/>
        <v>0</v>
      </c>
      <c r="S11" s="17">
        <f t="shared" si="3"/>
        <v>0</v>
      </c>
      <c r="T11" s="18">
        <f t="shared" si="4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Reference!B154</f>
        <v>22119.328000000001</v>
      </c>
      <c r="E12" s="18">
        <f>Reference!C154</f>
        <v>37.518599999999999</v>
      </c>
      <c r="F12" s="18">
        <f>Reference!D154</f>
        <v>38.653599999999997</v>
      </c>
      <c r="G12" s="18">
        <f>Reference!E154</f>
        <v>40.11</v>
      </c>
      <c r="H12" s="18">
        <f>Reference!F154</f>
        <v>126072.461</v>
      </c>
      <c r="I12" s="18">
        <f>Reference!G154</f>
        <v>15.374000000000001</v>
      </c>
      <c r="J12" s="19">
        <f t="shared" si="1"/>
        <v>35.020128055555553</v>
      </c>
      <c r="L12" s="17">
        <f>Test!B154</f>
        <v>21412.031999999999</v>
      </c>
      <c r="M12" s="18">
        <f>Test!C154</f>
        <v>37.403700000000001</v>
      </c>
      <c r="N12" s="18">
        <f>Test!D154</f>
        <v>38.548900000000003</v>
      </c>
      <c r="O12" s="18">
        <f>Test!E154</f>
        <v>40.013599999999997</v>
      </c>
      <c r="P12" s="18">
        <f>Test!F154</f>
        <v>120296.336</v>
      </c>
      <c r="Q12" s="18">
        <f>Test!G154</f>
        <v>14.817</v>
      </c>
      <c r="R12" s="19">
        <f t="shared" si="2"/>
        <v>33.415648888888889</v>
      </c>
      <c r="S12" s="17">
        <f t="shared" si="3"/>
        <v>0.95418408624544893</v>
      </c>
      <c r="T12" s="18">
        <f t="shared" si="4"/>
        <v>0.96377000130089763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11568.544</v>
      </c>
      <c r="E13" s="18">
        <f>Reference!C155</f>
        <v>35.968000000000004</v>
      </c>
      <c r="F13" s="18">
        <f>Reference!D155</f>
        <v>36.411200000000001</v>
      </c>
      <c r="G13" s="18">
        <f>Reference!E155</f>
        <v>38.6723</v>
      </c>
      <c r="H13" s="18">
        <f>Reference!F155</f>
        <v>78753.914000000004</v>
      </c>
      <c r="I13" s="18">
        <f>Reference!G155</f>
        <v>12.619</v>
      </c>
      <c r="J13" s="19">
        <f t="shared" si="1"/>
        <v>21.876087222222225</v>
      </c>
      <c r="L13" s="17">
        <f>Test!B155</f>
        <v>11396.2</v>
      </c>
      <c r="M13" s="18">
        <f>Test!C155</f>
        <v>35.9024</v>
      </c>
      <c r="N13" s="18">
        <f>Test!D155</f>
        <v>36.351300000000002</v>
      </c>
      <c r="O13" s="18">
        <f>Test!E155</f>
        <v>38.615099999999998</v>
      </c>
      <c r="P13" s="18">
        <f>Test!F155</f>
        <v>78049.141000000003</v>
      </c>
      <c r="Q13" s="18">
        <f>Test!G155</f>
        <v>12.792</v>
      </c>
      <c r="R13" s="19">
        <f t="shared" si="2"/>
        <v>21.680316944444446</v>
      </c>
      <c r="S13" s="17">
        <f t="shared" si="3"/>
        <v>0.99105094636947189</v>
      </c>
      <c r="T13" s="18">
        <f t="shared" si="4"/>
        <v>1.0137094856961724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5675.9920000000002</v>
      </c>
      <c r="E14" s="23">
        <f>Reference!C156</f>
        <v>34.054900000000004</v>
      </c>
      <c r="F14" s="23">
        <f>Reference!D156</f>
        <v>33.981900000000003</v>
      </c>
      <c r="G14" s="23">
        <f>Reference!E156</f>
        <v>36.918399999999998</v>
      </c>
      <c r="H14" s="23">
        <f>Reference!F156</f>
        <v>46019.546999999999</v>
      </c>
      <c r="I14" s="23">
        <f>Reference!G156</f>
        <v>11.228</v>
      </c>
      <c r="J14" s="24">
        <f t="shared" si="1"/>
        <v>12.7832075</v>
      </c>
      <c r="L14" s="22">
        <f>Test!B156</f>
        <v>5587.2719999999999</v>
      </c>
      <c r="M14" s="23">
        <f>Test!C156</f>
        <v>34.001199999999997</v>
      </c>
      <c r="N14" s="23">
        <f>Test!D156</f>
        <v>33.9437</v>
      </c>
      <c r="O14" s="23">
        <f>Test!E156</f>
        <v>36.883600000000001</v>
      </c>
      <c r="P14" s="23">
        <f>Test!F156</f>
        <v>45303.175999999999</v>
      </c>
      <c r="Q14" s="23">
        <f>Test!G156</f>
        <v>11.199</v>
      </c>
      <c r="R14" s="24">
        <f t="shared" si="2"/>
        <v>12.584215555555556</v>
      </c>
      <c r="S14" s="17">
        <f t="shared" si="3"/>
        <v>0.9844333322098977</v>
      </c>
      <c r="T14" s="18">
        <f t="shared" si="4"/>
        <v>0.997417171357321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24485.376</v>
      </c>
      <c r="E15" s="13">
        <f>Reference!C157</f>
        <v>37.539900000000003</v>
      </c>
      <c r="F15" s="13">
        <f>Reference!D157</f>
        <v>45.044400000000003</v>
      </c>
      <c r="G15" s="13">
        <f>Reference!E157</f>
        <v>42.811199999999999</v>
      </c>
      <c r="H15" s="13">
        <f>Reference!F157</f>
        <v>296888.875</v>
      </c>
      <c r="I15" s="13">
        <f>Reference!G157</f>
        <v>28.649000000000001</v>
      </c>
      <c r="J15" s="14">
        <f>H15/3600</f>
        <v>82.469131944444442</v>
      </c>
      <c r="L15" s="12">
        <f>Test!B157</f>
        <v>0</v>
      </c>
      <c r="M15" s="13">
        <f>Test!C157</f>
        <v>0</v>
      </c>
      <c r="N15" s="13">
        <f>Test!D157</f>
        <v>0</v>
      </c>
      <c r="O15" s="13">
        <f>Test!E157</f>
        <v>0</v>
      </c>
      <c r="P15" s="13">
        <f>Test!F157</f>
        <v>0</v>
      </c>
      <c r="Q15" s="13">
        <f>Test!G157</f>
        <v>0</v>
      </c>
      <c r="R15" s="14">
        <f>P15/3600</f>
        <v>0</v>
      </c>
      <c r="S15" s="17">
        <f t="shared" si="3"/>
        <v>0</v>
      </c>
      <c r="T15" s="18">
        <f t="shared" si="4"/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Reference!B158</f>
        <v>10316.68</v>
      </c>
      <c r="E16" s="18">
        <f>Reference!C158</f>
        <v>36.917000000000002</v>
      </c>
      <c r="F16" s="18">
        <f>Reference!D158</f>
        <v>44.398200000000003</v>
      </c>
      <c r="G16" s="18">
        <f>Reference!E158</f>
        <v>42.092500000000001</v>
      </c>
      <c r="H16" s="18">
        <f>Reference!F158</f>
        <v>160034.42199999999</v>
      </c>
      <c r="I16" s="18">
        <f>Reference!G158</f>
        <v>23.056999999999999</v>
      </c>
      <c r="J16" s="19">
        <f t="shared" ref="J16:J26" si="5">H16/3600</f>
        <v>44.454006111111106</v>
      </c>
      <c r="L16" s="17">
        <f>Test!B158</f>
        <v>9586.5679999999993</v>
      </c>
      <c r="M16" s="18">
        <f>Test!C158</f>
        <v>36.835299999999997</v>
      </c>
      <c r="N16" s="18">
        <f>Test!D158</f>
        <v>44.329300000000003</v>
      </c>
      <c r="O16" s="18">
        <f>Test!E158</f>
        <v>42.012300000000003</v>
      </c>
      <c r="P16" s="18">
        <f>Test!F158</f>
        <v>154946.375</v>
      </c>
      <c r="Q16" s="18">
        <f>Test!G158</f>
        <v>23.550999999999998</v>
      </c>
      <c r="R16" s="19">
        <f t="shared" ref="R16:R26" si="6">P16/3600</f>
        <v>43.040659722222223</v>
      </c>
      <c r="S16" s="17">
        <f t="shared" si="3"/>
        <v>0.96820654621416391</v>
      </c>
      <c r="T16" s="18">
        <f t="shared" si="4"/>
        <v>1.0214251637246823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5159.5360000000001</v>
      </c>
      <c r="E17" s="18">
        <f>Reference!C159</f>
        <v>35.9054</v>
      </c>
      <c r="F17" s="18">
        <f>Reference!D159</f>
        <v>43.4649</v>
      </c>
      <c r="G17" s="18">
        <f>Reference!E159</f>
        <v>41.1492</v>
      </c>
      <c r="H17" s="18">
        <f>Reference!F159</f>
        <v>88441.766000000003</v>
      </c>
      <c r="I17" s="18">
        <f>Reference!G159</f>
        <v>19.417000000000002</v>
      </c>
      <c r="J17" s="19">
        <f t="shared" si="5"/>
        <v>24.567157222222225</v>
      </c>
      <c r="L17" s="17">
        <f>Test!B159</f>
        <v>4983.3280000000004</v>
      </c>
      <c r="M17" s="18">
        <f>Test!C159</f>
        <v>35.833500000000001</v>
      </c>
      <c r="N17" s="18">
        <f>Test!D159</f>
        <v>43.415599999999998</v>
      </c>
      <c r="O17" s="18">
        <f>Test!E159</f>
        <v>41.084899999999998</v>
      </c>
      <c r="P17" s="18">
        <f>Test!F159</f>
        <v>87028.016000000003</v>
      </c>
      <c r="Q17" s="18">
        <f>Test!G159</f>
        <v>19.465</v>
      </c>
      <c r="R17" s="19">
        <f t="shared" si="6"/>
        <v>24.17444888888889</v>
      </c>
      <c r="S17" s="17">
        <f t="shared" si="3"/>
        <v>0.98401490535591518</v>
      </c>
      <c r="T17" s="18">
        <f t="shared" si="4"/>
        <v>1.0024720605654838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2568.152</v>
      </c>
      <c r="E18" s="23">
        <f>Reference!C160</f>
        <v>34.332799999999999</v>
      </c>
      <c r="F18" s="23">
        <f>Reference!D160</f>
        <v>42.148499999999999</v>
      </c>
      <c r="G18" s="23">
        <f>Reference!E160</f>
        <v>39.973700000000001</v>
      </c>
      <c r="H18" s="23">
        <f>Reference!F160</f>
        <v>43010.707000000002</v>
      </c>
      <c r="I18" s="23">
        <f>Reference!G160</f>
        <v>15.696</v>
      </c>
      <c r="J18" s="24">
        <f t="shared" si="5"/>
        <v>11.947418611111111</v>
      </c>
      <c r="L18" s="22">
        <f>Test!B160</f>
        <v>2513.5360000000001</v>
      </c>
      <c r="M18" s="23">
        <f>Test!C160</f>
        <v>34.272500000000001</v>
      </c>
      <c r="N18" s="23">
        <f>Test!D160</f>
        <v>42.097900000000003</v>
      </c>
      <c r="O18" s="23">
        <f>Test!E160</f>
        <v>39.981400000000001</v>
      </c>
      <c r="P18" s="23">
        <f>Test!F160</f>
        <v>41558.241999999998</v>
      </c>
      <c r="Q18" s="23">
        <f>Test!G160</f>
        <v>15.337999999999999</v>
      </c>
      <c r="R18" s="24">
        <f t="shared" si="6"/>
        <v>11.543956111111111</v>
      </c>
      <c r="S18" s="17">
        <f t="shared" si="3"/>
        <v>0.96623015287797975</v>
      </c>
      <c r="T18" s="18">
        <f t="shared" si="4"/>
        <v>0.97719164118246682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7967.0640000000003</v>
      </c>
      <c r="E19" s="13">
        <f>Reference!C161</f>
        <v>38.025100000000002</v>
      </c>
      <c r="F19" s="13">
        <f>Reference!D161</f>
        <v>39.744700000000002</v>
      </c>
      <c r="G19" s="13">
        <f>Reference!E161</f>
        <v>42.863900000000001</v>
      </c>
      <c r="H19" s="13">
        <f>Reference!F161</f>
        <v>335780.93800000002</v>
      </c>
      <c r="I19" s="13">
        <f>Reference!G161</f>
        <v>27.061</v>
      </c>
      <c r="J19" s="14">
        <f t="shared" si="5"/>
        <v>93.272482777777782</v>
      </c>
      <c r="L19" s="12">
        <f>Test!B161</f>
        <v>0</v>
      </c>
      <c r="M19" s="13">
        <f>Test!C161</f>
        <v>0</v>
      </c>
      <c r="N19" s="13">
        <f>Test!D161</f>
        <v>0</v>
      </c>
      <c r="O19" s="13">
        <f>Test!E161</f>
        <v>0</v>
      </c>
      <c r="P19" s="13">
        <f>Test!F161</f>
        <v>0</v>
      </c>
      <c r="Q19" s="13">
        <f>Test!G161</f>
        <v>0</v>
      </c>
      <c r="R19" s="14">
        <f t="shared" si="6"/>
        <v>0</v>
      </c>
      <c r="S19" s="12">
        <f t="shared" si="3"/>
        <v>0</v>
      </c>
      <c r="T19" s="13">
        <f t="shared" si="4"/>
        <v>0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3759.9312</v>
      </c>
      <c r="E20" s="18">
        <f>Reference!C162</f>
        <v>36.683399999999999</v>
      </c>
      <c r="F20" s="18">
        <f>Reference!D162</f>
        <v>39.108600000000003</v>
      </c>
      <c r="G20" s="18">
        <f>Reference!E162</f>
        <v>41.680700000000002</v>
      </c>
      <c r="H20" s="18">
        <f>Reference!F162</f>
        <v>210518.859</v>
      </c>
      <c r="I20" s="18">
        <f>Reference!G162</f>
        <v>21.975000000000001</v>
      </c>
      <c r="J20" s="19">
        <f t="shared" si="5"/>
        <v>58.477460833333332</v>
      </c>
      <c r="L20" s="17">
        <f>Test!B162</f>
        <v>3552.2496000000001</v>
      </c>
      <c r="M20" s="18">
        <f>Test!C162</f>
        <v>36.508499999999998</v>
      </c>
      <c r="N20" s="18">
        <f>Test!D162</f>
        <v>39.013599999999997</v>
      </c>
      <c r="O20" s="18">
        <f>Test!E162</f>
        <v>41.542499999999997</v>
      </c>
      <c r="P20" s="18">
        <f>Test!F162</f>
        <v>208247.03099999999</v>
      </c>
      <c r="Q20" s="18">
        <f>Test!G162</f>
        <v>21.254000000000001</v>
      </c>
      <c r="R20" s="19">
        <f t="shared" si="6"/>
        <v>57.846397499999995</v>
      </c>
      <c r="S20" s="17">
        <f t="shared" si="3"/>
        <v>0.98920843476545728</v>
      </c>
      <c r="T20" s="18">
        <f t="shared" si="4"/>
        <v>0.96718998862343575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1846.7616</v>
      </c>
      <c r="E21" s="18">
        <f>Reference!C163</f>
        <v>34.813099999999999</v>
      </c>
      <c r="F21" s="18">
        <f>Reference!D163</f>
        <v>38.272799999999997</v>
      </c>
      <c r="G21" s="18">
        <f>Reference!E163</f>
        <v>40.177500000000002</v>
      </c>
      <c r="H21" s="18">
        <f>Reference!F163</f>
        <v>124798.31200000001</v>
      </c>
      <c r="I21" s="18">
        <f>Reference!G163</f>
        <v>19.266999999999999</v>
      </c>
      <c r="J21" s="19">
        <f t="shared" si="5"/>
        <v>34.666197777777782</v>
      </c>
      <c r="L21" s="17">
        <f>Test!B163</f>
        <v>1784.6543999999999</v>
      </c>
      <c r="M21" s="18">
        <f>Test!C163</f>
        <v>34.697200000000002</v>
      </c>
      <c r="N21" s="18">
        <f>Test!D163</f>
        <v>38.212600000000002</v>
      </c>
      <c r="O21" s="18">
        <f>Test!E163</f>
        <v>40.095399999999998</v>
      </c>
      <c r="P21" s="18">
        <f>Test!F163</f>
        <v>126416.68</v>
      </c>
      <c r="Q21" s="18">
        <f>Test!G163</f>
        <v>17.718</v>
      </c>
      <c r="R21" s="19">
        <f t="shared" si="6"/>
        <v>35.115744444444445</v>
      </c>
      <c r="S21" s="17">
        <f t="shared" si="3"/>
        <v>1.0129678677064158</v>
      </c>
      <c r="T21" s="18">
        <f t="shared" si="4"/>
        <v>0.91960346706804386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883.85440000000006</v>
      </c>
      <c r="E22" s="23">
        <f>Reference!C164</f>
        <v>32.499699999999997</v>
      </c>
      <c r="F22" s="23">
        <f>Reference!D164</f>
        <v>37.2727</v>
      </c>
      <c r="G22" s="23">
        <f>Reference!E164</f>
        <v>38.522199999999998</v>
      </c>
      <c r="H22" s="23">
        <f>Reference!F164</f>
        <v>70427.554999999993</v>
      </c>
      <c r="I22" s="23">
        <f>Reference!G164</f>
        <v>14.196</v>
      </c>
      <c r="J22" s="24">
        <f t="shared" si="5"/>
        <v>19.563209722222219</v>
      </c>
      <c r="L22" s="22">
        <f>Test!B164</f>
        <v>865.49279999999999</v>
      </c>
      <c r="M22" s="23">
        <f>Test!C164</f>
        <v>32.413600000000002</v>
      </c>
      <c r="N22" s="23">
        <f>Test!D164</f>
        <v>37.198</v>
      </c>
      <c r="O22" s="23">
        <f>Test!E164</f>
        <v>38.432600000000001</v>
      </c>
      <c r="P22" s="23">
        <f>Test!F164</f>
        <v>71175.108999999997</v>
      </c>
      <c r="Q22" s="23">
        <f>Test!G164</f>
        <v>14.696999999999999</v>
      </c>
      <c r="R22" s="24">
        <f t="shared" si="6"/>
        <v>19.77086361111111</v>
      </c>
      <c r="S22" s="17">
        <f t="shared" si="3"/>
        <v>1.0106145101870994</v>
      </c>
      <c r="T22" s="18">
        <f t="shared" si="4"/>
        <v>1.0352916314454776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9103.4863999999998</v>
      </c>
      <c r="E23" s="13">
        <f>Reference!C165</f>
        <v>38.741100000000003</v>
      </c>
      <c r="F23" s="13">
        <f>Reference!D165</f>
        <v>43.687100000000001</v>
      </c>
      <c r="G23" s="13">
        <f>Reference!E165</f>
        <v>44.628700000000002</v>
      </c>
      <c r="H23" s="13">
        <f>Reference!F165</f>
        <v>367287.46899999998</v>
      </c>
      <c r="I23" s="13">
        <f>Reference!G165</f>
        <v>33.695</v>
      </c>
      <c r="J23" s="14">
        <f t="shared" si="5"/>
        <v>102.02429694444444</v>
      </c>
      <c r="L23" s="12">
        <f>Test!B165</f>
        <v>0</v>
      </c>
      <c r="M23" s="13">
        <f>Test!C165</f>
        <v>0</v>
      </c>
      <c r="N23" s="13">
        <f>Test!D165</f>
        <v>0</v>
      </c>
      <c r="O23" s="13">
        <f>Test!E165</f>
        <v>0</v>
      </c>
      <c r="P23" s="13">
        <f>Test!F165</f>
        <v>0</v>
      </c>
      <c r="Q23" s="13">
        <f>Test!G165</f>
        <v>0</v>
      </c>
      <c r="R23" s="14">
        <f t="shared" si="6"/>
        <v>0</v>
      </c>
      <c r="S23" s="17">
        <f t="shared" si="3"/>
        <v>0</v>
      </c>
      <c r="T23" s="18">
        <f t="shared" si="4"/>
        <v>0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Reference!B166</f>
        <v>4704.4512000000004</v>
      </c>
      <c r="E24" s="18">
        <f>Reference!C166</f>
        <v>37.5351</v>
      </c>
      <c r="F24" s="18">
        <f>Reference!D166</f>
        <v>42.715600000000002</v>
      </c>
      <c r="G24" s="18">
        <f>Reference!E166</f>
        <v>43.120600000000003</v>
      </c>
      <c r="H24" s="18">
        <f>Reference!F166</f>
        <v>229462.59400000001</v>
      </c>
      <c r="I24" s="18">
        <f>Reference!G166</f>
        <v>28.638999999999999</v>
      </c>
      <c r="J24" s="19">
        <f t="shared" si="5"/>
        <v>63.739609444444447</v>
      </c>
      <c r="L24" s="17">
        <f>Test!B166</f>
        <v>0</v>
      </c>
      <c r="M24" s="18">
        <f>Test!C166</f>
        <v>0</v>
      </c>
      <c r="N24" s="18">
        <f>Test!D166</f>
        <v>0</v>
      </c>
      <c r="O24" s="18">
        <f>Test!E166</f>
        <v>0</v>
      </c>
      <c r="P24" s="18">
        <f>Test!F166</f>
        <v>0</v>
      </c>
      <c r="Q24" s="18">
        <f>Test!G166</f>
        <v>0</v>
      </c>
      <c r="R24" s="19">
        <f t="shared" si="6"/>
        <v>0</v>
      </c>
      <c r="S24" s="17">
        <f t="shared" si="3"/>
        <v>0</v>
      </c>
      <c r="T24" s="18">
        <f t="shared" si="4"/>
        <v>0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2399.9391999999998</v>
      </c>
      <c r="E25" s="18">
        <f>Reference!C167</f>
        <v>35.859299999999998</v>
      </c>
      <c r="F25" s="18">
        <f>Reference!D167</f>
        <v>41.494900000000001</v>
      </c>
      <c r="G25" s="18">
        <f>Reference!E167</f>
        <v>41.397199999999998</v>
      </c>
      <c r="H25" s="18">
        <f>Reference!F167</f>
        <v>135869.71900000001</v>
      </c>
      <c r="I25" s="18">
        <f>Reference!G167</f>
        <v>23.047999999999998</v>
      </c>
      <c r="J25" s="19">
        <f t="shared" si="5"/>
        <v>37.741588611111112</v>
      </c>
      <c r="L25" s="17">
        <f>Test!B167</f>
        <v>2325.1487999999999</v>
      </c>
      <c r="M25" s="18">
        <f>Test!C167</f>
        <v>35.724499999999999</v>
      </c>
      <c r="N25" s="18">
        <f>Test!D167</f>
        <v>41.379800000000003</v>
      </c>
      <c r="O25" s="18">
        <f>Test!E167</f>
        <v>41.249400000000001</v>
      </c>
      <c r="P25" s="18">
        <f>Test!F167</f>
        <v>135319.859</v>
      </c>
      <c r="Q25" s="18">
        <f>Test!G167</f>
        <v>23.071999999999999</v>
      </c>
      <c r="R25" s="19">
        <f t="shared" si="6"/>
        <v>37.588849722222221</v>
      </c>
      <c r="S25" s="17">
        <f t="shared" si="3"/>
        <v>0.99595303498051679</v>
      </c>
      <c r="T25" s="18">
        <f t="shared" si="4"/>
        <v>1.001041305102395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1190.08</v>
      </c>
      <c r="E26" s="23">
        <f>Reference!C168</f>
        <v>33.764699999999998</v>
      </c>
      <c r="F26" s="23">
        <f>Reference!D168</f>
        <v>40.126899999999999</v>
      </c>
      <c r="G26" s="23">
        <f>Reference!E168</f>
        <v>39.448799999999999</v>
      </c>
      <c r="H26" s="23">
        <f>Reference!F168</f>
        <v>75018.702999999994</v>
      </c>
      <c r="I26" s="23">
        <f>Reference!G168</f>
        <v>18.734999999999999</v>
      </c>
      <c r="J26" s="24">
        <f t="shared" si="5"/>
        <v>20.838528611111109</v>
      </c>
      <c r="L26" s="22">
        <f>Test!B168</f>
        <v>1161.2080000000001</v>
      </c>
      <c r="M26" s="23">
        <f>Test!C168</f>
        <v>33.6586</v>
      </c>
      <c r="N26" s="23">
        <f>Test!D168</f>
        <v>40.017499999999998</v>
      </c>
      <c r="O26" s="23">
        <f>Test!E168</f>
        <v>39.337600000000002</v>
      </c>
      <c r="P26" s="23">
        <f>Test!F168</f>
        <v>76056.633000000002</v>
      </c>
      <c r="Q26" s="23">
        <f>Test!G168</f>
        <v>19.172999999999998</v>
      </c>
      <c r="R26" s="24">
        <f t="shared" si="6"/>
        <v>21.126842500000002</v>
      </c>
      <c r="S26" s="17">
        <f t="shared" si="3"/>
        <v>1.0138356164328781</v>
      </c>
      <c r="T26" s="18">
        <f t="shared" si="4"/>
        <v>1.0233787029623698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6355.32</v>
      </c>
      <c r="E27" s="13">
        <f>Reference!C169</f>
        <v>39.834499999999998</v>
      </c>
      <c r="F27" s="13">
        <f>Reference!D169</f>
        <v>43.810099999999998</v>
      </c>
      <c r="G27" s="13">
        <f>Reference!E169</f>
        <v>44.555199999999999</v>
      </c>
      <c r="H27" s="13">
        <f>Reference!F169</f>
        <v>331036.06199999998</v>
      </c>
      <c r="I27" s="13">
        <f>Reference!G169</f>
        <v>33.276000000000003</v>
      </c>
      <c r="J27" s="14">
        <f>H27/3600</f>
        <v>91.95446166666666</v>
      </c>
      <c r="L27" s="12">
        <f>Test!B169</f>
        <v>0</v>
      </c>
      <c r="M27" s="13">
        <f>Test!C169</f>
        <v>0</v>
      </c>
      <c r="N27" s="13">
        <f>Test!D169</f>
        <v>0</v>
      </c>
      <c r="O27" s="13">
        <f>Test!E169</f>
        <v>0</v>
      </c>
      <c r="P27" s="13">
        <f>Test!F169</f>
        <v>0</v>
      </c>
      <c r="Q27" s="13">
        <f>Test!G169</f>
        <v>0</v>
      </c>
      <c r="R27" s="14">
        <f>P27/3600</f>
        <v>0</v>
      </c>
      <c r="S27" s="17">
        <f t="shared" ref="S27:T46" si="7">P27/H27</f>
        <v>0</v>
      </c>
      <c r="T27" s="18">
        <f t="shared" si="7"/>
        <v>0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Reference!B170</f>
        <v>3033.48</v>
      </c>
      <c r="E28" s="18">
        <f>Reference!C170</f>
        <v>38.536299999999997</v>
      </c>
      <c r="F28" s="18">
        <f>Reference!D170</f>
        <v>42.941499999999998</v>
      </c>
      <c r="G28" s="18">
        <f>Reference!E170</f>
        <v>43.6556</v>
      </c>
      <c r="H28" s="18">
        <f>Reference!F170</f>
        <v>191648.43799999999</v>
      </c>
      <c r="I28" s="18">
        <f>Reference!G170</f>
        <v>26.251000000000001</v>
      </c>
      <c r="J28" s="19">
        <f t="shared" ref="J28:J46" si="8">H28/3600</f>
        <v>53.235677222222222</v>
      </c>
      <c r="L28" s="17">
        <f>Test!B170</f>
        <v>2798.6064000000001</v>
      </c>
      <c r="M28" s="18">
        <f>Test!C170</f>
        <v>38.375599999999999</v>
      </c>
      <c r="N28" s="18">
        <f>Test!D170</f>
        <v>42.825499999999998</v>
      </c>
      <c r="O28" s="18">
        <f>Test!E170</f>
        <v>43.528500000000001</v>
      </c>
      <c r="P28" s="18">
        <f>Test!F170</f>
        <v>190463.266</v>
      </c>
      <c r="Q28" s="18">
        <f>Test!G170</f>
        <v>26.289000000000001</v>
      </c>
      <c r="R28" s="19">
        <f t="shared" ref="R28:R46" si="9">P28/3600</f>
        <v>52.906462777777776</v>
      </c>
      <c r="S28" s="17">
        <f t="shared" si="7"/>
        <v>0.9938159057680398</v>
      </c>
      <c r="T28" s="18">
        <f t="shared" si="7"/>
        <v>1.0014475639023275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1464.4960000000001</v>
      </c>
      <c r="E29" s="18">
        <f>Reference!C171</f>
        <v>36.724899999999998</v>
      </c>
      <c r="F29" s="18">
        <f>Reference!D171</f>
        <v>41.852499999999999</v>
      </c>
      <c r="G29" s="18">
        <f>Reference!E171</f>
        <v>42.420999999999999</v>
      </c>
      <c r="H29" s="18">
        <f>Reference!F171</f>
        <v>106160.234</v>
      </c>
      <c r="I29" s="18">
        <f>Reference!G171</f>
        <v>23.09</v>
      </c>
      <c r="J29" s="19">
        <f t="shared" si="8"/>
        <v>29.488953888888886</v>
      </c>
      <c r="L29" s="17">
        <f>Test!B171</f>
        <v>1399.1487999999999</v>
      </c>
      <c r="M29" s="18">
        <f>Test!C171</f>
        <v>36.586399999999998</v>
      </c>
      <c r="N29" s="18">
        <f>Test!D171</f>
        <v>41.764400000000002</v>
      </c>
      <c r="O29" s="18">
        <f>Test!E171</f>
        <v>42.322200000000002</v>
      </c>
      <c r="P29" s="18">
        <f>Test!F171</f>
        <v>106614.461</v>
      </c>
      <c r="Q29" s="18">
        <f>Test!G171</f>
        <v>21.968</v>
      </c>
      <c r="R29" s="19">
        <f t="shared" si="9"/>
        <v>29.615128055555555</v>
      </c>
      <c r="S29" s="17">
        <f t="shared" si="7"/>
        <v>1.0042786925281268</v>
      </c>
      <c r="T29" s="18">
        <f t="shared" si="7"/>
        <v>0.95140753572975312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690.11360000000002</v>
      </c>
      <c r="E30" s="23">
        <f>Reference!C172</f>
        <v>34.424199999999999</v>
      </c>
      <c r="F30" s="23">
        <f>Reference!D172</f>
        <v>40.692500000000003</v>
      </c>
      <c r="G30" s="23">
        <f>Reference!E172</f>
        <v>41.063600000000001</v>
      </c>
      <c r="H30" s="23">
        <f>Reference!F172</f>
        <v>55878.152000000002</v>
      </c>
      <c r="I30" s="23">
        <f>Reference!G172</f>
        <v>17.698</v>
      </c>
      <c r="J30" s="24">
        <f t="shared" si="8"/>
        <v>15.52170888888889</v>
      </c>
      <c r="L30" s="22">
        <f>Test!B172</f>
        <v>671.36</v>
      </c>
      <c r="M30" s="23">
        <f>Test!C172</f>
        <v>34.335599999999999</v>
      </c>
      <c r="N30" s="23">
        <f>Test!D172</f>
        <v>40.630099999999999</v>
      </c>
      <c r="O30" s="23">
        <f>Test!E172</f>
        <v>41.001199999999997</v>
      </c>
      <c r="P30" s="23">
        <f>Test!F172</f>
        <v>57036.938000000002</v>
      </c>
      <c r="Q30" s="23">
        <f>Test!G172</f>
        <v>18.448</v>
      </c>
      <c r="R30" s="24">
        <f t="shared" si="9"/>
        <v>15.84359388888889</v>
      </c>
      <c r="S30" s="17">
        <f t="shared" si="7"/>
        <v>1.0207377294796722</v>
      </c>
      <c r="T30" s="18">
        <f t="shared" si="7"/>
        <v>1.042377669793197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6708.4319999999998</v>
      </c>
      <c r="E31" s="13">
        <f>Reference!C173</f>
        <v>43.387</v>
      </c>
      <c r="F31" s="13">
        <f>Reference!D173</f>
        <v>46.732199999999999</v>
      </c>
      <c r="G31" s="13">
        <f>Reference!E173</f>
        <v>47.313099999999999</v>
      </c>
      <c r="H31" s="13">
        <f>Reference!F173</f>
        <v>277374.56199999998</v>
      </c>
      <c r="I31" s="13">
        <f>Reference!G173</f>
        <v>34.840000000000003</v>
      </c>
      <c r="J31" s="14">
        <f t="shared" si="8"/>
        <v>77.048489444444442</v>
      </c>
      <c r="L31" s="12">
        <f>Test!B173</f>
        <v>0</v>
      </c>
      <c r="M31" s="13">
        <f>Test!C173</f>
        <v>0</v>
      </c>
      <c r="N31" s="13">
        <f>Test!D173</f>
        <v>0</v>
      </c>
      <c r="O31" s="13">
        <f>Test!E173</f>
        <v>0</v>
      </c>
      <c r="P31" s="13">
        <f>Test!F173</f>
        <v>0</v>
      </c>
      <c r="Q31" s="13">
        <f>Test!G173</f>
        <v>0</v>
      </c>
      <c r="R31" s="14">
        <f t="shared" si="9"/>
        <v>0</v>
      </c>
      <c r="S31" s="17">
        <f t="shared" si="7"/>
        <v>0</v>
      </c>
      <c r="T31" s="18">
        <f t="shared" si="7"/>
        <v>0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Reference!B174</f>
        <v>4087.0880000000002</v>
      </c>
      <c r="E32" s="18">
        <f>Reference!C174</f>
        <v>41.075699999999998</v>
      </c>
      <c r="F32" s="18">
        <f>Reference!D174</f>
        <v>45.279600000000002</v>
      </c>
      <c r="G32" s="18">
        <f>Reference!E174</f>
        <v>45.630499999999998</v>
      </c>
      <c r="H32" s="18">
        <f>Reference!F174</f>
        <v>195306.125</v>
      </c>
      <c r="I32" s="18">
        <f>Reference!G174</f>
        <v>30.521000000000001</v>
      </c>
      <c r="J32" s="19">
        <f t="shared" si="8"/>
        <v>54.25170138888889</v>
      </c>
      <c r="L32" s="17">
        <f>Test!B174</f>
        <v>0</v>
      </c>
      <c r="M32" s="18">
        <f>Test!C174</f>
        <v>0</v>
      </c>
      <c r="N32" s="18">
        <f>Test!D174</f>
        <v>0</v>
      </c>
      <c r="O32" s="18">
        <f>Test!E174</f>
        <v>0</v>
      </c>
      <c r="P32" s="18">
        <f>Test!F174</f>
        <v>0</v>
      </c>
      <c r="Q32" s="18">
        <f>Test!G174</f>
        <v>0</v>
      </c>
      <c r="R32" s="19">
        <f t="shared" si="9"/>
        <v>0</v>
      </c>
      <c r="S32" s="17">
        <f t="shared" si="7"/>
        <v>0</v>
      </c>
      <c r="T32" s="18">
        <f t="shared" si="7"/>
        <v>0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2261.0336000000002</v>
      </c>
      <c r="E33" s="18">
        <f>Reference!C175</f>
        <v>38.271599999999999</v>
      </c>
      <c r="F33" s="18">
        <f>Reference!D175</f>
        <v>43.611800000000002</v>
      </c>
      <c r="G33" s="18">
        <f>Reference!E175</f>
        <v>43.770099999999999</v>
      </c>
      <c r="H33" s="18">
        <f>Reference!F175</f>
        <v>122717.711</v>
      </c>
      <c r="I33" s="18">
        <f>Reference!G175</f>
        <v>25.975000000000001</v>
      </c>
      <c r="J33" s="19">
        <f t="shared" si="8"/>
        <v>34.088253055555555</v>
      </c>
      <c r="L33" s="17">
        <f>Test!B175</f>
        <v>2219.0927999999999</v>
      </c>
      <c r="M33" s="18">
        <f>Test!C175</f>
        <v>38.144199999999998</v>
      </c>
      <c r="N33" s="18">
        <f>Test!D175</f>
        <v>43.5124</v>
      </c>
      <c r="O33" s="18">
        <f>Test!E175</f>
        <v>43.630899999999997</v>
      </c>
      <c r="P33" s="18">
        <f>Test!F175</f>
        <v>124874.742</v>
      </c>
      <c r="Q33" s="18">
        <f>Test!G175</f>
        <v>25.31</v>
      </c>
      <c r="R33" s="19">
        <f t="shared" si="9"/>
        <v>34.68742833333333</v>
      </c>
      <c r="S33" s="17">
        <f t="shared" si="7"/>
        <v>1.0175771775925644</v>
      </c>
      <c r="T33" s="18">
        <f t="shared" si="7"/>
        <v>0.97439846005774777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1176.0719999999999</v>
      </c>
      <c r="E34" s="23">
        <f>Reference!C176</f>
        <v>35.307000000000002</v>
      </c>
      <c r="F34" s="23">
        <f>Reference!D176</f>
        <v>41.988700000000001</v>
      </c>
      <c r="G34" s="23">
        <f>Reference!E176</f>
        <v>41.917299999999997</v>
      </c>
      <c r="H34" s="23">
        <f>Reference!F176</f>
        <v>70569.273000000001</v>
      </c>
      <c r="I34" s="23">
        <f>Reference!G176</f>
        <v>20.574000000000002</v>
      </c>
      <c r="J34" s="24">
        <f t="shared" si="8"/>
        <v>19.602575833333333</v>
      </c>
      <c r="L34" s="22">
        <f>Test!B176</f>
        <v>1155.8751999999999</v>
      </c>
      <c r="M34" s="23">
        <f>Test!C176</f>
        <v>35.2254</v>
      </c>
      <c r="N34" s="23">
        <f>Test!D176</f>
        <v>41.9285</v>
      </c>
      <c r="O34" s="23">
        <f>Test!E176</f>
        <v>41.799900000000001</v>
      </c>
      <c r="P34" s="23">
        <f>Test!F176</f>
        <v>73356.366999999998</v>
      </c>
      <c r="Q34" s="23">
        <f>Test!G176</f>
        <v>21.378</v>
      </c>
      <c r="R34" s="24">
        <f t="shared" si="9"/>
        <v>20.37676861111111</v>
      </c>
      <c r="S34" s="17">
        <f t="shared" si="7"/>
        <v>1.0394944411571307</v>
      </c>
      <c r="T34" s="18">
        <f t="shared" si="7"/>
        <v>1.0390784485272673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4675.0240000000003</v>
      </c>
      <c r="E35" s="13">
        <f>Reference!C177</f>
        <v>38.4557</v>
      </c>
      <c r="F35" s="13">
        <f>Reference!D177</f>
        <v>45.524000000000001</v>
      </c>
      <c r="G35" s="13">
        <f>Reference!E177</f>
        <v>45.743400000000001</v>
      </c>
      <c r="H35" s="13">
        <f>Reference!F177</f>
        <v>190730.484</v>
      </c>
      <c r="I35" s="13">
        <f>Reference!G177</f>
        <v>15.443</v>
      </c>
      <c r="J35" s="14">
        <f t="shared" si="8"/>
        <v>52.980689999999996</v>
      </c>
      <c r="L35" s="12">
        <f>Test!B177</f>
        <v>0</v>
      </c>
      <c r="M35" s="13">
        <f>Test!C177</f>
        <v>0</v>
      </c>
      <c r="N35" s="13">
        <f>Test!D177</f>
        <v>0</v>
      </c>
      <c r="O35" s="13">
        <f>Test!E177</f>
        <v>0</v>
      </c>
      <c r="P35" s="13">
        <f>Test!F177</f>
        <v>0</v>
      </c>
      <c r="Q35" s="13">
        <f>Test!G177</f>
        <v>0</v>
      </c>
      <c r="R35" s="14">
        <f t="shared" si="9"/>
        <v>0</v>
      </c>
      <c r="S35" s="12">
        <f t="shared" si="7"/>
        <v>0</v>
      </c>
      <c r="T35" s="13">
        <f t="shared" si="7"/>
        <v>0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1634.8208</v>
      </c>
      <c r="E36" s="18">
        <f>Reference!C178</f>
        <v>36.459699999999998</v>
      </c>
      <c r="F36" s="18">
        <f>Reference!D178</f>
        <v>44.551900000000003</v>
      </c>
      <c r="G36" s="18">
        <f>Reference!E178</f>
        <v>44.767099999999999</v>
      </c>
      <c r="H36" s="18">
        <f>Reference!F178</f>
        <v>98211.633000000002</v>
      </c>
      <c r="I36" s="18">
        <f>Reference!G178</f>
        <v>10.867000000000001</v>
      </c>
      <c r="J36" s="19">
        <f t="shared" si="8"/>
        <v>27.281009166666667</v>
      </c>
      <c r="L36" s="17">
        <f>Test!B178</f>
        <v>1364.3904</v>
      </c>
      <c r="M36" s="18">
        <f>Test!C178</f>
        <v>36.193899999999999</v>
      </c>
      <c r="N36" s="18">
        <f>Test!D178</f>
        <v>44.485500000000002</v>
      </c>
      <c r="O36" s="18">
        <f>Test!E178</f>
        <v>44.659300000000002</v>
      </c>
      <c r="P36" s="18">
        <f>Test!F178</f>
        <v>95032.539000000004</v>
      </c>
      <c r="Q36" s="18">
        <f>Test!G178</f>
        <v>10.685</v>
      </c>
      <c r="R36" s="19">
        <f t="shared" si="9"/>
        <v>26.397927500000002</v>
      </c>
      <c r="S36" s="17">
        <f t="shared" si="7"/>
        <v>0.96763016861760154</v>
      </c>
      <c r="T36" s="18">
        <f t="shared" si="7"/>
        <v>0.98325204748320605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654.56479999999999</v>
      </c>
      <c r="E37" s="18">
        <f>Reference!C179</f>
        <v>34.029800000000002</v>
      </c>
      <c r="F37" s="18">
        <f>Reference!D179</f>
        <v>43.190100000000001</v>
      </c>
      <c r="G37" s="18">
        <f>Reference!E179</f>
        <v>43.385800000000003</v>
      </c>
      <c r="H37" s="18">
        <f>Reference!F179</f>
        <v>54973.862999999998</v>
      </c>
      <c r="I37" s="18">
        <f>Reference!G179</f>
        <v>7.9189999999999996</v>
      </c>
      <c r="J37" s="19">
        <f t="shared" si="8"/>
        <v>15.270517499999999</v>
      </c>
      <c r="L37" s="17">
        <f>Test!B179</f>
        <v>610.10720000000003</v>
      </c>
      <c r="M37" s="18">
        <f>Test!C179</f>
        <v>33.854700000000001</v>
      </c>
      <c r="N37" s="18">
        <f>Test!D179</f>
        <v>43.153300000000002</v>
      </c>
      <c r="O37" s="18">
        <f>Test!E179</f>
        <v>43.3673</v>
      </c>
      <c r="P37" s="18">
        <f>Test!F179</f>
        <v>55170.41</v>
      </c>
      <c r="Q37" s="18">
        <f>Test!G179</f>
        <v>8.4369999999999994</v>
      </c>
      <c r="R37" s="19">
        <f t="shared" si="9"/>
        <v>15.32511388888889</v>
      </c>
      <c r="S37" s="17">
        <f t="shared" si="7"/>
        <v>1.00357528085665</v>
      </c>
      <c r="T37" s="18">
        <f t="shared" si="7"/>
        <v>1.0654122995327693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277.24799999999999</v>
      </c>
      <c r="E38" s="23">
        <f>Reference!C180</f>
        <v>31.013100000000001</v>
      </c>
      <c r="F38" s="23">
        <f>Reference!D180</f>
        <v>41.9437</v>
      </c>
      <c r="G38" s="23">
        <f>Reference!E180</f>
        <v>41.99</v>
      </c>
      <c r="H38" s="23">
        <f>Reference!F180</f>
        <v>30872.965</v>
      </c>
      <c r="I38" s="23">
        <f>Reference!G180</f>
        <v>6.5839999999999996</v>
      </c>
      <c r="J38" s="24">
        <f t="shared" si="8"/>
        <v>8.5758236111111117</v>
      </c>
      <c r="L38" s="22">
        <f>Test!B180</f>
        <v>271.01600000000002</v>
      </c>
      <c r="M38" s="23">
        <f>Test!C180</f>
        <v>30.965</v>
      </c>
      <c r="N38" s="23">
        <f>Test!D180</f>
        <v>41.916600000000003</v>
      </c>
      <c r="O38" s="23">
        <f>Test!E180</f>
        <v>42.024999999999999</v>
      </c>
      <c r="P38" s="23">
        <f>Test!F180</f>
        <v>31576.937999999998</v>
      </c>
      <c r="Q38" s="23">
        <f>Test!G180</f>
        <v>6.6020000000000003</v>
      </c>
      <c r="R38" s="24">
        <f t="shared" si="9"/>
        <v>8.771371666666667</v>
      </c>
      <c r="S38" s="17">
        <f t="shared" si="7"/>
        <v>1.0228022478566603</v>
      </c>
      <c r="T38" s="18">
        <f t="shared" si="7"/>
        <v>1.0027339003645201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3776.5360000000001</v>
      </c>
      <c r="E39" s="13">
        <f>Reference!C181</f>
        <v>40.530999999999999</v>
      </c>
      <c r="F39" s="13">
        <f>Reference!D181</f>
        <v>45.259099999999997</v>
      </c>
      <c r="G39" s="13">
        <f>Reference!E181</f>
        <v>46.052300000000002</v>
      </c>
      <c r="H39" s="13">
        <f>Reference!F181</f>
        <v>165345.92199999999</v>
      </c>
      <c r="I39" s="13">
        <f>Reference!G181</f>
        <v>16.306000000000001</v>
      </c>
      <c r="J39" s="14">
        <f t="shared" si="8"/>
        <v>45.929422777777773</v>
      </c>
      <c r="L39" s="12">
        <f>Test!B181</f>
        <v>3334.7375999999999</v>
      </c>
      <c r="M39" s="13">
        <f>Test!C181</f>
        <v>40.256100000000004</v>
      </c>
      <c r="N39" s="13">
        <f>Test!D181</f>
        <v>45.090299999999999</v>
      </c>
      <c r="O39" s="13">
        <f>Test!E181</f>
        <v>45.830500000000001</v>
      </c>
      <c r="P39" s="13">
        <f>Test!F181</f>
        <v>158323.484</v>
      </c>
      <c r="Q39" s="13">
        <f>Test!G181</f>
        <v>15.824999999999999</v>
      </c>
      <c r="R39" s="14">
        <f t="shared" si="9"/>
        <v>43.978745555555555</v>
      </c>
      <c r="S39" s="17">
        <f t="shared" si="7"/>
        <v>0.95752881041722948</v>
      </c>
      <c r="T39" s="18">
        <f t="shared" si="7"/>
        <v>0.97050165583220893</v>
      </c>
      <c r="U39" s="91"/>
      <c r="V39" s="37">
        <f>bdrate($D39:$D42,E39:E42,$L39:$L42,M39:M42)</f>
        <v>1.7377388874999733E-2</v>
      </c>
      <c r="W39" s="42">
        <f>bdrate($D39:$D42,F39:F42,$L39:$L42,N39:N42)</f>
        <v>6.2150331023584915E-2</v>
      </c>
      <c r="X39" s="42">
        <f>bdrate($D39:$D42,G39:G42,$L39:$L42,O39:O42)</f>
        <v>2.6529168488846677E-2</v>
      </c>
      <c r="Y39" s="40">
        <f>bdrateOld($D39:$D42,E39:E42,$L39:$L42,M39:M42)</f>
        <v>1.7130163637656848E-2</v>
      </c>
      <c r="Z39" s="44">
        <f>bdrateOld($D39:$D42,F39:F42,$L39:$L42,N39:N42)</f>
        <v>6.0104242517958095E-2</v>
      </c>
      <c r="AA39" s="45">
        <f>bdrateOld($D39:$D42,G39:G42,$L39:$L42,O39:O42)</f>
        <v>2.4937505479894595E-2</v>
      </c>
    </row>
    <row r="40" spans="1:27" x14ac:dyDescent="0.2">
      <c r="A40" s="16"/>
      <c r="B40" s="85"/>
      <c r="C40" s="16">
        <v>32</v>
      </c>
      <c r="D40" s="17">
        <f>Reference!B182</f>
        <v>1705.816</v>
      </c>
      <c r="E40" s="18">
        <f>Reference!C182</f>
        <v>38.876300000000001</v>
      </c>
      <c r="F40" s="18">
        <f>Reference!D182</f>
        <v>44.429400000000001</v>
      </c>
      <c r="G40" s="18">
        <f>Reference!E182</f>
        <v>44.501300000000001</v>
      </c>
      <c r="H40" s="18">
        <f>Reference!F182</f>
        <v>95442.797000000006</v>
      </c>
      <c r="I40" s="18">
        <f>Reference!G182</f>
        <v>12.957000000000001</v>
      </c>
      <c r="J40" s="19">
        <f t="shared" si="8"/>
        <v>26.511888055555556</v>
      </c>
      <c r="L40" s="17">
        <f>Test!B182</f>
        <v>1600.2224000000001</v>
      </c>
      <c r="M40" s="18">
        <f>Test!C182</f>
        <v>38.679499999999997</v>
      </c>
      <c r="N40" s="18">
        <f>Test!D182</f>
        <v>44.255600000000001</v>
      </c>
      <c r="O40" s="18">
        <f>Test!E182</f>
        <v>44.253399999999999</v>
      </c>
      <c r="P40" s="18">
        <f>Test!F182</f>
        <v>95952.241999999998</v>
      </c>
      <c r="Q40" s="18">
        <f>Test!G182</f>
        <v>13.167999999999999</v>
      </c>
      <c r="R40" s="19">
        <f t="shared" si="9"/>
        <v>26.653400555555557</v>
      </c>
      <c r="S40" s="17">
        <f t="shared" si="7"/>
        <v>1.0053376998161527</v>
      </c>
      <c r="T40" s="18">
        <f t="shared" si="7"/>
        <v>1.0162846337886855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816.41120000000001</v>
      </c>
      <c r="E41" s="18">
        <f>Reference!C183</f>
        <v>36.907600000000002</v>
      </c>
      <c r="F41" s="18">
        <f>Reference!D183</f>
        <v>43.428400000000003</v>
      </c>
      <c r="G41" s="18">
        <f>Reference!E183</f>
        <v>42.6982</v>
      </c>
      <c r="H41" s="18">
        <f>Reference!F183</f>
        <v>53561.02</v>
      </c>
      <c r="I41" s="18">
        <f>Reference!G183</f>
        <v>10.147</v>
      </c>
      <c r="J41" s="19">
        <f t="shared" si="8"/>
        <v>14.87806111111111</v>
      </c>
      <c r="L41" s="17">
        <f>Test!B183</f>
        <v>782.50400000000002</v>
      </c>
      <c r="M41" s="18">
        <f>Test!C183</f>
        <v>36.741599999999998</v>
      </c>
      <c r="N41" s="18">
        <f>Test!D183</f>
        <v>43.274099999999997</v>
      </c>
      <c r="O41" s="18">
        <f>Test!E183</f>
        <v>42.538899999999998</v>
      </c>
      <c r="P41" s="18">
        <f>Test!F183</f>
        <v>53102.383000000002</v>
      </c>
      <c r="Q41" s="18">
        <f>Test!G183</f>
        <v>10.536</v>
      </c>
      <c r="R41" s="19">
        <f t="shared" si="9"/>
        <v>14.750661944444445</v>
      </c>
      <c r="S41" s="17">
        <f t="shared" si="7"/>
        <v>0.99143711228800357</v>
      </c>
      <c r="T41" s="18">
        <f t="shared" si="7"/>
        <v>1.0383364541243716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383.54559999999998</v>
      </c>
      <c r="E42" s="23">
        <f>Reference!C184</f>
        <v>34.673499999999997</v>
      </c>
      <c r="F42" s="23">
        <f>Reference!D184</f>
        <v>42.082299999999996</v>
      </c>
      <c r="G42" s="23">
        <f>Reference!E184</f>
        <v>40.645000000000003</v>
      </c>
      <c r="H42" s="23">
        <f>Reference!F184</f>
        <v>27429.145</v>
      </c>
      <c r="I42" s="23">
        <f>Reference!G184</f>
        <v>7.7919999999999998</v>
      </c>
      <c r="J42" s="24">
        <f t="shared" si="8"/>
        <v>7.6192069444444446</v>
      </c>
      <c r="L42" s="22">
        <f>Test!B184</f>
        <v>373.56959999999998</v>
      </c>
      <c r="M42" s="23">
        <f>Test!C184</f>
        <v>34.540500000000002</v>
      </c>
      <c r="N42" s="23">
        <f>Test!D184</f>
        <v>41.954500000000003</v>
      </c>
      <c r="O42" s="23">
        <f>Test!E184</f>
        <v>40.521299999999997</v>
      </c>
      <c r="P42" s="23">
        <f>Test!F184</f>
        <v>28360.609</v>
      </c>
      <c r="Q42" s="23">
        <f>Test!G184</f>
        <v>8.0960000000000001</v>
      </c>
      <c r="R42" s="24">
        <f t="shared" si="9"/>
        <v>7.877946944444445</v>
      </c>
      <c r="S42" s="17">
        <f t="shared" si="7"/>
        <v>1.0339589148695667</v>
      </c>
      <c r="T42" s="18">
        <f t="shared" si="7"/>
        <v>1.0390143737166324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920.20799999999997</v>
      </c>
      <c r="E43" s="13">
        <f>Reference!C185</f>
        <v>42.968200000000003</v>
      </c>
      <c r="F43" s="13">
        <f>Reference!D185</f>
        <v>46.770400000000002</v>
      </c>
      <c r="G43" s="13">
        <f>Reference!E185</f>
        <v>47.599200000000003</v>
      </c>
      <c r="H43" s="13">
        <f>Reference!F185</f>
        <v>63609.43</v>
      </c>
      <c r="I43" s="13">
        <f>Reference!G185</f>
        <v>8.3000000000000007</v>
      </c>
      <c r="J43" s="14">
        <f t="shared" si="8"/>
        <v>17.669286111111113</v>
      </c>
      <c r="L43" s="12">
        <f>Test!B185</f>
        <v>849.68960000000004</v>
      </c>
      <c r="M43" s="13">
        <f>Test!C185</f>
        <v>42.836300000000001</v>
      </c>
      <c r="N43" s="13">
        <f>Test!D185</f>
        <v>46.664900000000003</v>
      </c>
      <c r="O43" s="13">
        <f>Test!E185</f>
        <v>47.510800000000003</v>
      </c>
      <c r="P43" s="13">
        <f>Test!F185</f>
        <v>64049.671999999999</v>
      </c>
      <c r="Q43" s="13">
        <f>Test!G185</f>
        <v>8.4670000000000005</v>
      </c>
      <c r="R43" s="14">
        <f t="shared" si="9"/>
        <v>17.791575555555553</v>
      </c>
      <c r="S43" s="17">
        <f t="shared" si="7"/>
        <v>1.0069210178427948</v>
      </c>
      <c r="T43" s="18">
        <f t="shared" si="7"/>
        <v>1.0201204819277108</v>
      </c>
      <c r="U43" s="91"/>
      <c r="V43" s="37">
        <f>bdrate($D43:$D46,E43:E46,$L43:$L46,M43:M46)</f>
        <v>-2.8638680438898279E-3</v>
      </c>
      <c r="W43" s="42">
        <f>bdrate($D43:$D46,F43:F46,$L43:$L46,N43:N46)</f>
        <v>1.2941836301438192E-2</v>
      </c>
      <c r="X43" s="42">
        <f>bdrate($D43:$D46,G43:G46,$L43:$L46,O43:O46)</f>
        <v>1.3755463917131117E-3</v>
      </c>
      <c r="Y43" s="40">
        <f>bdrateOld($D43:$D46,E43:E46,$L43:$L46,M43:M46)</f>
        <v>-3.5422115804486509E-3</v>
      </c>
      <c r="Z43" s="44">
        <f>bdrateOld($D43:$D46,F43:F46,$L43:$L46,N43:N46)</f>
        <v>1.1725363367003583E-2</v>
      </c>
      <c r="AA43" s="45">
        <f>bdrateOld($D43:$D46,G43:G46,$L43:$L46,O43:O46)</f>
        <v>3.1048255368166799E-3</v>
      </c>
    </row>
    <row r="44" spans="1:27" x14ac:dyDescent="0.2">
      <c r="A44" s="16"/>
      <c r="B44" s="85"/>
      <c r="C44" s="16">
        <v>32</v>
      </c>
      <c r="D44" s="17">
        <f>Reference!B186</f>
        <v>470.25279999999998</v>
      </c>
      <c r="E44" s="18">
        <f>Reference!C186</f>
        <v>41.298999999999999</v>
      </c>
      <c r="F44" s="18">
        <f>Reference!D186</f>
        <v>45.967700000000001</v>
      </c>
      <c r="G44" s="18">
        <f>Reference!E186</f>
        <v>46.529699999999998</v>
      </c>
      <c r="H44" s="18">
        <f>Reference!F186</f>
        <v>36486.855000000003</v>
      </c>
      <c r="I44" s="18">
        <f>Reference!G186</f>
        <v>6.5220000000000002</v>
      </c>
      <c r="J44" s="19">
        <f t="shared" si="8"/>
        <v>10.135237500000001</v>
      </c>
      <c r="L44" s="17">
        <f>Test!B186</f>
        <v>452.48</v>
      </c>
      <c r="M44" s="18">
        <f>Test!C186</f>
        <v>41.191699999999997</v>
      </c>
      <c r="N44" s="18">
        <f>Test!D186</f>
        <v>45.869100000000003</v>
      </c>
      <c r="O44" s="18">
        <f>Test!E186</f>
        <v>46.484000000000002</v>
      </c>
      <c r="P44" s="18">
        <f>Test!F186</f>
        <v>37844.809000000001</v>
      </c>
      <c r="Q44" s="18">
        <f>Test!G186</f>
        <v>6.44</v>
      </c>
      <c r="R44" s="19">
        <f t="shared" si="9"/>
        <v>10.512446944444445</v>
      </c>
      <c r="S44" s="17">
        <f t="shared" si="7"/>
        <v>1.0372176226205301</v>
      </c>
      <c r="T44" s="18">
        <f t="shared" si="7"/>
        <v>0.98742716957988352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252.50559999999999</v>
      </c>
      <c r="E45" s="18">
        <f>Reference!C187</f>
        <v>39.087000000000003</v>
      </c>
      <c r="F45" s="18">
        <f>Reference!D187</f>
        <v>44.664999999999999</v>
      </c>
      <c r="G45" s="18">
        <f>Reference!E187</f>
        <v>45.186199999999999</v>
      </c>
      <c r="H45" s="18">
        <f>Reference!F187</f>
        <v>21045.425999999999</v>
      </c>
      <c r="I45" s="18">
        <f>Reference!G187</f>
        <v>5.3380000000000001</v>
      </c>
      <c r="J45" s="19">
        <f t="shared" si="8"/>
        <v>5.8459516666666662</v>
      </c>
      <c r="L45" s="17">
        <f>Test!B187</f>
        <v>246.89279999999999</v>
      </c>
      <c r="M45" s="18">
        <f>Test!C187</f>
        <v>39.000599999999999</v>
      </c>
      <c r="N45" s="18">
        <f>Test!D187</f>
        <v>44.600200000000001</v>
      </c>
      <c r="O45" s="18">
        <f>Test!E187</f>
        <v>45.088799999999999</v>
      </c>
      <c r="P45" s="18">
        <f>Test!F187</f>
        <v>22238.697</v>
      </c>
      <c r="Q45" s="18">
        <f>Test!G187</f>
        <v>5.7030000000000003</v>
      </c>
      <c r="R45" s="19">
        <f t="shared" si="9"/>
        <v>6.1774158333333338</v>
      </c>
      <c r="S45" s="17">
        <f t="shared" si="7"/>
        <v>1.056699778849808</v>
      </c>
      <c r="T45" s="18">
        <f t="shared" si="7"/>
        <v>1.0683776695391534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138.91999999999999</v>
      </c>
      <c r="E46" s="23">
        <f>Reference!C188</f>
        <v>36.298299999999998</v>
      </c>
      <c r="F46" s="23">
        <f>Reference!D188</f>
        <v>43.158999999999999</v>
      </c>
      <c r="G46" s="23">
        <f>Reference!E188</f>
        <v>43.259</v>
      </c>
      <c r="H46" s="23">
        <f>Reference!F188</f>
        <v>12087.53</v>
      </c>
      <c r="I46" s="23">
        <f>Reference!G188</f>
        <v>4.7270000000000003</v>
      </c>
      <c r="J46" s="24">
        <f t="shared" si="8"/>
        <v>3.3576472222222224</v>
      </c>
      <c r="L46" s="22">
        <f>Test!B188</f>
        <v>137.43039999999999</v>
      </c>
      <c r="M46" s="23">
        <f>Test!C188</f>
        <v>36.235100000000003</v>
      </c>
      <c r="N46" s="23">
        <f>Test!D188</f>
        <v>43.0976</v>
      </c>
      <c r="O46" s="23">
        <f>Test!E188</f>
        <v>43.223799999999997</v>
      </c>
      <c r="P46" s="23">
        <f>Test!F188</f>
        <v>13152.244000000001</v>
      </c>
      <c r="Q46" s="23">
        <f>Test!G188</f>
        <v>5.7460000000000004</v>
      </c>
      <c r="R46" s="24">
        <f t="shared" si="9"/>
        <v>3.6534011111111111</v>
      </c>
      <c r="S46" s="17">
        <f t="shared" si="7"/>
        <v>1.0880836696992686</v>
      </c>
      <c r="T46" s="18">
        <f t="shared" si="7"/>
        <v>1.2155701290459064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1246.1279999999999</v>
      </c>
      <c r="E47" s="13">
        <f>Reference!C189</f>
        <v>42.6721</v>
      </c>
      <c r="F47" s="13">
        <f>Reference!D189</f>
        <v>48.561399999999999</v>
      </c>
      <c r="G47" s="13">
        <f>Reference!E189</f>
        <v>48.117800000000003</v>
      </c>
      <c r="H47" s="13">
        <f>Reference!F189</f>
        <v>69189.812000000005</v>
      </c>
      <c r="I47" s="13">
        <f>Reference!G189</f>
        <v>8.9139999999999997</v>
      </c>
      <c r="J47" s="14">
        <f>H47/3600</f>
        <v>19.219392222222222</v>
      </c>
      <c r="L47" s="12">
        <f>Test!B189</f>
        <v>1132.4608000000001</v>
      </c>
      <c r="M47" s="13">
        <f>Test!C189</f>
        <v>42.508200000000002</v>
      </c>
      <c r="N47" s="13">
        <f>Test!D189</f>
        <v>48.511499999999998</v>
      </c>
      <c r="O47" s="13">
        <f>Test!E189</f>
        <v>48.078699999999998</v>
      </c>
      <c r="P47" s="13">
        <f>Test!F189</f>
        <v>69629.539000000004</v>
      </c>
      <c r="Q47" s="13">
        <f>Test!G189</f>
        <v>9.15</v>
      </c>
      <c r="R47" s="14">
        <f>P47/3600</f>
        <v>19.341538611111112</v>
      </c>
      <c r="S47" s="17">
        <f t="shared" ref="S47:T62" si="10">P47/H47</f>
        <v>1.0063553720885958</v>
      </c>
      <c r="T47" s="18">
        <f t="shared" si="10"/>
        <v>1.0264752075387031</v>
      </c>
      <c r="U47" s="91"/>
      <c r="V47" s="37">
        <f>bdrate($D47:$D50,E47:E50,$L47:$L50,M47:M50)</f>
        <v>-1.3314477166137539E-3</v>
      </c>
      <c r="W47" s="42">
        <f>bdrate($D47:$D50,F47:F50,$L47:$L50,N47:N50)</f>
        <v>-1.0879375641012934E-2</v>
      </c>
      <c r="X47" s="43">
        <f>bdrate($D47:$D50,G47:G50,$L47:$L50,O47:O50)</f>
        <v>-1.6639314206847278E-2</v>
      </c>
      <c r="Y47" s="37">
        <f>bdrateOld($D47:$D50,E47:E50,$L47:$L50,M47:M50)</f>
        <v>-2.1534384996717559E-3</v>
      </c>
      <c r="Z47" s="42">
        <f>bdrateOld($D47:$D50,F47:F50,$L47:$L50,N47:N50)</f>
        <v>-6.8788937309182119E-3</v>
      </c>
      <c r="AA47" s="43">
        <f>bdrateOld($D47:$D50,G47:G50,$L47:$L50,O47:O50)</f>
        <v>-1.5160673572361838E-2</v>
      </c>
    </row>
    <row r="48" spans="1:27" x14ac:dyDescent="0.2">
      <c r="A48" s="16"/>
      <c r="B48" s="85"/>
      <c r="C48" s="16">
        <v>32</v>
      </c>
      <c r="D48" s="17">
        <f>Reference!B190</f>
        <v>608.13919999999996</v>
      </c>
      <c r="E48" s="18">
        <f>Reference!C190</f>
        <v>40.910200000000003</v>
      </c>
      <c r="F48" s="18">
        <f>Reference!D190</f>
        <v>47.753300000000003</v>
      </c>
      <c r="G48" s="18">
        <f>Reference!E190</f>
        <v>47.0124</v>
      </c>
      <c r="H48" s="18">
        <f>Reference!F190</f>
        <v>39826.910000000003</v>
      </c>
      <c r="I48" s="18">
        <f>Reference!G190</f>
        <v>6.7629999999999999</v>
      </c>
      <c r="J48" s="19">
        <f t="shared" ref="J48:J70" si="11">H48/3600</f>
        <v>11.063030555555557</v>
      </c>
      <c r="L48" s="17">
        <f>Test!B190</f>
        <v>577.95360000000005</v>
      </c>
      <c r="M48" s="18">
        <f>Test!C190</f>
        <v>40.756700000000002</v>
      </c>
      <c r="N48" s="18">
        <f>Test!D190</f>
        <v>47.743099999999998</v>
      </c>
      <c r="O48" s="18">
        <f>Test!E190</f>
        <v>47.002400000000002</v>
      </c>
      <c r="P48" s="18">
        <f>Test!F190</f>
        <v>40880.5</v>
      </c>
      <c r="Q48" s="18">
        <f>Test!G190</f>
        <v>7.0640000000000001</v>
      </c>
      <c r="R48" s="19">
        <f t="shared" ref="R48:R70" si="12">P48/3600</f>
        <v>11.355694444444444</v>
      </c>
      <c r="S48" s="17">
        <f t="shared" si="10"/>
        <v>1.0264542240409813</v>
      </c>
      <c r="T48" s="18">
        <f t="shared" si="10"/>
        <v>1.0445068756469023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325.6848</v>
      </c>
      <c r="E49" s="18">
        <f>Reference!C191</f>
        <v>38.5319</v>
      </c>
      <c r="F49" s="18">
        <f>Reference!D191</f>
        <v>46.682600000000001</v>
      </c>
      <c r="G49" s="18">
        <f>Reference!E191</f>
        <v>45.478999999999999</v>
      </c>
      <c r="H49" s="18">
        <f>Reference!F191</f>
        <v>22989.824000000001</v>
      </c>
      <c r="I49" s="18">
        <f>Reference!G191</f>
        <v>6.016</v>
      </c>
      <c r="J49" s="19">
        <f t="shared" si="11"/>
        <v>6.3860622222222228</v>
      </c>
      <c r="L49" s="17">
        <f>Test!B191</f>
        <v>318.27839999999998</v>
      </c>
      <c r="M49" s="18">
        <f>Test!C191</f>
        <v>38.423099999999998</v>
      </c>
      <c r="N49" s="18">
        <f>Test!D191</f>
        <v>46.623100000000001</v>
      </c>
      <c r="O49" s="18">
        <f>Test!E191</f>
        <v>45.3934</v>
      </c>
      <c r="P49" s="18">
        <f>Test!F191</f>
        <v>24198.708999999999</v>
      </c>
      <c r="Q49" s="18">
        <f>Test!G191</f>
        <v>5.9160000000000004</v>
      </c>
      <c r="R49" s="19">
        <f t="shared" si="12"/>
        <v>6.721863611111111</v>
      </c>
      <c r="S49" s="17">
        <f t="shared" si="10"/>
        <v>1.0525834821527993</v>
      </c>
      <c r="T49" s="18">
        <f t="shared" si="10"/>
        <v>0.9833776595744681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178.8048</v>
      </c>
      <c r="E50" s="23">
        <f>Reference!C192</f>
        <v>35.451599999999999</v>
      </c>
      <c r="F50" s="23">
        <f>Reference!D192</f>
        <v>45.037599999999998</v>
      </c>
      <c r="G50" s="23">
        <f>Reference!E192</f>
        <v>43.192799999999998</v>
      </c>
      <c r="H50" s="23">
        <f>Reference!F192</f>
        <v>14016.378000000001</v>
      </c>
      <c r="I50" s="23">
        <f>Reference!G192</f>
        <v>5.2539999999999996</v>
      </c>
      <c r="J50" s="24">
        <f t="shared" si="11"/>
        <v>3.8934383333333336</v>
      </c>
      <c r="L50" s="22">
        <f>Test!B192</f>
        <v>176.46719999999999</v>
      </c>
      <c r="M50" s="23">
        <f>Test!C192</f>
        <v>35.382100000000001</v>
      </c>
      <c r="N50" s="23">
        <f>Test!D192</f>
        <v>44.966299999999997</v>
      </c>
      <c r="O50" s="23">
        <f>Test!E192</f>
        <v>43.194299999999998</v>
      </c>
      <c r="P50" s="23">
        <f>Test!F192</f>
        <v>15166.341</v>
      </c>
      <c r="Q50" s="23">
        <f>Test!G192</f>
        <v>5.5250000000000004</v>
      </c>
      <c r="R50" s="24">
        <f t="shared" si="12"/>
        <v>4.2128725000000005</v>
      </c>
      <c r="S50" s="22">
        <f t="shared" si="10"/>
        <v>1.0820442342522441</v>
      </c>
      <c r="T50" s="23">
        <f t="shared" si="10"/>
        <v>1.0515797487628475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20.677629049311861</v>
      </c>
      <c r="J75" s="15">
        <f>GEOMEAN(J3:J18)</f>
        <v>33.065051811457849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7">AVERAGE(W3:W18)</f>
        <v>#VALUE!</v>
      </c>
      <c r="X75" s="42" t="e">
        <f t="shared" si="17"/>
        <v>#VALUE!</v>
      </c>
      <c r="Y75" s="37" t="e">
        <f>AVERAGE(Y3:Y18)</f>
        <v>#VALUE!</v>
      </c>
      <c r="Z75" s="42" t="e">
        <f t="shared" si="17"/>
        <v>#VALUE!</v>
      </c>
      <c r="AA75" s="43" t="e">
        <f t="shared" si="17"/>
        <v>#VALUE!</v>
      </c>
    </row>
    <row r="76" spans="1:27" x14ac:dyDescent="0.2">
      <c r="B76" s="89" t="s">
        <v>47</v>
      </c>
      <c r="I76" s="15">
        <f>GEOMEAN(I19:I34)</f>
        <v>24.190227883160013</v>
      </c>
      <c r="J76" s="15">
        <f>GEOMEAN(J19:J34)</f>
        <v>42.61719918555751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38" t="e">
        <f>AVERAGE(V19:V34)</f>
        <v>#VALUE!</v>
      </c>
      <c r="W76" s="25" t="e">
        <f t="shared" ref="W76:AA76" si="18">AVERAGE(W19:W34)</f>
        <v>#VALUE!</v>
      </c>
      <c r="X76" s="25" t="e">
        <f t="shared" si="18"/>
        <v>#VALUE!</v>
      </c>
      <c r="Y76" s="38" t="e">
        <f t="shared" si="18"/>
        <v>#VALUE!</v>
      </c>
      <c r="Z76" s="25" t="e">
        <f t="shared" si="18"/>
        <v>#VALUE!</v>
      </c>
      <c r="AA76" s="50" t="e">
        <f t="shared" si="18"/>
        <v>#VALUE!</v>
      </c>
    </row>
    <row r="77" spans="1:27" x14ac:dyDescent="0.2">
      <c r="B77" s="89" t="s">
        <v>51</v>
      </c>
      <c r="I77" s="15">
        <f>GEOMEAN(I35:I50)</f>
        <v>8.1520542480280671</v>
      </c>
      <c r="J77" s="15">
        <f>GEOMEAN(J35:J50)</f>
        <v>12.746433246708678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#NUM!</v>
      </c>
      <c r="T77" s="15" t="e">
        <f>GEOMEAN(T35:T50)</f>
        <v>#NUM!</v>
      </c>
      <c r="V77" s="38" t="e">
        <f>AVERAGE(V35:V50)</f>
        <v>#VALUE!</v>
      </c>
      <c r="W77" s="25" t="e">
        <f t="shared" ref="W77:AA77" si="19">AVERAGE(W35:W50)</f>
        <v>#VALUE!</v>
      </c>
      <c r="X77" s="25" t="e">
        <f t="shared" si="19"/>
        <v>#VALUE!</v>
      </c>
      <c r="Y77" s="38" t="e">
        <f t="shared" si="19"/>
        <v>#VALUE!</v>
      </c>
      <c r="Z77" s="25" t="e">
        <f t="shared" si="19"/>
        <v>#VALUE!</v>
      </c>
      <c r="AA77" s="50" t="e">
        <f t="shared" si="19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15.976044204954528</v>
      </c>
      <c r="J80" s="54">
        <f xml:space="preserve"> GEOMEAN(J3:J50)</f>
        <v>26.18871941173996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3">AVERAGE(W3:W50)</f>
        <v>#VALUE!</v>
      </c>
      <c r="X80" s="47" t="e">
        <f t="shared" si="23"/>
        <v>#VALUE!</v>
      </c>
      <c r="Y80" s="46" t="e">
        <f t="shared" si="23"/>
        <v>#VALUE!</v>
      </c>
      <c r="Z80" s="46" t="e">
        <f t="shared" si="23"/>
        <v>#VALUE!</v>
      </c>
      <c r="AA80" s="47" t="e">
        <f t="shared" si="23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topLeftCell="A211" workbookViewId="0">
      <selection activeCell="B1" sqref="B1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7" x14ac:dyDescent="0.25">
      <c r="A1" s="141" t="s">
        <v>190</v>
      </c>
      <c r="B1">
        <v>76135.238899999997</v>
      </c>
      <c r="C1">
        <v>40.81</v>
      </c>
      <c r="D1">
        <v>49.247500000000002</v>
      </c>
      <c r="E1">
        <v>47.755499999999998</v>
      </c>
      <c r="F1">
        <v>125395.31200000001</v>
      </c>
      <c r="G1">
        <v>26.408000000000001</v>
      </c>
    </row>
    <row r="2" spans="1:7" x14ac:dyDescent="0.25">
      <c r="A2" s="141" t="s">
        <v>191</v>
      </c>
      <c r="B2">
        <v>41142.123200000002</v>
      </c>
      <c r="C2">
        <v>40.157800000000002</v>
      </c>
      <c r="D2">
        <v>48.549500000000002</v>
      </c>
      <c r="E2">
        <v>46.668199999999999</v>
      </c>
      <c r="F2">
        <v>68781.570000000007</v>
      </c>
      <c r="G2">
        <v>22.690999999999999</v>
      </c>
    </row>
    <row r="3" spans="1:7" x14ac:dyDescent="0.25">
      <c r="A3" s="141" t="s">
        <v>192</v>
      </c>
      <c r="B3">
        <v>24680.9254</v>
      </c>
      <c r="C3">
        <v>39.432400000000001</v>
      </c>
      <c r="D3">
        <v>47.614400000000003</v>
      </c>
      <c r="E3">
        <v>45.377000000000002</v>
      </c>
      <c r="F3">
        <v>41427.016000000003</v>
      </c>
      <c r="G3">
        <v>20.638000000000002</v>
      </c>
    </row>
    <row r="4" spans="1:7" x14ac:dyDescent="0.25">
      <c r="A4" s="141" t="s">
        <v>193</v>
      </c>
      <c r="B4">
        <v>14114.374100000001</v>
      </c>
      <c r="C4">
        <v>38.220999999999997</v>
      </c>
      <c r="D4">
        <v>46.13</v>
      </c>
      <c r="E4">
        <v>43.600099999999998</v>
      </c>
      <c r="F4">
        <v>23415.063999999998</v>
      </c>
      <c r="G4">
        <v>19.314</v>
      </c>
    </row>
    <row r="5" spans="1:7" x14ac:dyDescent="0.25">
      <c r="A5" s="141" t="s">
        <v>194</v>
      </c>
      <c r="B5">
        <v>322470.57890000002</v>
      </c>
      <c r="C5">
        <v>44.758800000000001</v>
      </c>
      <c r="D5">
        <v>39.171599999999998</v>
      </c>
      <c r="E5">
        <v>39.639600000000002</v>
      </c>
      <c r="F5">
        <v>198040.54699999999</v>
      </c>
      <c r="G5">
        <v>40.024999999999999</v>
      </c>
    </row>
    <row r="6" spans="1:7" x14ac:dyDescent="0.25">
      <c r="A6" s="141" t="s">
        <v>195</v>
      </c>
      <c r="B6">
        <v>205575.6526</v>
      </c>
      <c r="C6">
        <v>41.968699999999998</v>
      </c>
      <c r="D6">
        <v>36.68</v>
      </c>
      <c r="E6">
        <v>37.465600000000002</v>
      </c>
      <c r="F6">
        <v>160850.07800000001</v>
      </c>
      <c r="G6">
        <v>35.537999999999997</v>
      </c>
    </row>
    <row r="7" spans="1:7" x14ac:dyDescent="0.25">
      <c r="A7" s="141" t="s">
        <v>196</v>
      </c>
      <c r="B7">
        <v>117427.71580000001</v>
      </c>
      <c r="C7">
        <v>38.707900000000002</v>
      </c>
      <c r="D7">
        <v>34.389200000000002</v>
      </c>
      <c r="E7">
        <v>35.543399999999998</v>
      </c>
      <c r="F7">
        <v>120856.67200000001</v>
      </c>
      <c r="G7">
        <v>31.004000000000001</v>
      </c>
    </row>
    <row r="8" spans="1:7" x14ac:dyDescent="0.25">
      <c r="A8" s="141" t="s">
        <v>197</v>
      </c>
      <c r="B8">
        <v>55577</v>
      </c>
      <c r="C8">
        <v>35.227899999999998</v>
      </c>
      <c r="D8">
        <v>32.031500000000001</v>
      </c>
      <c r="E8">
        <v>33.7044</v>
      </c>
      <c r="F8">
        <v>78469.289000000004</v>
      </c>
      <c r="G8">
        <v>24.962</v>
      </c>
    </row>
    <row r="9" spans="1:7" x14ac:dyDescent="0.25">
      <c r="A9" s="141" t="s">
        <v>198</v>
      </c>
      <c r="B9">
        <v>124782.9032</v>
      </c>
      <c r="C9">
        <v>41.574599999999997</v>
      </c>
      <c r="D9">
        <v>44.011099999999999</v>
      </c>
      <c r="E9">
        <v>42.914900000000003</v>
      </c>
      <c r="F9">
        <v>163585.67199999999</v>
      </c>
      <c r="G9">
        <v>35.51</v>
      </c>
    </row>
    <row r="10" spans="1:7" x14ac:dyDescent="0.25">
      <c r="A10" s="141" t="s">
        <v>199</v>
      </c>
      <c r="B10">
        <v>55913.330499999996</v>
      </c>
      <c r="C10">
        <v>38.881799999999998</v>
      </c>
      <c r="D10">
        <v>41.389200000000002</v>
      </c>
      <c r="E10">
        <v>41.788600000000002</v>
      </c>
      <c r="F10">
        <v>114595.469</v>
      </c>
      <c r="G10">
        <v>27.298999999999999</v>
      </c>
    </row>
    <row r="11" spans="1:7" x14ac:dyDescent="0.25">
      <c r="A11" s="141" t="s">
        <v>200</v>
      </c>
      <c r="B11">
        <v>25280.905299999999</v>
      </c>
      <c r="C11">
        <v>37.308100000000003</v>
      </c>
      <c r="D11">
        <v>39.061300000000003</v>
      </c>
      <c r="E11">
        <v>40.706600000000002</v>
      </c>
      <c r="F11">
        <v>66957.891000000003</v>
      </c>
      <c r="G11">
        <v>21.08</v>
      </c>
    </row>
    <row r="12" spans="1:7" x14ac:dyDescent="0.25">
      <c r="A12" s="141" t="s">
        <v>201</v>
      </c>
      <c r="B12">
        <v>12247.8189</v>
      </c>
      <c r="C12">
        <v>35.924999999999997</v>
      </c>
      <c r="D12">
        <v>36.337499999999999</v>
      </c>
      <c r="E12">
        <v>39.221600000000002</v>
      </c>
      <c r="F12">
        <v>37391.578000000001</v>
      </c>
      <c r="G12">
        <v>17.88</v>
      </c>
    </row>
    <row r="13" spans="1:7" x14ac:dyDescent="0.25">
      <c r="A13" s="141" t="s">
        <v>202</v>
      </c>
      <c r="B13">
        <v>177362.8547</v>
      </c>
      <c r="C13">
        <v>38.623800000000003</v>
      </c>
      <c r="D13">
        <v>45.669899999999998</v>
      </c>
      <c r="E13">
        <v>43.4878</v>
      </c>
      <c r="F13">
        <v>203948.484</v>
      </c>
      <c r="G13">
        <v>37.558999999999997</v>
      </c>
    </row>
    <row r="14" spans="1:7" x14ac:dyDescent="0.25">
      <c r="A14" s="141" t="s">
        <v>203</v>
      </c>
      <c r="B14">
        <v>86194.623200000002</v>
      </c>
      <c r="C14">
        <v>37.677599999999998</v>
      </c>
      <c r="D14">
        <v>44.8095</v>
      </c>
      <c r="E14">
        <v>42.5075</v>
      </c>
      <c r="F14">
        <v>124349.086</v>
      </c>
      <c r="G14">
        <v>28.795999999999999</v>
      </c>
    </row>
    <row r="15" spans="1:7" x14ac:dyDescent="0.25">
      <c r="A15" s="141" t="s">
        <v>204</v>
      </c>
      <c r="B15">
        <v>49732.926299999999</v>
      </c>
      <c r="C15">
        <v>36.7592</v>
      </c>
      <c r="D15">
        <v>43.838500000000003</v>
      </c>
      <c r="E15">
        <v>41.489100000000001</v>
      </c>
      <c r="F15">
        <v>79585.327999999994</v>
      </c>
      <c r="G15">
        <v>23.806000000000001</v>
      </c>
    </row>
    <row r="16" spans="1:7" x14ac:dyDescent="0.25">
      <c r="A16" s="141" t="s">
        <v>205</v>
      </c>
      <c r="B16">
        <v>26286.947400000001</v>
      </c>
      <c r="C16">
        <v>35.259</v>
      </c>
      <c r="D16">
        <v>42.436</v>
      </c>
      <c r="E16">
        <v>40.221699999999998</v>
      </c>
      <c r="F16">
        <v>47731.055</v>
      </c>
      <c r="G16">
        <v>20.306000000000001</v>
      </c>
    </row>
    <row r="17" spans="1:7" x14ac:dyDescent="0.25">
      <c r="A17" s="141" t="s">
        <v>94</v>
      </c>
      <c r="B17">
        <v>67509.873000000007</v>
      </c>
      <c r="C17">
        <v>39.563000000000002</v>
      </c>
      <c r="D17">
        <v>40.538200000000003</v>
      </c>
      <c r="E17">
        <v>43.602899999999998</v>
      </c>
      <c r="F17">
        <v>86558.023000000001</v>
      </c>
      <c r="G17">
        <v>18.138000000000002</v>
      </c>
    </row>
    <row r="18" spans="1:7" x14ac:dyDescent="0.25">
      <c r="A18" s="141" t="s">
        <v>95</v>
      </c>
      <c r="B18">
        <v>40263.104800000001</v>
      </c>
      <c r="C18">
        <v>37.927999999999997</v>
      </c>
      <c r="D18">
        <v>39.564799999999998</v>
      </c>
      <c r="E18">
        <v>42.206200000000003</v>
      </c>
      <c r="F18">
        <v>65336.737999999998</v>
      </c>
      <c r="G18">
        <v>15.177</v>
      </c>
    </row>
    <row r="19" spans="1:7" x14ac:dyDescent="0.25">
      <c r="A19" s="141" t="s">
        <v>96</v>
      </c>
      <c r="B19">
        <v>23228.679400000001</v>
      </c>
      <c r="C19">
        <v>36.016399999999997</v>
      </c>
      <c r="D19">
        <v>38.7166</v>
      </c>
      <c r="E19">
        <v>40.7639</v>
      </c>
      <c r="F19">
        <v>47935.949000000001</v>
      </c>
      <c r="G19">
        <v>12.276999999999999</v>
      </c>
    </row>
    <row r="20" spans="1:7" x14ac:dyDescent="0.25">
      <c r="A20" s="141" t="s">
        <v>97</v>
      </c>
      <c r="B20">
        <v>11838.5841</v>
      </c>
      <c r="C20">
        <v>33.539299999999997</v>
      </c>
      <c r="D20">
        <v>37.528199999999998</v>
      </c>
      <c r="E20">
        <v>38.914700000000003</v>
      </c>
      <c r="F20">
        <v>31889.655999999999</v>
      </c>
      <c r="G20">
        <v>10.057</v>
      </c>
    </row>
    <row r="21" spans="1:7" x14ac:dyDescent="0.25">
      <c r="A21" s="141" t="s">
        <v>98</v>
      </c>
      <c r="B21">
        <v>42277.771399999998</v>
      </c>
      <c r="C21">
        <v>40.197600000000001</v>
      </c>
      <c r="D21">
        <v>44.213799999999999</v>
      </c>
      <c r="E21">
        <v>45.688499999999998</v>
      </c>
      <c r="F21">
        <v>74769.781000000003</v>
      </c>
      <c r="G21">
        <v>15.387</v>
      </c>
    </row>
    <row r="22" spans="1:7" x14ac:dyDescent="0.25">
      <c r="A22" s="141" t="s">
        <v>99</v>
      </c>
      <c r="B22">
        <v>22916.838100000001</v>
      </c>
      <c r="C22">
        <v>38.720999999999997</v>
      </c>
      <c r="D22">
        <v>43.268700000000003</v>
      </c>
      <c r="E22">
        <v>44.243000000000002</v>
      </c>
      <c r="F22">
        <v>52590.504000000001</v>
      </c>
      <c r="G22">
        <v>12.670999999999999</v>
      </c>
    </row>
    <row r="23" spans="1:7" x14ac:dyDescent="0.25">
      <c r="A23" s="141" t="s">
        <v>100</v>
      </c>
      <c r="B23">
        <v>12958.7683</v>
      </c>
      <c r="C23">
        <v>37.281399999999998</v>
      </c>
      <c r="D23">
        <v>42.192</v>
      </c>
      <c r="E23">
        <v>42.683500000000002</v>
      </c>
      <c r="F23">
        <v>35174.578000000001</v>
      </c>
      <c r="G23">
        <v>10.566000000000001</v>
      </c>
    </row>
    <row r="24" spans="1:7" x14ac:dyDescent="0.25">
      <c r="A24" s="141" t="s">
        <v>101</v>
      </c>
      <c r="B24">
        <v>6931.0032000000001</v>
      </c>
      <c r="C24">
        <v>35.360100000000003</v>
      </c>
      <c r="D24">
        <v>40.700400000000002</v>
      </c>
      <c r="E24">
        <v>40.672600000000003</v>
      </c>
      <c r="F24">
        <v>21845.344000000001</v>
      </c>
      <c r="G24">
        <v>9.1150000000000002</v>
      </c>
    </row>
    <row r="25" spans="1:7" x14ac:dyDescent="0.25">
      <c r="A25" s="141" t="s">
        <v>206</v>
      </c>
      <c r="B25">
        <v>64687.839999999997</v>
      </c>
      <c r="C25">
        <v>41.738100000000003</v>
      </c>
      <c r="D25">
        <v>44.445300000000003</v>
      </c>
      <c r="E25">
        <v>45.165100000000002</v>
      </c>
      <c r="F25">
        <v>89183.414000000004</v>
      </c>
      <c r="G25">
        <v>18.193000000000001</v>
      </c>
    </row>
    <row r="26" spans="1:7" x14ac:dyDescent="0.25">
      <c r="A26" s="141" t="s">
        <v>207</v>
      </c>
      <c r="B26">
        <v>41706.982400000001</v>
      </c>
      <c r="C26">
        <v>39.930500000000002</v>
      </c>
      <c r="D26">
        <v>43.036799999999999</v>
      </c>
      <c r="E26">
        <v>43.930199999999999</v>
      </c>
      <c r="F26">
        <v>69022.233999999997</v>
      </c>
      <c r="G26">
        <v>15.712</v>
      </c>
    </row>
    <row r="27" spans="1:7" x14ac:dyDescent="0.25">
      <c r="A27" s="141" t="s">
        <v>208</v>
      </c>
      <c r="B27">
        <v>24527.808000000001</v>
      </c>
      <c r="C27">
        <v>37.702800000000003</v>
      </c>
      <c r="D27">
        <v>41.739800000000002</v>
      </c>
      <c r="E27">
        <v>42.634099999999997</v>
      </c>
      <c r="F27">
        <v>49913.324000000001</v>
      </c>
      <c r="G27">
        <v>13.609</v>
      </c>
    </row>
    <row r="28" spans="1:7" x14ac:dyDescent="0.25">
      <c r="A28" s="141" t="s">
        <v>209</v>
      </c>
      <c r="B28">
        <v>12371.36</v>
      </c>
      <c r="C28">
        <v>35.007399999999997</v>
      </c>
      <c r="D28">
        <v>40.157400000000003</v>
      </c>
      <c r="E28">
        <v>41.011099999999999</v>
      </c>
      <c r="F28">
        <v>31317.455000000002</v>
      </c>
      <c r="G28">
        <v>11.425000000000001</v>
      </c>
    </row>
    <row r="29" spans="1:7" x14ac:dyDescent="0.25">
      <c r="A29" s="141" t="s">
        <v>210</v>
      </c>
      <c r="B29">
        <v>39539.251199999999</v>
      </c>
      <c r="C29">
        <v>44.935200000000002</v>
      </c>
      <c r="D29">
        <v>47.6053</v>
      </c>
      <c r="E29">
        <v>48.342300000000002</v>
      </c>
      <c r="F29">
        <v>61344.847999999998</v>
      </c>
      <c r="G29">
        <v>16.413</v>
      </c>
    </row>
    <row r="30" spans="1:7" x14ac:dyDescent="0.25">
      <c r="A30" s="141" t="s">
        <v>211</v>
      </c>
      <c r="B30">
        <v>26059.852800000001</v>
      </c>
      <c r="C30">
        <v>42.767600000000002</v>
      </c>
      <c r="D30">
        <v>46.010100000000001</v>
      </c>
      <c r="E30">
        <v>46.542400000000001</v>
      </c>
      <c r="F30">
        <v>49311.625</v>
      </c>
      <c r="G30">
        <v>14.066000000000001</v>
      </c>
    </row>
    <row r="31" spans="1:7" x14ac:dyDescent="0.25">
      <c r="A31" s="141" t="s">
        <v>212</v>
      </c>
      <c r="B31">
        <v>15445.190399999999</v>
      </c>
      <c r="C31">
        <v>40.082900000000002</v>
      </c>
      <c r="D31">
        <v>44.476799999999997</v>
      </c>
      <c r="E31">
        <v>44.715400000000002</v>
      </c>
      <c r="F31">
        <v>36847.25</v>
      </c>
      <c r="G31">
        <v>12.509</v>
      </c>
    </row>
    <row r="32" spans="1:7" x14ac:dyDescent="0.25">
      <c r="A32" s="141" t="s">
        <v>213</v>
      </c>
      <c r="B32">
        <v>8062.2272000000003</v>
      </c>
      <c r="C32">
        <v>37.007599999999996</v>
      </c>
      <c r="D32">
        <v>42.452599999999997</v>
      </c>
      <c r="E32">
        <v>42.498600000000003</v>
      </c>
      <c r="F32">
        <v>23462.146000000001</v>
      </c>
      <c r="G32">
        <v>10.157</v>
      </c>
    </row>
    <row r="33" spans="1:7" x14ac:dyDescent="0.25">
      <c r="A33" s="141" t="s">
        <v>102</v>
      </c>
      <c r="B33">
        <v>53887.2768</v>
      </c>
      <c r="C33">
        <v>41.745100000000001</v>
      </c>
      <c r="D33">
        <v>46.068300000000001</v>
      </c>
      <c r="E33">
        <v>46.391300000000001</v>
      </c>
      <c r="F33">
        <v>51517.805</v>
      </c>
      <c r="G33">
        <v>10.961</v>
      </c>
    </row>
    <row r="34" spans="1:7" x14ac:dyDescent="0.25">
      <c r="A34" s="141" t="s">
        <v>103</v>
      </c>
      <c r="B34">
        <v>36766.342400000001</v>
      </c>
      <c r="C34">
        <v>38.810699999999997</v>
      </c>
      <c r="D34">
        <v>44.3279</v>
      </c>
      <c r="E34">
        <v>44.675899999999999</v>
      </c>
      <c r="F34">
        <v>43263.601999999999</v>
      </c>
      <c r="G34">
        <v>10.058999999999999</v>
      </c>
    </row>
    <row r="35" spans="1:7" x14ac:dyDescent="0.25">
      <c r="A35" s="141" t="s">
        <v>104</v>
      </c>
      <c r="B35">
        <v>21844.371200000001</v>
      </c>
      <c r="C35">
        <v>35.426200000000001</v>
      </c>
      <c r="D35">
        <v>42.8767</v>
      </c>
      <c r="E35">
        <v>43.213200000000001</v>
      </c>
      <c r="F35">
        <v>35791.292999999998</v>
      </c>
      <c r="G35">
        <v>8.0660000000000007</v>
      </c>
    </row>
    <row r="36" spans="1:7" x14ac:dyDescent="0.25">
      <c r="A36" s="141" t="s">
        <v>105</v>
      </c>
      <c r="B36">
        <v>10754.227199999999</v>
      </c>
      <c r="C36">
        <v>31.7958</v>
      </c>
      <c r="D36">
        <v>41.514099999999999</v>
      </c>
      <c r="E36">
        <v>41.691800000000001</v>
      </c>
      <c r="F36">
        <v>25615.065999999999</v>
      </c>
      <c r="G36">
        <v>6.4180000000000001</v>
      </c>
    </row>
    <row r="37" spans="1:7" x14ac:dyDescent="0.25">
      <c r="A37" s="141" t="s">
        <v>106</v>
      </c>
      <c r="B37">
        <v>20106.047999999999</v>
      </c>
      <c r="C37">
        <v>42.687399999999997</v>
      </c>
      <c r="D37">
        <v>45.478999999999999</v>
      </c>
      <c r="E37">
        <v>47.0383</v>
      </c>
      <c r="F37">
        <v>33921.082000000002</v>
      </c>
      <c r="G37">
        <v>7.2889999999999997</v>
      </c>
    </row>
    <row r="38" spans="1:7" x14ac:dyDescent="0.25">
      <c r="A38" s="141" t="s">
        <v>107</v>
      </c>
      <c r="B38">
        <v>11429.1648</v>
      </c>
      <c r="C38">
        <v>40.669699999999999</v>
      </c>
      <c r="D38">
        <v>44.567500000000003</v>
      </c>
      <c r="E38">
        <v>45.402000000000001</v>
      </c>
      <c r="F38">
        <v>24971.638999999999</v>
      </c>
      <c r="G38">
        <v>6.1239999999999997</v>
      </c>
    </row>
    <row r="39" spans="1:7" x14ac:dyDescent="0.25">
      <c r="A39" s="141" t="s">
        <v>108</v>
      </c>
      <c r="B39">
        <v>6331.8464000000004</v>
      </c>
      <c r="C39">
        <v>38.662500000000001</v>
      </c>
      <c r="D39">
        <v>43.615099999999998</v>
      </c>
      <c r="E39">
        <v>43.636600000000001</v>
      </c>
      <c r="F39">
        <v>17261.592000000001</v>
      </c>
      <c r="G39">
        <v>5.2519999999999998</v>
      </c>
    </row>
    <row r="40" spans="1:7" x14ac:dyDescent="0.25">
      <c r="A40" s="141" t="s">
        <v>109</v>
      </c>
      <c r="B40">
        <v>3230.2592</v>
      </c>
      <c r="C40">
        <v>36.288499999999999</v>
      </c>
      <c r="D40">
        <v>42.322899999999997</v>
      </c>
      <c r="E40">
        <v>41.456499999999998</v>
      </c>
      <c r="F40">
        <v>10434.986999999999</v>
      </c>
      <c r="G40">
        <v>4.415</v>
      </c>
    </row>
    <row r="41" spans="1:7" x14ac:dyDescent="0.25">
      <c r="A41" s="141" t="s">
        <v>110</v>
      </c>
      <c r="B41">
        <v>15118.24</v>
      </c>
      <c r="C41">
        <v>44.226100000000002</v>
      </c>
      <c r="D41">
        <v>47.075699999999998</v>
      </c>
      <c r="E41">
        <v>47.98</v>
      </c>
      <c r="F41">
        <v>27098.794999999998</v>
      </c>
      <c r="G41">
        <v>6.9169999999999998</v>
      </c>
    </row>
    <row r="42" spans="1:7" x14ac:dyDescent="0.25">
      <c r="A42" s="141" t="s">
        <v>111</v>
      </c>
      <c r="B42">
        <v>10264.198399999999</v>
      </c>
      <c r="C42">
        <v>42.498100000000001</v>
      </c>
      <c r="D42">
        <v>45.938499999999998</v>
      </c>
      <c r="E42">
        <v>46.6325</v>
      </c>
      <c r="F42">
        <v>21065.713</v>
      </c>
      <c r="G42">
        <v>6.1360000000000001</v>
      </c>
    </row>
    <row r="43" spans="1:7" x14ac:dyDescent="0.25">
      <c r="A43" s="141" t="s">
        <v>112</v>
      </c>
      <c r="B43">
        <v>6482.3552</v>
      </c>
      <c r="C43">
        <v>40.1616</v>
      </c>
      <c r="D43">
        <v>44.616700000000002</v>
      </c>
      <c r="E43">
        <v>45.099200000000003</v>
      </c>
      <c r="F43">
        <v>15884.606</v>
      </c>
      <c r="G43">
        <v>5.4669999999999996</v>
      </c>
    </row>
    <row r="44" spans="1:7" x14ac:dyDescent="0.25">
      <c r="A44" s="141" t="s">
        <v>113</v>
      </c>
      <c r="B44">
        <v>3757.9456</v>
      </c>
      <c r="C44">
        <v>37.1785</v>
      </c>
      <c r="D44">
        <v>42.869700000000002</v>
      </c>
      <c r="E44">
        <v>43.0717</v>
      </c>
      <c r="F44">
        <v>10710.39</v>
      </c>
      <c r="G44">
        <v>4.62</v>
      </c>
    </row>
    <row r="45" spans="1:7" x14ac:dyDescent="0.25">
      <c r="A45" s="141" t="s">
        <v>114</v>
      </c>
      <c r="B45">
        <v>16387.756799999999</v>
      </c>
      <c r="C45">
        <v>44.167999999999999</v>
      </c>
      <c r="D45">
        <v>48.803899999999999</v>
      </c>
      <c r="E45">
        <v>48.4664</v>
      </c>
      <c r="F45">
        <v>26577.942999999999</v>
      </c>
      <c r="G45">
        <v>6.5069999999999997</v>
      </c>
    </row>
    <row r="46" spans="1:7" x14ac:dyDescent="0.25">
      <c r="A46" s="141" t="s">
        <v>115</v>
      </c>
      <c r="B46">
        <v>11402.707200000001</v>
      </c>
      <c r="C46">
        <v>42.432899999999997</v>
      </c>
      <c r="D46">
        <v>47.811</v>
      </c>
      <c r="E46">
        <v>47.002000000000002</v>
      </c>
      <c r="F46">
        <v>21527.421999999999</v>
      </c>
      <c r="G46">
        <v>5.9619999999999997</v>
      </c>
    </row>
    <row r="47" spans="1:7" x14ac:dyDescent="0.25">
      <c r="A47" s="141" t="s">
        <v>116</v>
      </c>
      <c r="B47">
        <v>7418.0928000000004</v>
      </c>
      <c r="C47">
        <v>40.051900000000003</v>
      </c>
      <c r="D47">
        <v>46.609200000000001</v>
      </c>
      <c r="E47">
        <v>45.324199999999998</v>
      </c>
      <c r="F47">
        <v>16256.047</v>
      </c>
      <c r="G47">
        <v>5.1550000000000002</v>
      </c>
    </row>
    <row r="48" spans="1:7" x14ac:dyDescent="0.25">
      <c r="A48" s="141" t="s">
        <v>117</v>
      </c>
      <c r="B48">
        <v>4308.1408000000001</v>
      </c>
      <c r="C48">
        <v>36.828099999999999</v>
      </c>
      <c r="D48">
        <v>44.733899999999998</v>
      </c>
      <c r="E48">
        <v>43.087699999999998</v>
      </c>
      <c r="F48">
        <v>11339.263000000001</v>
      </c>
      <c r="G48">
        <v>4.367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7" x14ac:dyDescent="0.25">
      <c r="A65" s="141" t="s">
        <v>326</v>
      </c>
    </row>
    <row r="66" spans="1:7" x14ac:dyDescent="0.25">
      <c r="A66" s="141" t="s">
        <v>327</v>
      </c>
    </row>
    <row r="67" spans="1:7" x14ac:dyDescent="0.25">
      <c r="A67" s="141" t="s">
        <v>328</v>
      </c>
    </row>
    <row r="68" spans="1:7" x14ac:dyDescent="0.25">
      <c r="A68" s="141" t="s">
        <v>329</v>
      </c>
    </row>
    <row r="69" spans="1:7" x14ac:dyDescent="0.25">
      <c r="A69" s="141" t="s">
        <v>330</v>
      </c>
    </row>
    <row r="70" spans="1:7" x14ac:dyDescent="0.25">
      <c r="A70" s="141" t="s">
        <v>331</v>
      </c>
    </row>
    <row r="71" spans="1:7" x14ac:dyDescent="0.25">
      <c r="A71" s="141" t="s">
        <v>332</v>
      </c>
    </row>
    <row r="72" spans="1:7" x14ac:dyDescent="0.25">
      <c r="A72" s="141" t="s">
        <v>333</v>
      </c>
    </row>
    <row r="73" spans="1:7" x14ac:dyDescent="0.25">
      <c r="A73" s="141" t="s">
        <v>222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 s="141" t="s">
        <v>223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 s="141" t="s">
        <v>224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 s="141" t="s">
        <v>225</v>
      </c>
      <c r="B76">
        <v>1919.5</v>
      </c>
      <c r="C76">
        <v>37.279699999999998</v>
      </c>
      <c r="D76">
        <v>46.364100000000001</v>
      </c>
      <c r="E76">
        <v>43.2363</v>
      </c>
      <c r="F76">
        <v>50758.64</v>
      </c>
      <c r="G76">
        <v>41.960999999999999</v>
      </c>
    </row>
    <row r="77" spans="1:7" x14ac:dyDescent="0.2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 s="141" t="s">
        <v>227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 s="141" t="s">
        <v>228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 s="141" t="s">
        <v>229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 s="141" t="s">
        <v>230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 s="141" t="s">
        <v>231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 s="141" t="s">
        <v>232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 s="141" t="s">
        <v>233</v>
      </c>
      <c r="B84">
        <v>4654.0039999999999</v>
      </c>
      <c r="C84">
        <v>34.0486</v>
      </c>
      <c r="D84">
        <v>33.847700000000003</v>
      </c>
      <c r="E84">
        <v>37.530200000000001</v>
      </c>
      <c r="F84">
        <v>84014.115000000005</v>
      </c>
      <c r="G84">
        <v>24.684999999999999</v>
      </c>
    </row>
    <row r="85" spans="1:7" x14ac:dyDescent="0.25">
      <c r="A85" s="141" t="s">
        <v>234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 s="141" t="s">
        <v>235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 s="141" t="s">
        <v>236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 s="141" t="s">
        <v>237</v>
      </c>
      <c r="B88">
        <v>2192.58</v>
      </c>
      <c r="C88">
        <v>34.855400000000003</v>
      </c>
      <c r="D88">
        <v>42.808900000000001</v>
      </c>
      <c r="E88">
        <v>40.509300000000003</v>
      </c>
      <c r="F88">
        <v>69806.778000000006</v>
      </c>
      <c r="G88">
        <v>37.140999999999998</v>
      </c>
    </row>
    <row r="89" spans="1:7" x14ac:dyDescent="0.25">
      <c r="A89" s="141" t="s">
        <v>118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 s="141" t="s">
        <v>119</v>
      </c>
      <c r="B90">
        <v>4345.0200000000004</v>
      </c>
      <c r="C90">
        <v>36.988900000000001</v>
      </c>
      <c r="D90">
        <v>39.3964</v>
      </c>
      <c r="E90">
        <v>42.355499999999999</v>
      </c>
      <c r="F90">
        <v>78209.770999999993</v>
      </c>
      <c r="G90">
        <v>10.944000000000001</v>
      </c>
    </row>
    <row r="91" spans="1:7" x14ac:dyDescent="0.25">
      <c r="A91" s="141" t="s">
        <v>120</v>
      </c>
      <c r="B91">
        <v>2151.348</v>
      </c>
      <c r="C91">
        <v>35.426900000000003</v>
      </c>
      <c r="D91">
        <v>38.792200000000001</v>
      </c>
      <c r="E91">
        <v>41.058</v>
      </c>
      <c r="F91">
        <v>43473.514000000003</v>
      </c>
      <c r="G91">
        <v>9.0299999999999994</v>
      </c>
    </row>
    <row r="92" spans="1:7" x14ac:dyDescent="0.25">
      <c r="A92" s="141" t="s">
        <v>121</v>
      </c>
      <c r="B92">
        <v>1003.94</v>
      </c>
      <c r="C92">
        <v>33.205500000000001</v>
      </c>
      <c r="D92">
        <v>37.767499999999998</v>
      </c>
      <c r="E92">
        <v>39.255200000000002</v>
      </c>
      <c r="F92">
        <v>23120.252</v>
      </c>
      <c r="G92">
        <v>8.0459999999999994</v>
      </c>
    </row>
    <row r="93" spans="1:7" x14ac:dyDescent="0.25">
      <c r="A93" s="141" t="s">
        <v>122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 s="141" t="s">
        <v>123</v>
      </c>
      <c r="B94">
        <v>4332.9480000000003</v>
      </c>
      <c r="C94">
        <v>37.9634</v>
      </c>
      <c r="D94">
        <v>43.261000000000003</v>
      </c>
      <c r="E94">
        <v>43.838099999999997</v>
      </c>
      <c r="F94">
        <v>83834.203999999998</v>
      </c>
      <c r="G94">
        <v>11.853</v>
      </c>
    </row>
    <row r="95" spans="1:7" x14ac:dyDescent="0.25">
      <c r="A95" s="141" t="s">
        <v>124</v>
      </c>
      <c r="B95">
        <v>2183.3040000000001</v>
      </c>
      <c r="C95">
        <v>36.461500000000001</v>
      </c>
      <c r="D95">
        <v>42.2346</v>
      </c>
      <c r="E95">
        <v>42.225900000000003</v>
      </c>
      <c r="F95">
        <v>45786.756000000001</v>
      </c>
      <c r="G95">
        <v>10.054</v>
      </c>
    </row>
    <row r="96" spans="1:7" x14ac:dyDescent="0.25">
      <c r="A96" s="141" t="s">
        <v>125</v>
      </c>
      <c r="B96">
        <v>1060.18</v>
      </c>
      <c r="C96">
        <v>34.369700000000002</v>
      </c>
      <c r="D96">
        <v>40.840899999999998</v>
      </c>
      <c r="E96">
        <v>40.325800000000001</v>
      </c>
      <c r="F96">
        <v>24378.888999999999</v>
      </c>
      <c r="G96">
        <v>8.64</v>
      </c>
    </row>
    <row r="97" spans="1:7" x14ac:dyDescent="0.25">
      <c r="A97" s="141" t="s">
        <v>238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 s="141" t="s">
        <v>239</v>
      </c>
      <c r="B98">
        <v>3344.1</v>
      </c>
      <c r="C98">
        <v>38.682000000000002</v>
      </c>
      <c r="D98">
        <v>43.312399999999997</v>
      </c>
      <c r="E98">
        <v>44.494999999999997</v>
      </c>
      <c r="F98">
        <v>72363.538</v>
      </c>
      <c r="G98">
        <v>12.004</v>
      </c>
    </row>
    <row r="99" spans="1:7" x14ac:dyDescent="0.25">
      <c r="A99" s="141" t="s">
        <v>240</v>
      </c>
      <c r="B99">
        <v>1575.672</v>
      </c>
      <c r="C99">
        <v>37.024999999999999</v>
      </c>
      <c r="D99">
        <v>42.407200000000003</v>
      </c>
      <c r="E99">
        <v>43.598999999999997</v>
      </c>
      <c r="F99">
        <v>37445.637999999999</v>
      </c>
      <c r="G99">
        <v>10.438000000000001</v>
      </c>
    </row>
    <row r="100" spans="1:7" x14ac:dyDescent="0.25">
      <c r="A100" s="141" t="s">
        <v>241</v>
      </c>
      <c r="B100">
        <v>705.38800000000003</v>
      </c>
      <c r="C100">
        <v>34.779200000000003</v>
      </c>
      <c r="D100">
        <v>41.103499999999997</v>
      </c>
      <c r="E100">
        <v>42.264899999999997</v>
      </c>
      <c r="F100">
        <v>18593.333999999999</v>
      </c>
      <c r="G100">
        <v>9.1140000000000008</v>
      </c>
    </row>
    <row r="101" spans="1:7" x14ac:dyDescent="0.25">
      <c r="A101" s="141" t="s">
        <v>242</v>
      </c>
      <c r="B101">
        <v>5738.72</v>
      </c>
      <c r="C101">
        <v>45.065300000000001</v>
      </c>
      <c r="D101">
        <v>47.918100000000003</v>
      </c>
      <c r="E101">
        <v>48.721699999999998</v>
      </c>
      <c r="F101">
        <v>92418.811000000002</v>
      </c>
      <c r="G101">
        <v>14.679</v>
      </c>
    </row>
    <row r="102" spans="1:7" x14ac:dyDescent="0.25">
      <c r="A102" s="141" t="s">
        <v>243</v>
      </c>
      <c r="B102">
        <v>3501.4839999999999</v>
      </c>
      <c r="C102">
        <v>42.808799999999998</v>
      </c>
      <c r="D102">
        <v>46.3324</v>
      </c>
      <c r="E102">
        <v>46.904600000000002</v>
      </c>
      <c r="F102">
        <v>61986.042999999998</v>
      </c>
      <c r="G102">
        <v>12.808</v>
      </c>
    </row>
    <row r="103" spans="1:7" x14ac:dyDescent="0.25">
      <c r="A103" s="141" t="s">
        <v>244</v>
      </c>
      <c r="B103">
        <v>1947.9559999999999</v>
      </c>
      <c r="C103">
        <v>39.980200000000004</v>
      </c>
      <c r="D103">
        <v>44.784999999999997</v>
      </c>
      <c r="E103">
        <v>45.106400000000001</v>
      </c>
      <c r="F103">
        <v>38525.896999999997</v>
      </c>
      <c r="G103">
        <v>11.1</v>
      </c>
    </row>
    <row r="104" spans="1:7" x14ac:dyDescent="0.25">
      <c r="A104" s="141" t="s">
        <v>245</v>
      </c>
      <c r="B104">
        <v>985.904</v>
      </c>
      <c r="C104">
        <v>36.7729</v>
      </c>
      <c r="D104">
        <v>42.909199999999998</v>
      </c>
      <c r="E104">
        <v>43.007899999999999</v>
      </c>
      <c r="F104">
        <v>21653.475999999999</v>
      </c>
      <c r="G104">
        <v>9.8059999999999992</v>
      </c>
    </row>
    <row r="105" spans="1:7" x14ac:dyDescent="0.25">
      <c r="A105" s="141" t="s">
        <v>126</v>
      </c>
      <c r="B105">
        <v>4491.5240000000003</v>
      </c>
      <c r="C105">
        <v>38.758800000000001</v>
      </c>
      <c r="D105">
        <v>46.419899999999998</v>
      </c>
      <c r="E105">
        <v>46.630600000000001</v>
      </c>
      <c r="F105">
        <v>60301.648999999998</v>
      </c>
      <c r="G105">
        <v>5.9379999999999997</v>
      </c>
    </row>
    <row r="106" spans="1:7" x14ac:dyDescent="0.25">
      <c r="A106" s="141" t="s">
        <v>127</v>
      </c>
      <c r="B106">
        <v>1877.18</v>
      </c>
      <c r="C106">
        <v>37.267000000000003</v>
      </c>
      <c r="D106">
        <v>45.292099999999998</v>
      </c>
      <c r="E106">
        <v>45.558300000000003</v>
      </c>
      <c r="F106">
        <v>32234.292000000001</v>
      </c>
      <c r="G106">
        <v>4.6680000000000001</v>
      </c>
    </row>
    <row r="107" spans="1:7" x14ac:dyDescent="0.25">
      <c r="A107" s="141" t="s">
        <v>128</v>
      </c>
      <c r="B107">
        <v>836.38400000000001</v>
      </c>
      <c r="C107">
        <v>35.334200000000003</v>
      </c>
      <c r="D107">
        <v>44.000700000000002</v>
      </c>
      <c r="E107">
        <v>44.2697</v>
      </c>
      <c r="F107">
        <v>16324.204</v>
      </c>
      <c r="G107">
        <v>3.9079999999999999</v>
      </c>
    </row>
    <row r="108" spans="1:7" x14ac:dyDescent="0.25">
      <c r="A108" s="141" t="s">
        <v>129</v>
      </c>
      <c r="B108">
        <v>393.18799999999999</v>
      </c>
      <c r="C108">
        <v>32.654600000000002</v>
      </c>
      <c r="D108">
        <v>42.284700000000001</v>
      </c>
      <c r="E108">
        <v>42.598799999999997</v>
      </c>
      <c r="F108">
        <v>8178.1490000000003</v>
      </c>
      <c r="G108">
        <v>3.4249999999999998</v>
      </c>
    </row>
    <row r="109" spans="1:7" x14ac:dyDescent="0.25">
      <c r="A109" s="141" t="s">
        <v>130</v>
      </c>
      <c r="B109">
        <v>2690.9079999999999</v>
      </c>
      <c r="C109">
        <v>40.7453</v>
      </c>
      <c r="D109">
        <v>46.209099999999999</v>
      </c>
      <c r="E109">
        <v>47.510899999999999</v>
      </c>
      <c r="F109">
        <v>47580.430999999997</v>
      </c>
      <c r="G109">
        <v>5.9749999999999996</v>
      </c>
    </row>
    <row r="110" spans="1:7" x14ac:dyDescent="0.25">
      <c r="A110" s="141" t="s">
        <v>131</v>
      </c>
      <c r="B110">
        <v>1156.9480000000001</v>
      </c>
      <c r="C110">
        <v>39.606900000000003</v>
      </c>
      <c r="D110">
        <v>45.644100000000002</v>
      </c>
      <c r="E110">
        <v>46.245100000000001</v>
      </c>
      <c r="F110">
        <v>25614.644</v>
      </c>
      <c r="G110">
        <v>4.8179999999999996</v>
      </c>
    </row>
    <row r="111" spans="1:7" x14ac:dyDescent="0.25">
      <c r="A111" s="141" t="s">
        <v>132</v>
      </c>
      <c r="B111">
        <v>531.48</v>
      </c>
      <c r="C111">
        <v>38.039700000000003</v>
      </c>
      <c r="D111">
        <v>44.882899999999999</v>
      </c>
      <c r="E111">
        <v>44.668399999999998</v>
      </c>
      <c r="F111">
        <v>12908.779</v>
      </c>
      <c r="G111">
        <v>4.226</v>
      </c>
    </row>
    <row r="112" spans="1:7" x14ac:dyDescent="0.25">
      <c r="A112" s="141" t="s">
        <v>133</v>
      </c>
      <c r="B112">
        <v>236.584</v>
      </c>
      <c r="C112">
        <v>35.927500000000002</v>
      </c>
      <c r="D112">
        <v>43.656700000000001</v>
      </c>
      <c r="E112">
        <v>42.531599999999997</v>
      </c>
      <c r="F112">
        <v>6337.8580000000002</v>
      </c>
      <c r="G112">
        <v>3.6779999999999999</v>
      </c>
    </row>
    <row r="113" spans="1:7" x14ac:dyDescent="0.25">
      <c r="A113" s="141" t="s">
        <v>134</v>
      </c>
      <c r="B113">
        <v>999.66399999999999</v>
      </c>
      <c r="C113">
        <v>43.728200000000001</v>
      </c>
      <c r="D113">
        <v>47.391100000000002</v>
      </c>
      <c r="E113">
        <v>48.459200000000003</v>
      </c>
      <c r="F113">
        <v>20480.973000000002</v>
      </c>
      <c r="G113">
        <v>4.3280000000000003</v>
      </c>
    </row>
    <row r="114" spans="1:7" x14ac:dyDescent="0.25">
      <c r="A114" s="141" t="s">
        <v>135</v>
      </c>
      <c r="B114">
        <v>527.976</v>
      </c>
      <c r="C114">
        <v>42.457099999999997</v>
      </c>
      <c r="D114">
        <v>46.640099999999997</v>
      </c>
      <c r="E114">
        <v>47.467599999999997</v>
      </c>
      <c r="F114">
        <v>11181.615</v>
      </c>
      <c r="G114">
        <v>3.847</v>
      </c>
    </row>
    <row r="115" spans="1:7" x14ac:dyDescent="0.25">
      <c r="A115" s="141" t="s">
        <v>136</v>
      </c>
      <c r="B115">
        <v>294.65199999999999</v>
      </c>
      <c r="C115">
        <v>40.668500000000002</v>
      </c>
      <c r="D115">
        <v>45.633000000000003</v>
      </c>
      <c r="E115">
        <v>46.2318</v>
      </c>
      <c r="F115">
        <v>6206.4589999999998</v>
      </c>
      <c r="G115">
        <v>3.7189999999999999</v>
      </c>
    </row>
    <row r="116" spans="1:7" x14ac:dyDescent="0.25">
      <c r="A116" s="141" t="s">
        <v>137</v>
      </c>
      <c r="B116">
        <v>161.804</v>
      </c>
      <c r="C116">
        <v>38.113500000000002</v>
      </c>
      <c r="D116">
        <v>43.901299999999999</v>
      </c>
      <c r="E116">
        <v>44.251600000000003</v>
      </c>
      <c r="F116">
        <v>3506.2469999999998</v>
      </c>
      <c r="G116">
        <v>3.625</v>
      </c>
    </row>
    <row r="117" spans="1:7" x14ac:dyDescent="0.25">
      <c r="A117" s="141" t="s">
        <v>138</v>
      </c>
      <c r="B117">
        <v>1378.2159999999999</v>
      </c>
      <c r="C117">
        <v>43.095100000000002</v>
      </c>
      <c r="D117">
        <v>49.194699999999997</v>
      </c>
      <c r="E117">
        <v>48.868099999999998</v>
      </c>
      <c r="F117">
        <v>23481.228999999999</v>
      </c>
      <c r="G117">
        <v>4.3239999999999998</v>
      </c>
    </row>
    <row r="118" spans="1:7" x14ac:dyDescent="0.25">
      <c r="A118" s="141" t="s">
        <v>139</v>
      </c>
      <c r="B118">
        <v>727.23599999999999</v>
      </c>
      <c r="C118">
        <v>41.857399999999998</v>
      </c>
      <c r="D118">
        <v>48.3322</v>
      </c>
      <c r="E118">
        <v>47.8538</v>
      </c>
      <c r="F118">
        <v>13176.511</v>
      </c>
      <c r="G118">
        <v>3.911</v>
      </c>
    </row>
    <row r="119" spans="1:7" x14ac:dyDescent="0.25">
      <c r="A119" s="141" t="s">
        <v>140</v>
      </c>
      <c r="B119">
        <v>408.44400000000002</v>
      </c>
      <c r="C119">
        <v>40.019500000000001</v>
      </c>
      <c r="D119">
        <v>47.481200000000001</v>
      </c>
      <c r="E119">
        <v>46.457799999999999</v>
      </c>
      <c r="F119">
        <v>7562.0649999999996</v>
      </c>
      <c r="G119">
        <v>3.601</v>
      </c>
    </row>
    <row r="120" spans="1:7" x14ac:dyDescent="0.25">
      <c r="A120" s="141" t="s">
        <v>141</v>
      </c>
      <c r="B120">
        <v>222.608</v>
      </c>
      <c r="C120">
        <v>37.307699999999997</v>
      </c>
      <c r="D120">
        <v>45.817799999999998</v>
      </c>
      <c r="E120">
        <v>44.082900000000002</v>
      </c>
      <c r="F120">
        <v>4267.5709999999999</v>
      </c>
      <c r="G120">
        <v>3.5920000000000001</v>
      </c>
    </row>
    <row r="121" spans="1:7" x14ac:dyDescent="0.25">
      <c r="A121" s="141" t="s">
        <v>246</v>
      </c>
    </row>
    <row r="122" spans="1:7" x14ac:dyDescent="0.25">
      <c r="A122" s="141" t="s">
        <v>247</v>
      </c>
    </row>
    <row r="123" spans="1:7" x14ac:dyDescent="0.25">
      <c r="A123" s="141" t="s">
        <v>248</v>
      </c>
    </row>
    <row r="124" spans="1:7" x14ac:dyDescent="0.25">
      <c r="A124" s="141" t="s">
        <v>249</v>
      </c>
    </row>
    <row r="125" spans="1:7" x14ac:dyDescent="0.25">
      <c r="A125" s="141" t="s">
        <v>250</v>
      </c>
    </row>
    <row r="126" spans="1:7" x14ac:dyDescent="0.25">
      <c r="A126" s="141" t="s">
        <v>251</v>
      </c>
    </row>
    <row r="127" spans="1:7" x14ac:dyDescent="0.25">
      <c r="A127" s="141" t="s">
        <v>252</v>
      </c>
    </row>
    <row r="128" spans="1:7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7" x14ac:dyDescent="0.25">
      <c r="A145" s="141" t="s">
        <v>254</v>
      </c>
      <c r="B145">
        <v>17057.103999999999</v>
      </c>
      <c r="C145">
        <v>40.171100000000003</v>
      </c>
      <c r="D145">
        <v>48.7592</v>
      </c>
      <c r="E145">
        <v>46.689100000000003</v>
      </c>
      <c r="F145">
        <v>220751.484</v>
      </c>
      <c r="G145">
        <v>28.821000000000002</v>
      </c>
    </row>
    <row r="146" spans="1:7" x14ac:dyDescent="0.25">
      <c r="A146" s="141" t="s">
        <v>255</v>
      </c>
      <c r="B146">
        <v>8438.9439999999995</v>
      </c>
      <c r="C146">
        <v>39.564</v>
      </c>
      <c r="D146">
        <v>47.940199999999997</v>
      </c>
      <c r="E146">
        <v>45.561999999999998</v>
      </c>
      <c r="F146">
        <v>122523.352</v>
      </c>
      <c r="G146">
        <v>26.154</v>
      </c>
    </row>
    <row r="147" spans="1:7" x14ac:dyDescent="0.25">
      <c r="A147" s="141" t="s">
        <v>256</v>
      </c>
      <c r="B147">
        <v>4602.2879999999996</v>
      </c>
      <c r="C147">
        <v>38.5777</v>
      </c>
      <c r="D147">
        <v>46.942399999999999</v>
      </c>
      <c r="E147">
        <v>44.169699999999999</v>
      </c>
      <c r="F147">
        <v>64343.983999999997</v>
      </c>
      <c r="G147">
        <v>21.324000000000002</v>
      </c>
    </row>
    <row r="148" spans="1:7" x14ac:dyDescent="0.25">
      <c r="A148" s="141" t="s">
        <v>257</v>
      </c>
      <c r="B148">
        <v>2501.6480000000001</v>
      </c>
      <c r="C148">
        <v>37.031999999999996</v>
      </c>
      <c r="D148">
        <v>45.562100000000001</v>
      </c>
      <c r="E148">
        <v>42.505000000000003</v>
      </c>
      <c r="F148">
        <v>32695.998</v>
      </c>
      <c r="G148">
        <v>18.681999999999999</v>
      </c>
    </row>
    <row r="149" spans="1:7" x14ac:dyDescent="0.25">
      <c r="A149" s="141" t="s">
        <v>258</v>
      </c>
      <c r="B149">
        <v>90946.024000000005</v>
      </c>
      <c r="C149">
        <v>41.735399999999998</v>
      </c>
      <c r="D149">
        <v>36.7301</v>
      </c>
      <c r="E149">
        <v>37.7346</v>
      </c>
      <c r="F149">
        <v>378046.06199999998</v>
      </c>
      <c r="G149">
        <v>32.613999999999997</v>
      </c>
    </row>
    <row r="150" spans="1:7" x14ac:dyDescent="0.25">
      <c r="A150" s="141" t="s">
        <v>259</v>
      </c>
      <c r="B150">
        <v>46539.792000000001</v>
      </c>
      <c r="C150">
        <v>38.939300000000003</v>
      </c>
      <c r="D150">
        <v>34.454000000000001</v>
      </c>
      <c r="E150">
        <v>35.835299999999997</v>
      </c>
      <c r="F150">
        <v>261513.93799999999</v>
      </c>
      <c r="G150">
        <v>27.504999999999999</v>
      </c>
    </row>
    <row r="151" spans="1:7" x14ac:dyDescent="0.25">
      <c r="A151" s="141" t="s">
        <v>260</v>
      </c>
      <c r="B151">
        <v>21654.008000000002</v>
      </c>
      <c r="C151">
        <v>35.847099999999998</v>
      </c>
      <c r="D151">
        <v>32.535200000000003</v>
      </c>
      <c r="E151">
        <v>34.222200000000001</v>
      </c>
      <c r="F151">
        <v>174528.78099999999</v>
      </c>
      <c r="G151">
        <v>23.154</v>
      </c>
    </row>
    <row r="152" spans="1:7" x14ac:dyDescent="0.25">
      <c r="A152" s="141" t="s">
        <v>261</v>
      </c>
      <c r="B152">
        <v>9160.0239999999994</v>
      </c>
      <c r="C152">
        <v>32.828400000000002</v>
      </c>
      <c r="D152">
        <v>30.811800000000002</v>
      </c>
      <c r="E152">
        <v>32.819200000000002</v>
      </c>
      <c r="F152">
        <v>97639.945000000007</v>
      </c>
      <c r="G152">
        <v>19.818999999999999</v>
      </c>
    </row>
    <row r="153" spans="1:7" x14ac:dyDescent="0.25">
      <c r="A153" s="141" t="s">
        <v>262</v>
      </c>
      <c r="B153">
        <v>45122.296000000002</v>
      </c>
      <c r="C153">
        <v>38.880800000000001</v>
      </c>
      <c r="D153">
        <v>41.214300000000001</v>
      </c>
      <c r="E153">
        <v>41.491</v>
      </c>
      <c r="F153">
        <v>205216.42199999999</v>
      </c>
      <c r="G153">
        <v>20.603999999999999</v>
      </c>
    </row>
    <row r="154" spans="1:7" x14ac:dyDescent="0.25">
      <c r="A154" s="141" t="s">
        <v>263</v>
      </c>
      <c r="B154">
        <v>22119.328000000001</v>
      </c>
      <c r="C154">
        <v>37.518599999999999</v>
      </c>
      <c r="D154">
        <v>38.653599999999997</v>
      </c>
      <c r="E154">
        <v>40.11</v>
      </c>
      <c r="F154">
        <v>126072.461</v>
      </c>
      <c r="G154">
        <v>15.374000000000001</v>
      </c>
    </row>
    <row r="155" spans="1:7" x14ac:dyDescent="0.25">
      <c r="A155" s="141" t="s">
        <v>264</v>
      </c>
      <c r="B155">
        <v>11568.544</v>
      </c>
      <c r="C155">
        <v>35.968000000000004</v>
      </c>
      <c r="D155">
        <v>36.411200000000001</v>
      </c>
      <c r="E155">
        <v>38.6723</v>
      </c>
      <c r="F155">
        <v>78753.914000000004</v>
      </c>
      <c r="G155">
        <v>12.619</v>
      </c>
    </row>
    <row r="156" spans="1:7" x14ac:dyDescent="0.25">
      <c r="A156" s="141" t="s">
        <v>265</v>
      </c>
      <c r="B156">
        <v>5675.9920000000002</v>
      </c>
      <c r="C156">
        <v>34.054900000000004</v>
      </c>
      <c r="D156">
        <v>33.981900000000003</v>
      </c>
      <c r="E156">
        <v>36.918399999999998</v>
      </c>
      <c r="F156">
        <v>46019.546999999999</v>
      </c>
      <c r="G156">
        <v>11.228</v>
      </c>
    </row>
    <row r="157" spans="1:7" x14ac:dyDescent="0.25">
      <c r="A157" s="141" t="s">
        <v>266</v>
      </c>
      <c r="B157">
        <v>24485.376</v>
      </c>
      <c r="C157">
        <v>37.539900000000003</v>
      </c>
      <c r="D157">
        <v>45.044400000000003</v>
      </c>
      <c r="E157">
        <v>42.811199999999999</v>
      </c>
      <c r="F157">
        <v>296888.875</v>
      </c>
      <c r="G157">
        <v>28.649000000000001</v>
      </c>
    </row>
    <row r="158" spans="1:7" x14ac:dyDescent="0.25">
      <c r="A158" s="141" t="s">
        <v>267</v>
      </c>
      <c r="B158">
        <v>10316.68</v>
      </c>
      <c r="C158">
        <v>36.917000000000002</v>
      </c>
      <c r="D158">
        <v>44.398200000000003</v>
      </c>
      <c r="E158">
        <v>42.092500000000001</v>
      </c>
      <c r="F158">
        <v>160034.42199999999</v>
      </c>
      <c r="G158">
        <v>23.056999999999999</v>
      </c>
    </row>
    <row r="159" spans="1:7" x14ac:dyDescent="0.25">
      <c r="A159" s="141" t="s">
        <v>268</v>
      </c>
      <c r="B159">
        <v>5159.5360000000001</v>
      </c>
      <c r="C159">
        <v>35.9054</v>
      </c>
      <c r="D159">
        <v>43.4649</v>
      </c>
      <c r="E159">
        <v>41.1492</v>
      </c>
      <c r="F159">
        <v>88441.766000000003</v>
      </c>
      <c r="G159">
        <v>19.417000000000002</v>
      </c>
    </row>
    <row r="160" spans="1:7" x14ac:dyDescent="0.25">
      <c r="A160" s="141" t="s">
        <v>269</v>
      </c>
      <c r="B160">
        <v>2568.152</v>
      </c>
      <c r="C160">
        <v>34.332799999999999</v>
      </c>
      <c r="D160">
        <v>42.148499999999999</v>
      </c>
      <c r="E160">
        <v>39.973700000000001</v>
      </c>
      <c r="F160">
        <v>43010.707000000002</v>
      </c>
      <c r="G160">
        <v>15.696</v>
      </c>
    </row>
    <row r="161" spans="1:7" x14ac:dyDescent="0.25">
      <c r="A161" s="141" t="s">
        <v>142</v>
      </c>
      <c r="B161">
        <v>7967.0640000000003</v>
      </c>
      <c r="C161">
        <v>38.025100000000002</v>
      </c>
      <c r="D161">
        <v>39.744700000000002</v>
      </c>
      <c r="E161">
        <v>42.863900000000001</v>
      </c>
      <c r="F161">
        <v>335780.93800000002</v>
      </c>
      <c r="G161">
        <v>27.061</v>
      </c>
    </row>
    <row r="162" spans="1:7" x14ac:dyDescent="0.25">
      <c r="A162" s="141" t="s">
        <v>143</v>
      </c>
      <c r="B162">
        <v>3759.9312</v>
      </c>
      <c r="C162">
        <v>36.683399999999999</v>
      </c>
      <c r="D162">
        <v>39.108600000000003</v>
      </c>
      <c r="E162">
        <v>41.680700000000002</v>
      </c>
      <c r="F162">
        <v>210518.859</v>
      </c>
      <c r="G162">
        <v>21.975000000000001</v>
      </c>
    </row>
    <row r="163" spans="1:7" x14ac:dyDescent="0.25">
      <c r="A163" s="141" t="s">
        <v>144</v>
      </c>
      <c r="B163">
        <v>1846.7616</v>
      </c>
      <c r="C163">
        <v>34.813099999999999</v>
      </c>
      <c r="D163">
        <v>38.272799999999997</v>
      </c>
      <c r="E163">
        <v>40.177500000000002</v>
      </c>
      <c r="F163">
        <v>124798.31200000001</v>
      </c>
      <c r="G163">
        <v>19.266999999999999</v>
      </c>
    </row>
    <row r="164" spans="1:7" x14ac:dyDescent="0.25">
      <c r="A164" s="141" t="s">
        <v>145</v>
      </c>
      <c r="B164">
        <v>883.85440000000006</v>
      </c>
      <c r="C164">
        <v>32.499699999999997</v>
      </c>
      <c r="D164">
        <v>37.2727</v>
      </c>
      <c r="E164">
        <v>38.522199999999998</v>
      </c>
      <c r="F164">
        <v>70427.554999999993</v>
      </c>
      <c r="G164">
        <v>14.196</v>
      </c>
    </row>
    <row r="165" spans="1:7" x14ac:dyDescent="0.25">
      <c r="A165" s="141" t="s">
        <v>146</v>
      </c>
      <c r="B165">
        <v>9103.4863999999998</v>
      </c>
      <c r="C165">
        <v>38.741100000000003</v>
      </c>
      <c r="D165">
        <v>43.687100000000001</v>
      </c>
      <c r="E165">
        <v>44.628700000000002</v>
      </c>
      <c r="F165">
        <v>367287.46899999998</v>
      </c>
      <c r="G165">
        <v>33.695</v>
      </c>
    </row>
    <row r="166" spans="1:7" x14ac:dyDescent="0.25">
      <c r="A166" s="141" t="s">
        <v>147</v>
      </c>
      <c r="B166">
        <v>4704.4512000000004</v>
      </c>
      <c r="C166">
        <v>37.5351</v>
      </c>
      <c r="D166">
        <v>42.715600000000002</v>
      </c>
      <c r="E166">
        <v>43.120600000000003</v>
      </c>
      <c r="F166">
        <v>229462.59400000001</v>
      </c>
      <c r="G166">
        <v>28.638999999999999</v>
      </c>
    </row>
    <row r="167" spans="1:7" x14ac:dyDescent="0.25">
      <c r="A167" s="141" t="s">
        <v>148</v>
      </c>
      <c r="B167">
        <v>2399.9391999999998</v>
      </c>
      <c r="C167">
        <v>35.859299999999998</v>
      </c>
      <c r="D167">
        <v>41.494900000000001</v>
      </c>
      <c r="E167">
        <v>41.397199999999998</v>
      </c>
      <c r="F167">
        <v>135869.71900000001</v>
      </c>
      <c r="G167">
        <v>23.047999999999998</v>
      </c>
    </row>
    <row r="168" spans="1:7" x14ac:dyDescent="0.25">
      <c r="A168" s="141" t="s">
        <v>149</v>
      </c>
      <c r="B168">
        <v>1190.08</v>
      </c>
      <c r="C168">
        <v>33.764699999999998</v>
      </c>
      <c r="D168">
        <v>40.126899999999999</v>
      </c>
      <c r="E168">
        <v>39.448799999999999</v>
      </c>
      <c r="F168">
        <v>75018.702999999994</v>
      </c>
      <c r="G168">
        <v>18.734999999999999</v>
      </c>
    </row>
    <row r="169" spans="1:7" x14ac:dyDescent="0.25">
      <c r="A169" s="141" t="s">
        <v>270</v>
      </c>
      <c r="B169">
        <v>6355.32</v>
      </c>
      <c r="C169">
        <v>39.834499999999998</v>
      </c>
      <c r="D169">
        <v>43.810099999999998</v>
      </c>
      <c r="E169">
        <v>44.555199999999999</v>
      </c>
      <c r="F169">
        <v>331036.06199999998</v>
      </c>
      <c r="G169">
        <v>33.276000000000003</v>
      </c>
    </row>
    <row r="170" spans="1:7" x14ac:dyDescent="0.25">
      <c r="A170" s="141" t="s">
        <v>271</v>
      </c>
      <c r="B170">
        <v>3033.48</v>
      </c>
      <c r="C170">
        <v>38.536299999999997</v>
      </c>
      <c r="D170">
        <v>42.941499999999998</v>
      </c>
      <c r="E170">
        <v>43.6556</v>
      </c>
      <c r="F170">
        <v>191648.43799999999</v>
      </c>
      <c r="G170">
        <v>26.251000000000001</v>
      </c>
    </row>
    <row r="171" spans="1:7" x14ac:dyDescent="0.25">
      <c r="A171" s="141" t="s">
        <v>272</v>
      </c>
      <c r="B171">
        <v>1464.4960000000001</v>
      </c>
      <c r="C171">
        <v>36.724899999999998</v>
      </c>
      <c r="D171">
        <v>41.852499999999999</v>
      </c>
      <c r="E171">
        <v>42.420999999999999</v>
      </c>
      <c r="F171">
        <v>106160.234</v>
      </c>
      <c r="G171">
        <v>23.09</v>
      </c>
    </row>
    <row r="172" spans="1:7" x14ac:dyDescent="0.25">
      <c r="A172" s="141" t="s">
        <v>273</v>
      </c>
      <c r="B172">
        <v>690.11360000000002</v>
      </c>
      <c r="C172">
        <v>34.424199999999999</v>
      </c>
      <c r="D172">
        <v>40.692500000000003</v>
      </c>
      <c r="E172">
        <v>41.063600000000001</v>
      </c>
      <c r="F172">
        <v>55878.152000000002</v>
      </c>
      <c r="G172">
        <v>17.698</v>
      </c>
    </row>
    <row r="173" spans="1:7" x14ac:dyDescent="0.25">
      <c r="A173" s="141" t="s">
        <v>274</v>
      </c>
      <c r="B173">
        <v>6708.4319999999998</v>
      </c>
      <c r="C173">
        <v>43.387</v>
      </c>
      <c r="D173">
        <v>46.732199999999999</v>
      </c>
      <c r="E173">
        <v>47.313099999999999</v>
      </c>
      <c r="F173">
        <v>277374.56199999998</v>
      </c>
      <c r="G173">
        <v>34.840000000000003</v>
      </c>
    </row>
    <row r="174" spans="1:7" x14ac:dyDescent="0.25">
      <c r="A174" s="141" t="s">
        <v>275</v>
      </c>
      <c r="B174">
        <v>4087.0880000000002</v>
      </c>
      <c r="C174">
        <v>41.075699999999998</v>
      </c>
      <c r="D174">
        <v>45.279600000000002</v>
      </c>
      <c r="E174">
        <v>45.630499999999998</v>
      </c>
      <c r="F174">
        <v>195306.125</v>
      </c>
      <c r="G174">
        <v>30.521000000000001</v>
      </c>
    </row>
    <row r="175" spans="1:7" x14ac:dyDescent="0.25">
      <c r="A175" s="141" t="s">
        <v>276</v>
      </c>
      <c r="B175">
        <v>2261.0336000000002</v>
      </c>
      <c r="C175">
        <v>38.271599999999999</v>
      </c>
      <c r="D175">
        <v>43.611800000000002</v>
      </c>
      <c r="E175">
        <v>43.770099999999999</v>
      </c>
      <c r="F175">
        <v>122717.711</v>
      </c>
      <c r="G175">
        <v>25.975000000000001</v>
      </c>
    </row>
    <row r="176" spans="1:7" x14ac:dyDescent="0.25">
      <c r="A176" s="141" t="s">
        <v>277</v>
      </c>
      <c r="B176">
        <v>1176.0719999999999</v>
      </c>
      <c r="C176">
        <v>35.307000000000002</v>
      </c>
      <c r="D176">
        <v>41.988700000000001</v>
      </c>
      <c r="E176">
        <v>41.917299999999997</v>
      </c>
      <c r="F176">
        <v>70569.273000000001</v>
      </c>
      <c r="G176">
        <v>20.574000000000002</v>
      </c>
    </row>
    <row r="177" spans="1:7" x14ac:dyDescent="0.25">
      <c r="A177" s="141" t="s">
        <v>150</v>
      </c>
      <c r="B177" s="71">
        <v>4675.0240000000003</v>
      </c>
      <c r="C177" s="71">
        <v>38.4557</v>
      </c>
      <c r="D177" s="71">
        <v>45.524000000000001</v>
      </c>
      <c r="E177" s="71">
        <v>45.743400000000001</v>
      </c>
      <c r="F177" s="71">
        <v>190730.484</v>
      </c>
      <c r="G177" s="71">
        <v>15.443</v>
      </c>
    </row>
    <row r="178" spans="1:7" x14ac:dyDescent="0.25">
      <c r="A178" s="141" t="s">
        <v>151</v>
      </c>
      <c r="B178" s="71">
        <v>1634.8208</v>
      </c>
      <c r="C178" s="71">
        <v>36.459699999999998</v>
      </c>
      <c r="D178" s="71">
        <v>44.551900000000003</v>
      </c>
      <c r="E178" s="71">
        <v>44.767099999999999</v>
      </c>
      <c r="F178" s="71">
        <v>98211.633000000002</v>
      </c>
      <c r="G178" s="71">
        <v>10.867000000000001</v>
      </c>
    </row>
    <row r="179" spans="1:7" x14ac:dyDescent="0.25">
      <c r="A179" s="141" t="s">
        <v>152</v>
      </c>
      <c r="B179" s="71">
        <v>654.56479999999999</v>
      </c>
      <c r="C179" s="71">
        <v>34.029800000000002</v>
      </c>
      <c r="D179" s="71">
        <v>43.190100000000001</v>
      </c>
      <c r="E179" s="71">
        <v>43.385800000000003</v>
      </c>
      <c r="F179" s="71">
        <v>54973.862999999998</v>
      </c>
      <c r="G179" s="71">
        <v>7.9189999999999996</v>
      </c>
    </row>
    <row r="180" spans="1:7" x14ac:dyDescent="0.25">
      <c r="A180" s="141" t="s">
        <v>153</v>
      </c>
      <c r="B180" s="71">
        <v>277.24799999999999</v>
      </c>
      <c r="C180" s="71">
        <v>31.013100000000001</v>
      </c>
      <c r="D180" s="71">
        <v>41.9437</v>
      </c>
      <c r="E180" s="71">
        <v>41.99</v>
      </c>
      <c r="F180" s="71">
        <v>30872.965</v>
      </c>
      <c r="G180" s="71">
        <v>6.5839999999999996</v>
      </c>
    </row>
    <row r="181" spans="1:7" x14ac:dyDescent="0.25">
      <c r="A181" s="141" t="s">
        <v>154</v>
      </c>
      <c r="B181" s="71">
        <v>3776.5360000000001</v>
      </c>
      <c r="C181" s="71">
        <v>40.530999999999999</v>
      </c>
      <c r="D181" s="71">
        <v>45.259099999999997</v>
      </c>
      <c r="E181" s="71">
        <v>46.052300000000002</v>
      </c>
      <c r="F181" s="71">
        <v>165345.92199999999</v>
      </c>
      <c r="G181" s="71">
        <v>16.306000000000001</v>
      </c>
    </row>
    <row r="182" spans="1:7" x14ac:dyDescent="0.25">
      <c r="A182" s="141" t="s">
        <v>155</v>
      </c>
      <c r="B182" s="71">
        <v>1705.816</v>
      </c>
      <c r="C182" s="71">
        <v>38.876300000000001</v>
      </c>
      <c r="D182" s="71">
        <v>44.429400000000001</v>
      </c>
      <c r="E182" s="71">
        <v>44.501300000000001</v>
      </c>
      <c r="F182" s="71">
        <v>95442.797000000006</v>
      </c>
      <c r="G182" s="71">
        <v>12.957000000000001</v>
      </c>
    </row>
    <row r="183" spans="1:7" x14ac:dyDescent="0.25">
      <c r="A183" s="141" t="s">
        <v>156</v>
      </c>
      <c r="B183" s="71">
        <v>816.41120000000001</v>
      </c>
      <c r="C183" s="71">
        <v>36.907600000000002</v>
      </c>
      <c r="D183" s="71">
        <v>43.428400000000003</v>
      </c>
      <c r="E183" s="71">
        <v>42.6982</v>
      </c>
      <c r="F183" s="71">
        <v>53561.02</v>
      </c>
      <c r="G183" s="71">
        <v>10.147</v>
      </c>
    </row>
    <row r="184" spans="1:7" x14ac:dyDescent="0.25">
      <c r="A184" s="141" t="s">
        <v>157</v>
      </c>
      <c r="B184" s="71">
        <v>383.54559999999998</v>
      </c>
      <c r="C184" s="71">
        <v>34.673499999999997</v>
      </c>
      <c r="D184" s="71">
        <v>42.082299999999996</v>
      </c>
      <c r="E184" s="71">
        <v>40.645000000000003</v>
      </c>
      <c r="F184" s="71">
        <v>27429.145</v>
      </c>
      <c r="G184" s="71">
        <v>7.7919999999999998</v>
      </c>
    </row>
    <row r="185" spans="1:7" x14ac:dyDescent="0.25">
      <c r="A185" s="141" t="s">
        <v>158</v>
      </c>
      <c r="B185" s="71">
        <v>920.20799999999997</v>
      </c>
      <c r="C185" s="71">
        <v>42.968200000000003</v>
      </c>
      <c r="D185" s="71">
        <v>46.770400000000002</v>
      </c>
      <c r="E185" s="71">
        <v>47.599200000000003</v>
      </c>
      <c r="F185" s="71">
        <v>63609.43</v>
      </c>
      <c r="G185" s="71">
        <v>8.3000000000000007</v>
      </c>
    </row>
    <row r="186" spans="1:7" x14ac:dyDescent="0.25">
      <c r="A186" s="141" t="s">
        <v>159</v>
      </c>
      <c r="B186" s="71">
        <v>470.25279999999998</v>
      </c>
      <c r="C186" s="71">
        <v>41.298999999999999</v>
      </c>
      <c r="D186" s="71">
        <v>45.967700000000001</v>
      </c>
      <c r="E186" s="71">
        <v>46.529699999999998</v>
      </c>
      <c r="F186" s="71">
        <v>36486.855000000003</v>
      </c>
      <c r="G186" s="71">
        <v>6.5220000000000002</v>
      </c>
    </row>
    <row r="187" spans="1:7" x14ac:dyDescent="0.25">
      <c r="A187" s="141" t="s">
        <v>160</v>
      </c>
      <c r="B187" s="71">
        <v>252.50559999999999</v>
      </c>
      <c r="C187" s="71">
        <v>39.087000000000003</v>
      </c>
      <c r="D187" s="71">
        <v>44.664999999999999</v>
      </c>
      <c r="E187" s="71">
        <v>45.186199999999999</v>
      </c>
      <c r="F187" s="71">
        <v>21045.425999999999</v>
      </c>
      <c r="G187" s="71">
        <v>5.3380000000000001</v>
      </c>
    </row>
    <row r="188" spans="1:7" x14ac:dyDescent="0.25">
      <c r="A188" s="141" t="s">
        <v>161</v>
      </c>
      <c r="B188" s="71">
        <v>138.91999999999999</v>
      </c>
      <c r="C188" s="71">
        <v>36.298299999999998</v>
      </c>
      <c r="D188" s="71">
        <v>43.158999999999999</v>
      </c>
      <c r="E188" s="71">
        <v>43.259</v>
      </c>
      <c r="F188" s="71">
        <v>12087.53</v>
      </c>
      <c r="G188" s="71">
        <v>4.7270000000000003</v>
      </c>
    </row>
    <row r="189" spans="1:7" x14ac:dyDescent="0.25">
      <c r="A189" s="141" t="s">
        <v>162</v>
      </c>
      <c r="B189" s="71">
        <v>1246.1279999999999</v>
      </c>
      <c r="C189" s="71">
        <v>42.6721</v>
      </c>
      <c r="D189" s="71">
        <v>48.561399999999999</v>
      </c>
      <c r="E189" s="71">
        <v>48.117800000000003</v>
      </c>
      <c r="F189" s="71">
        <v>69189.812000000005</v>
      </c>
      <c r="G189" s="71">
        <v>8.9139999999999997</v>
      </c>
    </row>
    <row r="190" spans="1:7" x14ac:dyDescent="0.25">
      <c r="A190" s="141" t="s">
        <v>163</v>
      </c>
      <c r="B190" s="71">
        <v>608.13919999999996</v>
      </c>
      <c r="C190" s="71">
        <v>40.910200000000003</v>
      </c>
      <c r="D190" s="71">
        <v>47.753300000000003</v>
      </c>
      <c r="E190" s="71">
        <v>47.0124</v>
      </c>
      <c r="F190" s="71">
        <v>39826.910000000003</v>
      </c>
      <c r="G190" s="71">
        <v>6.7629999999999999</v>
      </c>
    </row>
    <row r="191" spans="1:7" x14ac:dyDescent="0.25">
      <c r="A191" s="141" t="s">
        <v>164</v>
      </c>
      <c r="B191" s="71">
        <v>325.6848</v>
      </c>
      <c r="C191" s="71">
        <v>38.5319</v>
      </c>
      <c r="D191" s="71">
        <v>46.682600000000001</v>
      </c>
      <c r="E191" s="71">
        <v>45.478999999999999</v>
      </c>
      <c r="F191" s="71">
        <v>22989.824000000001</v>
      </c>
      <c r="G191" s="71">
        <v>6.016</v>
      </c>
    </row>
    <row r="192" spans="1:7" x14ac:dyDescent="0.25">
      <c r="A192" s="141" t="s">
        <v>165</v>
      </c>
      <c r="B192" s="71">
        <v>178.8048</v>
      </c>
      <c r="C192" s="71">
        <v>35.451599999999999</v>
      </c>
      <c r="D192" s="71">
        <v>45.037599999999998</v>
      </c>
      <c r="E192" s="71">
        <v>43.192799999999998</v>
      </c>
      <c r="F192" s="71">
        <v>14016.378000000001</v>
      </c>
      <c r="G192" s="71">
        <v>5.2539999999999996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opLeftCell="A133" zoomScaleNormal="100" workbookViewId="0">
      <selection activeCell="B145" sqref="B145:J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76135.238899999997</v>
      </c>
      <c r="C1">
        <v>40.81</v>
      </c>
      <c r="D1">
        <v>49.247500000000002</v>
      </c>
      <c r="E1">
        <v>47.755499999999998</v>
      </c>
      <c r="F1">
        <v>126307.19500000001</v>
      </c>
      <c r="G1">
        <v>26.082000000000001</v>
      </c>
      <c r="H1">
        <v>0</v>
      </c>
      <c r="I1" t="s">
        <v>408</v>
      </c>
      <c r="J1" t="s">
        <v>409</v>
      </c>
    </row>
    <row r="2" spans="1:10" x14ac:dyDescent="0.25">
      <c r="A2" s="141" t="s">
        <v>191</v>
      </c>
      <c r="B2">
        <v>41142.123200000002</v>
      </c>
      <c r="C2">
        <v>40.157800000000002</v>
      </c>
      <c r="D2">
        <v>48.549500000000002</v>
      </c>
      <c r="E2">
        <v>46.668199999999999</v>
      </c>
      <c r="F2">
        <v>70423.008000000002</v>
      </c>
      <c r="G2">
        <v>23.175999999999998</v>
      </c>
      <c r="H2">
        <v>0</v>
      </c>
      <c r="I2" t="s">
        <v>410</v>
      </c>
      <c r="J2" t="s">
        <v>411</v>
      </c>
    </row>
    <row r="3" spans="1:10" x14ac:dyDescent="0.25">
      <c r="A3" s="141" t="s">
        <v>192</v>
      </c>
      <c r="B3">
        <v>24680.9254</v>
      </c>
      <c r="C3">
        <v>39.432400000000001</v>
      </c>
      <c r="D3">
        <v>47.614400000000003</v>
      </c>
      <c r="E3">
        <v>45.377000000000002</v>
      </c>
      <c r="F3">
        <v>41975.425999999999</v>
      </c>
      <c r="G3">
        <v>21.850999999999999</v>
      </c>
      <c r="H3">
        <v>0</v>
      </c>
      <c r="I3" t="s">
        <v>412</v>
      </c>
      <c r="J3" t="s">
        <v>413</v>
      </c>
    </row>
    <row r="4" spans="1:10" x14ac:dyDescent="0.25">
      <c r="A4" s="141" t="s">
        <v>193</v>
      </c>
      <c r="B4">
        <v>14114.374100000001</v>
      </c>
      <c r="C4">
        <v>38.220999999999997</v>
      </c>
      <c r="D4">
        <v>46.13</v>
      </c>
      <c r="E4">
        <v>43.600099999999998</v>
      </c>
      <c r="F4">
        <v>23502.335999999999</v>
      </c>
      <c r="G4">
        <v>19.581</v>
      </c>
      <c r="H4">
        <v>0</v>
      </c>
      <c r="I4" t="s">
        <v>414</v>
      </c>
      <c r="J4" t="s">
        <v>415</v>
      </c>
    </row>
    <row r="5" spans="1:10" x14ac:dyDescent="0.25">
      <c r="A5" s="141" t="s">
        <v>194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416</v>
      </c>
      <c r="J5" t="s">
        <v>417</v>
      </c>
    </row>
    <row r="6" spans="1:10" x14ac:dyDescent="0.25">
      <c r="A6" s="141" t="s">
        <v>195</v>
      </c>
      <c r="B6">
        <v>205575.6526</v>
      </c>
      <c r="C6">
        <v>41.968699999999998</v>
      </c>
      <c r="D6">
        <v>36.68</v>
      </c>
      <c r="E6">
        <v>37.465600000000002</v>
      </c>
      <c r="F6">
        <v>161952.641</v>
      </c>
      <c r="G6">
        <v>35.634999999999998</v>
      </c>
      <c r="H6">
        <v>0</v>
      </c>
      <c r="I6" t="s">
        <v>418</v>
      </c>
      <c r="J6" t="s">
        <v>419</v>
      </c>
    </row>
    <row r="7" spans="1:10" x14ac:dyDescent="0.25">
      <c r="A7" s="141" t="s">
        <v>196</v>
      </c>
      <c r="B7">
        <v>117427.71580000001</v>
      </c>
      <c r="C7">
        <v>38.707900000000002</v>
      </c>
      <c r="D7">
        <v>34.389200000000002</v>
      </c>
      <c r="E7">
        <v>35.543399999999998</v>
      </c>
      <c r="F7">
        <v>120849.141</v>
      </c>
      <c r="G7">
        <v>30.420999999999999</v>
      </c>
      <c r="H7">
        <v>0</v>
      </c>
      <c r="I7" t="s">
        <v>420</v>
      </c>
      <c r="J7" t="s">
        <v>421</v>
      </c>
    </row>
    <row r="8" spans="1:10" x14ac:dyDescent="0.25">
      <c r="A8" s="141" t="s">
        <v>197</v>
      </c>
      <c r="B8">
        <v>55577</v>
      </c>
      <c r="C8">
        <v>35.227899999999998</v>
      </c>
      <c r="D8">
        <v>32.031500000000001</v>
      </c>
      <c r="E8">
        <v>33.7044</v>
      </c>
      <c r="F8">
        <v>79721.366999999998</v>
      </c>
      <c r="G8">
        <v>26.082999999999998</v>
      </c>
      <c r="H8">
        <v>0</v>
      </c>
      <c r="I8" t="s">
        <v>422</v>
      </c>
      <c r="J8" t="s">
        <v>423</v>
      </c>
    </row>
    <row r="9" spans="1:10" x14ac:dyDescent="0.25">
      <c r="A9" s="141" t="s">
        <v>198</v>
      </c>
      <c r="B9">
        <v>124782.9032</v>
      </c>
      <c r="C9">
        <v>41.574599999999997</v>
      </c>
      <c r="D9">
        <v>44.011099999999999</v>
      </c>
      <c r="E9">
        <v>42.914900000000003</v>
      </c>
      <c r="F9">
        <v>163372.03099999999</v>
      </c>
      <c r="G9">
        <v>35.555999999999997</v>
      </c>
      <c r="H9">
        <v>0</v>
      </c>
      <c r="I9" t="s">
        <v>424</v>
      </c>
      <c r="J9" t="s">
        <v>425</v>
      </c>
    </row>
    <row r="10" spans="1:10" x14ac:dyDescent="0.25">
      <c r="A10" s="141" t="s">
        <v>199</v>
      </c>
      <c r="B10">
        <v>55913.330499999996</v>
      </c>
      <c r="C10">
        <v>38.881799999999998</v>
      </c>
      <c r="D10">
        <v>41.389200000000002</v>
      </c>
      <c r="E10">
        <v>41.788600000000002</v>
      </c>
      <c r="F10">
        <v>119518.67200000001</v>
      </c>
      <c r="G10">
        <v>27.260999999999999</v>
      </c>
      <c r="H10">
        <v>0</v>
      </c>
      <c r="I10" t="s">
        <v>426</v>
      </c>
      <c r="J10" t="s">
        <v>427</v>
      </c>
    </row>
    <row r="11" spans="1:10" x14ac:dyDescent="0.25">
      <c r="A11" s="141" t="s">
        <v>200</v>
      </c>
      <c r="B11">
        <v>25280.905299999999</v>
      </c>
      <c r="C11">
        <v>37.308100000000003</v>
      </c>
      <c r="D11">
        <v>39.061300000000003</v>
      </c>
      <c r="E11">
        <v>40.706600000000002</v>
      </c>
      <c r="F11">
        <v>67450.5</v>
      </c>
      <c r="G11">
        <v>21.55</v>
      </c>
      <c r="H11">
        <v>0</v>
      </c>
      <c r="I11" t="s">
        <v>428</v>
      </c>
      <c r="J11" t="s">
        <v>429</v>
      </c>
    </row>
    <row r="12" spans="1:10" x14ac:dyDescent="0.25">
      <c r="A12" s="141" t="s">
        <v>201</v>
      </c>
      <c r="B12">
        <v>12247.8189</v>
      </c>
      <c r="C12">
        <v>35.924999999999997</v>
      </c>
      <c r="D12">
        <v>36.337499999999999</v>
      </c>
      <c r="E12">
        <v>39.221600000000002</v>
      </c>
      <c r="F12">
        <v>38236.101999999999</v>
      </c>
      <c r="G12">
        <v>18.056999999999999</v>
      </c>
      <c r="H12">
        <v>0</v>
      </c>
      <c r="I12" t="s">
        <v>430</v>
      </c>
      <c r="J12" t="s">
        <v>431</v>
      </c>
    </row>
    <row r="13" spans="1:10" x14ac:dyDescent="0.25">
      <c r="A13" s="141" t="s">
        <v>202</v>
      </c>
      <c r="B13">
        <v>177362.8547</v>
      </c>
      <c r="C13">
        <v>38.623800000000003</v>
      </c>
      <c r="D13">
        <v>45.669899999999998</v>
      </c>
      <c r="E13">
        <v>43.4878</v>
      </c>
      <c r="F13">
        <v>203940</v>
      </c>
      <c r="G13">
        <v>36.607999999999997</v>
      </c>
      <c r="H13">
        <v>0</v>
      </c>
      <c r="I13" t="s">
        <v>432</v>
      </c>
      <c r="J13" t="s">
        <v>433</v>
      </c>
    </row>
    <row r="14" spans="1:10" x14ac:dyDescent="0.25">
      <c r="A14" s="141" t="s">
        <v>203</v>
      </c>
      <c r="B14">
        <v>86194.623200000002</v>
      </c>
      <c r="C14">
        <v>37.677599999999998</v>
      </c>
      <c r="D14">
        <v>44.8095</v>
      </c>
      <c r="E14">
        <v>42.5075</v>
      </c>
      <c r="F14">
        <v>122496.57</v>
      </c>
      <c r="G14">
        <v>27.675000000000001</v>
      </c>
      <c r="H14">
        <v>0</v>
      </c>
      <c r="I14" t="s">
        <v>434</v>
      </c>
      <c r="J14" t="s">
        <v>435</v>
      </c>
    </row>
    <row r="15" spans="1:10" x14ac:dyDescent="0.25">
      <c r="A15" s="141" t="s">
        <v>204</v>
      </c>
      <c r="B15">
        <v>49732.926299999999</v>
      </c>
      <c r="C15">
        <v>36.7592</v>
      </c>
      <c r="D15">
        <v>43.838500000000003</v>
      </c>
      <c r="E15">
        <v>41.489100000000001</v>
      </c>
      <c r="F15">
        <v>78506.398000000001</v>
      </c>
      <c r="G15">
        <v>23.687999999999999</v>
      </c>
      <c r="H15">
        <v>0</v>
      </c>
      <c r="I15" t="s">
        <v>436</v>
      </c>
      <c r="J15" t="s">
        <v>437</v>
      </c>
    </row>
    <row r="16" spans="1:10" x14ac:dyDescent="0.25">
      <c r="A16" s="141" t="s">
        <v>205</v>
      </c>
      <c r="B16">
        <v>26286.947400000001</v>
      </c>
      <c r="C16">
        <v>35.259</v>
      </c>
      <c r="D16">
        <v>42.436</v>
      </c>
      <c r="E16">
        <v>40.221699999999998</v>
      </c>
      <c r="F16">
        <v>49394.714999999997</v>
      </c>
      <c r="G16">
        <v>20.725999999999999</v>
      </c>
      <c r="H16">
        <v>0</v>
      </c>
      <c r="I16" t="s">
        <v>438</v>
      </c>
      <c r="J16" t="s">
        <v>439</v>
      </c>
    </row>
    <row r="17" spans="1:10" x14ac:dyDescent="0.25">
      <c r="A17" s="141" t="s">
        <v>94</v>
      </c>
      <c r="B17">
        <v>67509.873000000007</v>
      </c>
      <c r="C17">
        <v>39.563000000000002</v>
      </c>
      <c r="D17">
        <v>40.538200000000003</v>
      </c>
      <c r="E17">
        <v>43.602899999999998</v>
      </c>
      <c r="F17">
        <v>85464.491999999998</v>
      </c>
      <c r="G17">
        <v>18.213000000000001</v>
      </c>
      <c r="H17">
        <v>0</v>
      </c>
      <c r="I17" t="s">
        <v>440</v>
      </c>
      <c r="J17" t="s">
        <v>441</v>
      </c>
    </row>
    <row r="18" spans="1:10" x14ac:dyDescent="0.25">
      <c r="A18" s="141" t="s">
        <v>95</v>
      </c>
      <c r="B18">
        <v>40263.104800000001</v>
      </c>
      <c r="C18">
        <v>37.927999999999997</v>
      </c>
      <c r="D18">
        <v>39.564799999999998</v>
      </c>
      <c r="E18">
        <v>42.206200000000003</v>
      </c>
      <c r="F18">
        <v>66437.812000000005</v>
      </c>
      <c r="G18">
        <v>15.292999999999999</v>
      </c>
      <c r="H18">
        <v>0</v>
      </c>
      <c r="I18" t="s">
        <v>442</v>
      </c>
      <c r="J18" t="s">
        <v>443</v>
      </c>
    </row>
    <row r="19" spans="1:10" x14ac:dyDescent="0.25">
      <c r="A19" s="141" t="s">
        <v>96</v>
      </c>
      <c r="B19">
        <v>23228.679400000001</v>
      </c>
      <c r="C19">
        <v>36.016399999999997</v>
      </c>
      <c r="D19">
        <v>38.7166</v>
      </c>
      <c r="E19">
        <v>40.7639</v>
      </c>
      <c r="F19">
        <v>48745.203000000001</v>
      </c>
      <c r="G19">
        <v>12.516</v>
      </c>
      <c r="H19">
        <v>0</v>
      </c>
      <c r="I19" t="s">
        <v>444</v>
      </c>
      <c r="J19" t="s">
        <v>445</v>
      </c>
    </row>
    <row r="20" spans="1:10" x14ac:dyDescent="0.25">
      <c r="A20" s="141" t="s">
        <v>97</v>
      </c>
      <c r="B20">
        <v>11838.5841</v>
      </c>
      <c r="C20">
        <v>33.539299999999997</v>
      </c>
      <c r="D20">
        <v>37.528199999999998</v>
      </c>
      <c r="E20">
        <v>38.914700000000003</v>
      </c>
      <c r="F20">
        <v>32197.949000000001</v>
      </c>
      <c r="G20">
        <v>10.220000000000001</v>
      </c>
      <c r="H20">
        <v>0</v>
      </c>
      <c r="I20" t="s">
        <v>446</v>
      </c>
      <c r="J20" t="s">
        <v>447</v>
      </c>
    </row>
    <row r="21" spans="1:10" x14ac:dyDescent="0.25">
      <c r="A21" s="141" t="s">
        <v>98</v>
      </c>
      <c r="B21">
        <v>42277.771399999998</v>
      </c>
      <c r="C21">
        <v>40.197600000000001</v>
      </c>
      <c r="D21">
        <v>44.213799999999999</v>
      </c>
      <c r="E21">
        <v>45.688499999999998</v>
      </c>
      <c r="F21">
        <v>75318.781000000003</v>
      </c>
      <c r="G21">
        <v>15.711</v>
      </c>
      <c r="H21">
        <v>0</v>
      </c>
      <c r="I21" t="s">
        <v>448</v>
      </c>
      <c r="J21" t="s">
        <v>449</v>
      </c>
    </row>
    <row r="22" spans="1:10" x14ac:dyDescent="0.25">
      <c r="A22" s="141" t="s">
        <v>99</v>
      </c>
      <c r="B22">
        <v>22916.838100000001</v>
      </c>
      <c r="C22">
        <v>38.720999999999997</v>
      </c>
      <c r="D22">
        <v>43.268700000000003</v>
      </c>
      <c r="E22">
        <v>44.243000000000002</v>
      </c>
      <c r="F22">
        <v>51808.203000000001</v>
      </c>
      <c r="G22">
        <v>12.791</v>
      </c>
      <c r="H22">
        <v>0</v>
      </c>
      <c r="I22" t="s">
        <v>450</v>
      </c>
      <c r="J22" t="s">
        <v>451</v>
      </c>
    </row>
    <row r="23" spans="1:10" x14ac:dyDescent="0.25">
      <c r="A23" s="141" t="s">
        <v>100</v>
      </c>
      <c r="B23">
        <v>12958.7683</v>
      </c>
      <c r="C23">
        <v>37.281399999999998</v>
      </c>
      <c r="D23">
        <v>42.192</v>
      </c>
      <c r="E23">
        <v>42.683500000000002</v>
      </c>
      <c r="F23">
        <v>35457.671999999999</v>
      </c>
      <c r="G23">
        <v>10.801</v>
      </c>
      <c r="H23">
        <v>0</v>
      </c>
      <c r="I23" t="s">
        <v>452</v>
      </c>
      <c r="J23" t="s">
        <v>453</v>
      </c>
    </row>
    <row r="24" spans="1:10" x14ac:dyDescent="0.25">
      <c r="A24" s="141" t="s">
        <v>101</v>
      </c>
      <c r="B24">
        <v>6931.0032000000001</v>
      </c>
      <c r="C24">
        <v>35.360100000000003</v>
      </c>
      <c r="D24">
        <v>40.700400000000002</v>
      </c>
      <c r="E24">
        <v>40.672600000000003</v>
      </c>
      <c r="F24">
        <v>21653.803</v>
      </c>
      <c r="G24">
        <v>9.1950000000000003</v>
      </c>
      <c r="H24">
        <v>0</v>
      </c>
      <c r="I24" t="s">
        <v>454</v>
      </c>
      <c r="J24" t="s">
        <v>455</v>
      </c>
    </row>
    <row r="25" spans="1:10" x14ac:dyDescent="0.25">
      <c r="A25" s="141" t="s">
        <v>206</v>
      </c>
      <c r="B25">
        <v>64687.839999999997</v>
      </c>
      <c r="C25">
        <v>41.738100000000003</v>
      </c>
      <c r="D25">
        <v>44.445300000000003</v>
      </c>
      <c r="E25">
        <v>45.165100000000002</v>
      </c>
      <c r="F25">
        <v>90614.25</v>
      </c>
      <c r="G25">
        <v>18.582000000000001</v>
      </c>
      <c r="H25">
        <v>0</v>
      </c>
      <c r="I25" t="s">
        <v>456</v>
      </c>
      <c r="J25" t="s">
        <v>457</v>
      </c>
    </row>
    <row r="26" spans="1:10" x14ac:dyDescent="0.25">
      <c r="A26" s="141" t="s">
        <v>207</v>
      </c>
      <c r="B26">
        <v>41706.982400000001</v>
      </c>
      <c r="C26">
        <v>39.930500000000002</v>
      </c>
      <c r="D26">
        <v>43.036799999999999</v>
      </c>
      <c r="E26">
        <v>43.930199999999999</v>
      </c>
      <c r="F26">
        <v>68087.187999999995</v>
      </c>
      <c r="G26">
        <v>15.787000000000001</v>
      </c>
      <c r="H26">
        <v>0</v>
      </c>
      <c r="I26" t="s">
        <v>458</v>
      </c>
      <c r="J26" t="s">
        <v>459</v>
      </c>
    </row>
    <row r="27" spans="1:10" x14ac:dyDescent="0.25">
      <c r="A27" s="141" t="s">
        <v>208</v>
      </c>
      <c r="B27">
        <v>24527.808000000001</v>
      </c>
      <c r="C27">
        <v>37.702800000000003</v>
      </c>
      <c r="D27">
        <v>41.739800000000002</v>
      </c>
      <c r="E27">
        <v>42.634099999999997</v>
      </c>
      <c r="F27">
        <v>49584.633000000002</v>
      </c>
      <c r="G27">
        <v>13.859</v>
      </c>
      <c r="H27">
        <v>0</v>
      </c>
      <c r="I27" t="s">
        <v>460</v>
      </c>
      <c r="J27" t="s">
        <v>461</v>
      </c>
    </row>
    <row r="28" spans="1:10" x14ac:dyDescent="0.25">
      <c r="A28" s="141" t="s">
        <v>209</v>
      </c>
      <c r="B28">
        <v>12371.36</v>
      </c>
      <c r="C28">
        <v>35.007399999999997</v>
      </c>
      <c r="D28">
        <v>40.157400000000003</v>
      </c>
      <c r="E28">
        <v>41.011099999999999</v>
      </c>
      <c r="F28">
        <v>31205.692999999999</v>
      </c>
      <c r="G28">
        <v>11.4</v>
      </c>
      <c r="H28">
        <v>0</v>
      </c>
      <c r="I28" t="s">
        <v>462</v>
      </c>
      <c r="J28" t="s">
        <v>463</v>
      </c>
    </row>
    <row r="29" spans="1:10" x14ac:dyDescent="0.25">
      <c r="A29" s="141" t="s">
        <v>210</v>
      </c>
      <c r="B29">
        <v>39539.251199999999</v>
      </c>
      <c r="C29">
        <v>44.935200000000002</v>
      </c>
      <c r="D29">
        <v>47.6053</v>
      </c>
      <c r="E29">
        <v>48.342300000000002</v>
      </c>
      <c r="F29">
        <v>60291.137000000002</v>
      </c>
      <c r="G29">
        <v>16.318999999999999</v>
      </c>
      <c r="H29">
        <v>0</v>
      </c>
      <c r="I29" t="s">
        <v>464</v>
      </c>
      <c r="J29" t="s">
        <v>465</v>
      </c>
    </row>
    <row r="30" spans="1:10" x14ac:dyDescent="0.25">
      <c r="A30" s="141" t="s">
        <v>211</v>
      </c>
      <c r="B30">
        <v>26059.852800000001</v>
      </c>
      <c r="C30">
        <v>42.767600000000002</v>
      </c>
      <c r="D30">
        <v>46.010100000000001</v>
      </c>
      <c r="E30">
        <v>46.542400000000001</v>
      </c>
      <c r="F30">
        <v>48615.311999999998</v>
      </c>
      <c r="G30">
        <v>14.302</v>
      </c>
      <c r="H30">
        <v>0</v>
      </c>
      <c r="I30" t="s">
        <v>466</v>
      </c>
      <c r="J30" t="s">
        <v>467</v>
      </c>
    </row>
    <row r="31" spans="1:10" x14ac:dyDescent="0.25">
      <c r="A31" s="141" t="s">
        <v>212</v>
      </c>
      <c r="B31">
        <v>15445.190399999999</v>
      </c>
      <c r="C31">
        <v>40.082900000000002</v>
      </c>
      <c r="D31">
        <v>44.476799999999997</v>
      </c>
      <c r="E31">
        <v>44.715400000000002</v>
      </c>
      <c r="F31">
        <v>36442.93</v>
      </c>
      <c r="G31">
        <v>12.337</v>
      </c>
      <c r="H31">
        <v>0</v>
      </c>
      <c r="I31" t="s">
        <v>468</v>
      </c>
      <c r="J31" t="s">
        <v>469</v>
      </c>
    </row>
    <row r="32" spans="1:10" x14ac:dyDescent="0.25">
      <c r="A32" s="141" t="s">
        <v>213</v>
      </c>
      <c r="B32">
        <v>8062.2272000000003</v>
      </c>
      <c r="C32">
        <v>37.007599999999996</v>
      </c>
      <c r="D32">
        <v>42.452599999999997</v>
      </c>
      <c r="E32">
        <v>42.498600000000003</v>
      </c>
      <c r="F32">
        <v>23856.982</v>
      </c>
      <c r="G32">
        <v>10.432</v>
      </c>
      <c r="H32">
        <v>0</v>
      </c>
      <c r="I32" t="s">
        <v>470</v>
      </c>
      <c r="J32" t="s">
        <v>471</v>
      </c>
    </row>
    <row r="33" spans="1:10" x14ac:dyDescent="0.25">
      <c r="A33" s="141" t="s">
        <v>102</v>
      </c>
      <c r="B33">
        <v>53887.2768</v>
      </c>
      <c r="C33">
        <v>41.745100000000001</v>
      </c>
      <c r="D33">
        <v>46.068300000000001</v>
      </c>
      <c r="E33">
        <v>46.391300000000001</v>
      </c>
      <c r="F33">
        <v>50451.921999999999</v>
      </c>
      <c r="G33">
        <v>11.58</v>
      </c>
      <c r="H33">
        <v>0</v>
      </c>
      <c r="I33" t="s">
        <v>472</v>
      </c>
      <c r="J33" t="s">
        <v>473</v>
      </c>
    </row>
    <row r="34" spans="1:10" x14ac:dyDescent="0.25">
      <c r="A34" s="141" t="s">
        <v>103</v>
      </c>
      <c r="B34">
        <v>36766.342400000001</v>
      </c>
      <c r="C34">
        <v>38.810699999999997</v>
      </c>
      <c r="D34">
        <v>44.3279</v>
      </c>
      <c r="E34">
        <v>44.675899999999999</v>
      </c>
      <c r="F34">
        <v>43630.233999999997</v>
      </c>
      <c r="G34">
        <v>9.6579999999999995</v>
      </c>
      <c r="H34">
        <v>0</v>
      </c>
      <c r="I34" t="s">
        <v>474</v>
      </c>
      <c r="J34" t="s">
        <v>475</v>
      </c>
    </row>
    <row r="35" spans="1:10" x14ac:dyDescent="0.25">
      <c r="A35" s="141" t="s">
        <v>104</v>
      </c>
      <c r="B35">
        <v>21844.371200000001</v>
      </c>
      <c r="C35">
        <v>35.426200000000001</v>
      </c>
      <c r="D35">
        <v>42.8767</v>
      </c>
      <c r="E35">
        <v>43.213200000000001</v>
      </c>
      <c r="F35">
        <v>35624.332000000002</v>
      </c>
      <c r="G35">
        <v>8.1920000000000002</v>
      </c>
      <c r="H35">
        <v>0</v>
      </c>
      <c r="I35" t="s">
        <v>476</v>
      </c>
      <c r="J35" t="s">
        <v>477</v>
      </c>
    </row>
    <row r="36" spans="1:10" x14ac:dyDescent="0.25">
      <c r="A36" s="141" t="s">
        <v>105</v>
      </c>
      <c r="B36">
        <v>10754.227199999999</v>
      </c>
      <c r="C36">
        <v>31.7958</v>
      </c>
      <c r="D36">
        <v>41.514099999999999</v>
      </c>
      <c r="E36">
        <v>41.691800000000001</v>
      </c>
      <c r="F36">
        <v>25979.984</v>
      </c>
      <c r="G36">
        <v>6.4649999999999999</v>
      </c>
      <c r="H36">
        <v>0</v>
      </c>
      <c r="I36" t="s">
        <v>478</v>
      </c>
      <c r="J36" t="s">
        <v>479</v>
      </c>
    </row>
    <row r="37" spans="1:10" x14ac:dyDescent="0.25">
      <c r="A37" s="141" t="s">
        <v>106</v>
      </c>
      <c r="B37">
        <v>20106.047999999999</v>
      </c>
      <c r="C37">
        <v>42.687399999999997</v>
      </c>
      <c r="D37">
        <v>45.478999999999999</v>
      </c>
      <c r="E37">
        <v>47.0383</v>
      </c>
      <c r="F37">
        <v>34115.754000000001</v>
      </c>
      <c r="G37">
        <v>7.4180000000000001</v>
      </c>
      <c r="H37">
        <v>0</v>
      </c>
      <c r="I37" t="s">
        <v>480</v>
      </c>
      <c r="J37" t="s">
        <v>481</v>
      </c>
    </row>
    <row r="38" spans="1:10" x14ac:dyDescent="0.25">
      <c r="A38" s="141" t="s">
        <v>107</v>
      </c>
      <c r="B38">
        <v>11429.1648</v>
      </c>
      <c r="C38">
        <v>40.669699999999999</v>
      </c>
      <c r="D38">
        <v>44.567500000000003</v>
      </c>
      <c r="E38">
        <v>45.402000000000001</v>
      </c>
      <c r="F38">
        <v>25329.613000000001</v>
      </c>
      <c r="G38">
        <v>6.1459999999999999</v>
      </c>
      <c r="H38">
        <v>0</v>
      </c>
      <c r="I38" t="s">
        <v>482</v>
      </c>
      <c r="J38" t="s">
        <v>483</v>
      </c>
    </row>
    <row r="39" spans="1:10" x14ac:dyDescent="0.25">
      <c r="A39" s="141" t="s">
        <v>108</v>
      </c>
      <c r="B39">
        <v>6331.8464000000004</v>
      </c>
      <c r="C39">
        <v>38.662500000000001</v>
      </c>
      <c r="D39">
        <v>43.615099999999998</v>
      </c>
      <c r="E39">
        <v>43.636600000000001</v>
      </c>
      <c r="F39">
        <v>17715.68</v>
      </c>
      <c r="G39">
        <v>5.556</v>
      </c>
      <c r="H39">
        <v>0</v>
      </c>
      <c r="I39" t="s">
        <v>484</v>
      </c>
      <c r="J39" t="s">
        <v>485</v>
      </c>
    </row>
    <row r="40" spans="1:10" x14ac:dyDescent="0.25">
      <c r="A40" s="141" t="s">
        <v>109</v>
      </c>
      <c r="B40">
        <v>3230.2592</v>
      </c>
      <c r="C40">
        <v>36.288499999999999</v>
      </c>
      <c r="D40">
        <v>42.322899999999997</v>
      </c>
      <c r="E40">
        <v>41.456499999999998</v>
      </c>
      <c r="F40">
        <v>10556.697</v>
      </c>
      <c r="G40">
        <v>4.5140000000000002</v>
      </c>
      <c r="H40">
        <v>0</v>
      </c>
      <c r="I40" t="s">
        <v>486</v>
      </c>
      <c r="J40" t="s">
        <v>487</v>
      </c>
    </row>
    <row r="41" spans="1:10" x14ac:dyDescent="0.25">
      <c r="A41" s="141" t="s">
        <v>110</v>
      </c>
      <c r="B41">
        <v>15118.24</v>
      </c>
      <c r="C41">
        <v>44.226100000000002</v>
      </c>
      <c r="D41">
        <v>47.075699999999998</v>
      </c>
      <c r="E41">
        <v>47.98</v>
      </c>
      <c r="F41">
        <v>26414.932000000001</v>
      </c>
      <c r="G41">
        <v>6.8540000000000001</v>
      </c>
      <c r="H41">
        <v>0</v>
      </c>
      <c r="I41" t="s">
        <v>488</v>
      </c>
      <c r="J41" t="s">
        <v>489</v>
      </c>
    </row>
    <row r="42" spans="1:10" x14ac:dyDescent="0.25">
      <c r="A42" s="141" t="s">
        <v>111</v>
      </c>
      <c r="B42">
        <v>10264.198399999999</v>
      </c>
      <c r="C42">
        <v>42.498100000000001</v>
      </c>
      <c r="D42">
        <v>45.938499999999998</v>
      </c>
      <c r="E42">
        <v>46.6325</v>
      </c>
      <c r="F42">
        <v>21633.467000000001</v>
      </c>
      <c r="G42">
        <v>6.149</v>
      </c>
      <c r="H42">
        <v>0</v>
      </c>
      <c r="I42" t="s">
        <v>490</v>
      </c>
      <c r="J42" t="s">
        <v>491</v>
      </c>
    </row>
    <row r="43" spans="1:10" x14ac:dyDescent="0.25">
      <c r="A43" s="141" t="s">
        <v>112</v>
      </c>
      <c r="B43">
        <v>6482.3552</v>
      </c>
      <c r="C43">
        <v>40.1616</v>
      </c>
      <c r="D43">
        <v>44.616700000000002</v>
      </c>
      <c r="E43">
        <v>45.099200000000003</v>
      </c>
      <c r="F43">
        <v>15698.543</v>
      </c>
      <c r="G43">
        <v>5.5819999999999999</v>
      </c>
      <c r="H43">
        <v>0</v>
      </c>
      <c r="I43" t="s">
        <v>492</v>
      </c>
      <c r="J43" t="s">
        <v>493</v>
      </c>
    </row>
    <row r="44" spans="1:10" x14ac:dyDescent="0.25">
      <c r="A44" s="141" t="s">
        <v>113</v>
      </c>
      <c r="B44">
        <v>3757.9456</v>
      </c>
      <c r="C44">
        <v>37.1785</v>
      </c>
      <c r="D44">
        <v>42.869700000000002</v>
      </c>
      <c r="E44">
        <v>43.0717</v>
      </c>
      <c r="F44">
        <v>10701.687</v>
      </c>
      <c r="G44">
        <v>4.9640000000000004</v>
      </c>
      <c r="H44">
        <v>0</v>
      </c>
      <c r="I44" t="s">
        <v>494</v>
      </c>
      <c r="J44" t="s">
        <v>495</v>
      </c>
    </row>
    <row r="45" spans="1:10" x14ac:dyDescent="0.25">
      <c r="A45" s="141" t="s">
        <v>114</v>
      </c>
      <c r="B45">
        <v>16387.756799999999</v>
      </c>
      <c r="C45">
        <v>44.167999999999999</v>
      </c>
      <c r="D45">
        <v>48.803899999999999</v>
      </c>
      <c r="E45">
        <v>48.4664</v>
      </c>
      <c r="F45">
        <v>27546.33</v>
      </c>
      <c r="G45">
        <v>6.657</v>
      </c>
      <c r="H45">
        <v>0</v>
      </c>
      <c r="I45" t="s">
        <v>496</v>
      </c>
      <c r="J45" t="s">
        <v>497</v>
      </c>
    </row>
    <row r="46" spans="1:10" x14ac:dyDescent="0.25">
      <c r="A46" s="141" t="s">
        <v>115</v>
      </c>
      <c r="B46">
        <v>11402.707200000001</v>
      </c>
      <c r="C46">
        <v>42.432899999999997</v>
      </c>
      <c r="D46">
        <v>47.811</v>
      </c>
      <c r="E46">
        <v>47.002000000000002</v>
      </c>
      <c r="F46">
        <v>21730.498</v>
      </c>
      <c r="G46">
        <v>5.915</v>
      </c>
      <c r="H46">
        <v>0</v>
      </c>
      <c r="I46" t="s">
        <v>498</v>
      </c>
      <c r="J46" t="s">
        <v>499</v>
      </c>
    </row>
    <row r="47" spans="1:10" x14ac:dyDescent="0.25">
      <c r="A47" s="141" t="s">
        <v>116</v>
      </c>
      <c r="B47">
        <v>7418.0928000000004</v>
      </c>
      <c r="C47">
        <v>40.051900000000003</v>
      </c>
      <c r="D47">
        <v>46.609200000000001</v>
      </c>
      <c r="E47">
        <v>45.324199999999998</v>
      </c>
      <c r="F47">
        <v>16338.217000000001</v>
      </c>
      <c r="G47">
        <v>5.4160000000000004</v>
      </c>
      <c r="H47">
        <v>0</v>
      </c>
      <c r="I47" t="s">
        <v>500</v>
      </c>
      <c r="J47" t="s">
        <v>501</v>
      </c>
    </row>
    <row r="48" spans="1:10" x14ac:dyDescent="0.25">
      <c r="A48" s="141" t="s">
        <v>117</v>
      </c>
      <c r="B48">
        <v>4308.1408000000001</v>
      </c>
      <c r="C48">
        <v>36.828099999999999</v>
      </c>
      <c r="D48">
        <v>44.733899999999998</v>
      </c>
      <c r="E48">
        <v>43.087699999999998</v>
      </c>
      <c r="F48">
        <v>11300.317999999999</v>
      </c>
      <c r="G48">
        <v>4.6879999999999997</v>
      </c>
      <c r="H48">
        <v>0</v>
      </c>
      <c r="I48" t="s">
        <v>502</v>
      </c>
      <c r="J48" t="s">
        <v>503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 t="s">
        <v>504</v>
      </c>
      <c r="J73" t="s">
        <v>505</v>
      </c>
    </row>
    <row r="74" spans="1:10" x14ac:dyDescent="0.25">
      <c r="A74" s="141" t="s">
        <v>223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 t="s">
        <v>506</v>
      </c>
      <c r="J74" t="s">
        <v>507</v>
      </c>
    </row>
    <row r="75" spans="1:10" x14ac:dyDescent="0.25">
      <c r="A75" s="141" t="s">
        <v>224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508</v>
      </c>
      <c r="J75" t="s">
        <v>509</v>
      </c>
    </row>
    <row r="76" spans="1:10" x14ac:dyDescent="0.25">
      <c r="A76" s="141" t="s">
        <v>225</v>
      </c>
      <c r="B76">
        <v>1885.2239999999999</v>
      </c>
      <c r="C76">
        <v>37.2575</v>
      </c>
      <c r="D76">
        <v>46.316099999999999</v>
      </c>
      <c r="E76">
        <v>43.160899999999998</v>
      </c>
      <c r="F76">
        <v>50589.413999999997</v>
      </c>
      <c r="G76">
        <v>43.082000000000001</v>
      </c>
      <c r="H76">
        <v>0</v>
      </c>
      <c r="I76" t="s">
        <v>510</v>
      </c>
      <c r="J76" t="s">
        <v>511</v>
      </c>
    </row>
    <row r="77" spans="1:10" x14ac:dyDescent="0.2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512</v>
      </c>
      <c r="J77" t="s">
        <v>513</v>
      </c>
    </row>
    <row r="78" spans="1:10" x14ac:dyDescent="0.25">
      <c r="A78" s="141" t="s">
        <v>227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 t="s">
        <v>514</v>
      </c>
      <c r="J78" t="s">
        <v>515</v>
      </c>
    </row>
    <row r="79" spans="1:10" x14ac:dyDescent="0.25">
      <c r="A79" s="141" t="s">
        <v>228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 t="s">
        <v>516</v>
      </c>
      <c r="J79" t="s">
        <v>517</v>
      </c>
    </row>
    <row r="80" spans="1:10" x14ac:dyDescent="0.25">
      <c r="A80" s="141" t="s">
        <v>229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518</v>
      </c>
      <c r="J80" t="s">
        <v>519</v>
      </c>
    </row>
    <row r="81" spans="1:10" x14ac:dyDescent="0.25">
      <c r="A81" s="141" t="s">
        <v>230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 t="s">
        <v>520</v>
      </c>
      <c r="J81" t="s">
        <v>521</v>
      </c>
    </row>
    <row r="82" spans="1:10" x14ac:dyDescent="0.25">
      <c r="A82" s="141" t="s">
        <v>231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 t="s">
        <v>522</v>
      </c>
      <c r="J82" t="s">
        <v>523</v>
      </c>
    </row>
    <row r="83" spans="1:10" x14ac:dyDescent="0.25">
      <c r="A83" s="141" t="s">
        <v>232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524</v>
      </c>
      <c r="J83" t="s">
        <v>525</v>
      </c>
    </row>
    <row r="84" spans="1:10" x14ac:dyDescent="0.25">
      <c r="A84" s="141" t="s">
        <v>233</v>
      </c>
      <c r="B84">
        <v>4517.5200000000004</v>
      </c>
      <c r="C84">
        <v>33.979300000000002</v>
      </c>
      <c r="D84">
        <v>33.799900000000001</v>
      </c>
      <c r="E84">
        <v>37.477899999999998</v>
      </c>
      <c r="F84">
        <v>82901.035999999993</v>
      </c>
      <c r="G84">
        <v>23.82</v>
      </c>
      <c r="H84">
        <v>0</v>
      </c>
      <c r="I84" t="s">
        <v>526</v>
      </c>
      <c r="J84" t="s">
        <v>527</v>
      </c>
    </row>
    <row r="85" spans="1:10" x14ac:dyDescent="0.25">
      <c r="A85" s="141" t="s">
        <v>234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528</v>
      </c>
      <c r="J85" t="s">
        <v>529</v>
      </c>
    </row>
    <row r="86" spans="1:10" x14ac:dyDescent="0.25">
      <c r="A86" s="141" t="s">
        <v>235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 t="s">
        <v>530</v>
      </c>
      <c r="J86" t="s">
        <v>531</v>
      </c>
    </row>
    <row r="87" spans="1:10" x14ac:dyDescent="0.25">
      <c r="A87" s="141" t="s">
        <v>236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 t="s">
        <v>532</v>
      </c>
      <c r="J87" t="s">
        <v>533</v>
      </c>
    </row>
    <row r="88" spans="1:10" x14ac:dyDescent="0.25">
      <c r="A88" s="141" t="s">
        <v>237</v>
      </c>
      <c r="B88">
        <v>2119.14</v>
      </c>
      <c r="C88">
        <v>34.822899999999997</v>
      </c>
      <c r="D88">
        <v>42.731200000000001</v>
      </c>
      <c r="E88">
        <v>40.457799999999999</v>
      </c>
      <c r="F88">
        <v>66542.724000000002</v>
      </c>
      <c r="G88">
        <v>37.162999999999997</v>
      </c>
      <c r="H88">
        <v>0</v>
      </c>
      <c r="I88" t="s">
        <v>534</v>
      </c>
      <c r="J88" t="s">
        <v>535</v>
      </c>
    </row>
    <row r="89" spans="1:10" x14ac:dyDescent="0.25">
      <c r="A89" s="141" t="s">
        <v>118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 t="s">
        <v>536</v>
      </c>
      <c r="J89" t="s">
        <v>537</v>
      </c>
    </row>
    <row r="90" spans="1:10" x14ac:dyDescent="0.25">
      <c r="A90" s="141" t="s">
        <v>119</v>
      </c>
      <c r="B90">
        <v>3829.904</v>
      </c>
      <c r="C90">
        <v>36.948799999999999</v>
      </c>
      <c r="D90">
        <v>39.428199999999997</v>
      </c>
      <c r="E90">
        <v>42.309600000000003</v>
      </c>
      <c r="F90">
        <v>72136.100999999995</v>
      </c>
      <c r="G90">
        <v>10.529</v>
      </c>
      <c r="H90">
        <v>0</v>
      </c>
      <c r="I90" t="s">
        <v>538</v>
      </c>
      <c r="J90" t="s">
        <v>539</v>
      </c>
    </row>
    <row r="91" spans="1:10" x14ac:dyDescent="0.25">
      <c r="A91" s="141" t="s">
        <v>120</v>
      </c>
      <c r="B91">
        <v>2030.2159999999999</v>
      </c>
      <c r="C91">
        <v>35.392899999999997</v>
      </c>
      <c r="D91">
        <v>38.784100000000002</v>
      </c>
      <c r="E91">
        <v>40.989600000000003</v>
      </c>
      <c r="F91">
        <v>42055.038999999997</v>
      </c>
      <c r="G91">
        <v>8.8960000000000008</v>
      </c>
      <c r="H91">
        <v>0</v>
      </c>
      <c r="I91" t="s">
        <v>540</v>
      </c>
      <c r="J91" t="s">
        <v>541</v>
      </c>
    </row>
    <row r="92" spans="1:10" x14ac:dyDescent="0.25">
      <c r="A92" s="141" t="s">
        <v>121</v>
      </c>
      <c r="B92">
        <v>969.92399999999998</v>
      </c>
      <c r="C92">
        <v>33.176400000000001</v>
      </c>
      <c r="D92">
        <v>37.729900000000001</v>
      </c>
      <c r="E92">
        <v>39.207900000000002</v>
      </c>
      <c r="F92">
        <v>22329.273000000001</v>
      </c>
      <c r="G92">
        <v>7.9630000000000001</v>
      </c>
      <c r="H92">
        <v>0</v>
      </c>
      <c r="I92" t="s">
        <v>542</v>
      </c>
      <c r="J92" t="s">
        <v>543</v>
      </c>
    </row>
    <row r="93" spans="1:10" x14ac:dyDescent="0.25">
      <c r="A93" s="141" t="s">
        <v>122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544</v>
      </c>
      <c r="J93" t="s">
        <v>545</v>
      </c>
    </row>
    <row r="94" spans="1:10" x14ac:dyDescent="0.25">
      <c r="A94" s="141" t="s">
        <v>123</v>
      </c>
      <c r="B94">
        <v>3945.348</v>
      </c>
      <c r="C94">
        <v>37.8596</v>
      </c>
      <c r="D94">
        <v>43.195099999999996</v>
      </c>
      <c r="E94">
        <v>43.748399999999997</v>
      </c>
      <c r="F94">
        <v>79274.432000000001</v>
      </c>
      <c r="G94">
        <v>11.808999999999999</v>
      </c>
      <c r="H94">
        <v>0</v>
      </c>
      <c r="I94" t="s">
        <v>546</v>
      </c>
      <c r="J94" t="s">
        <v>547</v>
      </c>
    </row>
    <row r="95" spans="1:10" x14ac:dyDescent="0.25">
      <c r="A95" s="141" t="s">
        <v>124</v>
      </c>
      <c r="B95">
        <v>2081.96</v>
      </c>
      <c r="C95">
        <v>36.371099999999998</v>
      </c>
      <c r="D95">
        <v>42.152200000000001</v>
      </c>
      <c r="E95">
        <v>42.125900000000001</v>
      </c>
      <c r="F95">
        <v>44234.224000000002</v>
      </c>
      <c r="G95">
        <v>10.035</v>
      </c>
      <c r="H95">
        <v>0</v>
      </c>
      <c r="I95" t="s">
        <v>548</v>
      </c>
      <c r="J95" t="s">
        <v>549</v>
      </c>
    </row>
    <row r="96" spans="1:10" x14ac:dyDescent="0.25">
      <c r="A96" s="141" t="s">
        <v>125</v>
      </c>
      <c r="B96">
        <v>1025.7919999999999</v>
      </c>
      <c r="C96">
        <v>34.315199999999997</v>
      </c>
      <c r="D96">
        <v>40.758299999999998</v>
      </c>
      <c r="E96">
        <v>40.241599999999998</v>
      </c>
      <c r="F96">
        <v>23715.089</v>
      </c>
      <c r="G96">
        <v>8.5250000000000004</v>
      </c>
      <c r="H96">
        <v>0</v>
      </c>
      <c r="I96" t="s">
        <v>550</v>
      </c>
      <c r="J96" t="s">
        <v>551</v>
      </c>
    </row>
    <row r="97" spans="1:10" x14ac:dyDescent="0.25">
      <c r="A97" s="141" t="s">
        <v>238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 t="s">
        <v>552</v>
      </c>
      <c r="J97" t="s">
        <v>553</v>
      </c>
    </row>
    <row r="98" spans="1:10" x14ac:dyDescent="0.25">
      <c r="A98" s="141" t="s">
        <v>239</v>
      </c>
      <c r="B98">
        <v>2902.4679999999998</v>
      </c>
      <c r="C98">
        <v>38.652900000000002</v>
      </c>
      <c r="D98">
        <v>43.3217</v>
      </c>
      <c r="E98">
        <v>44.487000000000002</v>
      </c>
      <c r="F98">
        <v>66285.941999999995</v>
      </c>
      <c r="G98">
        <v>11.672000000000001</v>
      </c>
      <c r="H98">
        <v>0</v>
      </c>
      <c r="I98" t="s">
        <v>554</v>
      </c>
      <c r="J98" t="s">
        <v>555</v>
      </c>
    </row>
    <row r="99" spans="1:10" x14ac:dyDescent="0.25">
      <c r="A99" s="141" t="s">
        <v>240</v>
      </c>
      <c r="B99">
        <v>1468.14</v>
      </c>
      <c r="C99">
        <v>36.997700000000002</v>
      </c>
      <c r="D99">
        <v>42.3919</v>
      </c>
      <c r="E99">
        <v>43.587400000000002</v>
      </c>
      <c r="F99">
        <v>35798.267</v>
      </c>
      <c r="G99">
        <v>10.265000000000001</v>
      </c>
      <c r="H99">
        <v>0</v>
      </c>
      <c r="I99" t="s">
        <v>556</v>
      </c>
      <c r="J99" t="s">
        <v>557</v>
      </c>
    </row>
    <row r="100" spans="1:10" x14ac:dyDescent="0.25">
      <c r="A100" s="141" t="s">
        <v>241</v>
      </c>
      <c r="B100">
        <v>677.07600000000002</v>
      </c>
      <c r="C100">
        <v>34.760100000000001</v>
      </c>
      <c r="D100">
        <v>41.117199999999997</v>
      </c>
      <c r="E100">
        <v>42.236600000000003</v>
      </c>
      <c r="F100">
        <v>18280.042000000001</v>
      </c>
      <c r="G100">
        <v>9.2590000000000003</v>
      </c>
      <c r="H100">
        <v>0</v>
      </c>
      <c r="I100" t="s">
        <v>558</v>
      </c>
      <c r="J100" t="s">
        <v>559</v>
      </c>
    </row>
    <row r="101" spans="1:10" x14ac:dyDescent="0.25">
      <c r="A101" s="141" t="s">
        <v>242</v>
      </c>
      <c r="B101">
        <v>5596.82</v>
      </c>
      <c r="C101">
        <v>44.9026</v>
      </c>
      <c r="D101">
        <v>47.787300000000002</v>
      </c>
      <c r="E101">
        <v>48.55</v>
      </c>
      <c r="F101">
        <v>90484.032000000007</v>
      </c>
      <c r="G101">
        <v>14.236000000000001</v>
      </c>
      <c r="H101">
        <v>0</v>
      </c>
      <c r="I101" t="s">
        <v>560</v>
      </c>
      <c r="J101" t="s">
        <v>561</v>
      </c>
    </row>
    <row r="102" spans="1:10" x14ac:dyDescent="0.25">
      <c r="A102" s="141" t="s">
        <v>243</v>
      </c>
      <c r="B102">
        <v>3422.152</v>
      </c>
      <c r="C102">
        <v>42.680799999999998</v>
      </c>
      <c r="D102">
        <v>46.237400000000001</v>
      </c>
      <c r="E102">
        <v>46.7988</v>
      </c>
      <c r="F102">
        <v>62485.233</v>
      </c>
      <c r="G102">
        <v>12.891999999999999</v>
      </c>
      <c r="H102">
        <v>0</v>
      </c>
      <c r="I102" t="s">
        <v>562</v>
      </c>
      <c r="J102" t="s">
        <v>563</v>
      </c>
    </row>
    <row r="103" spans="1:10" x14ac:dyDescent="0.25">
      <c r="A103" s="141" t="s">
        <v>244</v>
      </c>
      <c r="B103">
        <v>1900.6</v>
      </c>
      <c r="C103">
        <v>39.890799999999999</v>
      </c>
      <c r="D103">
        <v>44.690399999999997</v>
      </c>
      <c r="E103">
        <v>45.021000000000001</v>
      </c>
      <c r="F103">
        <v>38992.057000000001</v>
      </c>
      <c r="G103">
        <v>11.260999999999999</v>
      </c>
      <c r="H103">
        <v>0</v>
      </c>
      <c r="I103" t="s">
        <v>564</v>
      </c>
      <c r="J103" t="s">
        <v>565</v>
      </c>
    </row>
    <row r="104" spans="1:10" x14ac:dyDescent="0.25">
      <c r="A104" s="141" t="s">
        <v>245</v>
      </c>
      <c r="B104">
        <v>966.01199999999994</v>
      </c>
      <c r="C104">
        <v>36.709800000000001</v>
      </c>
      <c r="D104">
        <v>42.921599999999998</v>
      </c>
      <c r="E104">
        <v>42.990600000000001</v>
      </c>
      <c r="F104">
        <v>21826.738000000001</v>
      </c>
      <c r="G104">
        <v>9.6240000000000006</v>
      </c>
      <c r="H104">
        <v>0</v>
      </c>
      <c r="I104" t="s">
        <v>566</v>
      </c>
      <c r="J104" t="s">
        <v>567</v>
      </c>
    </row>
    <row r="105" spans="1:10" x14ac:dyDescent="0.25">
      <c r="A105" s="141" t="s">
        <v>126</v>
      </c>
      <c r="B105">
        <v>3303.404</v>
      </c>
      <c r="C105">
        <v>38.732300000000002</v>
      </c>
      <c r="D105">
        <v>46.351599999999998</v>
      </c>
      <c r="E105">
        <v>46.605699999999999</v>
      </c>
      <c r="F105">
        <v>53308.531000000003</v>
      </c>
      <c r="G105">
        <v>5.7009999999999996</v>
      </c>
      <c r="H105">
        <v>0</v>
      </c>
      <c r="I105" t="s">
        <v>568</v>
      </c>
      <c r="J105" t="s">
        <v>569</v>
      </c>
    </row>
    <row r="106" spans="1:10" x14ac:dyDescent="0.25">
      <c r="A106" s="141" t="s">
        <v>127</v>
      </c>
      <c r="B106">
        <v>1531.0160000000001</v>
      </c>
      <c r="C106">
        <v>37.278399999999998</v>
      </c>
      <c r="D106">
        <v>45.255499999999998</v>
      </c>
      <c r="E106">
        <v>45.503599999999999</v>
      </c>
      <c r="F106">
        <v>29088.679</v>
      </c>
      <c r="G106">
        <v>4.5259999999999998</v>
      </c>
      <c r="H106">
        <v>0</v>
      </c>
      <c r="I106" t="s">
        <v>570</v>
      </c>
      <c r="J106" t="s">
        <v>571</v>
      </c>
    </row>
    <row r="107" spans="1:10" x14ac:dyDescent="0.25">
      <c r="A107" s="141" t="s">
        <v>128</v>
      </c>
      <c r="B107">
        <v>776.34400000000005</v>
      </c>
      <c r="C107">
        <v>35.358199999999997</v>
      </c>
      <c r="D107">
        <v>43.920699999999997</v>
      </c>
      <c r="E107">
        <v>44.2896</v>
      </c>
      <c r="F107">
        <v>15674.924000000001</v>
      </c>
      <c r="G107">
        <v>3.9369999999999998</v>
      </c>
      <c r="H107">
        <v>0</v>
      </c>
      <c r="I107" t="s">
        <v>572</v>
      </c>
      <c r="J107" t="s">
        <v>573</v>
      </c>
    </row>
    <row r="108" spans="1:10" x14ac:dyDescent="0.25">
      <c r="A108" s="141" t="s">
        <v>129</v>
      </c>
      <c r="B108">
        <v>387.49200000000002</v>
      </c>
      <c r="C108">
        <v>32.707500000000003</v>
      </c>
      <c r="D108">
        <v>42.2759</v>
      </c>
      <c r="E108">
        <v>42.602699999999999</v>
      </c>
      <c r="F108">
        <v>8140.6940000000004</v>
      </c>
      <c r="G108">
        <v>3.4060000000000001</v>
      </c>
      <c r="H108">
        <v>0</v>
      </c>
      <c r="I108" t="s">
        <v>574</v>
      </c>
      <c r="J108" t="s">
        <v>575</v>
      </c>
    </row>
    <row r="109" spans="1:10" x14ac:dyDescent="0.25">
      <c r="A109" s="141" t="s">
        <v>130</v>
      </c>
      <c r="B109">
        <v>1889.6759999999999</v>
      </c>
      <c r="C109">
        <v>40.657800000000002</v>
      </c>
      <c r="D109">
        <v>46.243699999999997</v>
      </c>
      <c r="E109">
        <v>47.497399999999999</v>
      </c>
      <c r="F109">
        <v>41108.432000000001</v>
      </c>
      <c r="G109">
        <v>5.5289999999999999</v>
      </c>
      <c r="H109">
        <v>0</v>
      </c>
      <c r="I109" t="s">
        <v>576</v>
      </c>
      <c r="J109" t="s">
        <v>577</v>
      </c>
    </row>
    <row r="110" spans="1:10" x14ac:dyDescent="0.25">
      <c r="A110" s="141" t="s">
        <v>131</v>
      </c>
      <c r="B110">
        <v>984.32</v>
      </c>
      <c r="C110">
        <v>39.5884</v>
      </c>
      <c r="D110">
        <v>45.643300000000004</v>
      </c>
      <c r="E110">
        <v>46.226100000000002</v>
      </c>
      <c r="F110">
        <v>23444.308000000001</v>
      </c>
      <c r="G110">
        <v>4.96</v>
      </c>
      <c r="H110">
        <v>0</v>
      </c>
      <c r="I110" t="s">
        <v>578</v>
      </c>
      <c r="J110" t="s">
        <v>579</v>
      </c>
    </row>
    <row r="111" spans="1:10" x14ac:dyDescent="0.25">
      <c r="A111" s="141" t="s">
        <v>132</v>
      </c>
      <c r="B111">
        <v>495.56400000000002</v>
      </c>
      <c r="C111">
        <v>38.003799999999998</v>
      </c>
      <c r="D111">
        <v>44.8568</v>
      </c>
      <c r="E111">
        <v>44.688200000000002</v>
      </c>
      <c r="F111">
        <v>12389.83</v>
      </c>
      <c r="G111">
        <v>4.1289999999999996</v>
      </c>
      <c r="H111">
        <v>0</v>
      </c>
      <c r="I111" t="s">
        <v>580</v>
      </c>
      <c r="J111" t="s">
        <v>581</v>
      </c>
    </row>
    <row r="112" spans="1:10" x14ac:dyDescent="0.25">
      <c r="A112" s="141" t="s">
        <v>133</v>
      </c>
      <c r="B112">
        <v>228.84800000000001</v>
      </c>
      <c r="C112">
        <v>35.898499999999999</v>
      </c>
      <c r="D112">
        <v>43.682200000000002</v>
      </c>
      <c r="E112">
        <v>42.482799999999997</v>
      </c>
      <c r="F112">
        <v>6219.5280000000002</v>
      </c>
      <c r="G112">
        <v>3.62</v>
      </c>
      <c r="H112">
        <v>0</v>
      </c>
      <c r="I112" t="s">
        <v>582</v>
      </c>
      <c r="J112" t="s">
        <v>583</v>
      </c>
    </row>
    <row r="113" spans="1:10" x14ac:dyDescent="0.25">
      <c r="A113" s="141" t="s">
        <v>134</v>
      </c>
      <c r="B113">
        <v>851.14400000000001</v>
      </c>
      <c r="C113">
        <v>43.760199999999998</v>
      </c>
      <c r="D113">
        <v>47.427500000000002</v>
      </c>
      <c r="E113">
        <v>48.482799999999997</v>
      </c>
      <c r="F113">
        <v>19012.501</v>
      </c>
      <c r="G113">
        <v>4.3410000000000002</v>
      </c>
      <c r="H113">
        <v>0</v>
      </c>
      <c r="I113" t="s">
        <v>584</v>
      </c>
      <c r="J113" t="s">
        <v>585</v>
      </c>
    </row>
    <row r="114" spans="1:10" x14ac:dyDescent="0.25">
      <c r="A114" s="141" t="s">
        <v>135</v>
      </c>
      <c r="B114">
        <v>494.58</v>
      </c>
      <c r="C114">
        <v>42.520299999999999</v>
      </c>
      <c r="D114">
        <v>46.631300000000003</v>
      </c>
      <c r="E114">
        <v>47.531799999999997</v>
      </c>
      <c r="F114">
        <v>10858.897000000001</v>
      </c>
      <c r="G114">
        <v>3.83</v>
      </c>
      <c r="H114">
        <v>0</v>
      </c>
      <c r="I114" t="s">
        <v>586</v>
      </c>
      <c r="J114" t="s">
        <v>587</v>
      </c>
    </row>
    <row r="115" spans="1:10" x14ac:dyDescent="0.25">
      <c r="A115" s="141" t="s">
        <v>136</v>
      </c>
      <c r="B115">
        <v>287.35599999999999</v>
      </c>
      <c r="C115">
        <v>40.722700000000003</v>
      </c>
      <c r="D115">
        <v>45.627200000000002</v>
      </c>
      <c r="E115">
        <v>46.2226</v>
      </c>
      <c r="F115">
        <v>6147.3559999999998</v>
      </c>
      <c r="G115">
        <v>3.7679999999999998</v>
      </c>
      <c r="H115">
        <v>0</v>
      </c>
      <c r="I115" t="s">
        <v>588</v>
      </c>
      <c r="J115" t="s">
        <v>589</v>
      </c>
    </row>
    <row r="116" spans="1:10" x14ac:dyDescent="0.25">
      <c r="A116" s="141" t="s">
        <v>137</v>
      </c>
      <c r="B116">
        <v>159.76</v>
      </c>
      <c r="C116">
        <v>38.146500000000003</v>
      </c>
      <c r="D116">
        <v>43.9529</v>
      </c>
      <c r="E116">
        <v>44.231000000000002</v>
      </c>
      <c r="F116">
        <v>3660.0450000000001</v>
      </c>
      <c r="G116">
        <v>3.6240000000000001</v>
      </c>
      <c r="H116">
        <v>0</v>
      </c>
      <c r="I116" t="s">
        <v>590</v>
      </c>
      <c r="J116" t="s">
        <v>591</v>
      </c>
    </row>
    <row r="117" spans="1:10" x14ac:dyDescent="0.25">
      <c r="A117" s="141" t="s">
        <v>138</v>
      </c>
      <c r="B117">
        <v>1112.056</v>
      </c>
      <c r="C117">
        <v>43.162399999999998</v>
      </c>
      <c r="D117">
        <v>49.201300000000003</v>
      </c>
      <c r="E117">
        <v>48.991199999999999</v>
      </c>
      <c r="F117">
        <v>21050.562999999998</v>
      </c>
      <c r="G117">
        <v>4.1269999999999998</v>
      </c>
      <c r="H117">
        <v>0</v>
      </c>
      <c r="I117" t="s">
        <v>592</v>
      </c>
      <c r="J117" t="s">
        <v>593</v>
      </c>
    </row>
    <row r="118" spans="1:10" x14ac:dyDescent="0.25">
      <c r="A118" s="141" t="s">
        <v>139</v>
      </c>
      <c r="B118">
        <v>665.96400000000006</v>
      </c>
      <c r="C118">
        <v>41.955199999999998</v>
      </c>
      <c r="D118">
        <v>48.366500000000002</v>
      </c>
      <c r="E118">
        <v>47.936799999999998</v>
      </c>
      <c r="F118">
        <v>12345.540999999999</v>
      </c>
      <c r="G118">
        <v>3.7320000000000002</v>
      </c>
      <c r="H118">
        <v>0</v>
      </c>
      <c r="I118" t="s">
        <v>594</v>
      </c>
      <c r="J118" t="s">
        <v>595</v>
      </c>
    </row>
    <row r="119" spans="1:10" x14ac:dyDescent="0.25">
      <c r="A119" s="141" t="s">
        <v>140</v>
      </c>
      <c r="B119">
        <v>391.93599999999998</v>
      </c>
      <c r="C119">
        <v>40.082000000000001</v>
      </c>
      <c r="D119">
        <v>47.377899999999997</v>
      </c>
      <c r="E119">
        <v>46.471899999999998</v>
      </c>
      <c r="F119">
        <v>7369.7179999999998</v>
      </c>
      <c r="G119">
        <v>3.6579999999999999</v>
      </c>
      <c r="H119">
        <v>0</v>
      </c>
      <c r="I119" t="s">
        <v>596</v>
      </c>
      <c r="J119" t="s">
        <v>597</v>
      </c>
    </row>
    <row r="120" spans="1:10" x14ac:dyDescent="0.25">
      <c r="A120" s="141" t="s">
        <v>141</v>
      </c>
      <c r="B120">
        <v>218.744</v>
      </c>
      <c r="C120">
        <v>37.311599999999999</v>
      </c>
      <c r="D120">
        <v>45.6584</v>
      </c>
      <c r="E120">
        <v>44.240699999999997</v>
      </c>
      <c r="F120">
        <v>4388.018</v>
      </c>
      <c r="G120">
        <v>3.4580000000000002</v>
      </c>
      <c r="H120">
        <v>0</v>
      </c>
      <c r="I120" t="s">
        <v>598</v>
      </c>
      <c r="J120" t="s">
        <v>599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600</v>
      </c>
      <c r="J145" t="s">
        <v>601</v>
      </c>
    </row>
    <row r="146" spans="1:10" x14ac:dyDescent="0.25">
      <c r="A146" s="141" t="s">
        <v>255</v>
      </c>
      <c r="B146">
        <v>8060.9120000000003</v>
      </c>
      <c r="C146">
        <v>39.504100000000001</v>
      </c>
      <c r="D146">
        <v>47.822800000000001</v>
      </c>
      <c r="E146">
        <v>45.398099999999999</v>
      </c>
      <c r="F146">
        <v>117247.45299999999</v>
      </c>
      <c r="G146">
        <v>25.315000000000001</v>
      </c>
      <c r="H146">
        <v>0</v>
      </c>
      <c r="I146" t="s">
        <v>602</v>
      </c>
      <c r="J146" t="s">
        <v>603</v>
      </c>
    </row>
    <row r="147" spans="1:10" x14ac:dyDescent="0.25">
      <c r="A147" s="141" t="s">
        <v>256</v>
      </c>
      <c r="B147">
        <v>4491.3999999999996</v>
      </c>
      <c r="C147">
        <v>38.508299999999998</v>
      </c>
      <c r="D147">
        <v>46.851599999999998</v>
      </c>
      <c r="E147">
        <v>44.036000000000001</v>
      </c>
      <c r="F147">
        <v>62740.144999999997</v>
      </c>
      <c r="G147">
        <v>22.021999999999998</v>
      </c>
      <c r="H147">
        <v>0</v>
      </c>
      <c r="I147" t="s">
        <v>604</v>
      </c>
      <c r="J147" t="s">
        <v>605</v>
      </c>
    </row>
    <row r="148" spans="1:10" x14ac:dyDescent="0.25">
      <c r="A148" s="141" t="s">
        <v>257</v>
      </c>
      <c r="B148">
        <v>2465.8000000000002</v>
      </c>
      <c r="C148">
        <v>36.971800000000002</v>
      </c>
      <c r="D148">
        <v>45.408499999999997</v>
      </c>
      <c r="E148">
        <v>42.3474</v>
      </c>
      <c r="F148">
        <v>32134.728999999999</v>
      </c>
      <c r="G148">
        <v>18.637</v>
      </c>
      <c r="H148">
        <v>0</v>
      </c>
      <c r="I148" t="s">
        <v>606</v>
      </c>
      <c r="J148" t="s">
        <v>607</v>
      </c>
    </row>
    <row r="149" spans="1:10" x14ac:dyDescent="0.25">
      <c r="A149" s="141" t="s">
        <v>258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608</v>
      </c>
      <c r="J149" t="s">
        <v>609</v>
      </c>
    </row>
    <row r="150" spans="1:10" x14ac:dyDescent="0.25">
      <c r="A150" s="141" t="s">
        <v>259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 t="s">
        <v>610</v>
      </c>
      <c r="J150" t="s">
        <v>611</v>
      </c>
    </row>
    <row r="151" spans="1:10" x14ac:dyDescent="0.25">
      <c r="A151" s="141" t="s">
        <v>260</v>
      </c>
      <c r="B151">
        <v>20783.367999999999</v>
      </c>
      <c r="C151">
        <v>35.659700000000001</v>
      </c>
      <c r="D151">
        <v>32.441099999999999</v>
      </c>
      <c r="E151">
        <v>34.1342</v>
      </c>
      <c r="F151">
        <v>176777.68799999999</v>
      </c>
      <c r="G151">
        <v>22.817</v>
      </c>
      <c r="H151">
        <v>0</v>
      </c>
      <c r="I151" t="s">
        <v>612</v>
      </c>
      <c r="J151" t="s">
        <v>613</v>
      </c>
    </row>
    <row r="152" spans="1:10" x14ac:dyDescent="0.25">
      <c r="A152" s="141" t="s">
        <v>261</v>
      </c>
      <c r="B152">
        <v>8866.5040000000008</v>
      </c>
      <c r="C152">
        <v>32.706099999999999</v>
      </c>
      <c r="D152">
        <v>30.768599999999999</v>
      </c>
      <c r="E152">
        <v>32.764899999999997</v>
      </c>
      <c r="F152">
        <v>97846.335999999996</v>
      </c>
      <c r="G152">
        <v>19.55</v>
      </c>
      <c r="H152">
        <v>0</v>
      </c>
      <c r="I152" t="s">
        <v>614</v>
      </c>
      <c r="J152" t="s">
        <v>615</v>
      </c>
    </row>
    <row r="153" spans="1:10" x14ac:dyDescent="0.25">
      <c r="A153" s="141" t="s">
        <v>262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616</v>
      </c>
      <c r="J153" t="s">
        <v>617</v>
      </c>
    </row>
    <row r="154" spans="1:10" x14ac:dyDescent="0.25">
      <c r="A154" s="141" t="s">
        <v>263</v>
      </c>
      <c r="B154">
        <v>21412.031999999999</v>
      </c>
      <c r="C154">
        <v>37.403700000000001</v>
      </c>
      <c r="D154">
        <v>38.548900000000003</v>
      </c>
      <c r="E154">
        <v>40.013599999999997</v>
      </c>
      <c r="F154">
        <v>120296.336</v>
      </c>
      <c r="G154">
        <v>14.817</v>
      </c>
      <c r="H154">
        <v>0</v>
      </c>
      <c r="I154" t="s">
        <v>618</v>
      </c>
      <c r="J154" t="s">
        <v>619</v>
      </c>
    </row>
    <row r="155" spans="1:10" x14ac:dyDescent="0.25">
      <c r="A155" s="141" t="s">
        <v>264</v>
      </c>
      <c r="B155">
        <v>11396.2</v>
      </c>
      <c r="C155">
        <v>35.9024</v>
      </c>
      <c r="D155">
        <v>36.351300000000002</v>
      </c>
      <c r="E155">
        <v>38.615099999999998</v>
      </c>
      <c r="F155">
        <v>78049.141000000003</v>
      </c>
      <c r="G155">
        <v>12.792</v>
      </c>
      <c r="H155">
        <v>0</v>
      </c>
      <c r="I155" t="s">
        <v>620</v>
      </c>
      <c r="J155" t="s">
        <v>621</v>
      </c>
    </row>
    <row r="156" spans="1:10" x14ac:dyDescent="0.25">
      <c r="A156" s="141" t="s">
        <v>265</v>
      </c>
      <c r="B156">
        <v>5587.2719999999999</v>
      </c>
      <c r="C156">
        <v>34.001199999999997</v>
      </c>
      <c r="D156">
        <v>33.9437</v>
      </c>
      <c r="E156">
        <v>36.883600000000001</v>
      </c>
      <c r="F156">
        <v>45303.175999999999</v>
      </c>
      <c r="G156">
        <v>11.199</v>
      </c>
      <c r="H156">
        <v>0</v>
      </c>
      <c r="I156" t="s">
        <v>622</v>
      </c>
      <c r="J156" t="s">
        <v>623</v>
      </c>
    </row>
    <row r="157" spans="1:10" x14ac:dyDescent="0.25">
      <c r="A157" s="141" t="s">
        <v>266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 t="s">
        <v>624</v>
      </c>
      <c r="J157" t="s">
        <v>625</v>
      </c>
    </row>
    <row r="158" spans="1:10" x14ac:dyDescent="0.25">
      <c r="A158" s="141" t="s">
        <v>267</v>
      </c>
      <c r="B158">
        <v>9586.5679999999993</v>
      </c>
      <c r="C158">
        <v>36.835299999999997</v>
      </c>
      <c r="D158">
        <v>44.329300000000003</v>
      </c>
      <c r="E158">
        <v>42.012300000000003</v>
      </c>
      <c r="F158">
        <v>154946.375</v>
      </c>
      <c r="G158">
        <v>23.550999999999998</v>
      </c>
      <c r="H158">
        <v>0</v>
      </c>
      <c r="I158" t="s">
        <v>626</v>
      </c>
      <c r="J158" t="s">
        <v>627</v>
      </c>
    </row>
    <row r="159" spans="1:10" x14ac:dyDescent="0.25">
      <c r="A159" s="141" t="s">
        <v>268</v>
      </c>
      <c r="B159">
        <v>4983.3280000000004</v>
      </c>
      <c r="C159">
        <v>35.833500000000001</v>
      </c>
      <c r="D159">
        <v>43.415599999999998</v>
      </c>
      <c r="E159">
        <v>41.084899999999998</v>
      </c>
      <c r="F159">
        <v>87028.016000000003</v>
      </c>
      <c r="G159">
        <v>19.465</v>
      </c>
      <c r="H159">
        <v>0</v>
      </c>
      <c r="I159" t="s">
        <v>628</v>
      </c>
      <c r="J159" t="s">
        <v>629</v>
      </c>
    </row>
    <row r="160" spans="1:10" x14ac:dyDescent="0.25">
      <c r="A160" s="141" t="s">
        <v>269</v>
      </c>
      <c r="B160">
        <v>2513.5360000000001</v>
      </c>
      <c r="C160">
        <v>34.272500000000001</v>
      </c>
      <c r="D160">
        <v>42.097900000000003</v>
      </c>
      <c r="E160">
        <v>39.981400000000001</v>
      </c>
      <c r="F160">
        <v>41558.241999999998</v>
      </c>
      <c r="G160">
        <v>15.337999999999999</v>
      </c>
      <c r="H160">
        <v>0</v>
      </c>
      <c r="I160" t="s">
        <v>630</v>
      </c>
      <c r="J160" t="s">
        <v>631</v>
      </c>
    </row>
    <row r="161" spans="1:10" x14ac:dyDescent="0.25">
      <c r="A161" s="141" t="s">
        <v>142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632</v>
      </c>
      <c r="J161" t="s">
        <v>633</v>
      </c>
    </row>
    <row r="162" spans="1:10" x14ac:dyDescent="0.25">
      <c r="A162" s="141" t="s">
        <v>143</v>
      </c>
      <c r="B162">
        <v>3552.2496000000001</v>
      </c>
      <c r="C162">
        <v>36.508499999999998</v>
      </c>
      <c r="D162">
        <v>39.013599999999997</v>
      </c>
      <c r="E162">
        <v>41.542499999999997</v>
      </c>
      <c r="F162">
        <v>208247.03099999999</v>
      </c>
      <c r="G162">
        <v>21.254000000000001</v>
      </c>
      <c r="H162">
        <v>0</v>
      </c>
      <c r="I162" t="s">
        <v>634</v>
      </c>
      <c r="J162" t="s">
        <v>635</v>
      </c>
    </row>
    <row r="163" spans="1:10" x14ac:dyDescent="0.25">
      <c r="A163" s="141" t="s">
        <v>144</v>
      </c>
      <c r="B163">
        <v>1784.6543999999999</v>
      </c>
      <c r="C163">
        <v>34.697200000000002</v>
      </c>
      <c r="D163">
        <v>38.212600000000002</v>
      </c>
      <c r="E163">
        <v>40.095399999999998</v>
      </c>
      <c r="F163">
        <v>126416.68</v>
      </c>
      <c r="G163">
        <v>17.718</v>
      </c>
      <c r="H163">
        <v>0</v>
      </c>
      <c r="I163" t="s">
        <v>636</v>
      </c>
      <c r="J163" t="s">
        <v>637</v>
      </c>
    </row>
    <row r="164" spans="1:10" x14ac:dyDescent="0.25">
      <c r="A164" s="141" t="s">
        <v>145</v>
      </c>
      <c r="B164">
        <v>865.49279999999999</v>
      </c>
      <c r="C164">
        <v>32.413600000000002</v>
      </c>
      <c r="D164">
        <v>37.198</v>
      </c>
      <c r="E164">
        <v>38.432600000000001</v>
      </c>
      <c r="F164">
        <v>71175.108999999997</v>
      </c>
      <c r="G164">
        <v>14.696999999999999</v>
      </c>
      <c r="H164">
        <v>0</v>
      </c>
      <c r="I164" t="s">
        <v>638</v>
      </c>
      <c r="J164" t="s">
        <v>639</v>
      </c>
    </row>
    <row r="165" spans="1:10" x14ac:dyDescent="0.25">
      <c r="A165" s="141" t="s">
        <v>146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640</v>
      </c>
      <c r="J165" t="s">
        <v>641</v>
      </c>
    </row>
    <row r="166" spans="1:10" x14ac:dyDescent="0.25">
      <c r="A166" s="141" t="s">
        <v>147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642</v>
      </c>
      <c r="J166" t="s">
        <v>643</v>
      </c>
    </row>
    <row r="167" spans="1:10" x14ac:dyDescent="0.25">
      <c r="A167" s="141" t="s">
        <v>148</v>
      </c>
      <c r="B167">
        <v>2325.1487999999999</v>
      </c>
      <c r="C167">
        <v>35.724499999999999</v>
      </c>
      <c r="D167">
        <v>41.379800000000003</v>
      </c>
      <c r="E167">
        <v>41.249400000000001</v>
      </c>
      <c r="F167">
        <v>135319.859</v>
      </c>
      <c r="G167">
        <v>23.071999999999999</v>
      </c>
      <c r="H167">
        <v>0</v>
      </c>
      <c r="I167" t="s">
        <v>644</v>
      </c>
      <c r="J167" t="s">
        <v>645</v>
      </c>
    </row>
    <row r="168" spans="1:10" x14ac:dyDescent="0.25">
      <c r="A168" s="141" t="s">
        <v>149</v>
      </c>
      <c r="B168">
        <v>1161.2080000000001</v>
      </c>
      <c r="C168">
        <v>33.6586</v>
      </c>
      <c r="D168">
        <v>40.017499999999998</v>
      </c>
      <c r="E168">
        <v>39.337600000000002</v>
      </c>
      <c r="F168">
        <v>76056.633000000002</v>
      </c>
      <c r="G168">
        <v>19.172999999999998</v>
      </c>
      <c r="H168">
        <v>0</v>
      </c>
      <c r="I168" t="s">
        <v>646</v>
      </c>
      <c r="J168" t="s">
        <v>647</v>
      </c>
    </row>
    <row r="169" spans="1:10" x14ac:dyDescent="0.25">
      <c r="A169" s="141" t="s">
        <v>270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 t="s">
        <v>648</v>
      </c>
      <c r="J169" t="s">
        <v>649</v>
      </c>
    </row>
    <row r="170" spans="1:10" x14ac:dyDescent="0.25">
      <c r="A170" s="141" t="s">
        <v>271</v>
      </c>
      <c r="B170">
        <v>2798.6064000000001</v>
      </c>
      <c r="C170">
        <v>38.375599999999999</v>
      </c>
      <c r="D170">
        <v>42.825499999999998</v>
      </c>
      <c r="E170">
        <v>43.528500000000001</v>
      </c>
      <c r="F170">
        <v>190463.266</v>
      </c>
      <c r="G170">
        <v>26.289000000000001</v>
      </c>
      <c r="H170">
        <v>0</v>
      </c>
      <c r="I170" t="s">
        <v>650</v>
      </c>
      <c r="J170" t="s">
        <v>651</v>
      </c>
    </row>
    <row r="171" spans="1:10" x14ac:dyDescent="0.25">
      <c r="A171" s="141" t="s">
        <v>272</v>
      </c>
      <c r="B171">
        <v>1399.1487999999999</v>
      </c>
      <c r="C171">
        <v>36.586399999999998</v>
      </c>
      <c r="D171">
        <v>41.764400000000002</v>
      </c>
      <c r="E171">
        <v>42.322200000000002</v>
      </c>
      <c r="F171">
        <v>106614.461</v>
      </c>
      <c r="G171">
        <v>21.968</v>
      </c>
      <c r="H171">
        <v>0</v>
      </c>
      <c r="I171" t="s">
        <v>652</v>
      </c>
      <c r="J171" t="s">
        <v>653</v>
      </c>
    </row>
    <row r="172" spans="1:10" x14ac:dyDescent="0.25">
      <c r="A172" s="141" t="s">
        <v>273</v>
      </c>
      <c r="B172">
        <v>671.36</v>
      </c>
      <c r="C172">
        <v>34.335599999999999</v>
      </c>
      <c r="D172">
        <v>40.630099999999999</v>
      </c>
      <c r="E172">
        <v>41.001199999999997</v>
      </c>
      <c r="F172">
        <v>57036.938000000002</v>
      </c>
      <c r="G172">
        <v>18.448</v>
      </c>
      <c r="H172">
        <v>0</v>
      </c>
      <c r="I172" t="s">
        <v>654</v>
      </c>
      <c r="J172" t="s">
        <v>655</v>
      </c>
    </row>
    <row r="173" spans="1:10" x14ac:dyDescent="0.25">
      <c r="A173" s="141" t="s">
        <v>274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656</v>
      </c>
      <c r="J173" t="s">
        <v>657</v>
      </c>
    </row>
    <row r="174" spans="1:10" x14ac:dyDescent="0.25">
      <c r="A174" s="141" t="s">
        <v>275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658</v>
      </c>
      <c r="J174" t="s">
        <v>659</v>
      </c>
    </row>
    <row r="175" spans="1:10" x14ac:dyDescent="0.25">
      <c r="A175" s="141" t="s">
        <v>276</v>
      </c>
      <c r="B175">
        <v>2219.0927999999999</v>
      </c>
      <c r="C175">
        <v>38.144199999999998</v>
      </c>
      <c r="D175">
        <v>43.5124</v>
      </c>
      <c r="E175">
        <v>43.630899999999997</v>
      </c>
      <c r="F175">
        <v>124874.742</v>
      </c>
      <c r="G175">
        <v>25.31</v>
      </c>
      <c r="H175">
        <v>0</v>
      </c>
      <c r="I175" t="s">
        <v>660</v>
      </c>
      <c r="J175" t="s">
        <v>661</v>
      </c>
    </row>
    <row r="176" spans="1:10" x14ac:dyDescent="0.25">
      <c r="A176" s="141" t="s">
        <v>277</v>
      </c>
      <c r="B176">
        <v>1155.8751999999999</v>
      </c>
      <c r="C176">
        <v>35.2254</v>
      </c>
      <c r="D176">
        <v>41.9285</v>
      </c>
      <c r="E176">
        <v>41.799900000000001</v>
      </c>
      <c r="F176">
        <v>73356.366999999998</v>
      </c>
      <c r="G176">
        <v>21.378</v>
      </c>
      <c r="H176">
        <v>0</v>
      </c>
      <c r="I176" t="s">
        <v>662</v>
      </c>
      <c r="J176" t="s">
        <v>663</v>
      </c>
    </row>
    <row r="177" spans="1:10" x14ac:dyDescent="0.25">
      <c r="A177" s="141" t="s">
        <v>150</v>
      </c>
      <c r="B177" s="71">
        <v>0</v>
      </c>
      <c r="C177" s="71">
        <v>0</v>
      </c>
      <c r="D177" s="71">
        <v>0</v>
      </c>
      <c r="E177" s="71">
        <v>0</v>
      </c>
      <c r="F177" s="71">
        <v>0</v>
      </c>
      <c r="G177" s="71">
        <v>0</v>
      </c>
      <c r="H177">
        <v>0</v>
      </c>
      <c r="I177" t="s">
        <v>664</v>
      </c>
      <c r="J177" t="s">
        <v>665</v>
      </c>
    </row>
    <row r="178" spans="1:10" x14ac:dyDescent="0.25">
      <c r="A178" s="141" t="s">
        <v>151</v>
      </c>
      <c r="B178" s="71">
        <v>1364.3904</v>
      </c>
      <c r="C178" s="71">
        <v>36.193899999999999</v>
      </c>
      <c r="D178" s="71">
        <v>44.485500000000002</v>
      </c>
      <c r="E178" s="71">
        <v>44.659300000000002</v>
      </c>
      <c r="F178" s="71">
        <v>95032.539000000004</v>
      </c>
      <c r="G178" s="71">
        <v>10.685</v>
      </c>
      <c r="H178">
        <v>0</v>
      </c>
      <c r="I178" t="s">
        <v>666</v>
      </c>
      <c r="J178" t="s">
        <v>667</v>
      </c>
    </row>
    <row r="179" spans="1:10" x14ac:dyDescent="0.25">
      <c r="A179" s="141" t="s">
        <v>152</v>
      </c>
      <c r="B179" s="71">
        <v>610.10720000000003</v>
      </c>
      <c r="C179" s="71">
        <v>33.854700000000001</v>
      </c>
      <c r="D179" s="71">
        <v>43.153300000000002</v>
      </c>
      <c r="E179" s="71">
        <v>43.3673</v>
      </c>
      <c r="F179" s="71">
        <v>55170.41</v>
      </c>
      <c r="G179" s="71">
        <v>8.4369999999999994</v>
      </c>
      <c r="H179">
        <v>0</v>
      </c>
      <c r="I179" t="s">
        <v>668</v>
      </c>
      <c r="J179" t="s">
        <v>669</v>
      </c>
    </row>
    <row r="180" spans="1:10" x14ac:dyDescent="0.25">
      <c r="A180" s="141" t="s">
        <v>153</v>
      </c>
      <c r="B180" s="71">
        <v>271.01600000000002</v>
      </c>
      <c r="C180" s="71">
        <v>30.965</v>
      </c>
      <c r="D180" s="71">
        <v>41.916600000000003</v>
      </c>
      <c r="E180" s="71">
        <v>42.024999999999999</v>
      </c>
      <c r="F180" s="71">
        <v>31576.937999999998</v>
      </c>
      <c r="G180" s="71">
        <v>6.6020000000000003</v>
      </c>
      <c r="H180">
        <v>0</v>
      </c>
      <c r="I180" t="s">
        <v>670</v>
      </c>
      <c r="J180" t="s">
        <v>671</v>
      </c>
    </row>
    <row r="181" spans="1:10" x14ac:dyDescent="0.25">
      <c r="A181" s="141" t="s">
        <v>154</v>
      </c>
      <c r="B181" s="71">
        <v>3334.7375999999999</v>
      </c>
      <c r="C181" s="71">
        <v>40.256100000000004</v>
      </c>
      <c r="D181" s="71">
        <v>45.090299999999999</v>
      </c>
      <c r="E181" s="71">
        <v>45.830500000000001</v>
      </c>
      <c r="F181" s="71">
        <v>158323.484</v>
      </c>
      <c r="G181" s="71">
        <v>15.824999999999999</v>
      </c>
      <c r="H181">
        <v>0</v>
      </c>
      <c r="I181" t="s">
        <v>672</v>
      </c>
      <c r="J181" t="s">
        <v>673</v>
      </c>
    </row>
    <row r="182" spans="1:10" x14ac:dyDescent="0.25">
      <c r="A182" s="141" t="s">
        <v>155</v>
      </c>
      <c r="B182" s="71">
        <v>1600.2224000000001</v>
      </c>
      <c r="C182" s="71">
        <v>38.679499999999997</v>
      </c>
      <c r="D182" s="71">
        <v>44.255600000000001</v>
      </c>
      <c r="E182" s="71">
        <v>44.253399999999999</v>
      </c>
      <c r="F182" s="71">
        <v>95952.241999999998</v>
      </c>
      <c r="G182" s="71">
        <v>13.167999999999999</v>
      </c>
      <c r="H182">
        <v>0</v>
      </c>
      <c r="I182" t="s">
        <v>674</v>
      </c>
      <c r="J182" t="s">
        <v>675</v>
      </c>
    </row>
    <row r="183" spans="1:10" x14ac:dyDescent="0.25">
      <c r="A183" s="141" t="s">
        <v>156</v>
      </c>
      <c r="B183" s="71">
        <v>782.50400000000002</v>
      </c>
      <c r="C183" s="71">
        <v>36.741599999999998</v>
      </c>
      <c r="D183" s="71">
        <v>43.274099999999997</v>
      </c>
      <c r="E183" s="71">
        <v>42.538899999999998</v>
      </c>
      <c r="F183" s="71">
        <v>53102.383000000002</v>
      </c>
      <c r="G183" s="71">
        <v>10.536</v>
      </c>
      <c r="H183">
        <v>0</v>
      </c>
      <c r="I183" t="s">
        <v>676</v>
      </c>
      <c r="J183" t="s">
        <v>677</v>
      </c>
    </row>
    <row r="184" spans="1:10" x14ac:dyDescent="0.25">
      <c r="A184" s="141" t="s">
        <v>157</v>
      </c>
      <c r="B184" s="71">
        <v>373.56959999999998</v>
      </c>
      <c r="C184" s="71">
        <v>34.540500000000002</v>
      </c>
      <c r="D184" s="71">
        <v>41.954500000000003</v>
      </c>
      <c r="E184" s="71">
        <v>40.521299999999997</v>
      </c>
      <c r="F184" s="71">
        <v>28360.609</v>
      </c>
      <c r="G184" s="71">
        <v>8.0960000000000001</v>
      </c>
      <c r="H184">
        <v>0</v>
      </c>
      <c r="I184" t="s">
        <v>678</v>
      </c>
      <c r="J184" t="s">
        <v>679</v>
      </c>
    </row>
    <row r="185" spans="1:10" x14ac:dyDescent="0.25">
      <c r="A185" s="141" t="s">
        <v>158</v>
      </c>
      <c r="B185" s="71">
        <v>849.68960000000004</v>
      </c>
      <c r="C185" s="71">
        <v>42.836300000000001</v>
      </c>
      <c r="D185" s="71">
        <v>46.664900000000003</v>
      </c>
      <c r="E185" s="71">
        <v>47.510800000000003</v>
      </c>
      <c r="F185" s="71">
        <v>64049.671999999999</v>
      </c>
      <c r="G185" s="71">
        <v>8.4670000000000005</v>
      </c>
      <c r="H185">
        <v>0</v>
      </c>
      <c r="I185" t="s">
        <v>680</v>
      </c>
      <c r="J185" t="s">
        <v>681</v>
      </c>
    </row>
    <row r="186" spans="1:10" x14ac:dyDescent="0.25">
      <c r="A186" s="141" t="s">
        <v>159</v>
      </c>
      <c r="B186" s="71">
        <v>452.48</v>
      </c>
      <c r="C186" s="71">
        <v>41.191699999999997</v>
      </c>
      <c r="D186" s="71">
        <v>45.869100000000003</v>
      </c>
      <c r="E186" s="71">
        <v>46.484000000000002</v>
      </c>
      <c r="F186" s="71">
        <v>37844.809000000001</v>
      </c>
      <c r="G186" s="71">
        <v>6.44</v>
      </c>
      <c r="H186">
        <v>0</v>
      </c>
      <c r="I186" t="s">
        <v>682</v>
      </c>
      <c r="J186" t="s">
        <v>683</v>
      </c>
    </row>
    <row r="187" spans="1:10" x14ac:dyDescent="0.25">
      <c r="A187" s="141" t="s">
        <v>160</v>
      </c>
      <c r="B187" s="71">
        <v>246.89279999999999</v>
      </c>
      <c r="C187" s="71">
        <v>39.000599999999999</v>
      </c>
      <c r="D187" s="71">
        <v>44.600200000000001</v>
      </c>
      <c r="E187" s="71">
        <v>45.088799999999999</v>
      </c>
      <c r="F187" s="71">
        <v>22238.697</v>
      </c>
      <c r="G187" s="71">
        <v>5.7030000000000003</v>
      </c>
      <c r="H187">
        <v>0</v>
      </c>
      <c r="I187" t="s">
        <v>684</v>
      </c>
      <c r="J187" t="s">
        <v>685</v>
      </c>
    </row>
    <row r="188" spans="1:10" x14ac:dyDescent="0.25">
      <c r="A188" s="141" t="s">
        <v>161</v>
      </c>
      <c r="B188" s="71">
        <v>137.43039999999999</v>
      </c>
      <c r="C188" s="71">
        <v>36.235100000000003</v>
      </c>
      <c r="D188" s="71">
        <v>43.0976</v>
      </c>
      <c r="E188" s="71">
        <v>43.223799999999997</v>
      </c>
      <c r="F188" s="71">
        <v>13152.244000000001</v>
      </c>
      <c r="G188" s="71">
        <v>5.7460000000000004</v>
      </c>
      <c r="H188">
        <v>0</v>
      </c>
      <c r="I188" t="s">
        <v>686</v>
      </c>
      <c r="J188" t="s">
        <v>687</v>
      </c>
    </row>
    <row r="189" spans="1:10" x14ac:dyDescent="0.25">
      <c r="A189" s="141" t="s">
        <v>162</v>
      </c>
      <c r="B189" s="71">
        <v>1132.4608000000001</v>
      </c>
      <c r="C189" s="71">
        <v>42.508200000000002</v>
      </c>
      <c r="D189" s="71">
        <v>48.511499999999998</v>
      </c>
      <c r="E189" s="71">
        <v>48.078699999999998</v>
      </c>
      <c r="F189" s="71">
        <v>69629.539000000004</v>
      </c>
      <c r="G189" s="71">
        <v>9.15</v>
      </c>
      <c r="H189">
        <v>0</v>
      </c>
      <c r="I189" t="s">
        <v>688</v>
      </c>
      <c r="J189" t="s">
        <v>689</v>
      </c>
    </row>
    <row r="190" spans="1:10" x14ac:dyDescent="0.25">
      <c r="A190" s="141" t="s">
        <v>163</v>
      </c>
      <c r="B190" s="71">
        <v>577.95360000000005</v>
      </c>
      <c r="C190" s="71">
        <v>40.756700000000002</v>
      </c>
      <c r="D190" s="71">
        <v>47.743099999999998</v>
      </c>
      <c r="E190" s="71">
        <v>47.002400000000002</v>
      </c>
      <c r="F190" s="71">
        <v>40880.5</v>
      </c>
      <c r="G190" s="71">
        <v>7.0640000000000001</v>
      </c>
      <c r="H190">
        <v>0</v>
      </c>
      <c r="I190" t="s">
        <v>690</v>
      </c>
      <c r="J190" t="s">
        <v>691</v>
      </c>
    </row>
    <row r="191" spans="1:10" x14ac:dyDescent="0.25">
      <c r="A191" s="141" t="s">
        <v>164</v>
      </c>
      <c r="B191" s="71">
        <v>318.27839999999998</v>
      </c>
      <c r="C191" s="71">
        <v>38.423099999999998</v>
      </c>
      <c r="D191" s="71">
        <v>46.623100000000001</v>
      </c>
      <c r="E191" s="71">
        <v>45.3934</v>
      </c>
      <c r="F191" s="71">
        <v>24198.708999999999</v>
      </c>
      <c r="G191" s="71">
        <v>5.9160000000000004</v>
      </c>
      <c r="H191">
        <v>0</v>
      </c>
      <c r="I191" t="s">
        <v>692</v>
      </c>
      <c r="J191" t="s">
        <v>693</v>
      </c>
    </row>
    <row r="192" spans="1:10" x14ac:dyDescent="0.25">
      <c r="A192" s="141" t="s">
        <v>165</v>
      </c>
      <c r="B192" s="71">
        <v>176.46719999999999</v>
      </c>
      <c r="C192" s="71">
        <v>35.382100000000001</v>
      </c>
      <c r="D192" s="71">
        <v>44.966299999999997</v>
      </c>
      <c r="E192" s="71">
        <v>43.194299999999998</v>
      </c>
      <c r="F192" s="71">
        <v>15166.341</v>
      </c>
      <c r="G192" s="71">
        <v>5.5250000000000004</v>
      </c>
      <c r="H192">
        <v>0</v>
      </c>
      <c r="I192" t="s">
        <v>694</v>
      </c>
      <c r="J192" t="s">
        <v>695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2022-08-15T01:31:11Z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