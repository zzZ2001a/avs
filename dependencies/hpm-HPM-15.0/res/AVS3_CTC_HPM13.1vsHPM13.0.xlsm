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futl\work\ByteDance\Test_Try\软件维护报告\M6739\"/>
    </mc:Choice>
  </mc:AlternateContent>
  <xr:revisionPtr revIDLastSave="0" documentId="13_ncr:1_{F2BF9766-05F1-4E5B-A889-11AB27C54DB8}" xr6:coauthVersionLast="47" xr6:coauthVersionMax="47" xr10:uidLastSave="{00000000-0000-0000-0000-000000000000}"/>
  <bookViews>
    <workbookView xWindow="-108" yWindow="-108" windowWidth="23256" windowHeight="12576" tabRatio="884" activeTab="1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3" i="9" l="1"/>
  <c r="L4" i="25" l="1"/>
  <c r="M4" i="25"/>
  <c r="N4" i="25"/>
  <c r="O4" i="25"/>
  <c r="P4" i="25"/>
  <c r="Q4" i="25"/>
  <c r="L5" i="25"/>
  <c r="M5" i="25"/>
  <c r="N5" i="25"/>
  <c r="O5" i="25"/>
  <c r="P5" i="25"/>
  <c r="Q5" i="25"/>
  <c r="L6" i="25"/>
  <c r="M6" i="25"/>
  <c r="N6" i="25"/>
  <c r="O6" i="25"/>
  <c r="P6" i="25"/>
  <c r="Q6" i="25"/>
  <c r="L7" i="25"/>
  <c r="M7" i="25"/>
  <c r="N7" i="25"/>
  <c r="O7" i="25"/>
  <c r="P7" i="25"/>
  <c r="Q7" i="25"/>
  <c r="L8" i="25"/>
  <c r="M8" i="25"/>
  <c r="N8" i="25"/>
  <c r="O8" i="25"/>
  <c r="P8" i="25"/>
  <c r="Q8" i="25"/>
  <c r="L9" i="25"/>
  <c r="M9" i="25"/>
  <c r="N9" i="25"/>
  <c r="O9" i="25"/>
  <c r="P9" i="25"/>
  <c r="Q9" i="25"/>
  <c r="L10" i="25"/>
  <c r="M10" i="25"/>
  <c r="N10" i="25"/>
  <c r="O10" i="25"/>
  <c r="P10" i="25"/>
  <c r="Q10" i="25"/>
  <c r="L11" i="25"/>
  <c r="M11" i="25"/>
  <c r="N11" i="25"/>
  <c r="O11" i="25"/>
  <c r="P11" i="25"/>
  <c r="Q11" i="25"/>
  <c r="L12" i="25"/>
  <c r="M12" i="25"/>
  <c r="N12" i="25"/>
  <c r="O12" i="25"/>
  <c r="P12" i="25"/>
  <c r="Q12" i="25"/>
  <c r="L13" i="25"/>
  <c r="M13" i="25"/>
  <c r="N13" i="25"/>
  <c r="O13" i="25"/>
  <c r="P13" i="25"/>
  <c r="Q13" i="25"/>
  <c r="L14" i="25"/>
  <c r="M14" i="25"/>
  <c r="N14" i="25"/>
  <c r="O14" i="25"/>
  <c r="P14" i="25"/>
  <c r="Q14" i="25"/>
  <c r="L15" i="25"/>
  <c r="M15" i="25"/>
  <c r="N15" i="25"/>
  <c r="O15" i="25"/>
  <c r="P15" i="25"/>
  <c r="Q15" i="25"/>
  <c r="L16" i="25"/>
  <c r="M16" i="25"/>
  <c r="N16" i="25"/>
  <c r="O16" i="25"/>
  <c r="P16" i="25"/>
  <c r="Q16" i="25"/>
  <c r="L17" i="25"/>
  <c r="M17" i="25"/>
  <c r="N17" i="25"/>
  <c r="O17" i="25"/>
  <c r="P17" i="25"/>
  <c r="Q17" i="25"/>
  <c r="L18" i="25"/>
  <c r="M18" i="25"/>
  <c r="N18" i="25"/>
  <c r="O18" i="25"/>
  <c r="P18" i="25"/>
  <c r="Q18" i="25"/>
  <c r="L19" i="25"/>
  <c r="M19" i="25"/>
  <c r="N19" i="25"/>
  <c r="O19" i="25"/>
  <c r="P19" i="25"/>
  <c r="Q19" i="25"/>
  <c r="L20" i="25"/>
  <c r="M20" i="25"/>
  <c r="N20" i="25"/>
  <c r="O20" i="25"/>
  <c r="P20" i="25"/>
  <c r="Q20" i="25"/>
  <c r="L21" i="25"/>
  <c r="M21" i="25"/>
  <c r="N21" i="25"/>
  <c r="O21" i="25"/>
  <c r="P21" i="25"/>
  <c r="Q21" i="25"/>
  <c r="L22" i="25"/>
  <c r="M22" i="25"/>
  <c r="N22" i="25"/>
  <c r="O22" i="25"/>
  <c r="P22" i="25"/>
  <c r="Q22" i="25"/>
  <c r="L23" i="25"/>
  <c r="M23" i="25"/>
  <c r="N23" i="25"/>
  <c r="O23" i="25"/>
  <c r="P23" i="25"/>
  <c r="Q23" i="25"/>
  <c r="L24" i="25"/>
  <c r="M24" i="25"/>
  <c r="N24" i="25"/>
  <c r="O24" i="25"/>
  <c r="P24" i="25"/>
  <c r="Q24" i="25"/>
  <c r="L25" i="25"/>
  <c r="M25" i="25"/>
  <c r="N25" i="25"/>
  <c r="O25" i="25"/>
  <c r="P25" i="25"/>
  <c r="Q25" i="25"/>
  <c r="L26" i="25"/>
  <c r="M26" i="25"/>
  <c r="N26" i="25"/>
  <c r="O26" i="25"/>
  <c r="P26" i="25"/>
  <c r="Q26" i="25"/>
  <c r="L27" i="25"/>
  <c r="M27" i="25"/>
  <c r="N27" i="25"/>
  <c r="O27" i="25"/>
  <c r="P27" i="25"/>
  <c r="Q27" i="25"/>
  <c r="L28" i="25"/>
  <c r="M28" i="25"/>
  <c r="N28" i="25"/>
  <c r="O28" i="25"/>
  <c r="P28" i="25"/>
  <c r="Q28" i="25"/>
  <c r="L29" i="25"/>
  <c r="M29" i="25"/>
  <c r="N29" i="25"/>
  <c r="O29" i="25"/>
  <c r="P29" i="25"/>
  <c r="Q29" i="25"/>
  <c r="L30" i="25"/>
  <c r="M30" i="25"/>
  <c r="N30" i="25"/>
  <c r="O30" i="25"/>
  <c r="P30" i="25"/>
  <c r="Q30" i="25"/>
  <c r="L31" i="25"/>
  <c r="M31" i="25"/>
  <c r="N31" i="25"/>
  <c r="O31" i="25"/>
  <c r="P31" i="25"/>
  <c r="Q31" i="25"/>
  <c r="L32" i="25"/>
  <c r="M32" i="25"/>
  <c r="N32" i="25"/>
  <c r="O32" i="25"/>
  <c r="P32" i="25"/>
  <c r="Q32" i="25"/>
  <c r="L33" i="25"/>
  <c r="M33" i="25"/>
  <c r="N33" i="25"/>
  <c r="O33" i="25"/>
  <c r="P33" i="25"/>
  <c r="Q33" i="25"/>
  <c r="L34" i="25"/>
  <c r="M34" i="25"/>
  <c r="N34" i="25"/>
  <c r="O34" i="25"/>
  <c r="P34" i="25"/>
  <c r="Q34" i="25"/>
  <c r="L35" i="25"/>
  <c r="M35" i="25"/>
  <c r="N35" i="25"/>
  <c r="O35" i="25"/>
  <c r="P35" i="25"/>
  <c r="Q35" i="25"/>
  <c r="L36" i="25"/>
  <c r="M36" i="25"/>
  <c r="N36" i="25"/>
  <c r="O36" i="25"/>
  <c r="P36" i="25"/>
  <c r="Q36" i="25"/>
  <c r="L37" i="25"/>
  <c r="M37" i="25"/>
  <c r="N37" i="25"/>
  <c r="O37" i="25"/>
  <c r="P37" i="25"/>
  <c r="Q37" i="25"/>
  <c r="L38" i="25"/>
  <c r="M38" i="25"/>
  <c r="N38" i="25"/>
  <c r="O38" i="25"/>
  <c r="P38" i="25"/>
  <c r="Q38" i="25"/>
  <c r="L39" i="25"/>
  <c r="M39" i="25"/>
  <c r="N39" i="25"/>
  <c r="O39" i="25"/>
  <c r="P39" i="25"/>
  <c r="Q39" i="25"/>
  <c r="L40" i="25"/>
  <c r="M40" i="25"/>
  <c r="N40" i="25"/>
  <c r="O40" i="25"/>
  <c r="P40" i="25"/>
  <c r="Q40" i="25"/>
  <c r="L41" i="25"/>
  <c r="M41" i="25"/>
  <c r="N41" i="25"/>
  <c r="O41" i="25"/>
  <c r="P41" i="25"/>
  <c r="Q41" i="25"/>
  <c r="L42" i="25"/>
  <c r="M42" i="25"/>
  <c r="N42" i="25"/>
  <c r="O42" i="25"/>
  <c r="P42" i="25"/>
  <c r="Q42" i="25"/>
  <c r="L43" i="25"/>
  <c r="M43" i="25"/>
  <c r="N43" i="25"/>
  <c r="O43" i="25"/>
  <c r="P43" i="25"/>
  <c r="Q43" i="25"/>
  <c r="L44" i="25"/>
  <c r="M44" i="25"/>
  <c r="N44" i="25"/>
  <c r="O44" i="25"/>
  <c r="P44" i="25"/>
  <c r="Q44" i="25"/>
  <c r="L45" i="25"/>
  <c r="M45" i="25"/>
  <c r="N45" i="25"/>
  <c r="O45" i="25"/>
  <c r="P45" i="25"/>
  <c r="Q45" i="25"/>
  <c r="L46" i="25"/>
  <c r="M46" i="25"/>
  <c r="N46" i="25"/>
  <c r="O46" i="25"/>
  <c r="P46" i="25"/>
  <c r="Q46" i="25"/>
  <c r="L47" i="25"/>
  <c r="M47" i="25"/>
  <c r="N47" i="25"/>
  <c r="O47" i="25"/>
  <c r="P47" i="25"/>
  <c r="Q47" i="25"/>
  <c r="L48" i="25"/>
  <c r="M48" i="25"/>
  <c r="N48" i="25"/>
  <c r="O48" i="25"/>
  <c r="P48" i="25"/>
  <c r="Q48" i="25"/>
  <c r="L49" i="25"/>
  <c r="M49" i="25"/>
  <c r="N49" i="25"/>
  <c r="O49" i="25"/>
  <c r="P49" i="25"/>
  <c r="Q49" i="25"/>
  <c r="L50" i="25"/>
  <c r="M50" i="25"/>
  <c r="N50" i="25"/>
  <c r="O50" i="25"/>
  <c r="P50" i="25"/>
  <c r="Q50" i="25"/>
  <c r="M3" i="25"/>
  <c r="N3" i="25"/>
  <c r="O3" i="25"/>
  <c r="P3" i="25"/>
  <c r="Q3" i="25"/>
  <c r="L3" i="25"/>
  <c r="L4" i="20"/>
  <c r="M4" i="20"/>
  <c r="N4" i="20"/>
  <c r="O4" i="20"/>
  <c r="P4" i="20"/>
  <c r="Q4" i="20"/>
  <c r="L5" i="20"/>
  <c r="M5" i="20"/>
  <c r="N5" i="20"/>
  <c r="O5" i="20"/>
  <c r="P5" i="20"/>
  <c r="Q5" i="20"/>
  <c r="L6" i="20"/>
  <c r="M6" i="20"/>
  <c r="N6" i="20"/>
  <c r="O6" i="20"/>
  <c r="P6" i="20"/>
  <c r="Q6" i="20"/>
  <c r="L7" i="20"/>
  <c r="M7" i="20"/>
  <c r="N7" i="20"/>
  <c r="O7" i="20"/>
  <c r="P7" i="20"/>
  <c r="Q7" i="20"/>
  <c r="L8" i="20"/>
  <c r="M8" i="20"/>
  <c r="N8" i="20"/>
  <c r="O8" i="20"/>
  <c r="P8" i="20"/>
  <c r="Q8" i="20"/>
  <c r="L9" i="20"/>
  <c r="M9" i="20"/>
  <c r="N9" i="20"/>
  <c r="O9" i="20"/>
  <c r="P9" i="20"/>
  <c r="Q9" i="20"/>
  <c r="L10" i="20"/>
  <c r="M10" i="20"/>
  <c r="N10" i="20"/>
  <c r="O10" i="20"/>
  <c r="P10" i="20"/>
  <c r="Q10" i="20"/>
  <c r="L11" i="20"/>
  <c r="M11" i="20"/>
  <c r="N11" i="20"/>
  <c r="O11" i="20"/>
  <c r="P11" i="20"/>
  <c r="Q11" i="20"/>
  <c r="L12" i="20"/>
  <c r="M12" i="20"/>
  <c r="N12" i="20"/>
  <c r="O12" i="20"/>
  <c r="P12" i="20"/>
  <c r="Q12" i="20"/>
  <c r="L13" i="20"/>
  <c r="M13" i="20"/>
  <c r="N13" i="20"/>
  <c r="O13" i="20"/>
  <c r="P13" i="20"/>
  <c r="Q13" i="20"/>
  <c r="L14" i="20"/>
  <c r="M14" i="20"/>
  <c r="N14" i="20"/>
  <c r="O14" i="20"/>
  <c r="P14" i="20"/>
  <c r="Q14" i="20"/>
  <c r="L15" i="20"/>
  <c r="M15" i="20"/>
  <c r="N15" i="20"/>
  <c r="O15" i="20"/>
  <c r="P15" i="20"/>
  <c r="Q15" i="20"/>
  <c r="L16" i="20"/>
  <c r="M16" i="20"/>
  <c r="N16" i="20"/>
  <c r="O16" i="20"/>
  <c r="P16" i="20"/>
  <c r="Q16" i="20"/>
  <c r="L17" i="20"/>
  <c r="M17" i="20"/>
  <c r="N17" i="20"/>
  <c r="O17" i="20"/>
  <c r="P17" i="20"/>
  <c r="Q17" i="20"/>
  <c r="L18" i="20"/>
  <c r="M18" i="20"/>
  <c r="N18" i="20"/>
  <c r="O18" i="20"/>
  <c r="P18" i="20"/>
  <c r="Q18" i="20"/>
  <c r="L19" i="20"/>
  <c r="M19" i="20"/>
  <c r="N19" i="20"/>
  <c r="O19" i="20"/>
  <c r="P19" i="20"/>
  <c r="Q19" i="20"/>
  <c r="L20" i="20"/>
  <c r="M20" i="20"/>
  <c r="N20" i="20"/>
  <c r="O20" i="20"/>
  <c r="P20" i="20"/>
  <c r="Q20" i="20"/>
  <c r="L21" i="20"/>
  <c r="M21" i="20"/>
  <c r="N21" i="20"/>
  <c r="O21" i="20"/>
  <c r="P21" i="20"/>
  <c r="Q21" i="20"/>
  <c r="L22" i="20"/>
  <c r="M22" i="20"/>
  <c r="N22" i="20"/>
  <c r="O22" i="20"/>
  <c r="P22" i="20"/>
  <c r="Q22" i="20"/>
  <c r="L23" i="20"/>
  <c r="M23" i="20"/>
  <c r="N23" i="20"/>
  <c r="O23" i="20"/>
  <c r="P23" i="20"/>
  <c r="Q23" i="20"/>
  <c r="L24" i="20"/>
  <c r="M24" i="20"/>
  <c r="N24" i="20"/>
  <c r="O24" i="20"/>
  <c r="P24" i="20"/>
  <c r="Q24" i="20"/>
  <c r="L25" i="20"/>
  <c r="M25" i="20"/>
  <c r="N25" i="20"/>
  <c r="O25" i="20"/>
  <c r="P25" i="20"/>
  <c r="Q25" i="20"/>
  <c r="L26" i="20"/>
  <c r="M26" i="20"/>
  <c r="N26" i="20"/>
  <c r="O26" i="20"/>
  <c r="P26" i="20"/>
  <c r="Q26" i="20"/>
  <c r="L27" i="20"/>
  <c r="M27" i="20"/>
  <c r="N27" i="20"/>
  <c r="O27" i="20"/>
  <c r="P27" i="20"/>
  <c r="Q27" i="20"/>
  <c r="L28" i="20"/>
  <c r="M28" i="20"/>
  <c r="N28" i="20"/>
  <c r="O28" i="20"/>
  <c r="P28" i="20"/>
  <c r="Q28" i="20"/>
  <c r="L29" i="20"/>
  <c r="M29" i="20"/>
  <c r="N29" i="20"/>
  <c r="O29" i="20"/>
  <c r="P29" i="20"/>
  <c r="Q29" i="20"/>
  <c r="L30" i="20"/>
  <c r="M30" i="20"/>
  <c r="N30" i="20"/>
  <c r="O30" i="20"/>
  <c r="P30" i="20"/>
  <c r="Q30" i="20"/>
  <c r="L31" i="20"/>
  <c r="M31" i="20"/>
  <c r="N31" i="20"/>
  <c r="O31" i="20"/>
  <c r="P31" i="20"/>
  <c r="Q31" i="20"/>
  <c r="L32" i="20"/>
  <c r="M32" i="20"/>
  <c r="N32" i="20"/>
  <c r="O32" i="20"/>
  <c r="P32" i="20"/>
  <c r="Q32" i="20"/>
  <c r="L33" i="20"/>
  <c r="M33" i="20"/>
  <c r="N33" i="20"/>
  <c r="O33" i="20"/>
  <c r="P33" i="20"/>
  <c r="Q33" i="20"/>
  <c r="L34" i="20"/>
  <c r="M34" i="20"/>
  <c r="N34" i="20"/>
  <c r="O34" i="20"/>
  <c r="P34" i="20"/>
  <c r="Q34" i="20"/>
  <c r="L35" i="20"/>
  <c r="M35" i="20"/>
  <c r="N35" i="20"/>
  <c r="O35" i="20"/>
  <c r="P35" i="20"/>
  <c r="Q35" i="20"/>
  <c r="L36" i="20"/>
  <c r="M36" i="20"/>
  <c r="N36" i="20"/>
  <c r="O36" i="20"/>
  <c r="P36" i="20"/>
  <c r="Q36" i="20"/>
  <c r="L37" i="20"/>
  <c r="M37" i="20"/>
  <c r="N37" i="20"/>
  <c r="O37" i="20"/>
  <c r="P37" i="20"/>
  <c r="Q37" i="20"/>
  <c r="L38" i="20"/>
  <c r="M38" i="20"/>
  <c r="N38" i="20"/>
  <c r="O38" i="20"/>
  <c r="P38" i="20"/>
  <c r="Q38" i="20"/>
  <c r="L39" i="20"/>
  <c r="M39" i="20"/>
  <c r="N39" i="20"/>
  <c r="O39" i="20"/>
  <c r="P39" i="20"/>
  <c r="Q39" i="20"/>
  <c r="L40" i="20"/>
  <c r="M40" i="20"/>
  <c r="N40" i="20"/>
  <c r="O40" i="20"/>
  <c r="P40" i="20"/>
  <c r="Q40" i="20"/>
  <c r="L41" i="20"/>
  <c r="M41" i="20"/>
  <c r="N41" i="20"/>
  <c r="O41" i="20"/>
  <c r="P41" i="20"/>
  <c r="Q41" i="20"/>
  <c r="L42" i="20"/>
  <c r="M42" i="20"/>
  <c r="N42" i="20"/>
  <c r="O42" i="20"/>
  <c r="P42" i="20"/>
  <c r="Q42" i="20"/>
  <c r="L43" i="20"/>
  <c r="M43" i="20"/>
  <c r="N43" i="20"/>
  <c r="O43" i="20"/>
  <c r="P43" i="20"/>
  <c r="Q43" i="20"/>
  <c r="L44" i="20"/>
  <c r="M44" i="20"/>
  <c r="N44" i="20"/>
  <c r="O44" i="20"/>
  <c r="P44" i="20"/>
  <c r="Q44" i="20"/>
  <c r="L45" i="20"/>
  <c r="M45" i="20"/>
  <c r="N45" i="20"/>
  <c r="O45" i="20"/>
  <c r="P45" i="20"/>
  <c r="Q45" i="20"/>
  <c r="L46" i="20"/>
  <c r="M46" i="20"/>
  <c r="N46" i="20"/>
  <c r="O46" i="20"/>
  <c r="P46" i="20"/>
  <c r="Q46" i="20"/>
  <c r="L47" i="20"/>
  <c r="M47" i="20"/>
  <c r="N47" i="20"/>
  <c r="O47" i="20"/>
  <c r="P47" i="20"/>
  <c r="Q47" i="20"/>
  <c r="L48" i="20"/>
  <c r="M48" i="20"/>
  <c r="N48" i="20"/>
  <c r="O48" i="20"/>
  <c r="P48" i="20"/>
  <c r="Q48" i="20"/>
  <c r="L49" i="20"/>
  <c r="M49" i="20"/>
  <c r="N49" i="20"/>
  <c r="O49" i="20"/>
  <c r="P49" i="20"/>
  <c r="Q49" i="20"/>
  <c r="L50" i="20"/>
  <c r="M50" i="20"/>
  <c r="N50" i="20"/>
  <c r="O50" i="20"/>
  <c r="P50" i="20"/>
  <c r="Q50" i="20"/>
  <c r="M3" i="20"/>
  <c r="N3" i="20"/>
  <c r="O3" i="20"/>
  <c r="P3" i="20"/>
  <c r="Q3" i="20"/>
  <c r="L3" i="20"/>
  <c r="L4" i="27"/>
  <c r="M4" i="27"/>
  <c r="N4" i="27"/>
  <c r="O4" i="27"/>
  <c r="P4" i="27"/>
  <c r="Q4" i="27"/>
  <c r="L5" i="27"/>
  <c r="M5" i="27"/>
  <c r="N5" i="27"/>
  <c r="O5" i="27"/>
  <c r="P5" i="27"/>
  <c r="Q5" i="27"/>
  <c r="L6" i="27"/>
  <c r="M6" i="27"/>
  <c r="N6" i="27"/>
  <c r="O6" i="27"/>
  <c r="P6" i="27"/>
  <c r="Q6" i="27"/>
  <c r="L7" i="27"/>
  <c r="M7" i="27"/>
  <c r="N7" i="27"/>
  <c r="O7" i="27"/>
  <c r="P7" i="27"/>
  <c r="Q7" i="27"/>
  <c r="L8" i="27"/>
  <c r="M8" i="27"/>
  <c r="N8" i="27"/>
  <c r="O8" i="27"/>
  <c r="P8" i="27"/>
  <c r="Q8" i="27"/>
  <c r="L9" i="27"/>
  <c r="M9" i="27"/>
  <c r="N9" i="27"/>
  <c r="O9" i="27"/>
  <c r="P9" i="27"/>
  <c r="Q9" i="27"/>
  <c r="L10" i="27"/>
  <c r="M10" i="27"/>
  <c r="N10" i="27"/>
  <c r="O10" i="27"/>
  <c r="P10" i="27"/>
  <c r="Q10" i="27"/>
  <c r="L11" i="27"/>
  <c r="M11" i="27"/>
  <c r="N11" i="27"/>
  <c r="O11" i="27"/>
  <c r="P11" i="27"/>
  <c r="Q11" i="27"/>
  <c r="L12" i="27"/>
  <c r="M12" i="27"/>
  <c r="N12" i="27"/>
  <c r="O12" i="27"/>
  <c r="P12" i="27"/>
  <c r="Q12" i="27"/>
  <c r="L13" i="27"/>
  <c r="M13" i="27"/>
  <c r="N13" i="27"/>
  <c r="O13" i="27"/>
  <c r="P13" i="27"/>
  <c r="Q13" i="27"/>
  <c r="L14" i="27"/>
  <c r="M14" i="27"/>
  <c r="N14" i="27"/>
  <c r="O14" i="27"/>
  <c r="P14" i="27"/>
  <c r="Q14" i="27"/>
  <c r="L15" i="27"/>
  <c r="M15" i="27"/>
  <c r="N15" i="27"/>
  <c r="O15" i="27"/>
  <c r="P15" i="27"/>
  <c r="Q15" i="27"/>
  <c r="L16" i="27"/>
  <c r="M16" i="27"/>
  <c r="N16" i="27"/>
  <c r="O16" i="27"/>
  <c r="P16" i="27"/>
  <c r="Q16" i="27"/>
  <c r="L17" i="27"/>
  <c r="M17" i="27"/>
  <c r="N17" i="27"/>
  <c r="O17" i="27"/>
  <c r="P17" i="27"/>
  <c r="Q17" i="27"/>
  <c r="L18" i="27"/>
  <c r="M18" i="27"/>
  <c r="N18" i="27"/>
  <c r="O18" i="27"/>
  <c r="P18" i="27"/>
  <c r="Q18" i="27"/>
  <c r="L19" i="27"/>
  <c r="M19" i="27"/>
  <c r="N19" i="27"/>
  <c r="O19" i="27"/>
  <c r="P19" i="27"/>
  <c r="Q19" i="27"/>
  <c r="L20" i="27"/>
  <c r="M20" i="27"/>
  <c r="N20" i="27"/>
  <c r="O20" i="27"/>
  <c r="P20" i="27"/>
  <c r="Q20" i="27"/>
  <c r="L21" i="27"/>
  <c r="M21" i="27"/>
  <c r="N21" i="27"/>
  <c r="O21" i="27"/>
  <c r="P21" i="27"/>
  <c r="Q21" i="27"/>
  <c r="L22" i="27"/>
  <c r="M22" i="27"/>
  <c r="N22" i="27"/>
  <c r="O22" i="27"/>
  <c r="P22" i="27"/>
  <c r="Q22" i="27"/>
  <c r="L23" i="27"/>
  <c r="M23" i="27"/>
  <c r="N23" i="27"/>
  <c r="O23" i="27"/>
  <c r="P23" i="27"/>
  <c r="Q23" i="27"/>
  <c r="L24" i="27"/>
  <c r="M24" i="27"/>
  <c r="N24" i="27"/>
  <c r="O24" i="27"/>
  <c r="P24" i="27"/>
  <c r="Q24" i="27"/>
  <c r="L25" i="27"/>
  <c r="M25" i="27"/>
  <c r="N25" i="27"/>
  <c r="O25" i="27"/>
  <c r="P25" i="27"/>
  <c r="Q25" i="27"/>
  <c r="L26" i="27"/>
  <c r="M26" i="27"/>
  <c r="N26" i="27"/>
  <c r="O26" i="27"/>
  <c r="P26" i="27"/>
  <c r="Q26" i="27"/>
  <c r="L27" i="27"/>
  <c r="M27" i="27"/>
  <c r="N27" i="27"/>
  <c r="O27" i="27"/>
  <c r="P27" i="27"/>
  <c r="Q27" i="27"/>
  <c r="L28" i="27"/>
  <c r="M28" i="27"/>
  <c r="N28" i="27"/>
  <c r="O28" i="27"/>
  <c r="P28" i="27"/>
  <c r="Q28" i="27"/>
  <c r="L29" i="27"/>
  <c r="M29" i="27"/>
  <c r="N29" i="27"/>
  <c r="O29" i="27"/>
  <c r="P29" i="27"/>
  <c r="Q29" i="27"/>
  <c r="L30" i="27"/>
  <c r="M30" i="27"/>
  <c r="N30" i="27"/>
  <c r="O30" i="27"/>
  <c r="P30" i="27"/>
  <c r="Q30" i="27"/>
  <c r="L31" i="27"/>
  <c r="M31" i="27"/>
  <c r="N31" i="27"/>
  <c r="O31" i="27"/>
  <c r="P31" i="27"/>
  <c r="Q31" i="27"/>
  <c r="L32" i="27"/>
  <c r="M32" i="27"/>
  <c r="N32" i="27"/>
  <c r="O32" i="27"/>
  <c r="P32" i="27"/>
  <c r="Q32" i="27"/>
  <c r="L33" i="27"/>
  <c r="M33" i="27"/>
  <c r="N33" i="27"/>
  <c r="O33" i="27"/>
  <c r="P33" i="27"/>
  <c r="Q33" i="27"/>
  <c r="L34" i="27"/>
  <c r="M34" i="27"/>
  <c r="N34" i="27"/>
  <c r="O34" i="27"/>
  <c r="P34" i="27"/>
  <c r="Q34" i="27"/>
  <c r="L35" i="27"/>
  <c r="M35" i="27"/>
  <c r="N35" i="27"/>
  <c r="O35" i="27"/>
  <c r="P35" i="27"/>
  <c r="Q35" i="27"/>
  <c r="L36" i="27"/>
  <c r="M36" i="27"/>
  <c r="N36" i="27"/>
  <c r="O36" i="27"/>
  <c r="P36" i="27"/>
  <c r="Q36" i="27"/>
  <c r="L37" i="27"/>
  <c r="M37" i="27"/>
  <c r="N37" i="27"/>
  <c r="O37" i="27"/>
  <c r="P37" i="27"/>
  <c r="Q37" i="27"/>
  <c r="L38" i="27"/>
  <c r="M38" i="27"/>
  <c r="N38" i="27"/>
  <c r="O38" i="27"/>
  <c r="P38" i="27"/>
  <c r="Q38" i="27"/>
  <c r="L39" i="27"/>
  <c r="M39" i="27"/>
  <c r="N39" i="27"/>
  <c r="O39" i="27"/>
  <c r="P39" i="27"/>
  <c r="Q39" i="27"/>
  <c r="L40" i="27"/>
  <c r="M40" i="27"/>
  <c r="N40" i="27"/>
  <c r="O40" i="27"/>
  <c r="P40" i="27"/>
  <c r="Q40" i="27"/>
  <c r="L41" i="27"/>
  <c r="M41" i="27"/>
  <c r="N41" i="27"/>
  <c r="O41" i="27"/>
  <c r="P41" i="27"/>
  <c r="Q41" i="27"/>
  <c r="L42" i="27"/>
  <c r="M42" i="27"/>
  <c r="N42" i="27"/>
  <c r="O42" i="27"/>
  <c r="P42" i="27"/>
  <c r="Q42" i="27"/>
  <c r="L43" i="27"/>
  <c r="M43" i="27"/>
  <c r="N43" i="27"/>
  <c r="O43" i="27"/>
  <c r="P43" i="27"/>
  <c r="Q43" i="27"/>
  <c r="L44" i="27"/>
  <c r="M44" i="27"/>
  <c r="N44" i="27"/>
  <c r="O44" i="27"/>
  <c r="P44" i="27"/>
  <c r="Q44" i="27"/>
  <c r="L45" i="27"/>
  <c r="M45" i="27"/>
  <c r="N45" i="27"/>
  <c r="O45" i="27"/>
  <c r="P45" i="27"/>
  <c r="Q45" i="27"/>
  <c r="L46" i="27"/>
  <c r="M46" i="27"/>
  <c r="N46" i="27"/>
  <c r="O46" i="27"/>
  <c r="P46" i="27"/>
  <c r="Q46" i="27"/>
  <c r="L47" i="27"/>
  <c r="M47" i="27"/>
  <c r="N47" i="27"/>
  <c r="O47" i="27"/>
  <c r="P47" i="27"/>
  <c r="Q47" i="27"/>
  <c r="L48" i="27"/>
  <c r="M48" i="27"/>
  <c r="N48" i="27"/>
  <c r="O48" i="27"/>
  <c r="P48" i="27"/>
  <c r="Q48" i="27"/>
  <c r="L49" i="27"/>
  <c r="M49" i="27"/>
  <c r="N49" i="27"/>
  <c r="O49" i="27"/>
  <c r="P49" i="27"/>
  <c r="Q49" i="27"/>
  <c r="L50" i="27"/>
  <c r="M50" i="27"/>
  <c r="N50" i="27"/>
  <c r="O50" i="27"/>
  <c r="P50" i="27"/>
  <c r="Q50" i="27"/>
  <c r="M3" i="27"/>
  <c r="N3" i="27"/>
  <c r="O3" i="27"/>
  <c r="P3" i="27"/>
  <c r="Q3" i="27"/>
  <c r="L3" i="27"/>
  <c r="L51" i="25" l="1"/>
  <c r="L51" i="20"/>
  <c r="L51" i="27"/>
  <c r="C3" i="9" l="1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J74" i="29" s="1"/>
  <c r="G74" i="29"/>
  <c r="F74" i="29"/>
  <c r="E74" i="29"/>
  <c r="D74" i="29"/>
  <c r="Q73" i="29"/>
  <c r="P73" i="29"/>
  <c r="R73" i="29" s="1"/>
  <c r="O73" i="29"/>
  <c r="N73" i="29"/>
  <c r="M73" i="29"/>
  <c r="L73" i="29"/>
  <c r="I73" i="29"/>
  <c r="H73" i="29"/>
  <c r="J73" i="29" s="1"/>
  <c r="G73" i="29"/>
  <c r="F73" i="29"/>
  <c r="E73" i="29"/>
  <c r="D73" i="29"/>
  <c r="Q72" i="29"/>
  <c r="I72" i="29"/>
  <c r="P72" i="29"/>
  <c r="R72" i="29" s="1"/>
  <c r="H72" i="29"/>
  <c r="J72" i="29" s="1"/>
  <c r="O72" i="29"/>
  <c r="N72" i="29"/>
  <c r="M72" i="29"/>
  <c r="L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 s="1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I67" i="29"/>
  <c r="P67" i="29"/>
  <c r="R67" i="29" s="1"/>
  <c r="O67" i="29"/>
  <c r="N67" i="29"/>
  <c r="M67" i="29"/>
  <c r="L67" i="29"/>
  <c r="H67" i="29"/>
  <c r="J67" i="29" s="1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P65" i="29"/>
  <c r="R65" i="29" s="1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 s="1"/>
  <c r="G64" i="29"/>
  <c r="F64" i="29"/>
  <c r="E64" i="29"/>
  <c r="D64" i="29"/>
  <c r="Q63" i="29"/>
  <c r="I63" i="29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 s="1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J61" i="29" s="1"/>
  <c r="G61" i="29"/>
  <c r="F61" i="29"/>
  <c r="E61" i="29"/>
  <c r="D61" i="29"/>
  <c r="Q60" i="29"/>
  <c r="I60" i="29"/>
  <c r="P60" i="29"/>
  <c r="O60" i="29"/>
  <c r="N60" i="29"/>
  <c r="M60" i="29"/>
  <c r="L60" i="29"/>
  <c r="H60" i="29"/>
  <c r="J60" i="29" s="1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D5" i="29"/>
  <c r="E5" i="29"/>
  <c r="F5" i="29"/>
  <c r="G5" i="29"/>
  <c r="H5" i="29"/>
  <c r="J5" i="29" s="1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 s="1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 s="1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D17" i="29"/>
  <c r="E17" i="29"/>
  <c r="F17" i="29"/>
  <c r="G17" i="29"/>
  <c r="H17" i="29"/>
  <c r="J17" i="29" s="1"/>
  <c r="L17" i="29"/>
  <c r="M17" i="29"/>
  <c r="N17" i="29"/>
  <c r="O17" i="29"/>
  <c r="P17" i="29"/>
  <c r="R17" i="29" s="1"/>
  <c r="Q17" i="29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D32" i="29"/>
  <c r="E32" i="29"/>
  <c r="F32" i="29"/>
  <c r="G32" i="29"/>
  <c r="H32" i="29"/>
  <c r="J32" i="29" s="1"/>
  <c r="Q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 s="1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 s="1"/>
  <c r="Q38" i="29"/>
  <c r="D39" i="29"/>
  <c r="E39" i="29"/>
  <c r="F39" i="29"/>
  <c r="G39" i="29"/>
  <c r="H39" i="29"/>
  <c r="J39" i="29" s="1"/>
  <c r="L39" i="29"/>
  <c r="M39" i="29"/>
  <c r="N39" i="29"/>
  <c r="O39" i="29"/>
  <c r="P39" i="29"/>
  <c r="R39" i="29" s="1"/>
  <c r="Q39" i="29"/>
  <c r="D40" i="29"/>
  <c r="E40" i="29"/>
  <c r="F40" i="29"/>
  <c r="G40" i="29"/>
  <c r="H40" i="29"/>
  <c r="J40" i="29" s="1"/>
  <c r="L40" i="29"/>
  <c r="M40" i="29"/>
  <c r="N40" i="29"/>
  <c r="O40" i="29"/>
  <c r="P40" i="29"/>
  <c r="Q40" i="29"/>
  <c r="D41" i="29"/>
  <c r="E41" i="29"/>
  <c r="F41" i="29"/>
  <c r="G41" i="29"/>
  <c r="H41" i="29"/>
  <c r="J41" i="29" s="1"/>
  <c r="Q41" i="29"/>
  <c r="L41" i="29"/>
  <c r="M41" i="29"/>
  <c r="N41" i="29"/>
  <c r="O41" i="29"/>
  <c r="P41" i="29"/>
  <c r="D42" i="29"/>
  <c r="E42" i="29"/>
  <c r="F42" i="29"/>
  <c r="G42" i="29"/>
  <c r="H42" i="29"/>
  <c r="J42" i="29" s="1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P48" i="29"/>
  <c r="R48" i="29" s="1"/>
  <c r="L48" i="29"/>
  <c r="M48" i="29"/>
  <c r="N48" i="29"/>
  <c r="O48" i="29"/>
  <c r="Q48" i="29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L54" i="29"/>
  <c r="M54" i="29"/>
  <c r="N54" i="29"/>
  <c r="O54" i="29"/>
  <c r="P54" i="29"/>
  <c r="Q54" i="29"/>
  <c r="D55" i="29"/>
  <c r="E55" i="29"/>
  <c r="F55" i="29"/>
  <c r="G55" i="29"/>
  <c r="H55" i="29"/>
  <c r="J55" i="29" s="1"/>
  <c r="I55" i="29"/>
  <c r="L55" i="29"/>
  <c r="M55" i="29"/>
  <c r="N55" i="29"/>
  <c r="O55" i="29"/>
  <c r="P55" i="29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 s="1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P3" i="29"/>
  <c r="R3" i="29" s="1"/>
  <c r="O3" i="29"/>
  <c r="N3" i="29"/>
  <c r="M3" i="29"/>
  <c r="L3" i="29"/>
  <c r="H3" i="29"/>
  <c r="J3" i="29" s="1"/>
  <c r="G3" i="29"/>
  <c r="F3" i="29"/>
  <c r="E3" i="29"/>
  <c r="D3" i="29"/>
  <c r="Q74" i="25"/>
  <c r="I74" i="25"/>
  <c r="P74" i="25"/>
  <c r="R74" i="25" s="1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 s="1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 s="1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J59" i="25" s="1"/>
  <c r="G59" i="25"/>
  <c r="F59" i="25"/>
  <c r="E59" i="25"/>
  <c r="D59" i="25"/>
  <c r="I4" i="25"/>
  <c r="R6" i="25"/>
  <c r="H7" i="25"/>
  <c r="J7" i="25" s="1"/>
  <c r="H8" i="25"/>
  <c r="J8" i="25" s="1"/>
  <c r="R9" i="25"/>
  <c r="I9" i="25"/>
  <c r="T9" i="25" s="1"/>
  <c r="R10" i="25"/>
  <c r="I10" i="25"/>
  <c r="R11" i="25"/>
  <c r="I11" i="25"/>
  <c r="R12" i="25"/>
  <c r="R13" i="25"/>
  <c r="I13" i="25"/>
  <c r="R14" i="25"/>
  <c r="I14" i="25"/>
  <c r="I15" i="25"/>
  <c r="R16" i="25"/>
  <c r="I16" i="25"/>
  <c r="R17" i="25"/>
  <c r="I17" i="25"/>
  <c r="R19" i="25"/>
  <c r="H19" i="25"/>
  <c r="J19" i="25" s="1"/>
  <c r="R20" i="25"/>
  <c r="I20" i="25"/>
  <c r="H21" i="25"/>
  <c r="J21" i="25" s="1"/>
  <c r="I21" i="25"/>
  <c r="R22" i="25"/>
  <c r="I22" i="25"/>
  <c r="R23" i="25"/>
  <c r="H24" i="25"/>
  <c r="J24" i="25" s="1"/>
  <c r="I24" i="25"/>
  <c r="H25" i="25"/>
  <c r="J25" i="25" s="1"/>
  <c r="I25" i="25"/>
  <c r="R26" i="25"/>
  <c r="I26" i="25"/>
  <c r="R27" i="25"/>
  <c r="R28" i="25"/>
  <c r="I28" i="25"/>
  <c r="R29" i="25"/>
  <c r="I29" i="25"/>
  <c r="R30" i="25"/>
  <c r="I30" i="25"/>
  <c r="I31" i="25"/>
  <c r="R33" i="25"/>
  <c r="I33" i="25"/>
  <c r="R34" i="25"/>
  <c r="H34" i="25"/>
  <c r="J34" i="25" s="1"/>
  <c r="R35" i="25"/>
  <c r="R36" i="25"/>
  <c r="I36" i="25"/>
  <c r="R37" i="25"/>
  <c r="I37" i="25"/>
  <c r="R38" i="25"/>
  <c r="I38" i="25"/>
  <c r="I39" i="25"/>
  <c r="R40" i="25"/>
  <c r="R41" i="25"/>
  <c r="H42" i="25"/>
  <c r="J42" i="25" s="1"/>
  <c r="I42" i="25"/>
  <c r="R43" i="25"/>
  <c r="H43" i="25"/>
  <c r="J43" i="25" s="1"/>
  <c r="I43" i="25"/>
  <c r="R44" i="25"/>
  <c r="I44" i="25"/>
  <c r="I45" i="25"/>
  <c r="R46" i="25"/>
  <c r="R47" i="25"/>
  <c r="I47" i="25"/>
  <c r="R48" i="25"/>
  <c r="H48" i="25"/>
  <c r="J48" i="25" s="1"/>
  <c r="I48" i="25"/>
  <c r="R49" i="25"/>
  <c r="I49" i="25"/>
  <c r="R50" i="25"/>
  <c r="I50" i="25"/>
  <c r="M51" i="25"/>
  <c r="N51" i="25"/>
  <c r="O51" i="25"/>
  <c r="P51" i="25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R56" i="25" s="1"/>
  <c r="Q56" i="25"/>
  <c r="L57" i="25"/>
  <c r="M57" i="25"/>
  <c r="N57" i="25"/>
  <c r="O57" i="25"/>
  <c r="P57" i="25"/>
  <c r="R57" i="25" s="1"/>
  <c r="H57" i="25"/>
  <c r="J57" i="25" s="1"/>
  <c r="Q57" i="25"/>
  <c r="L58" i="25"/>
  <c r="M58" i="25"/>
  <c r="N58" i="25"/>
  <c r="O58" i="25"/>
  <c r="P58" i="25"/>
  <c r="Q58" i="25"/>
  <c r="I58" i="25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T34" i="25" s="1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J12" i="25" s="1"/>
  <c r="D13" i="25"/>
  <c r="E13" i="25"/>
  <c r="F13" i="25"/>
  <c r="G13" i="25"/>
  <c r="H13" i="25"/>
  <c r="J13" i="25" s="1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 s="1"/>
  <c r="D19" i="25"/>
  <c r="E19" i="25"/>
  <c r="F19" i="25"/>
  <c r="G19" i="25"/>
  <c r="D20" i="25"/>
  <c r="E20" i="25"/>
  <c r="F20" i="25"/>
  <c r="G20" i="25"/>
  <c r="H20" i="25"/>
  <c r="J20" i="25" s="1"/>
  <c r="D21" i="25"/>
  <c r="E21" i="25"/>
  <c r="F21" i="25"/>
  <c r="G21" i="25"/>
  <c r="D22" i="25"/>
  <c r="E22" i="25"/>
  <c r="F22" i="25"/>
  <c r="G22" i="25"/>
  <c r="H22" i="25"/>
  <c r="J22" i="25" s="1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J30" i="25" s="1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J33" i="25" s="1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J36" i="25" s="1"/>
  <c r="D37" i="25"/>
  <c r="E37" i="25"/>
  <c r="F37" i="25"/>
  <c r="G37" i="25"/>
  <c r="H37" i="25"/>
  <c r="J37" i="25" s="1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J44" i="25" s="1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J47" i="25" s="1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J52" i="25" s="1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D58" i="25"/>
  <c r="E58" i="25"/>
  <c r="F58" i="25"/>
  <c r="G58" i="25"/>
  <c r="H58" i="25"/>
  <c r="J58" i="25" s="1"/>
  <c r="R3" i="25"/>
  <c r="H3" i="25"/>
  <c r="J3" i="25" s="1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 s="1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J63" i="20" s="1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 s="1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 s="1"/>
  <c r="G59" i="20"/>
  <c r="F59" i="20"/>
  <c r="E59" i="20"/>
  <c r="D59" i="20"/>
  <c r="H3" i="20"/>
  <c r="J3" i="20" s="1"/>
  <c r="I5" i="20"/>
  <c r="R6" i="20"/>
  <c r="R7" i="20"/>
  <c r="I8" i="20"/>
  <c r="R9" i="20"/>
  <c r="R10" i="20"/>
  <c r="I11" i="20"/>
  <c r="R13" i="20"/>
  <c r="H13" i="20"/>
  <c r="J13" i="20" s="1"/>
  <c r="I13" i="20"/>
  <c r="R15" i="20"/>
  <c r="R16" i="20"/>
  <c r="H16" i="20"/>
  <c r="J16" i="20" s="1"/>
  <c r="R17" i="20"/>
  <c r="R18" i="20"/>
  <c r="R19" i="20"/>
  <c r="H19" i="20"/>
  <c r="J19" i="20" s="1"/>
  <c r="I19" i="20"/>
  <c r="R22" i="20"/>
  <c r="I22" i="20"/>
  <c r="R23" i="20"/>
  <c r="R24" i="20"/>
  <c r="I25" i="20"/>
  <c r="R27" i="20"/>
  <c r="H27" i="20"/>
  <c r="J27" i="20" s="1"/>
  <c r="R28" i="20"/>
  <c r="I28" i="20"/>
  <c r="R29" i="20"/>
  <c r="I30" i="20"/>
  <c r="I31" i="20"/>
  <c r="R32" i="20"/>
  <c r="I33" i="20"/>
  <c r="R34" i="20"/>
  <c r="R35" i="20"/>
  <c r="R37" i="20"/>
  <c r="R38" i="20"/>
  <c r="I38" i="20"/>
  <c r="R39" i="20"/>
  <c r="I41" i="20"/>
  <c r="R42" i="20"/>
  <c r="I44" i="20"/>
  <c r="R45" i="20"/>
  <c r="I45" i="20"/>
  <c r="R46" i="20"/>
  <c r="H46" i="20"/>
  <c r="J46" i="20" s="1"/>
  <c r="R47" i="20"/>
  <c r="I47" i="20"/>
  <c r="H48" i="20"/>
  <c r="J48" i="20" s="1"/>
  <c r="R49" i="20"/>
  <c r="I49" i="20"/>
  <c r="I50" i="20"/>
  <c r="M51" i="20"/>
  <c r="N51" i="20"/>
  <c r="O51" i="20"/>
  <c r="P51" i="20"/>
  <c r="R51" i="20" s="1"/>
  <c r="Q51" i="20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52" i="20"/>
  <c r="L53" i="20"/>
  <c r="L54" i="20"/>
  <c r="L55" i="20"/>
  <c r="L56" i="20"/>
  <c r="L57" i="20"/>
  <c r="L58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S7" i="20" s="1"/>
  <c r="E8" i="20"/>
  <c r="F8" i="20"/>
  <c r="G8" i="20"/>
  <c r="H8" i="20"/>
  <c r="J8" i="20" s="1"/>
  <c r="E9" i="20"/>
  <c r="F9" i="20"/>
  <c r="G9" i="20"/>
  <c r="H9" i="20"/>
  <c r="J9" i="20" s="1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 s="1"/>
  <c r="H23" i="20"/>
  <c r="J23" i="20" s="1"/>
  <c r="H24" i="20"/>
  <c r="J24" i="20" s="1"/>
  <c r="H25" i="20"/>
  <c r="J25" i="20" s="1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J42" i="20" s="1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J45" i="20" s="1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 s="1"/>
  <c r="E50" i="20"/>
  <c r="F50" i="20"/>
  <c r="G50" i="20"/>
  <c r="H50" i="20"/>
  <c r="J50" i="20" s="1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J55" i="20" s="1"/>
  <c r="E56" i="20"/>
  <c r="F56" i="20"/>
  <c r="G56" i="20"/>
  <c r="H56" i="20"/>
  <c r="J56" i="20" s="1"/>
  <c r="E57" i="20"/>
  <c r="F57" i="20"/>
  <c r="G57" i="20"/>
  <c r="H57" i="20"/>
  <c r="J57" i="20" s="1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 s="1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I3" i="27"/>
  <c r="H3" i="27"/>
  <c r="J3" i="27" s="1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I47" i="27"/>
  <c r="R47" i="27"/>
  <c r="I43" i="27"/>
  <c r="I39" i="27"/>
  <c r="I35" i="27"/>
  <c r="R35" i="27"/>
  <c r="I27" i="27"/>
  <c r="R27" i="27"/>
  <c r="I23" i="27"/>
  <c r="H19" i="27"/>
  <c r="J19" i="27" s="1"/>
  <c r="R15" i="27"/>
  <c r="H11" i="27"/>
  <c r="J11" i="27" s="1"/>
  <c r="I7" i="27"/>
  <c r="R7" i="27"/>
  <c r="C3" i="30"/>
  <c r="J3" i="30"/>
  <c r="J31" i="30"/>
  <c r="C31" i="30"/>
  <c r="AB4" i="10"/>
  <c r="AB5" i="10" s="1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 s="1"/>
  <c r="H51" i="27"/>
  <c r="J51" i="27" s="1"/>
  <c r="L52" i="27"/>
  <c r="G52" i="27"/>
  <c r="F52" i="27"/>
  <c r="E52" i="27"/>
  <c r="D52" i="27"/>
  <c r="D51" i="27"/>
  <c r="G51" i="27"/>
  <c r="F51" i="27"/>
  <c r="E51" i="27"/>
  <c r="I51" i="27"/>
  <c r="I50" i="27"/>
  <c r="R50" i="27"/>
  <c r="H50" i="27"/>
  <c r="J50" i="27" s="1"/>
  <c r="G50" i="27"/>
  <c r="F50" i="27"/>
  <c r="E50" i="27"/>
  <c r="D50" i="27"/>
  <c r="I49" i="27"/>
  <c r="R49" i="27"/>
  <c r="H49" i="27"/>
  <c r="J49" i="27" s="1"/>
  <c r="G49" i="27"/>
  <c r="F49" i="27"/>
  <c r="E49" i="27"/>
  <c r="D49" i="27"/>
  <c r="I48" i="27"/>
  <c r="H48" i="27"/>
  <c r="J48" i="27" s="1"/>
  <c r="G48" i="27"/>
  <c r="F48" i="27"/>
  <c r="E48" i="27"/>
  <c r="D48" i="27"/>
  <c r="D47" i="27"/>
  <c r="G47" i="27"/>
  <c r="F47" i="27"/>
  <c r="E47" i="27"/>
  <c r="H47" i="27"/>
  <c r="J47" i="27" s="1"/>
  <c r="I46" i="27"/>
  <c r="H46" i="27"/>
  <c r="J46" i="27" s="1"/>
  <c r="G46" i="27"/>
  <c r="F46" i="27"/>
  <c r="E46" i="27"/>
  <c r="D46" i="27"/>
  <c r="I45" i="27"/>
  <c r="R45" i="27"/>
  <c r="H45" i="27"/>
  <c r="J45" i="27" s="1"/>
  <c r="G45" i="27"/>
  <c r="F45" i="27"/>
  <c r="E45" i="27"/>
  <c r="D45" i="27"/>
  <c r="I44" i="27"/>
  <c r="H44" i="27"/>
  <c r="J44" i="27" s="1"/>
  <c r="G44" i="27"/>
  <c r="F44" i="27"/>
  <c r="E44" i="27"/>
  <c r="D44" i="27"/>
  <c r="D43" i="27"/>
  <c r="G43" i="27"/>
  <c r="F43" i="27"/>
  <c r="E43" i="27"/>
  <c r="H43" i="27"/>
  <c r="J43" i="27" s="1"/>
  <c r="R42" i="27"/>
  <c r="I42" i="27"/>
  <c r="H42" i="27"/>
  <c r="J42" i="27" s="1"/>
  <c r="G42" i="27"/>
  <c r="F42" i="27"/>
  <c r="E42" i="27"/>
  <c r="D42" i="27"/>
  <c r="I41" i="27"/>
  <c r="H41" i="27"/>
  <c r="J41" i="27" s="1"/>
  <c r="G41" i="27"/>
  <c r="F41" i="27"/>
  <c r="E41" i="27"/>
  <c r="D41" i="27"/>
  <c r="I40" i="27"/>
  <c r="H40" i="27"/>
  <c r="J40" i="27" s="1"/>
  <c r="G40" i="27"/>
  <c r="F40" i="27"/>
  <c r="E40" i="27"/>
  <c r="D40" i="27"/>
  <c r="D39" i="27"/>
  <c r="G39" i="27"/>
  <c r="F39" i="27"/>
  <c r="E39" i="27"/>
  <c r="H39" i="27"/>
  <c r="J39" i="27" s="1"/>
  <c r="R38" i="27"/>
  <c r="I38" i="27"/>
  <c r="T38" i="27" s="1"/>
  <c r="H38" i="27"/>
  <c r="J38" i="27" s="1"/>
  <c r="G38" i="27"/>
  <c r="F38" i="27"/>
  <c r="E38" i="27"/>
  <c r="D38" i="27"/>
  <c r="I37" i="27"/>
  <c r="H37" i="27"/>
  <c r="J37" i="27" s="1"/>
  <c r="G37" i="27"/>
  <c r="F37" i="27"/>
  <c r="E37" i="27"/>
  <c r="D37" i="27"/>
  <c r="H36" i="27"/>
  <c r="J36" i="27" s="1"/>
  <c r="I36" i="27"/>
  <c r="G36" i="27"/>
  <c r="F36" i="27"/>
  <c r="E36" i="27"/>
  <c r="D36" i="27"/>
  <c r="D35" i="27"/>
  <c r="G35" i="27"/>
  <c r="F35" i="27"/>
  <c r="E35" i="27"/>
  <c r="H35" i="27"/>
  <c r="J35" i="27" s="1"/>
  <c r="I34" i="27"/>
  <c r="H34" i="27"/>
  <c r="J34" i="27" s="1"/>
  <c r="G34" i="27"/>
  <c r="F34" i="27"/>
  <c r="E34" i="27"/>
  <c r="D34" i="27"/>
  <c r="I33" i="27"/>
  <c r="H33" i="27"/>
  <c r="J33" i="27" s="1"/>
  <c r="G33" i="27"/>
  <c r="F33" i="27"/>
  <c r="E33" i="27"/>
  <c r="D33" i="27"/>
  <c r="I32" i="27"/>
  <c r="H32" i="27"/>
  <c r="J32" i="27" s="1"/>
  <c r="G32" i="27"/>
  <c r="F32" i="27"/>
  <c r="E32" i="27"/>
  <c r="D32" i="27"/>
  <c r="D31" i="27"/>
  <c r="G31" i="27"/>
  <c r="F31" i="27"/>
  <c r="E31" i="27"/>
  <c r="I31" i="27"/>
  <c r="H31" i="27"/>
  <c r="J31" i="27" s="1"/>
  <c r="I30" i="27"/>
  <c r="R30" i="27"/>
  <c r="H30" i="27"/>
  <c r="J30" i="27" s="1"/>
  <c r="G30" i="27"/>
  <c r="F30" i="27"/>
  <c r="E30" i="27"/>
  <c r="D30" i="27"/>
  <c r="I29" i="27"/>
  <c r="R29" i="27"/>
  <c r="H29" i="27"/>
  <c r="J29" i="27" s="1"/>
  <c r="G29" i="27"/>
  <c r="F29" i="27"/>
  <c r="E29" i="27"/>
  <c r="D29" i="27"/>
  <c r="I28" i="27"/>
  <c r="H28" i="27"/>
  <c r="J28" i="27" s="1"/>
  <c r="G28" i="27"/>
  <c r="F28" i="27"/>
  <c r="E28" i="27"/>
  <c r="D28" i="27"/>
  <c r="D27" i="27"/>
  <c r="G27" i="27"/>
  <c r="F27" i="27"/>
  <c r="E27" i="27"/>
  <c r="H27" i="27"/>
  <c r="J27" i="27" s="1"/>
  <c r="H26" i="27"/>
  <c r="J26" i="27" s="1"/>
  <c r="I26" i="27"/>
  <c r="G26" i="27"/>
  <c r="F26" i="27"/>
  <c r="E26" i="27"/>
  <c r="D26" i="27"/>
  <c r="I25" i="27"/>
  <c r="T25" i="27" s="1"/>
  <c r="R25" i="27"/>
  <c r="H25" i="27"/>
  <c r="J25" i="27" s="1"/>
  <c r="G25" i="27"/>
  <c r="F25" i="27"/>
  <c r="E25" i="27"/>
  <c r="D25" i="27"/>
  <c r="I24" i="27"/>
  <c r="H24" i="27"/>
  <c r="J24" i="27" s="1"/>
  <c r="G24" i="27"/>
  <c r="F24" i="27"/>
  <c r="E24" i="27"/>
  <c r="D24" i="27"/>
  <c r="D23" i="27"/>
  <c r="G23" i="27"/>
  <c r="F23" i="27"/>
  <c r="E23" i="27"/>
  <c r="H23" i="27"/>
  <c r="J23" i="27" s="1"/>
  <c r="R22" i="27"/>
  <c r="I22" i="27"/>
  <c r="I19" i="27"/>
  <c r="I20" i="27"/>
  <c r="I21" i="27"/>
  <c r="H22" i="27"/>
  <c r="J22" i="27" s="1"/>
  <c r="G22" i="27"/>
  <c r="F22" i="27"/>
  <c r="E22" i="27"/>
  <c r="D22" i="27"/>
  <c r="H21" i="27"/>
  <c r="J21" i="27" s="1"/>
  <c r="G21" i="27"/>
  <c r="F21" i="27"/>
  <c r="E21" i="27"/>
  <c r="D21" i="27"/>
  <c r="R20" i="27"/>
  <c r="H20" i="27"/>
  <c r="J20" i="27" s="1"/>
  <c r="G20" i="27"/>
  <c r="F20" i="27"/>
  <c r="E20" i="27"/>
  <c r="D20" i="27"/>
  <c r="D19" i="27"/>
  <c r="G19" i="27"/>
  <c r="F19" i="27"/>
  <c r="E19" i="27"/>
  <c r="I18" i="27"/>
  <c r="H18" i="27"/>
  <c r="J18" i="27" s="1"/>
  <c r="G18" i="27"/>
  <c r="F18" i="27"/>
  <c r="E18" i="27"/>
  <c r="D18" i="27"/>
  <c r="I17" i="27"/>
  <c r="H17" i="27"/>
  <c r="J17" i="27" s="1"/>
  <c r="G17" i="27"/>
  <c r="F17" i="27"/>
  <c r="E17" i="27"/>
  <c r="D17" i="27"/>
  <c r="I16" i="27"/>
  <c r="H16" i="27"/>
  <c r="J16" i="27" s="1"/>
  <c r="G16" i="27"/>
  <c r="F16" i="27"/>
  <c r="E16" i="27"/>
  <c r="D16" i="27"/>
  <c r="D15" i="27"/>
  <c r="G15" i="27"/>
  <c r="F15" i="27"/>
  <c r="E15" i="27"/>
  <c r="I15" i="27"/>
  <c r="H15" i="27"/>
  <c r="J15" i="27" s="1"/>
  <c r="D3" i="27"/>
  <c r="E3" i="27"/>
  <c r="F3" i="27"/>
  <c r="G3" i="27"/>
  <c r="I10" i="27"/>
  <c r="I13" i="27"/>
  <c r="H4" i="27"/>
  <c r="J4" i="27" s="1"/>
  <c r="R5" i="27"/>
  <c r="R6" i="27"/>
  <c r="R8" i="27"/>
  <c r="R9" i="27"/>
  <c r="R10" i="27"/>
  <c r="R14" i="27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7" i="20"/>
  <c r="J48" i="29"/>
  <c r="S31" i="29"/>
  <c r="M12" i="30" s="1"/>
  <c r="J31" i="29"/>
  <c r="J10" i="25"/>
  <c r="J4" i="25"/>
  <c r="R25" i="29"/>
  <c r="V59" i="20"/>
  <c r="Y11" i="20"/>
  <c r="AA39" i="29"/>
  <c r="Y7" i="29"/>
  <c r="V59" i="25"/>
  <c r="V59" i="29"/>
  <c r="V27" i="20"/>
  <c r="AA7" i="29"/>
  <c r="Y71" i="25"/>
  <c r="W19" i="29"/>
  <c r="V31" i="20"/>
  <c r="V7" i="20"/>
  <c r="V47" i="20"/>
  <c r="Z39" i="27"/>
  <c r="X59" i="27"/>
  <c r="Y63" i="27"/>
  <c r="W63" i="20"/>
  <c r="Z23" i="29"/>
  <c r="X71" i="29"/>
  <c r="AA11" i="29"/>
  <c r="V71" i="20"/>
  <c r="V43" i="20"/>
  <c r="W7" i="20"/>
  <c r="Z67" i="25"/>
  <c r="Y67" i="27"/>
  <c r="W63" i="25"/>
  <c r="V63" i="29"/>
  <c r="V35" i="29"/>
  <c r="AA7" i="27"/>
  <c r="AA63" i="25"/>
  <c r="X67" i="29"/>
  <c r="Y55" i="25"/>
  <c r="X51" i="20"/>
  <c r="V7" i="27"/>
  <c r="X23" i="20"/>
  <c r="Z51" i="20"/>
  <c r="W11" i="20"/>
  <c r="AA35" i="20"/>
  <c r="Z27" i="20"/>
  <c r="Y11" i="27"/>
  <c r="V35" i="20"/>
  <c r="X59" i="25"/>
  <c r="Y23" i="29"/>
  <c r="AA23" i="20"/>
  <c r="W23" i="20"/>
  <c r="X43" i="20"/>
  <c r="W43" i="27"/>
  <c r="Z47" i="20"/>
  <c r="Y43" i="20"/>
  <c r="AA27" i="29"/>
  <c r="W31" i="27"/>
  <c r="X7" i="29"/>
  <c r="Y35" i="27"/>
  <c r="Z43" i="29"/>
  <c r="W31" i="29"/>
  <c r="W43" i="29"/>
  <c r="X55" i="27"/>
  <c r="X63" i="29"/>
  <c r="Y19" i="29"/>
  <c r="AA51" i="20"/>
  <c r="X43" i="27"/>
  <c r="Z55" i="27"/>
  <c r="Z3" i="27"/>
  <c r="X51" i="25"/>
  <c r="Z15" i="20"/>
  <c r="Y27" i="27"/>
  <c r="V39" i="29"/>
  <c r="Z71" i="20"/>
  <c r="W71" i="25"/>
  <c r="V51" i="29"/>
  <c r="Z47" i="29"/>
  <c r="Z59" i="27"/>
  <c r="X7" i="20"/>
  <c r="X15" i="20"/>
  <c r="AA51" i="25"/>
  <c r="V71" i="25"/>
  <c r="W47" i="29"/>
  <c r="X55" i="20"/>
  <c r="V23" i="29"/>
  <c r="AA55" i="29"/>
  <c r="Z39" i="29"/>
  <c r="X63" i="27"/>
  <c r="Z55" i="20"/>
  <c r="AA59" i="20"/>
  <c r="X51" i="29"/>
  <c r="AA63" i="29"/>
  <c r="V39" i="27"/>
  <c r="AA15" i="20"/>
  <c r="W71" i="27"/>
  <c r="X27" i="20"/>
  <c r="Z11" i="27"/>
  <c r="X47" i="27"/>
  <c r="V27" i="29"/>
  <c r="X19" i="20"/>
  <c r="V63" i="20"/>
  <c r="Y63" i="29"/>
  <c r="Y47" i="20"/>
  <c r="W27" i="27"/>
  <c r="W19" i="20"/>
  <c r="W11" i="29"/>
  <c r="X27" i="29"/>
  <c r="W67" i="20"/>
  <c r="X31" i="27"/>
  <c r="AA43" i="20"/>
  <c r="Y39" i="20"/>
  <c r="X3" i="20"/>
  <c r="W3" i="20"/>
  <c r="Y27" i="29"/>
  <c r="Z63" i="25"/>
  <c r="AA39" i="20"/>
  <c r="W55" i="29"/>
  <c r="V31" i="29"/>
  <c r="Z51" i="25"/>
  <c r="W15" i="29"/>
  <c r="AA67" i="25"/>
  <c r="Z35" i="29"/>
  <c r="AA11" i="20"/>
  <c r="Y47" i="29"/>
  <c r="Y15" i="29"/>
  <c r="Y71" i="27"/>
  <c r="V15" i="29"/>
  <c r="V11" i="20"/>
  <c r="W19" i="27"/>
  <c r="Y31" i="29"/>
  <c r="Z51" i="29"/>
  <c r="X59" i="29"/>
  <c r="Z63" i="27"/>
  <c r="AA71" i="20"/>
  <c r="Z67" i="20"/>
  <c r="AA67" i="29"/>
  <c r="V11" i="29"/>
  <c r="X67" i="25"/>
  <c r="AA31" i="20"/>
  <c r="W35" i="29"/>
  <c r="Z7" i="27"/>
  <c r="W39" i="29"/>
  <c r="W63" i="27"/>
  <c r="V51" i="20"/>
  <c r="Y67" i="29"/>
  <c r="W11" i="27"/>
  <c r="Y15" i="27"/>
  <c r="AA47" i="29"/>
  <c r="W31" i="20"/>
  <c r="X59" i="20"/>
  <c r="Y3" i="20"/>
  <c r="AA71" i="25"/>
  <c r="W67" i="29"/>
  <c r="W43" i="20"/>
  <c r="Z15" i="27"/>
  <c r="V63" i="27"/>
  <c r="Z59" i="20"/>
  <c r="X11" i="27"/>
  <c r="Z47" i="27"/>
  <c r="Y51" i="20"/>
  <c r="Z23" i="20"/>
  <c r="V67" i="27"/>
  <c r="X23" i="29"/>
  <c r="Y59" i="25"/>
  <c r="X39" i="20"/>
  <c r="X31" i="20"/>
  <c r="Z11" i="20"/>
  <c r="V23" i="27"/>
  <c r="Z19" i="29"/>
  <c r="AA51" i="27"/>
  <c r="X71" i="20"/>
  <c r="V67" i="25"/>
  <c r="X35" i="29"/>
  <c r="Z71" i="29"/>
  <c r="V55" i="25"/>
  <c r="Z27" i="29"/>
  <c r="Y55" i="29"/>
  <c r="Y51" i="27"/>
  <c r="Y59" i="29"/>
  <c r="AA55" i="25"/>
  <c r="W7" i="27"/>
  <c r="X11" i="29"/>
  <c r="Y3" i="27"/>
  <c r="X31" i="29"/>
  <c r="V19" i="27"/>
  <c r="X67" i="20"/>
  <c r="V15" i="27"/>
  <c r="AA43" i="29"/>
  <c r="AA35" i="29"/>
  <c r="AA51" i="29"/>
  <c r="W39" i="20"/>
  <c r="AA19" i="20"/>
  <c r="V47" i="27"/>
  <c r="V35" i="27"/>
  <c r="V51" i="25"/>
  <c r="X39" i="29"/>
  <c r="X3" i="27"/>
  <c r="Y35" i="29"/>
  <c r="X71" i="27"/>
  <c r="W27" i="20"/>
  <c r="X35" i="20"/>
  <c r="W7" i="29"/>
  <c r="AA71" i="29"/>
  <c r="AA3" i="20"/>
  <c r="W59" i="20"/>
  <c r="X71" i="25"/>
  <c r="W3" i="29"/>
  <c r="Y27" i="20"/>
  <c r="Y3" i="29"/>
  <c r="AA3" i="27"/>
  <c r="Z7" i="29"/>
  <c r="V55" i="27"/>
  <c r="AA23" i="27"/>
  <c r="X47" i="29"/>
  <c r="W23" i="27"/>
  <c r="V71" i="29"/>
  <c r="V23" i="20"/>
  <c r="AA67" i="20"/>
  <c r="V67" i="20"/>
  <c r="X15" i="29"/>
  <c r="V7" i="29"/>
  <c r="X19" i="27"/>
  <c r="W15" i="27"/>
  <c r="W55" i="20"/>
  <c r="X19" i="29"/>
  <c r="W51" i="27"/>
  <c r="Z71" i="25"/>
  <c r="AA27" i="27"/>
  <c r="Z31" i="29"/>
  <c r="AA55" i="27"/>
  <c r="V19" i="29"/>
  <c r="Y55" i="20"/>
  <c r="Y51" i="25"/>
  <c r="V55" i="29"/>
  <c r="V71" i="27"/>
  <c r="AA59" i="25"/>
  <c r="X51" i="27"/>
  <c r="Y63" i="20"/>
  <c r="Y71" i="20"/>
  <c r="AA71" i="27"/>
  <c r="W67" i="25"/>
  <c r="W35" i="20"/>
  <c r="V31" i="27"/>
  <c r="Y39" i="27"/>
  <c r="V39" i="20"/>
  <c r="AA39" i="27"/>
  <c r="Z67" i="27"/>
  <c r="AA35" i="27"/>
  <c r="W59" i="25"/>
  <c r="Z23" i="27"/>
  <c r="Y11" i="29"/>
  <c r="AA67" i="27"/>
  <c r="W71" i="29"/>
  <c r="Y7" i="20"/>
  <c r="V43" i="27"/>
  <c r="W47" i="27"/>
  <c r="X47" i="20"/>
  <c r="Y7" i="27"/>
  <c r="AA55" i="20"/>
  <c r="Y51" i="29"/>
  <c r="Y55" i="27"/>
  <c r="Z15" i="29"/>
  <c r="Z35" i="27"/>
  <c r="W71" i="20"/>
  <c r="X3" i="29"/>
  <c r="Z67" i="29"/>
  <c r="Z43" i="27"/>
  <c r="Y59" i="20"/>
  <c r="AA19" i="29"/>
  <c r="Y43" i="29"/>
  <c r="V15" i="20"/>
  <c r="Y67" i="20"/>
  <c r="V47" i="29"/>
  <c r="V51" i="27"/>
  <c r="W23" i="29"/>
  <c r="V55" i="20"/>
  <c r="Z11" i="29"/>
  <c r="V3" i="20"/>
  <c r="AA7" i="20"/>
  <c r="Y23" i="27"/>
  <c r="Y67" i="25"/>
  <c r="Y23" i="20"/>
  <c r="V3" i="27"/>
  <c r="W59" i="29"/>
  <c r="AA31" i="29"/>
  <c r="Z59" i="25"/>
  <c r="X67" i="27"/>
  <c r="Z59" i="29"/>
  <c r="AA43" i="27"/>
  <c r="X55" i="29"/>
  <c r="X27" i="27"/>
  <c r="Y19" i="20"/>
  <c r="AA15" i="27"/>
  <c r="AA15" i="29"/>
  <c r="Y39" i="29"/>
  <c r="AA63" i="27"/>
  <c r="Z7" i="20"/>
  <c r="W39" i="27"/>
  <c r="AA59" i="29"/>
  <c r="X23" i="27"/>
  <c r="W67" i="27"/>
  <c r="Y63" i="25"/>
  <c r="Y71" i="29"/>
  <c r="V3" i="29"/>
  <c r="AA63" i="20"/>
  <c r="Z19" i="20"/>
  <c r="W3" i="27"/>
  <c r="V27" i="27"/>
  <c r="AA23" i="29"/>
  <c r="Z39" i="20"/>
  <c r="X7" i="27"/>
  <c r="V11" i="27"/>
  <c r="AA47" i="27"/>
  <c r="V67" i="29"/>
  <c r="V19" i="20"/>
  <c r="Z3" i="29"/>
  <c r="Z63" i="29"/>
  <c r="W55" i="27"/>
  <c r="X63" i="25"/>
  <c r="AA3" i="29"/>
  <c r="AA59" i="27"/>
  <c r="Z55" i="25"/>
  <c r="Z71" i="27"/>
  <c r="X39" i="27"/>
  <c r="W59" i="27"/>
  <c r="X15" i="27"/>
  <c r="Y35" i="20"/>
  <c r="Z27" i="27"/>
  <c r="Z31" i="20"/>
  <c r="V63" i="25"/>
  <c r="W63" i="29"/>
  <c r="Z51" i="27"/>
  <c r="AA19" i="27"/>
  <c r="Y43" i="27"/>
  <c r="W15" i="20"/>
  <c r="Z43" i="20"/>
  <c r="Y31" i="27"/>
  <c r="X35" i="27"/>
  <c r="X55" i="25"/>
  <c r="AA11" i="27"/>
  <c r="Z3" i="20"/>
  <c r="Y19" i="27"/>
  <c r="Z19" i="27"/>
  <c r="V43" i="29"/>
  <c r="Z55" i="29"/>
  <c r="AA47" i="20"/>
  <c r="X11" i="20"/>
  <c r="W35" i="27"/>
  <c r="V59" i="27"/>
  <c r="Y59" i="27"/>
  <c r="Y31" i="20"/>
  <c r="AA27" i="20"/>
  <c r="Z35" i="20"/>
  <c r="X43" i="29"/>
  <c r="Z31" i="27"/>
  <c r="W47" i="20"/>
  <c r="W55" i="25"/>
  <c r="W51" i="29"/>
  <c r="W51" i="25"/>
  <c r="Z63" i="20"/>
  <c r="Y15" i="20"/>
  <c r="X63" i="20"/>
  <c r="W27" i="29"/>
  <c r="Y47" i="27"/>
  <c r="AA31" i="27"/>
  <c r="W51" i="20"/>
  <c r="Y19" i="25"/>
  <c r="Z47" i="25"/>
  <c r="V35" i="25"/>
  <c r="X3" i="25"/>
  <c r="Z11" i="25"/>
  <c r="AA47" i="25"/>
  <c r="Y47" i="25"/>
  <c r="Z43" i="25"/>
  <c r="Y43" i="25"/>
  <c r="W43" i="25"/>
  <c r="AA43" i="25"/>
  <c r="V3" i="25"/>
  <c r="Z19" i="25"/>
  <c r="V19" i="25"/>
  <c r="AA11" i="25"/>
  <c r="Z3" i="25"/>
  <c r="Z39" i="25"/>
  <c r="V7" i="25"/>
  <c r="AA19" i="25"/>
  <c r="X15" i="25"/>
  <c r="V43" i="25"/>
  <c r="AA31" i="25"/>
  <c r="W19" i="25"/>
  <c r="Z35" i="25"/>
  <c r="V47" i="25"/>
  <c r="Z15" i="25"/>
  <c r="AA35" i="25"/>
  <c r="Y27" i="25"/>
  <c r="W47" i="25"/>
  <c r="Z27" i="25"/>
  <c r="W31" i="25"/>
  <c r="Y39" i="25"/>
  <c r="Y23" i="25"/>
  <c r="Z7" i="25"/>
  <c r="W11" i="25"/>
  <c r="AA39" i="25"/>
  <c r="X39" i="25"/>
  <c r="AA3" i="25"/>
  <c r="X7" i="25"/>
  <c r="W3" i="25"/>
  <c r="Y7" i="25"/>
  <c r="V39" i="25"/>
  <c r="Y15" i="25"/>
  <c r="Y31" i="25"/>
  <c r="W23" i="25"/>
  <c r="V11" i="25"/>
  <c r="W7" i="25"/>
  <c r="X19" i="25"/>
  <c r="X23" i="25"/>
  <c r="X43" i="25"/>
  <c r="X47" i="25"/>
  <c r="X35" i="25"/>
  <c r="X31" i="25"/>
  <c r="X27" i="25"/>
  <c r="AA23" i="25"/>
  <c r="W39" i="25"/>
  <c r="Z31" i="25"/>
  <c r="Y35" i="25"/>
  <c r="W15" i="25"/>
  <c r="X11" i="25"/>
  <c r="W35" i="25"/>
  <c r="V31" i="25"/>
  <c r="Y11" i="25"/>
  <c r="W27" i="25"/>
  <c r="V15" i="25"/>
  <c r="Y3" i="25"/>
  <c r="Z23" i="25"/>
  <c r="AA27" i="25"/>
  <c r="V23" i="25"/>
  <c r="AA15" i="25"/>
  <c r="V27" i="25"/>
  <c r="AA7" i="25"/>
  <c r="S47" i="25" l="1"/>
  <c r="T59" i="29"/>
  <c r="T79" i="29" s="1"/>
  <c r="N28" i="30" s="1"/>
  <c r="T57" i="29"/>
  <c r="S53" i="25"/>
  <c r="S62" i="29"/>
  <c r="T3" i="29"/>
  <c r="S50" i="29"/>
  <c r="T50" i="29"/>
  <c r="T57" i="25"/>
  <c r="S48" i="29"/>
  <c r="T54" i="29"/>
  <c r="T48" i="29"/>
  <c r="T18" i="29"/>
  <c r="T4" i="29"/>
  <c r="T51" i="20"/>
  <c r="T78" i="20" s="1"/>
  <c r="G55" i="30" s="1"/>
  <c r="S9" i="29"/>
  <c r="S44" i="25"/>
  <c r="T73" i="29"/>
  <c r="T65" i="29"/>
  <c r="T32" i="29"/>
  <c r="T31" i="29"/>
  <c r="N12" i="30" s="1"/>
  <c r="T61" i="27"/>
  <c r="T60" i="29"/>
  <c r="T31" i="27"/>
  <c r="S27" i="25"/>
  <c r="T15" i="25"/>
  <c r="S55" i="29"/>
  <c r="M18" i="30" s="1"/>
  <c r="S54" i="29"/>
  <c r="T36" i="27"/>
  <c r="T20" i="25"/>
  <c r="T38" i="29"/>
  <c r="T67" i="29"/>
  <c r="N21" i="30" s="1"/>
  <c r="I78" i="25"/>
  <c r="S51" i="25"/>
  <c r="M45" i="30" s="1"/>
  <c r="T6" i="20"/>
  <c r="T34" i="29"/>
  <c r="T17" i="29"/>
  <c r="T16" i="29"/>
  <c r="S48" i="27"/>
  <c r="I78" i="29"/>
  <c r="T23" i="29"/>
  <c r="N10" i="30" s="1"/>
  <c r="T23" i="27"/>
  <c r="I79" i="29"/>
  <c r="S29" i="25"/>
  <c r="T39" i="20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J75" i="20" s="1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T40" i="25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T62" i="20"/>
  <c r="T65" i="20"/>
  <c r="S59" i="20"/>
  <c r="T72" i="20"/>
  <c r="S60" i="27"/>
  <c r="S66" i="27"/>
  <c r="T64" i="27"/>
  <c r="S69" i="20"/>
  <c r="J60" i="27"/>
  <c r="J79" i="27" s="1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T62" i="27"/>
  <c r="T68" i="27"/>
  <c r="S63" i="27"/>
  <c r="T60" i="27"/>
  <c r="S72" i="27"/>
  <c r="S62" i="27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R5" i="20"/>
  <c r="S5" i="20"/>
  <c r="R39" i="25"/>
  <c r="S39" i="25"/>
  <c r="Q76" i="25"/>
  <c r="T3" i="20"/>
  <c r="Q81" i="20"/>
  <c r="S23" i="25"/>
  <c r="S51" i="29"/>
  <c r="R44" i="27"/>
  <c r="S44" i="27"/>
  <c r="Q81" i="29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G19" i="9" l="1"/>
  <c r="S78" i="25"/>
  <c r="M55" i="30" s="1"/>
  <c r="F48" i="30"/>
  <c r="Q82" i="20"/>
  <c r="G45" i="30"/>
  <c r="F49" i="30"/>
  <c r="Q82" i="29"/>
  <c r="M44" i="30"/>
  <c r="T76" i="29"/>
  <c r="N24" i="30" s="1"/>
  <c r="N42" i="30"/>
  <c r="N48" i="30"/>
  <c r="N43" i="30"/>
  <c r="G13" i="30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F35" i="9" s="1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R80" i="27"/>
  <c r="F7" i="30"/>
  <c r="M9" i="30"/>
  <c r="S76" i="29"/>
  <c r="R81" i="29"/>
  <c r="R82" i="29" s="1"/>
  <c r="R80" i="29"/>
  <c r="R75" i="27"/>
  <c r="M35" i="30"/>
  <c r="R77" i="27"/>
  <c r="R81" i="27"/>
  <c r="R82" i="27" s="1"/>
  <c r="F44" i="30"/>
  <c r="M42" i="30"/>
  <c r="R79" i="25"/>
  <c r="G35" i="9"/>
  <c r="N23" i="30"/>
  <c r="F10" i="30"/>
  <c r="F14" i="30"/>
  <c r="M38" i="30"/>
  <c r="R77" i="25"/>
  <c r="F12" i="30"/>
  <c r="G38" i="9"/>
  <c r="N26" i="30"/>
  <c r="S77" i="27"/>
  <c r="S76" i="25"/>
  <c r="S80" i="25"/>
  <c r="F41" i="30"/>
  <c r="S77" i="2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J3" i="10"/>
  <c r="AG3" i="10"/>
  <c r="AF3" i="10"/>
  <c r="AL3" i="10"/>
  <c r="AN3" i="10"/>
  <c r="AI3" i="10"/>
  <c r="AP3" i="10"/>
  <c r="AQ3" i="10"/>
  <c r="AD3" i="10"/>
  <c r="AE3" i="10"/>
  <c r="AO3" i="10"/>
  <c r="AK3" i="10"/>
  <c r="F29" i="9" l="1"/>
  <c r="G36" i="9"/>
  <c r="M25" i="30"/>
  <c r="G53" i="30"/>
  <c r="M23" i="30"/>
  <c r="G28" i="30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I4" i="10"/>
  <c r="AP4" i="10"/>
  <c r="AE4" i="10"/>
  <c r="AO4" i="10"/>
  <c r="AK4" i="10"/>
  <c r="AG4" i="10"/>
  <c r="AJ4" i="10"/>
  <c r="AN4" i="10"/>
  <c r="AF4" i="10"/>
  <c r="AD4" i="10"/>
  <c r="AL4" i="10"/>
  <c r="AQ4" i="10"/>
  <c r="AC6" i="10" l="1"/>
  <c r="AK5" i="10"/>
  <c r="AI5" i="10"/>
  <c r="AF6" i="10"/>
  <c r="AQ6" i="10"/>
  <c r="AO6" i="10"/>
  <c r="AD6" i="10"/>
  <c r="AD5" i="10"/>
  <c r="AJ5" i="10"/>
  <c r="AN6" i="10"/>
  <c r="AP6" i="10"/>
  <c r="AG6" i="10"/>
  <c r="AI6" i="10"/>
  <c r="AP5" i="10"/>
  <c r="AQ5" i="10"/>
  <c r="AL5" i="10"/>
  <c r="AF5" i="10"/>
  <c r="AE5" i="10"/>
  <c r="AJ6" i="10"/>
  <c r="AL6" i="10"/>
  <c r="AO5" i="10"/>
  <c r="AK6" i="10"/>
  <c r="AN5" i="10"/>
  <c r="AG5" i="10"/>
  <c r="AE6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<sst xmlns="http://schemas.openxmlformats.org/spreadsheetml/2006/main" count="1550" uniqueCount="696">
  <si>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</si>
  <si>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</si>
  <si>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</si>
  <si>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</si>
  <si>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</si>
  <si>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</si>
  <si>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</si>
  <si>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</si>
  <si>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</si>
  <si>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</si>
  <si>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</si>
  <si>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</si>
  <si>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</si>
  <si>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</si>
  <si>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</si>
  <si>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</si>
  <si>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</si>
  <si>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</si>
  <si>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</si>
  <si>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</si>
  <si>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</si>
  <si>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</si>
  <si>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</si>
  <si>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</si>
  <si>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</si>
  <si>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</si>
  <si>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</si>
  <si>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</si>
  <si>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</si>
  <si>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</si>
  <si>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</si>
  <si>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</si>
  <si>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</si>
  <si>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</si>
  <si>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</si>
  <si>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</si>
  <si>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</si>
  <si>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</si>
  <si>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</si>
  <si>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</si>
  <si>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</si>
  <si>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</si>
  <si>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</si>
  <si>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</si>
  <si>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</si>
  <si>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</si>
  <si>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</si>
  <si>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</si>
  <si>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</si>
  <si>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</si>
  <si>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</si>
  <si>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</si>
  <si>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</si>
  <si>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</si>
  <si>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</si>
  <si>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</si>
  <si>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</si>
  <si>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</si>
  <si>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</si>
  <si>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</si>
  <si>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</si>
  <si>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</si>
  <si>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</si>
  <si>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</si>
  <si>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</si>
  <si>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</si>
  <si>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</si>
  <si>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</si>
  <si>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</si>
  <si>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</si>
  <si>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</si>
  <si>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</si>
  <si>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</si>
  <si>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</si>
  <si>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</si>
  <si>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</si>
  <si>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</si>
  <si>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</si>
  <si>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</si>
  <si>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</si>
  <si>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</si>
  <si>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</si>
  <si>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</si>
  <si>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</si>
  <si>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</si>
  <si>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</si>
  <si>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</si>
  <si>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</si>
  <si>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</si>
  <si>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</si>
  <si>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</si>
  <si>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</si>
  <si>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</si>
  <si>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</si>
  <si>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</si>
  <si>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</si>
  <si>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</si>
  <si>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</si>
  <si>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</si>
  <si>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</si>
  <si>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</si>
  <si>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</si>
  <si>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</si>
  <si>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</si>
  <si>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</si>
  <si>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</si>
  <si>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</si>
  <si>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</si>
  <si>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</si>
  <si>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</si>
  <si>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</si>
  <si>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</si>
  <si>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</si>
  <si>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</si>
  <si>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</si>
  <si>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</si>
  <si>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</si>
  <si>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</si>
  <si>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</si>
  <si>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</si>
  <si>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</si>
  <si>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</si>
  <si>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</si>
  <si>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</si>
  <si>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</si>
  <si>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</si>
  <si>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</si>
  <si>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</si>
  <si>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</si>
  <si>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</si>
  <si>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</si>
  <si>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</si>
  <si>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</si>
  <si>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</si>
  <si>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</si>
  <si>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</si>
  <si>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</si>
  <si>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</si>
  <si>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</si>
  <si>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</si>
  <si>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</si>
  <si>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</si>
  <si>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</si>
  <si>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</si>
  <si>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</si>
  <si>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</si>
  <si>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</si>
  <si>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</si>
  <si>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</si>
  <si>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</si>
  <si>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</si>
  <si>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</si>
  <si>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</si>
  <si>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</si>
  <si>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</si>
  <si>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</si>
  <si>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</si>
  <si>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</si>
  <si>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</si>
  <si>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</si>
  <si>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</si>
  <si>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</si>
  <si>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</si>
  <si>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</si>
  <si>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</si>
  <si>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</si>
  <si>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</si>
  <si>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</si>
  <si>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</si>
  <si>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</si>
  <si>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</si>
  <si>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</si>
  <si>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</si>
  <si>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</si>
  <si>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</si>
  <si>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</si>
  <si>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</si>
  <si>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</si>
  <si>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</si>
  <si>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</si>
  <si>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</si>
  <si>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</si>
  <si>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</si>
  <si>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</si>
  <si>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</si>
  <si>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</si>
  <si>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</si>
  <si>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</si>
  <si>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</si>
  <si>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</si>
  <si>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</si>
  <si>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</si>
  <si>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</si>
  <si>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</si>
  <si>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</si>
  <si>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</si>
  <si>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</si>
  <si>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</si>
  <si>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</si>
  <si>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</si>
  <si>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</si>
  <si>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</si>
  <si>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</si>
  <si>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</si>
  <si>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</si>
  <si>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</si>
  <si>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</si>
  <si>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</si>
  <si>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</si>
  <si>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</si>
  <si>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</si>
  <si>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</si>
  <si>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</si>
  <si>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</si>
  <si>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</si>
  <si>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</si>
  <si>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</si>
  <si>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</si>
  <si>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</si>
  <si>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</si>
  <si>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</si>
  <si>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</si>
  <si>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</si>
  <si>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</si>
  <si>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</si>
  <si>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</si>
  <si>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</si>
  <si>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</si>
  <si>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</si>
  <si>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</si>
  <si>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</si>
  <si>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</si>
  <si>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</si>
  <si>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</si>
  <si>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</si>
  <si>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</si>
  <si>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</si>
  <si>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</si>
  <si>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</si>
  <si>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</si>
  <si>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</si>
  <si>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</si>
  <si>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</si>
  <si>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</si>
  <si>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</si>
  <si>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</si>
  <si>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</si>
  <si>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</si>
  <si>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</si>
  <si>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</si>
  <si>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</si>
  <si>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</si>
  <si>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</si>
  <si>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</si>
  <si>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</si>
  <si>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</si>
  <si>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</si>
  <si>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</si>
  <si>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</si>
  <si>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</si>
  <si>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</si>
  <si>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</si>
  <si>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</si>
  <si>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</si>
  <si>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</si>
  <si>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</si>
  <si>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</si>
  <si>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</si>
  <si>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</si>
  <si>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</si>
  <si>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</si>
  <si>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</si>
  <si>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</si>
  <si>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</si>
  <si>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</si>
  <si>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</si>
  <si>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</si>
  <si>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</si>
  <si>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</si>
  <si>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</si>
  <si>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</si>
  <si>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</si>
  <si>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</si>
  <si>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</si>
  <si>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</si>
  <si>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</si>
  <si>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</si>
  <si>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</si>
  <si>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</si>
  <si>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</si>
  <si>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</si>
  <si>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</si>
  <si>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</si>
  <si>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</si>
  <si>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</si>
  <si>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</si>
  <si>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</si>
  <si>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</si>
  <si>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</si>
  <si>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</si>
  <si>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</si>
  <si>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</si>
  <si>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</si>
  <si>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</si>
  <si>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</si>
  <si>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</si>
  <si>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</si>
  <si>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</si>
  <si>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</si>
  <si>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</si>
  <si>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</si>
  <si>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</si>
  <si>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</si>
  <si>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</si>
  <si>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</si>
  <si>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</si>
  <si>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</si>
  <si>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</si>
  <si>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</si>
  <si>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</si>
  <si>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</si>
  <si>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</si>
  <si>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</si>
  <si>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</si>
  <si>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</si>
  <si>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</si>
  <si>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</si>
  <si>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</si>
  <si>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</si>
  <si>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</si>
  <si>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</si>
  <si>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</si>
  <si>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</si>
  <si>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</si>
  <si>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</si>
  <si>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</si>
  <si>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</si>
  <si>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</si>
  <si>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</si>
  <si>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</si>
  <si>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</si>
  <si>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</si>
  <si>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</si>
  <si>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</si>
  <si>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</si>
  <si>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</si>
  <si>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</si>
  <si>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</si>
  <si>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</si>
  <si>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</si>
  <si>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</si>
  <si>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</si>
  <si>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</si>
  <si>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</si>
  <si>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</si>
  <si>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</si>
  <si>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</si>
  <si>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</si>
  <si>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</si>
  <si>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</si>
  <si>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</si>
  <si>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</si>
  <si>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</si>
  <si>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</si>
  <si>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</si>
  <si>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</si>
  <si>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</si>
  <si>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</si>
  <si>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</si>
  <si>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</si>
  <si>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</si>
  <si>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</si>
  <si>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</si>
  <si>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</si>
  <si>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</si>
  <si>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</si>
  <si>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</si>
  <si>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</si>
  <si>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</si>
  <si>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</si>
  <si>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</si>
  <si>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</si>
  <si>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</si>
  <si>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</si>
  <si>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</si>
  <si>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</si>
  <si>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</si>
  <si>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</si>
  <si>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</si>
  <si>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</si>
  <si>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</si>
  <si>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</si>
  <si>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</si>
  <si>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</si>
  <si>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</si>
  <si>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</si>
  <si>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</si>
  <si>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</si>
  <si>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</si>
  <si>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</si>
  <si>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</si>
  <si>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</si>
  <si>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</si>
  <si>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</si>
  <si>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</si>
  <si>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</si>
  <si>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RA_all_log/enc_log_City_RA_27_rap1.txt</t>
  </si>
  <si>
    <t>RA_all_log/dec_log_City_RA_27_rap1.txt</t>
  </si>
  <si>
    <t>RA_all_log/enc_log_City_RA_32_rap1.txt</t>
  </si>
  <si>
    <t>RA_all_log/dec_log_City_RA_32_rap1.txt</t>
  </si>
  <si>
    <t>RA_all_log/enc_log_City_RA_38_rap1.txt</t>
  </si>
  <si>
    <t>RA_all_log/dec_log_City_RA_38_rap1.txt</t>
  </si>
  <si>
    <t>RA_all_log/enc_log_City_RA_45_rap1.txt</t>
  </si>
  <si>
    <t>RA_all_log/dec_log_City_RA_45_rap1.txt</t>
  </si>
  <si>
    <t>RA_all_log/enc_log_Crew_RA_27_rap1.txt</t>
  </si>
  <si>
    <t>RA_all_log/dec_log_Crew_RA_27_rap1.txt</t>
  </si>
  <si>
    <t>RA_all_log/enc_log_Crew_RA_32_rap1.txt</t>
  </si>
  <si>
    <t>RA_all_log/dec_log_Crew_RA_32_rap1.txt</t>
  </si>
  <si>
    <t>RA_all_log/enc_log_Crew_RA_38_rap1.txt</t>
  </si>
  <si>
    <t>RA_all_log/dec_log_Crew_RA_38_rap1.txt</t>
  </si>
  <si>
    <t>RA_all_log/enc_log_Crew_RA_45_rap1.txt</t>
  </si>
  <si>
    <t>RA_all_log/dec_log_Crew_RA_45_rap1.txt</t>
  </si>
  <si>
    <t>RA_all_log/enc_log_Vidyo1_RA_27_rap1.txt</t>
  </si>
  <si>
    <t>RA_all_log/dec_log_Vidyo1_RA_27_rap1.txt</t>
  </si>
  <si>
    <t>RA_all_log/enc_log_Vidyo1_RA_32_rap1.txt</t>
  </si>
  <si>
    <t>RA_all_log/dec_log_Vidyo1_RA_32_rap1.txt</t>
  </si>
  <si>
    <t>RA_all_log/enc_log_Vidyo1_RA_38_rap1.txt</t>
  </si>
  <si>
    <t>RA_all_log/dec_log_Vidyo1_RA_38_rap1.txt</t>
  </si>
  <si>
    <t>RA_all_log/enc_log_Vidyo1_RA_45_rap1.txt</t>
  </si>
  <si>
    <t>RA_all_log/dec_log_Vidyo1_RA_45_rap1.txt</t>
  </si>
  <si>
    <t>RA_all_log/enc_log_Vidyo3_RA_27_rap1.txt</t>
  </si>
  <si>
    <t>RA_all_log/dec_log_Vidyo3_RA_27_rap1.txt</t>
  </si>
  <si>
    <t>RA_all_log/enc_log_Vidyo3_RA_32_rap1.txt</t>
  </si>
  <si>
    <t>RA_all_log/dec_log_Vidyo3_RA_32_rap1.txt</t>
  </si>
  <si>
    <t>RA_all_log/enc_log_Vidyo3_RA_38_rap1.txt</t>
  </si>
  <si>
    <t>RA_all_log/dec_log_Vidyo3_RA_38_rap1.txt</t>
  </si>
  <si>
    <t>RA_all_log/enc_log_Vidyo3_RA_45_rap1.txt</t>
  </si>
  <si>
    <t>RA_all_log/dec_log_Vidyo3_RA_45_rap1.txt</t>
  </si>
  <si>
    <t>RA_all_log/enc_log_BasketballDrive_RA_27_rap2.txt</t>
  </si>
  <si>
    <t>RA_all_log/dec_log_BasketballDrive_RA_27_rap2.txt</t>
  </si>
  <si>
    <t>RA_all_log/enc_log_BasketballDrive_RA_32_rap2.txt</t>
  </si>
  <si>
    <t>RA_all_log/dec_log_BasketballDrive_RA_32_rap2.txt</t>
  </si>
  <si>
    <t>RA_all_log/enc_log_BasketballDrive_RA_38_rap2.txt</t>
  </si>
  <si>
    <t>RA_all_log/dec_log_BasketballDrive_RA_38_rap2.txt</t>
  </si>
  <si>
    <t>RA_all_log/enc_log_BasketballDrive_RA_45_rap2.txt</t>
  </si>
  <si>
    <t>RA_all_log/dec_log_BasketballDrive_RA_45_rap2.txt</t>
  </si>
  <si>
    <t>RA_all_log/enc_log_Cactus_RA_27_rap2.txt</t>
  </si>
  <si>
    <t>RA_all_log/dec_log_Cactus_RA_27_rap2.txt</t>
  </si>
  <si>
    <t>RA_all_log/enc_log_Cactus_RA_32_rap2.txt</t>
  </si>
  <si>
    <t>RA_all_log/dec_log_Cactus_RA_32_rap2.txt</t>
  </si>
  <si>
    <t>RA_all_log/enc_log_Cactus_RA_38_rap2.txt</t>
  </si>
  <si>
    <t>RA_all_log/dec_log_Cactus_RA_38_rap2.txt</t>
  </si>
  <si>
    <t>RA_all_log/enc_log_Cactus_RA_45_rap2.txt</t>
  </si>
  <si>
    <t>RA_all_log/dec_log_Cactus_RA_45_rap2.txt</t>
  </si>
  <si>
    <t>RA_all_log/enc_log_MarketPlace_RA_27_rap1.txt</t>
  </si>
  <si>
    <t>RA_all_log/dec_log_MarketPlace_RA_27_rap1.txt</t>
  </si>
  <si>
    <t>RA_all_log/enc_log_MarketPlace_RA_32_rap1.txt</t>
  </si>
  <si>
    <t>RA_all_log/dec_log_MarketPlace_RA_32_rap1.txt</t>
  </si>
  <si>
    <t>RA_all_log/enc_log_MarketPlace_RA_38_rap1.txt</t>
  </si>
  <si>
    <t>RA_all_log/dec_log_MarketPlace_RA_38_rap1.txt</t>
  </si>
  <si>
    <t>RA_all_log/enc_log_MarketPlace_RA_45_rap1.txt</t>
  </si>
  <si>
    <t>RA_all_log/dec_log_MarketPlace_RA_45_rap1.txt</t>
  </si>
  <si>
    <t>RA_all_log/enc_log_RitualDance_RA_27_rap1.txt</t>
  </si>
  <si>
    <t>RA_all_log/dec_log_RitualDance_RA_27_rap1.txt</t>
  </si>
  <si>
    <t>RA_all_log/enc_log_RitualDance_RA_32_rap1.txt</t>
  </si>
  <si>
    <t>RA_all_log/dec_log_RitualDance_RA_32_rap1.txt</t>
  </si>
  <si>
    <t>RA_all_log/enc_log_RitualDance_RA_38_rap1.txt</t>
  </si>
  <si>
    <t>RA_all_log/dec_log_RitualDance_RA_38_rap1.txt</t>
  </si>
  <si>
    <t>RA_all_log/enc_log_RitualDance_RA_45_rap1.txt</t>
  </si>
  <si>
    <t>RA_all_log/dec_log_RitualDance_RA_45_rap1.txt</t>
  </si>
  <si>
    <t>RA_all_log/enc_log_Tango2_RA_27_rap1.txt</t>
  </si>
  <si>
    <t>RA_all_log/dec_log_Tango2_RA_27_rap1.txt</t>
  </si>
  <si>
    <t>RA_all_log/enc_log_Tango2_RA_32_rap1.txt</t>
  </si>
  <si>
    <t>RA_all_log/dec_log_Tango2_RA_32_rap1.txt</t>
  </si>
  <si>
    <t>RA_all_log/enc_log_Tango2_RA_38_rap1.txt</t>
  </si>
  <si>
    <t>RA_all_log/dec_log_Tango2_RA_38_rap1.txt</t>
  </si>
  <si>
    <t>RA_all_log/enc_log_Tango2_RA_45_rap1.txt</t>
  </si>
  <si>
    <t>RA_all_log/dec_log_Tango2_RA_45_rap1.txt</t>
  </si>
  <si>
    <t>RA_all_log/enc_log_Campfire_RA_27_rap1.txt</t>
  </si>
  <si>
    <t>RA_all_log/dec_log_Campfire_RA_27_rap1.txt</t>
  </si>
  <si>
    <t>RA_all_log/enc_log_Campfire_RA_32_rap1.txt</t>
  </si>
  <si>
    <t>RA_all_log/dec_log_Campfire_RA_32_rap1.txt</t>
  </si>
  <si>
    <t>RA_all_log/enc_log_Campfire_RA_38_rap1.txt</t>
  </si>
  <si>
    <t>RA_all_log/dec_log_Campfire_RA_38_rap1.txt</t>
  </si>
  <si>
    <t>RA_all_log/enc_log_Campfire_RA_45_rap1.txt</t>
  </si>
  <si>
    <t>RA_all_log/dec_log_Campfire_RA_45_rap1.txt</t>
  </si>
  <si>
    <t>RA_all_log/dec_log_ParkRunning3_RA_27_rap2.txt</t>
  </si>
  <si>
    <t>RA_all_log/enc_log_ParkRunning3_RA_32_rap2.txt</t>
  </si>
  <si>
    <t>RA_all_log/dec_log_ParkRunning3_RA_32_rap2.txt</t>
  </si>
  <si>
    <t>RA_all_log/enc_log_ParkRunning3_RA_38_rap2.txt</t>
  </si>
  <si>
    <t>RA_all_log/dec_log_ParkRunning3_RA_38_rap2.txt</t>
  </si>
  <si>
    <t>RA_all_log/enc_log_ParkRunning3_RA_45_rap2.txt</t>
  </si>
  <si>
    <t>RA_all_log/dec_log_ParkRunning3_RA_45_rap2.txt</t>
  </si>
  <si>
    <t>RA_all_log/enc_log_DaylightRoad2_RA_27_rap1.txt</t>
  </si>
  <si>
    <t>RA_all_log/dec_log_DaylightRoad2_RA_27_rap1.txt</t>
  </si>
  <si>
    <t>RA_all_log/enc_log_DaylightRoad2_RA_32_rap1.txt</t>
  </si>
  <si>
    <t>RA_all_log/dec_log_DaylightRoad2_RA_32_rap1.txt</t>
  </si>
  <si>
    <t>RA_all_log/enc_log_DaylightRoad2_RA_38_rap1.txt</t>
  </si>
  <si>
    <t>RA_all_log/dec_log_DaylightRoad2_RA_38_rap1.txt</t>
  </si>
  <si>
    <t>RA_all_log/enc_log_DaylightRoad2_RA_45_rap1.txt</t>
  </si>
  <si>
    <t>RA_all_log/dec_log_DaylightRoad2_RA_45_rap1.txt</t>
  </si>
  <si>
    <t>AI_all_log/enc_log_City_AI_27_rap0.txt</t>
  </si>
  <si>
    <t>AI_all_log/dec_log_City_AI_27_rap0.txt</t>
  </si>
  <si>
    <t>AI_all_log/enc_log_City_AI_32_rap0.txt</t>
  </si>
  <si>
    <t>AI_all_log/dec_log_City_AI_32_rap0.txt</t>
  </si>
  <si>
    <t>AI_all_log/enc_log_City_AI_38_rap0.txt</t>
  </si>
  <si>
    <t>AI_all_log/dec_log_City_AI_38_rap0.txt</t>
  </si>
  <si>
    <t>AI_all_log/enc_log_City_AI_45_rap0.txt</t>
  </si>
  <si>
    <t>AI_all_log/dec_log_City_AI_45_rap0.txt</t>
  </si>
  <si>
    <t>AI_all_log/enc_log_Crew_AI_27_rap0.txt</t>
  </si>
  <si>
    <t>AI_all_log/dec_log_Crew_AI_27_rap0.txt</t>
  </si>
  <si>
    <t>AI_all_log/enc_log_Crew_AI_32_rap0.txt</t>
  </si>
  <si>
    <t>AI_all_log/dec_log_Crew_AI_32_rap0.txt</t>
  </si>
  <si>
    <t>AI_all_log/enc_log_Crew_AI_38_rap0.txt</t>
  </si>
  <si>
    <t>AI_all_log/dec_log_Crew_AI_38_rap0.txt</t>
  </si>
  <si>
    <t>AI_all_log/enc_log_Crew_AI_45_rap0.txt</t>
  </si>
  <si>
    <t>AI_all_log/dec_log_Crew_AI_45_rap0.txt</t>
  </si>
  <si>
    <t>AI_all_log/enc_log_Vidyo1_AI_27_rap0.txt</t>
  </si>
  <si>
    <t>AI_all_log/dec_log_Vidyo1_AI_27_rap0.txt</t>
  </si>
  <si>
    <t>AI_all_log/enc_log_Vidyo1_AI_32_rap0.txt</t>
  </si>
  <si>
    <t>AI_all_log/dec_log_Vidyo1_AI_32_rap0.txt</t>
  </si>
  <si>
    <t>AI_all_log/enc_log_Vidyo1_AI_38_rap0.txt</t>
  </si>
  <si>
    <t>AI_all_log/dec_log_Vidyo1_AI_38_rap0.txt</t>
  </si>
  <si>
    <t>AI_all_log/enc_log_Vidyo1_AI_45_rap0.txt</t>
  </si>
  <si>
    <t>AI_all_log/dec_log_Vidyo1_AI_45_rap0.txt</t>
  </si>
  <si>
    <t>AI_all_log/enc_log_Vidyo3_AI_27_rap0.txt</t>
  </si>
  <si>
    <t>AI_all_log/dec_log_Vidyo3_AI_27_rap0.txt</t>
  </si>
  <si>
    <t>AI_all_log/enc_log_Vidyo3_AI_32_rap0.txt</t>
  </si>
  <si>
    <t>AI_all_log/dec_log_Vidyo3_AI_32_rap0.txt</t>
  </si>
  <si>
    <t>AI_all_log/enc_log_Vidyo3_AI_38_rap0.txt</t>
  </si>
  <si>
    <t>AI_all_log/dec_log_Vidyo3_AI_38_rap0.txt</t>
  </si>
  <si>
    <t>AI_all_log/enc_log_Vidyo3_AI_45_rap0.txt</t>
  </si>
  <si>
    <t>AI_all_log/dec_log_Vidyo3_AI_45_rap0.txt</t>
  </si>
  <si>
    <t>AI_all_log/enc_log_BasketballDrive_AI_27_rap0.txt</t>
  </si>
  <si>
    <t>AI_all_log/dec_log_BasketballDrive_AI_27_rap0.txt</t>
  </si>
  <si>
    <t>AI_all_log/enc_log_BasketballDrive_AI_32_rap0.txt</t>
  </si>
  <si>
    <t>AI_all_log/dec_log_BasketballDrive_AI_32_rap0.txt</t>
  </si>
  <si>
    <t>AI_all_log/enc_log_BasketballDrive_AI_38_rap0.txt</t>
  </si>
  <si>
    <t>AI_all_log/dec_log_BasketballDrive_AI_38_rap0.txt</t>
  </si>
  <si>
    <t>AI_all_log/enc_log_BasketballDrive_AI_45_rap0.txt</t>
  </si>
  <si>
    <t>AI_all_log/dec_log_BasketballDrive_AI_45_rap0.txt</t>
  </si>
  <si>
    <t>AI_all_log/enc_log_Cactus_AI_27_rap0.txt</t>
  </si>
  <si>
    <t>AI_all_log/dec_log_Cactus_AI_27_rap0.txt</t>
  </si>
  <si>
    <t>AI_all_log/enc_log_Cactus_AI_32_rap0.txt</t>
  </si>
  <si>
    <t>AI_all_log/dec_log_Cactus_AI_32_rap0.txt</t>
  </si>
  <si>
    <t>AI_all_log/enc_log_Cactus_AI_38_rap0.txt</t>
  </si>
  <si>
    <t>AI_all_log/dec_log_Cactus_AI_38_rap0.txt</t>
  </si>
  <si>
    <t>AI_all_log/enc_log_Cactus_AI_45_rap0.txt</t>
  </si>
  <si>
    <t>AI_all_log/dec_log_Cactus_AI_45_rap0.txt</t>
  </si>
  <si>
    <t>AI_all_log/enc_log_MarketPlace_AI_27_rap0.txt</t>
  </si>
  <si>
    <t>AI_all_log/dec_log_MarketPlace_AI_27_rap0.txt</t>
  </si>
  <si>
    <t>AI_all_log/enc_log_MarketPlace_AI_32_rap0.txt</t>
  </si>
  <si>
    <t>AI_all_log/dec_log_MarketPlace_AI_32_rap0.txt</t>
  </si>
  <si>
    <t>AI_all_log/enc_log_MarketPlace_AI_38_rap0.txt</t>
  </si>
  <si>
    <t>AI_all_log/dec_log_MarketPlace_AI_38_rap0.txt</t>
  </si>
  <si>
    <t>AI_all_log/enc_log_MarketPlace_AI_45_rap0.txt</t>
  </si>
  <si>
    <t>AI_all_log/dec_log_MarketPlace_AI_45_rap0.txt</t>
  </si>
  <si>
    <t>AI_all_log/enc_log_RitualDance_AI_27_rap0.txt</t>
  </si>
  <si>
    <t>AI_all_log/dec_log_RitualDance_AI_27_rap0.txt</t>
  </si>
  <si>
    <t>AI_all_log/enc_log_RitualDance_AI_32_rap0.txt</t>
  </si>
  <si>
    <t>AI_all_log/dec_log_RitualDance_AI_32_rap0.txt</t>
  </si>
  <si>
    <t>AI_all_log/enc_log_RitualDance_AI_38_rap0.txt</t>
  </si>
  <si>
    <t>AI_all_log/dec_log_RitualDance_AI_38_rap0.txt</t>
  </si>
  <si>
    <t>AI_all_log/enc_log_RitualDance_AI_45_rap0.txt</t>
  </si>
  <si>
    <t>AI_all_log/dec_log_RitualDance_AI_45_rap0.txt</t>
  </si>
  <si>
    <t>AI_all_log/enc_log_Tango2_AI_27_rap0.txt</t>
  </si>
  <si>
    <t>AI_all_log/dec_log_Tango2_AI_27_rap0.txt</t>
  </si>
  <si>
    <t>AI_all_log/enc_log_Tango2_AI_32_rap0.txt</t>
  </si>
  <si>
    <t>AI_all_log/dec_log_Tango2_AI_32_rap0.txt</t>
  </si>
  <si>
    <t>AI_all_log/enc_log_Tango2_AI_38_rap0.txt</t>
  </si>
  <si>
    <t>AI_all_log/dec_log_Tango2_AI_38_rap0.txt</t>
  </si>
  <si>
    <t>AI_all_log/enc_log_Tango2_AI_45_rap0.txt</t>
  </si>
  <si>
    <t>AI_all_log/dec_log_Tango2_AI_45_rap0.txt</t>
  </si>
  <si>
    <t>AI_all_log/enc_log_Campfire_AI_27_rap0.txt</t>
  </si>
  <si>
    <t>AI_all_log/dec_log_Campfire_AI_27_rap0.txt</t>
  </si>
  <si>
    <t>AI_all_log/enc_log_Campfire_AI_32_rap0.txt</t>
  </si>
  <si>
    <t>AI_all_log/dec_log_Campfire_AI_32_rap0.txt</t>
  </si>
  <si>
    <t>AI_all_log/enc_log_Campfire_AI_38_rap0.txt</t>
  </si>
  <si>
    <t>AI_all_log/dec_log_Campfire_AI_38_rap0.txt</t>
  </si>
  <si>
    <t>AI_all_log/enc_log_Campfire_AI_45_rap0.txt</t>
  </si>
  <si>
    <t>AI_all_log/dec_log_Campfire_AI_45_rap0.txt</t>
  </si>
  <si>
    <t>AI_all_log/enc_log_ParkRunning3_AI_27_rap0.txt</t>
  </si>
  <si>
    <t>AI_all_log/dec_log_ParkRunning3_AI_27_rap0.txt</t>
  </si>
  <si>
    <t>AI_all_log/enc_log_ParkRunning3_AI_32_rap0.txt</t>
  </si>
  <si>
    <t>AI_all_log/dec_log_ParkRunning3_AI_32_rap0.txt</t>
  </si>
  <si>
    <t>AI_all_log/enc_log_ParkRunning3_AI_38_rap0.txt</t>
  </si>
  <si>
    <t>AI_all_log/dec_log_ParkRunning3_AI_38_rap0.txt</t>
  </si>
  <si>
    <t>AI_all_log/enc_log_ParkRunning3_AI_45_rap0.txt</t>
  </si>
  <si>
    <t>AI_all_log/dec_log_ParkRunning3_AI_45_rap0.txt</t>
  </si>
  <si>
    <t>AI_all_log/enc_log_DaylightRoad2_AI_27_rap0.txt</t>
  </si>
  <si>
    <t>AI_all_log/dec_log_DaylightRoad2_AI_27_rap0.txt</t>
  </si>
  <si>
    <t>AI_all_log/enc_log_DaylightRoad2_AI_32_rap0.txt</t>
  </si>
  <si>
    <t>AI_all_log/dec_log_DaylightRoad2_AI_32_rap0.txt</t>
  </si>
  <si>
    <t>AI_all_log/enc_log_DaylightRoad2_AI_38_rap0.txt</t>
  </si>
  <si>
    <t>AI_all_log/dec_log_DaylightRoad2_AI_38_rap0.txt</t>
  </si>
  <si>
    <t>AI_all_log/enc_log_DaylightRoad2_AI_45_rap0.txt</t>
  </si>
  <si>
    <t>AI_all_log/dec_log_DaylightRoad2_AI_45_rap0.txt</t>
  </si>
  <si>
    <t>LD_all_log/enc_log_Tango2_LD_27_rap0.txt</t>
  </si>
  <si>
    <t>LD_all_log/dec_log_Tango2_LD_27_rap0.txt</t>
  </si>
  <si>
    <t>LD_all_log/enc_log_Tango2_LD_32_rap0.txt</t>
  </si>
  <si>
    <t>LD_all_log/dec_log_Tango2_LD_32_rap0.txt</t>
  </si>
  <si>
    <t>LD_all_log/enc_log_Tango2_LD_38_rap0.txt</t>
  </si>
  <si>
    <t>LD_all_log/dec_log_Tango2_LD_38_rap0.txt</t>
  </si>
  <si>
    <t>LD_all_log/enc_log_Tango2_LD_45_rap0.txt</t>
  </si>
  <si>
    <t>LD_all_log/dec_log_Tango2_LD_45_rap0.txt</t>
  </si>
  <si>
    <t>LD_all_log/enc_log_ParkRunning3_LD_27_rap0.txt</t>
  </si>
  <si>
    <t>LD_all_log/dec_log_ParkRunning3_LD_27_rap0.txt</t>
  </si>
  <si>
    <t>LD_all_log/enc_log_ParkRunning3_LD_32_rap0.txt</t>
  </si>
  <si>
    <t>LD_all_log/dec_log_ParkRunning3_LD_32_rap0.txt</t>
  </si>
  <si>
    <t>LD_all_log/enc_log_ParkRunning3_LD_38_rap0.txt</t>
  </si>
  <si>
    <t>LD_all_log/dec_log_ParkRunning3_LD_38_rap0.txt</t>
  </si>
  <si>
    <t>LD_all_log/enc_log_ParkRunning3_LD_45_rap0.txt</t>
  </si>
  <si>
    <t>LD_all_log/dec_log_ParkRunning3_LD_45_rap0.txt</t>
  </si>
  <si>
    <t>LD_all_log/enc_log_Campfire_LD_27_rap0.txt</t>
  </si>
  <si>
    <t>LD_all_log/dec_log_Campfire_LD_27_rap0.txt</t>
  </si>
  <si>
    <t>LD_all_log/enc_log_Campfire_LD_32_rap0.txt</t>
  </si>
  <si>
    <t>LD_all_log/dec_log_Campfire_LD_32_rap0.txt</t>
  </si>
  <si>
    <t>LD_all_log/enc_log_Campfire_LD_38_rap0.txt</t>
  </si>
  <si>
    <t>LD_all_log/dec_log_Campfire_LD_38_rap0.txt</t>
  </si>
  <si>
    <t>LD_all_log/enc_log_Campfire_LD_45_rap0.txt</t>
  </si>
  <si>
    <t>LD_all_log/dec_log_Campfire_LD_45_rap0.txt</t>
  </si>
  <si>
    <t>LD_all_log/enc_log_DaylightRoad2_LD_27_rap0.txt</t>
  </si>
  <si>
    <t>LD_all_log/dec_log_DaylightRoad2_LD_27_rap0.txt</t>
  </si>
  <si>
    <t>LD_all_log/enc_log_DaylightRoad2_LD_32_rap0.txt</t>
  </si>
  <si>
    <t>LD_all_log/dec_log_DaylightRoad2_LD_32_rap0.txt</t>
  </si>
  <si>
    <t>LD_all_log/enc_log_DaylightRoad2_LD_38_rap0.txt</t>
  </si>
  <si>
    <t>LD_all_log/dec_log_DaylightRoad2_LD_38_rap0.txt</t>
  </si>
  <si>
    <t>LD_all_log/enc_log_DaylightRoad2_LD_45_rap0.txt</t>
  </si>
  <si>
    <t>LD_all_log/dec_log_DaylightRoad2_LD_45_rap0.txt</t>
  </si>
  <si>
    <t>LD_all_log/enc_log_Cactus_LD_27_rap0.txt</t>
  </si>
  <si>
    <t>LD_all_log/dec_log_Cactus_LD_27_rap0.txt</t>
  </si>
  <si>
    <t>LD_all_log/enc_log_Cactus_LD_32_rap0.txt</t>
  </si>
  <si>
    <t>LD_all_log/dec_log_Cactus_LD_32_rap0.txt</t>
  </si>
  <si>
    <t>LD_all_log/enc_log_Cactus_LD_38_rap0.txt</t>
  </si>
  <si>
    <t>LD_all_log/dec_log_Cactus_LD_38_rap0.txt</t>
  </si>
  <si>
    <t>LD_all_log/enc_log_Cactus_LD_45_rap0.txt</t>
  </si>
  <si>
    <t>LD_all_log/dec_log_Cactus_LD_45_rap0.txt</t>
  </si>
  <si>
    <t>LD_all_log/enc_log_BasketballDrive_LD_27_rap0.txt</t>
  </si>
  <si>
    <t>LD_all_log/dec_log_BasketballDrive_LD_27_rap0.txt</t>
  </si>
  <si>
    <t>LD_all_log/enc_log_BasketballDrive_LD_32_rap0.txt</t>
  </si>
  <si>
    <t>LD_all_log/dec_log_BasketballDrive_LD_32_rap0.txt</t>
  </si>
  <si>
    <t>LD_all_log/enc_log_BasketballDrive_LD_38_rap0.txt</t>
  </si>
  <si>
    <t>LD_all_log/dec_log_BasketballDrive_LD_38_rap0.txt</t>
  </si>
  <si>
    <t>LD_all_log/enc_log_BasketballDrive_LD_45_rap0.txt</t>
  </si>
  <si>
    <t>LD_all_log/dec_log_BasketballDrive_LD_45_rap0.txt</t>
  </si>
  <si>
    <t>LD_all_log/enc_log_MarketPlace_LD_27_rap0.txt</t>
  </si>
  <si>
    <t>LD_all_log/dec_log_MarketPlace_LD_27_rap0.txt</t>
  </si>
  <si>
    <t>LD_all_log/enc_log_MarketPlace_LD_32_rap0.txt</t>
  </si>
  <si>
    <t>LD_all_log/dec_log_MarketPlace_LD_32_rap0.txt</t>
  </si>
  <si>
    <t>LD_all_log/enc_log_MarketPlace_LD_38_rap0.txt</t>
  </si>
  <si>
    <t>LD_all_log/dec_log_MarketPlace_LD_38_rap0.txt</t>
  </si>
  <si>
    <t>LD_all_log/enc_log_MarketPlace_LD_45_rap0.txt</t>
  </si>
  <si>
    <t>LD_all_log/dec_log_MarketPlace_LD_45_rap0.txt</t>
  </si>
  <si>
    <t>LD_all_log/enc_log_RitualDance_LD_27_rap0.txt</t>
  </si>
  <si>
    <t>LD_all_log/dec_log_RitualDance_LD_27_rap0.txt</t>
  </si>
  <si>
    <t>LD_all_log/enc_log_RitualDance_LD_32_rap0.txt</t>
  </si>
  <si>
    <t>LD_all_log/dec_log_RitualDance_LD_32_rap0.txt</t>
  </si>
  <si>
    <t>LD_all_log/enc_log_RitualDance_LD_38_rap0.txt</t>
  </si>
  <si>
    <t>LD_all_log/dec_log_RitualDance_LD_38_rap0.txt</t>
  </si>
  <si>
    <t>LD_all_log/enc_log_RitualDance_LD_45_rap0.txt</t>
  </si>
  <si>
    <t>LD_all_log/dec_log_RitualDance_LD_45_rap0.txt</t>
  </si>
  <si>
    <t>LD_all_log/enc_log_City_LD_27_rap0.txt</t>
  </si>
  <si>
    <t>LD_all_log/dec_log_City_LD_27_rap0.txt</t>
  </si>
  <si>
    <t>LD_all_log/enc_log_City_LD_32_rap0.txt</t>
  </si>
  <si>
    <t>LD_all_log/dec_log_City_LD_32_rap0.txt</t>
  </si>
  <si>
    <t>LD_all_log/enc_log_City_LD_38_rap0.txt</t>
  </si>
  <si>
    <t>LD_all_log/dec_log_City_LD_38_rap0.txt</t>
  </si>
  <si>
    <t>LD_all_log/enc_log_City_LD_45_rap0.txt</t>
  </si>
  <si>
    <t>LD_all_log/dec_log_City_LD_45_rap0.txt</t>
  </si>
  <si>
    <t>LD_all_log/enc_log_Crew_LD_27_rap0.txt</t>
  </si>
  <si>
    <t>LD_all_log/dec_log_Crew_LD_27_rap0.txt</t>
  </si>
  <si>
    <t>LD_all_log/enc_log_Crew_LD_32_rap0.txt</t>
  </si>
  <si>
    <t>LD_all_log/dec_log_Crew_LD_32_rap0.txt</t>
  </si>
  <si>
    <t>LD_all_log/enc_log_Crew_LD_38_rap0.txt</t>
  </si>
  <si>
    <t>LD_all_log/dec_log_Crew_LD_38_rap0.txt</t>
  </si>
  <si>
    <t>LD_all_log/enc_log_Crew_LD_45_rap0.txt</t>
  </si>
  <si>
    <t>LD_all_log/dec_log_Crew_LD_45_rap0.txt</t>
  </si>
  <si>
    <t>LD_all_log/enc_log_Vidyo1_LD_27_rap0.txt</t>
  </si>
  <si>
    <t>LD_all_log/dec_log_Vidyo1_LD_27_rap0.txt</t>
  </si>
  <si>
    <t>LD_all_log/enc_log_Vidyo1_LD_32_rap0.txt</t>
  </si>
  <si>
    <t>LD_all_log/dec_log_Vidyo1_LD_32_rap0.txt</t>
  </si>
  <si>
    <t>LD_all_log/enc_log_Vidyo1_LD_38_rap0.txt</t>
  </si>
  <si>
    <t>LD_all_log/dec_log_Vidyo1_LD_38_rap0.txt</t>
  </si>
  <si>
    <t>LD_all_log/enc_log_Vidyo1_LD_45_rap0.txt</t>
  </si>
  <si>
    <t>LD_all_log/dec_log_Vidyo1_LD_45_rap0.txt</t>
  </si>
  <si>
    <t>LD_all_log/enc_log_Vidyo3_LD_27_rap0.txt</t>
  </si>
  <si>
    <t>LD_all_log/dec_log_Vidyo3_LD_27_rap0.txt</t>
  </si>
  <si>
    <t>LD_all_log/enc_log_Vidyo3_LD_32_rap0.txt</t>
  </si>
  <si>
    <t>LD_all_log/dec_log_Vidyo3_LD_32_rap0.txt</t>
  </si>
  <si>
    <t>LD_all_log/enc_log_Vidyo3_LD_38_rap0.txt</t>
  </si>
  <si>
    <t>LD_all_log/dec_log_Vidyo3_LD_38_rap0.txt</t>
  </si>
  <si>
    <t>LD_all_log/enc_log_Vidyo3_LD_45_rap0.txt</t>
  </si>
  <si>
    <t>LD_all_log/dec_log_Vidyo3_LD_45_rap0.txt</t>
  </si>
  <si>
    <t>RA_all_log/enc_log_ParkRunning3_RA_27_rap2.txt</t>
  </si>
  <si>
    <t>HPM13.0</t>
    <phoneticPr fontId="1" type="noConversion"/>
  </si>
  <si>
    <t>HPM13.1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</si>
</sst>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HPM13.0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HPM13.1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topLeftCell="A22" zoomScale="85" zoomScaleNormal="85" workbookViewId="0">
      <selection activeCell="U5" sqref="U5"/>
    </sheetView>
  </sheetViews>
  <sheetFormatPr defaultColWidth="10.8984375" defaultRowHeight="11.4" x14ac:dyDescent="0.2"/>
  <cols>
    <col min="1" max="1" width="4.09765625" style="103" customWidth="1"/>
    <col min="2" max="2" width="15.3984375" style="102" bestFit="1" customWidth="1"/>
    <col min="3" max="5" width="7.5" style="102" bestFit="1" customWidth="1"/>
    <col min="6" max="7" width="6.3984375" style="102" bestFit="1" customWidth="1"/>
    <col min="8" max="8" width="4.8984375" style="103" customWidth="1"/>
    <col min="9" max="9" width="15.3984375" style="103" bestFit="1" customWidth="1"/>
    <col min="10" max="12" width="7.5" style="103" bestFit="1" customWidth="1"/>
    <col min="13" max="14" width="6.3984375" style="103" bestFit="1" customWidth="1"/>
    <col min="15" max="16384" width="10.8984375" style="103"/>
  </cols>
  <sheetData>
    <row r="1" spans="2:15" ht="12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5">
      <c r="C3" s="150" t="str">
        <f>CONCATENATE("Over ", Summary!$J$3)</f>
        <v>Over HPM13.0</v>
      </c>
      <c r="D3" s="151"/>
      <c r="E3" s="151"/>
      <c r="F3" s="151"/>
      <c r="G3" s="152"/>
      <c r="I3" s="102"/>
      <c r="J3" s="150" t="str">
        <f>CONCATENATE("Over ", Summary!$J$3)</f>
        <v>Over HPM13.0</v>
      </c>
      <c r="K3" s="151"/>
      <c r="L3" s="151"/>
      <c r="M3" s="151"/>
      <c r="N3" s="152"/>
      <c r="O3" s="104"/>
    </row>
    <row r="4" spans="2:15" ht="12.75" customHeight="1" thickBot="1" x14ac:dyDescent="0.3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5">
      <c r="B5" s="110" t="str">
        <f>'AI-10'!$B$3</f>
        <v>Tango2</v>
      </c>
      <c r="C5" s="111">
        <f>'AI-10'!$V$3</f>
        <v>-3.2059633721759351E-4</v>
      </c>
      <c r="D5" s="112">
        <f>'AI-10'!$W$3</f>
        <v>-4.8409502099352464E-3</v>
      </c>
      <c r="E5" s="113">
        <f>'AI-10'!$X$3</f>
        <v>-1.7813460818260074E-3</v>
      </c>
      <c r="F5" s="114">
        <f>GEOMEAN('AI-10'!$S$3:'AI-10'!$S$6)</f>
        <v>0.99140827450115876</v>
      </c>
      <c r="G5" s="115">
        <f>GEOMEAN('AI-10'!$T$3:'AI-10'!$T$6)</f>
        <v>0.98857699705998103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5">
      <c r="B6" s="116" t="str">
        <f>'AI-10'!$B$7</f>
        <v>ParkRunning3</v>
      </c>
      <c r="C6" s="117">
        <f>'AI-10'!$V$7</f>
        <v>-2.3353068655418419E-5</v>
      </c>
      <c r="D6" s="118">
        <f>'AI-10'!$W$7</f>
        <v>6.2278611603683309E-4</v>
      </c>
      <c r="E6" s="119">
        <f>'AI-10'!$X$7</f>
        <v>1.0331308429512021E-4</v>
      </c>
      <c r="F6" s="120">
        <f>GEOMEAN('AI-10'!$S$7:'AI-10'!$S$10)</f>
        <v>0.98698325057505387</v>
      </c>
      <c r="G6" s="121">
        <f>GEOMEAN('AI-10'!$T$7:'AI-10'!$T$10)</f>
        <v>0.98927998227112057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5">
      <c r="B7" s="116" t="str">
        <f>'AI-10'!$B$11</f>
        <v>Campfire</v>
      </c>
      <c r="C7" s="117">
        <f>'AI-10'!$V$11</f>
        <v>1.011393392236215E-4</v>
      </c>
      <c r="D7" s="118">
        <f>'AI-10'!$W$11</f>
        <v>-5.8277765845671237E-4</v>
      </c>
      <c r="E7" s="119">
        <f>'AI-10'!$X$11</f>
        <v>-2.5548989514756482E-4</v>
      </c>
      <c r="F7" s="130">
        <f>GEOMEAN('AI-10'!$S$11:'AI-10'!$S$14)</f>
        <v>0.9815132708249652</v>
      </c>
      <c r="G7" s="121">
        <f>GEOMEAN('AI-10'!$T$11:'AI-10'!$T$14)</f>
        <v>0.97773255258905067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3">
      <c r="B8" s="122" t="str">
        <f>'AI-10'!$B$15</f>
        <v>DaylightRoad2</v>
      </c>
      <c r="C8" s="123">
        <f>'AI-10'!$V$15</f>
        <v>4.0490339440202305E-5</v>
      </c>
      <c r="D8" s="124">
        <f>'AI-10'!$W$15</f>
        <v>-6.834743598063131E-4</v>
      </c>
      <c r="E8" s="125">
        <f>'AI-10'!$X$15</f>
        <v>-1.9950309843943526E-3</v>
      </c>
      <c r="F8" s="126">
        <f>GEOMEAN('AI-10'!$S$15:'AI-10'!$S$18)</f>
        <v>0.99263130975444469</v>
      </c>
      <c r="G8" s="127">
        <f>GEOMEAN('AI-10'!$T$15:'AI-10'!$T$18)</f>
        <v>0.9999607561653362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5">
      <c r="B9" s="110" t="str">
        <f>'AI-10'!$B$19</f>
        <v>Cactus</v>
      </c>
      <c r="C9" s="111">
        <f>'AI-10'!$V$19</f>
        <v>9.5443081882473635E-5</v>
      </c>
      <c r="D9" s="112">
        <f>'AI-10'!$W$19</f>
        <v>2.8332651708073975E-4</v>
      </c>
      <c r="E9" s="113">
        <f>'AI-10'!$X$19</f>
        <v>-1.2181714216974449E-3</v>
      </c>
      <c r="F9" s="114">
        <f>GEOMEAN('AI-10'!$S$19:'AI-10'!$S$22)</f>
        <v>0.97732622746819076</v>
      </c>
      <c r="G9" s="115">
        <f>GEOMEAN('AI-10'!$T$19:'AI-10'!$T$22)</f>
        <v>0.97065250343201226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5">
      <c r="B10" s="116" t="str">
        <f>'AI-10'!$B$23</f>
        <v>BasketballDrive</v>
      </c>
      <c r="C10" s="117">
        <f>'AI-10'!$V$23</f>
        <v>-7.0980902406203583E-5</v>
      </c>
      <c r="D10" s="118">
        <f>'AI-10'!$W$23</f>
        <v>-1.8967884499112575E-3</v>
      </c>
      <c r="E10" s="119">
        <f>'AI-10'!$X$23</f>
        <v>5.9113548956934991E-4</v>
      </c>
      <c r="F10" s="120">
        <f>GEOMEAN('AI-10'!$S$23:'AI-10'!$S$26)</f>
        <v>0.99920646603204222</v>
      </c>
      <c r="G10" s="121">
        <f>GEOMEAN('AI-10'!$T$23:'AI-10'!$T$26)</f>
        <v>1.0065718716479983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5">
      <c r="B11" s="116" t="str">
        <f>'AI-10'!$B$27</f>
        <v>MarketPlace</v>
      </c>
      <c r="C11" s="117">
        <f>'AI-10'!$V$27</f>
        <v>7.9219995905432938E-6</v>
      </c>
      <c r="D11" s="118">
        <f>'AI-10'!$W$27</f>
        <v>-2.6481316832593915E-4</v>
      </c>
      <c r="E11" s="119">
        <f>'AI-10'!$X$27</f>
        <v>-8.1109871308482351E-4</v>
      </c>
      <c r="F11" s="120">
        <f>GEOMEAN('AI-10'!$S$27:'AI-10'!$S$30)</f>
        <v>1.0160433427621509</v>
      </c>
      <c r="G11" s="121">
        <f>GEOMEAN('AI-10'!$T$27:'AI-10'!$T$30)</f>
        <v>1.0037753201596238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3">
      <c r="B12" s="122" t="str">
        <f>'AI-10'!$B$31</f>
        <v>RitualDance</v>
      </c>
      <c r="C12" s="123">
        <f>'AI-10'!$V$31</f>
        <v>1.4888806873392113E-5</v>
      </c>
      <c r="D12" s="124">
        <f>'AI-10'!$W$31</f>
        <v>-2.135461941292105E-3</v>
      </c>
      <c r="E12" s="125">
        <f>'AI-10'!$X$31</f>
        <v>-5.1448381769603202E-4</v>
      </c>
      <c r="F12" s="126">
        <f>GEOMEAN('AI-10'!$S$31:'AI-10'!$S$34)</f>
        <v>0.9862482782479195</v>
      </c>
      <c r="G12" s="127">
        <f>GEOMEAN('AI-10'!$T$31:'AI-10'!$T$34)</f>
        <v>1.0014503779562778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5">
      <c r="B13" s="110" t="str">
        <f>'AI-10'!$B$35</f>
        <v>City</v>
      </c>
      <c r="C13" s="111">
        <f>'AI-10'!$V$35</f>
        <v>-4.4396014337033662E-6</v>
      </c>
      <c r="D13" s="112">
        <f>'AI-10'!$W$35</f>
        <v>-5.0552474683629445E-4</v>
      </c>
      <c r="E13" s="113">
        <f>'AI-10'!$X$35</f>
        <v>-2.0381900951582654E-4</v>
      </c>
      <c r="F13" s="114">
        <f>GEOMEAN('AI-10'!$S$35:'AI-10'!$S$38)</f>
        <v>0.98307264630693614</v>
      </c>
      <c r="G13" s="115">
        <f>GEOMEAN('AI-10'!$T$35:'AI-10'!$T$38)</f>
        <v>0.99793203840665157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5">
      <c r="B14" s="116" t="str">
        <f>'AI-10'!$B$39</f>
        <v>Crew</v>
      </c>
      <c r="C14" s="117">
        <f>'AI-10'!$V$39</f>
        <v>-1.184332549608591E-5</v>
      </c>
      <c r="D14" s="118">
        <f>'AI-10'!$W$39</f>
        <v>4.8707095453481841E-4</v>
      </c>
      <c r="E14" s="119">
        <f>'AI-10'!$X$39</f>
        <v>-3.2478450260881031E-3</v>
      </c>
      <c r="F14" s="120">
        <f>GEOMEAN('AI-10'!$S$39:'AI-10'!$S$42)</f>
        <v>0.98321906473740561</v>
      </c>
      <c r="G14" s="121">
        <f>GEOMEAN('AI-10'!$T$39:'AI-10'!$T$42)</f>
        <v>0.98478892542830465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5">
      <c r="B15" s="116" t="str">
        <f>'AI-10'!$B$43</f>
        <v>vidyo1</v>
      </c>
      <c r="C15" s="117">
        <f>'AI-10'!$V$43</f>
        <v>1.0849699412629477E-4</v>
      </c>
      <c r="D15" s="118">
        <f>'AI-10'!$W$43</f>
        <v>-2.5288911472409747E-3</v>
      </c>
      <c r="E15" s="119">
        <f>'AI-10'!$X$43</f>
        <v>-7.6357260716186648E-4</v>
      </c>
      <c r="F15" s="120">
        <f>GEOMEAN('AI-10'!$S$43:'AI-10'!$S$46)</f>
        <v>0.9785298488003541</v>
      </c>
      <c r="G15" s="121">
        <f>GEOMEAN('AI-10'!$T$43:'AI-10'!$T$46)</f>
        <v>0.97625889167490709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3">
      <c r="B16" s="122" t="str">
        <f>'AI-10'!$B$47</f>
        <v>vidyo3</v>
      </c>
      <c r="C16" s="123">
        <f>'AI-10'!$V$47</f>
        <v>1.8538677954027527E-4</v>
      </c>
      <c r="D16" s="124">
        <f>'AI-10'!$W$47</f>
        <v>1.7191207878204384E-3</v>
      </c>
      <c r="E16" s="125">
        <f>'AI-10'!$X$47</f>
        <v>-3.5584200651672671E-3</v>
      </c>
      <c r="F16" s="126">
        <f>GEOMEAN('AI-10'!$S$47:'AI-10'!$S$50)</f>
        <v>1.0016205197845076</v>
      </c>
      <c r="G16" s="127">
        <f>GEOMEAN('AI-10'!$T$47:'AI-10'!$T$50)</f>
        <v>0.98327629617483969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5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3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5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5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5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3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5">
      <c r="B23" s="132" t="s">
        <v>78</v>
      </c>
      <c r="C23" s="111">
        <f>'AI-10'!$V75</f>
        <v>-5.0579931802297029E-5</v>
      </c>
      <c r="D23" s="112">
        <f>'AI-10'!$W75</f>
        <v>-1.3711040280403597E-3</v>
      </c>
      <c r="E23" s="113">
        <f>'AI-10'!$X75</f>
        <v>-9.8213846926820114E-4</v>
      </c>
      <c r="F23" s="128">
        <f>'AI-10'!$S75</f>
        <v>0.98812438480533049</v>
      </c>
      <c r="G23" s="115">
        <f>'AI-10'!$T75</f>
        <v>0.98885630804894409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5">
      <c r="B24" s="133" t="s">
        <v>79</v>
      </c>
      <c r="C24" s="117">
        <f>'AI-10'!$V76</f>
        <v>1.1818246485051365E-5</v>
      </c>
      <c r="D24" s="118">
        <f>'AI-10'!$W76</f>
        <v>-1.0034342606121405E-3</v>
      </c>
      <c r="E24" s="119">
        <f>'AI-10'!$X76</f>
        <v>-4.8815461572723762E-4</v>
      </c>
      <c r="F24" s="130">
        <f>'AI-10'!$S76</f>
        <v>0.99459969225881439</v>
      </c>
      <c r="G24" s="121">
        <f>'AI-10'!$T76</f>
        <v>0.99550542100329009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>
        <f>'AI-10'!$V77</f>
        <v>6.940021168419519E-5</v>
      </c>
      <c r="D25" s="118">
        <f>'AI-10'!$W77</f>
        <v>-2.0705603793050309E-4</v>
      </c>
      <c r="E25" s="119">
        <f>'AI-10'!$X77</f>
        <v>-1.9434141769832658E-3</v>
      </c>
      <c r="F25" s="130">
        <f>'AI-10'!$S77</f>
        <v>0.98657089365602524</v>
      </c>
      <c r="G25" s="121">
        <f>'AI-10'!$T77</f>
        <v>0.98553300576858816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>
        <f>'AI-10'!$V80</f>
        <v>1.0212842122316509E-5</v>
      </c>
      <c r="D26" s="137">
        <f>'AI-10'!$W80</f>
        <v>-8.6053144219433442E-4</v>
      </c>
      <c r="E26" s="136">
        <f>'AI-10'!$X80</f>
        <v>-1.1379024206595683E-3</v>
      </c>
      <c r="F26" s="135">
        <f>'AI-10'!$S80</f>
        <v>0.98975889161862995</v>
      </c>
      <c r="G26" s="134">
        <f>'AI-10'!$T80</f>
        <v>0.9899562389946055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HPM13.0</v>
      </c>
      <c r="D31" s="151"/>
      <c r="E31" s="151"/>
      <c r="F31" s="151"/>
      <c r="G31" s="152"/>
      <c r="I31" s="102"/>
      <c r="J31" s="150" t="str">
        <f>CONCATENATE("Over ", Summary!$J$3)</f>
        <v>Over HPM13.0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>
        <f>'RA-10'!$V$3</f>
        <v>5.2491295013390449E-4</v>
      </c>
      <c r="D33" s="112">
        <f>'RA-10'!$W$3</f>
        <v>1.0575211574064047E-2</v>
      </c>
      <c r="E33" s="113">
        <f>'RA-10'!$X$3</f>
        <v>-2.1536034468796483E-3</v>
      </c>
      <c r="F33" s="114">
        <f>GEOMEAN('RA-10'!$S$3:'RA-10'!$S$6)</f>
        <v>0.98388810092123302</v>
      </c>
      <c r="G33" s="115">
        <f>GEOMEAN('RA-10'!$T$3:'RA-10'!$T$6)</f>
        <v>0.98484742147618609</v>
      </c>
      <c r="I33" s="110" t="str">
        <f>'AI-10'!$B$3</f>
        <v>Tango2</v>
      </c>
      <c r="J33" s="111">
        <f>'LDB-10'!$V$3</f>
        <v>-5.6862150330982963E-4</v>
      </c>
      <c r="K33" s="112">
        <f>'LDB-10'!$W$3</f>
        <v>1.0432691039714115E-2</v>
      </c>
      <c r="L33" s="113">
        <f>'LDB-10'!$X$3</f>
        <v>2.0171923699627836E-3</v>
      </c>
      <c r="M33" s="114">
        <f>GEOMEAN('LDB-10'!$S$3:'LDB-10'!$S$6)</f>
        <v>0.97764387840163192</v>
      </c>
      <c r="N33" s="115">
        <f>GEOMEAN('LDB-10'!$T$3:'LDB-10'!$T$6)</f>
        <v>0.9881802621731629</v>
      </c>
    </row>
    <row r="34" spans="2:14" ht="12.75" customHeight="1" x14ac:dyDescent="0.2">
      <c r="B34" s="116" t="str">
        <f>'AI-10'!$B$7</f>
        <v>ParkRunning3</v>
      </c>
      <c r="C34" s="117">
        <f>'RA-10'!$V$7</f>
        <v>-6.2672929894147522E-5</v>
      </c>
      <c r="D34" s="118">
        <f>'RA-10'!$W$7</f>
        <v>4.550314474016659E-5</v>
      </c>
      <c r="E34" s="119">
        <f>'RA-10'!$X$7</f>
        <v>1.4860229950475201E-3</v>
      </c>
      <c r="F34" s="120">
        <f>GEOMEAN('RA-10'!$S$7:'RA-10'!$S$10)</f>
        <v>0.98618606481947879</v>
      </c>
      <c r="G34" s="121">
        <f>GEOMEAN('RA-10'!$T$7:'RA-10'!$T$10)</f>
        <v>0.99792697194081703</v>
      </c>
      <c r="I34" s="116" t="str">
        <f>'AI-10'!$B$7</f>
        <v>ParkRunning3</v>
      </c>
      <c r="J34" s="117">
        <f>'LDB-10'!$V$7</f>
        <v>2.8645264352378241E-4</v>
      </c>
      <c r="K34" s="118">
        <f>'LDB-10'!$W$7</f>
        <v>4.5604540258770143E-4</v>
      </c>
      <c r="L34" s="119">
        <f>'LDB-10'!$X$7</f>
        <v>2.3686088652530302E-4</v>
      </c>
      <c r="M34" s="120">
        <f>GEOMEAN('LDB-10'!$S$7:'LDB-10'!$S$10)</f>
        <v>0.99207501405343468</v>
      </c>
      <c r="N34" s="121">
        <f>GEOMEAN('LDB-10'!$T$7:'LDB-10'!$T$10)</f>
        <v>0.98638980762717887</v>
      </c>
    </row>
    <row r="35" spans="2:14" ht="12.75" customHeight="1" x14ac:dyDescent="0.2">
      <c r="B35" s="116" t="str">
        <f>'AI-10'!$B$11</f>
        <v>Campfire</v>
      </c>
      <c r="C35" s="117">
        <f>'RA-10'!$V$11</f>
        <v>2.3814248709874697E-4</v>
      </c>
      <c r="D35" s="118">
        <f>'RA-10'!$W$11</f>
        <v>-4.2044547491226769E-4</v>
      </c>
      <c r="E35" s="119">
        <f>'RA-10'!$X$11</f>
        <v>-1.4391428039095544E-4</v>
      </c>
      <c r="F35" s="130">
        <f>GEOMEAN('RA-10'!$S$11:'RA-10'!$S$14)</f>
        <v>0.99665622047498459</v>
      </c>
      <c r="G35" s="121">
        <f>GEOMEAN('RA-10'!$T$11:'RA-10'!$T$14)</f>
        <v>0.98080769070226403</v>
      </c>
      <c r="I35" s="116" t="str">
        <f>'AI-10'!$B$11</f>
        <v>Campfire</v>
      </c>
      <c r="J35" s="117">
        <f>'LDB-10'!$V$11</f>
        <v>-5.5990840542308185E-5</v>
      </c>
      <c r="K35" s="118">
        <f>'LDB-10'!$W$11</f>
        <v>-3.1143197429672753E-4</v>
      </c>
      <c r="L35" s="119">
        <f>'LDB-10'!$X$11</f>
        <v>3.2971403884936024E-3</v>
      </c>
      <c r="M35" s="130">
        <f>GEOMEAN('LDB-10'!$S$11:'LDB-10'!$S$14)</f>
        <v>0.9808106156047055</v>
      </c>
      <c r="N35" s="121">
        <f>GEOMEAN('LDB-10'!$T$11:'LDB-10'!$T$14)</f>
        <v>0.97357252727393895</v>
      </c>
    </row>
    <row r="36" spans="2:14" ht="12.75" customHeight="1" thickBot="1" x14ac:dyDescent="0.25">
      <c r="B36" s="122" t="str">
        <f>'AI-10'!$B$15</f>
        <v>DaylightRoad2</v>
      </c>
      <c r="C36" s="123">
        <f>'RA-10'!$V$15</f>
        <v>9.8647964821885203E-4</v>
      </c>
      <c r="D36" s="124">
        <f>'RA-10'!$W$15</f>
        <v>-1.0554979649475271E-3</v>
      </c>
      <c r="E36" s="125">
        <f>'RA-10'!$X$15</f>
        <v>9.8171489315568294E-5</v>
      </c>
      <c r="F36" s="126">
        <f>GEOMEAN('RA-10'!$S$15:'RA-10'!$S$18)</f>
        <v>0.99291671941404813</v>
      </c>
      <c r="G36" s="127">
        <f>GEOMEAN('RA-10'!$T$15:'RA-10'!$T$18)</f>
        <v>0.99238638942053403</v>
      </c>
      <c r="I36" s="122" t="str">
        <f>'AI-10'!$B$15</f>
        <v>DaylightRoad2</v>
      </c>
      <c r="J36" s="123">
        <f>'LDB-10'!$V$15</f>
        <v>-4.580870837244122E-4</v>
      </c>
      <c r="K36" s="124">
        <f>'LDB-10'!$W$15</f>
        <v>-2.1163720816974596E-4</v>
      </c>
      <c r="L36" s="125">
        <f>'LDB-10'!$X$15</f>
        <v>1.6103603494841412E-3</v>
      </c>
      <c r="M36" s="126">
        <f>GEOMEAN('LDB-10'!$S$15:'LDB-10'!$S$18)</f>
        <v>0.99035170720801347</v>
      </c>
      <c r="N36" s="127">
        <f>GEOMEAN('LDB-10'!$T$15:'LDB-10'!$T$18)</f>
        <v>0.98324161174572799</v>
      </c>
    </row>
    <row r="37" spans="2:14" ht="12.75" customHeight="1" x14ac:dyDescent="0.2">
      <c r="B37" s="110" t="str">
        <f>'AI-10'!$B$19</f>
        <v>Cactus</v>
      </c>
      <c r="C37" s="111">
        <f>'RA-10'!$V$19</f>
        <v>5.3713698893553818E-4</v>
      </c>
      <c r="D37" s="112">
        <f>'RA-10'!$W$19</f>
        <v>-3.7149499987841894E-3</v>
      </c>
      <c r="E37" s="113">
        <f>'RA-10'!$X$19</f>
        <v>8.5339394018735248E-4</v>
      </c>
      <c r="F37" s="114">
        <f>GEOMEAN('RA-10'!$S$19:'RA-10'!$S$22)</f>
        <v>0.98440031075671286</v>
      </c>
      <c r="G37" s="115">
        <f>GEOMEAN('RA-10'!$T$19:'RA-10'!$T$22)</f>
        <v>0.97230753714415519</v>
      </c>
      <c r="I37" s="110" t="str">
        <f>'AI-10'!$B$19</f>
        <v>Cactus</v>
      </c>
      <c r="J37" s="111">
        <f>'LDB-10'!$V$19</f>
        <v>-7.5006043660508226E-4</v>
      </c>
      <c r="K37" s="112">
        <f>'LDB-10'!$W$19</f>
        <v>-6.3861267254713416E-3</v>
      </c>
      <c r="L37" s="113">
        <f>'LDB-10'!$X$19</f>
        <v>1.4968453038650686E-3</v>
      </c>
      <c r="M37" s="114">
        <f>GEOMEAN('LDB-10'!$S$19:'LDB-10'!$S$22)</f>
        <v>0.98333655745134008</v>
      </c>
      <c r="N37" s="115">
        <f>GEOMEAN('LDB-10'!$T$19:'LDB-10'!$T$22)</f>
        <v>0.9718760089808941</v>
      </c>
    </row>
    <row r="38" spans="2:14" ht="12.75" customHeight="1" x14ac:dyDescent="0.2">
      <c r="B38" s="116" t="str">
        <f>'AI-10'!$B$23</f>
        <v>BasketballDrive</v>
      </c>
      <c r="C38" s="117">
        <f>'RA-10'!$V$23</f>
        <v>-3.3294807489658851E-4</v>
      </c>
      <c r="D38" s="118">
        <f>'RA-10'!$W$23</f>
        <v>-2.521654782960181E-3</v>
      </c>
      <c r="E38" s="119">
        <f>'RA-10'!$X$23</f>
        <v>1.8258827355446261E-3</v>
      </c>
      <c r="F38" s="120">
        <f>GEOMEAN('RA-10'!$S$23:'RA-10'!$S$26)</f>
        <v>0.97630838059743852</v>
      </c>
      <c r="G38" s="121">
        <f>GEOMEAN('RA-10'!$T$23:'RA-10'!$T$26)</f>
        <v>0.97069709770102208</v>
      </c>
      <c r="I38" s="116" t="str">
        <f>'AI-10'!$B$23</f>
        <v>BasketballDrive</v>
      </c>
      <c r="J38" s="117">
        <f>'LDB-10'!$V$23</f>
        <v>-1.7919938690680315E-4</v>
      </c>
      <c r="K38" s="118">
        <f>'LDB-10'!$W$23</f>
        <v>3.942222596154954E-3</v>
      </c>
      <c r="L38" s="119">
        <f>'LDB-10'!$X$23</f>
        <v>-2.2440908346038624E-3</v>
      </c>
      <c r="M38" s="120">
        <f>GEOMEAN('LDB-10'!$S$23:'LDB-10'!$S$26)</f>
        <v>0.98871128493820182</v>
      </c>
      <c r="N38" s="121">
        <f>GEOMEAN('LDB-10'!$T$23:'LDB-10'!$T$26)</f>
        <v>0.97736301522783819</v>
      </c>
    </row>
    <row r="39" spans="2:14" ht="12.75" customHeight="1" x14ac:dyDescent="0.2">
      <c r="B39" s="116" t="str">
        <f>'AI-10'!$B$27</f>
        <v>MarketPlace</v>
      </c>
      <c r="C39" s="117">
        <f>'RA-10'!$V$27</f>
        <v>1.202317873948866E-3</v>
      </c>
      <c r="D39" s="118">
        <f>'RA-10'!$W$27</f>
        <v>-5.8876144435783262E-3</v>
      </c>
      <c r="E39" s="119">
        <f>'RA-10'!$X$27</f>
        <v>-1.1467053185130527E-2</v>
      </c>
      <c r="F39" s="120">
        <f>GEOMEAN('RA-10'!$S$27:'RA-10'!$S$30)</f>
        <v>0.98882621712522212</v>
      </c>
      <c r="G39" s="121">
        <f>GEOMEAN('RA-10'!$T$27:'RA-10'!$T$30)</f>
        <v>0.97956481401828455</v>
      </c>
      <c r="I39" s="116" t="str">
        <f>'AI-10'!$B$27</f>
        <v>MarketPlace</v>
      </c>
      <c r="J39" s="117">
        <f>'LDB-10'!$V$27</f>
        <v>2.1011413637328502E-4</v>
      </c>
      <c r="K39" s="118">
        <f>'LDB-10'!$W$27</f>
        <v>-6.5970088966522678E-3</v>
      </c>
      <c r="L39" s="119">
        <f>'LDB-10'!$X$27</f>
        <v>-6.0571494059754594E-3</v>
      </c>
      <c r="M39" s="120">
        <f>GEOMEAN('LDB-10'!$S$27:'LDB-10'!$S$30)</f>
        <v>0.97994892797011079</v>
      </c>
      <c r="N39" s="121">
        <f>GEOMEAN('LDB-10'!$T$27:'LDB-10'!$T$30)</f>
        <v>0.97309584546472938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1.5837758211056929E-4</v>
      </c>
      <c r="D40" s="124">
        <f>'RA-10'!$W$31</f>
        <v>-1.5403583000053178E-3</v>
      </c>
      <c r="E40" s="125">
        <f>'RA-10'!$X$31</f>
        <v>-2.6890470488524221E-3</v>
      </c>
      <c r="F40" s="126">
        <f>GEOMEAN('RA-10'!$S$31:'RA-10'!$S$34)</f>
        <v>0.98952394990235482</v>
      </c>
      <c r="G40" s="127">
        <f>GEOMEAN('RA-10'!$T$31:'RA-10'!$T$34)</f>
        <v>1.0109213079062547</v>
      </c>
      <c r="I40" s="122" t="str">
        <f>'AI-10'!$B$31</f>
        <v>RitualDance</v>
      </c>
      <c r="J40" s="123">
        <f>'LDB-10'!$V$31</f>
        <v>-7.6564604886875109E-4</v>
      </c>
      <c r="K40" s="124">
        <f>'LDB-10'!$W$31</f>
        <v>-4.0142768542195117E-4</v>
      </c>
      <c r="L40" s="125">
        <f>'LDB-10'!$X$31</f>
        <v>-1.3467107973657022E-3</v>
      </c>
      <c r="M40" s="126">
        <f>GEOMEAN('LDB-10'!$S$31:'LDB-10'!$S$34)</f>
        <v>0.99194777034392412</v>
      </c>
      <c r="N40" s="127">
        <f>GEOMEAN('LDB-10'!$T$31:'LDB-10'!$T$34)</f>
        <v>0.97765888396328393</v>
      </c>
    </row>
    <row r="41" spans="2:14" ht="12.75" customHeight="1" x14ac:dyDescent="0.2">
      <c r="B41" s="110" t="str">
        <f>'AI-10'!$B$35</f>
        <v>City</v>
      </c>
      <c r="C41" s="111">
        <f>'RA-10'!$V$35</f>
        <v>4.6783846285536335E-4</v>
      </c>
      <c r="D41" s="112">
        <f>'RA-10'!$W$35</f>
        <v>-2.6851320437697446E-3</v>
      </c>
      <c r="E41" s="113">
        <f>'RA-10'!$X$35</f>
        <v>-5.660914240563697E-3</v>
      </c>
      <c r="F41" s="114">
        <f>GEOMEAN('RA-10'!$S$35:'RA-10'!$S$38)</f>
        <v>0.9772709750859474</v>
      </c>
      <c r="G41" s="115">
        <f>GEOMEAN('RA-10'!$T$35:'RA-10'!$T$38)</f>
        <v>1.0054671231112831</v>
      </c>
      <c r="I41" s="110" t="str">
        <f>'AI-10'!$B$35</f>
        <v>City</v>
      </c>
      <c r="J41" s="111">
        <f>'LDB-10'!$V$35</f>
        <v>1.7619790586322903E-3</v>
      </c>
      <c r="K41" s="112">
        <f>'LDB-10'!$W$35</f>
        <v>3.6232565148948126E-3</v>
      </c>
      <c r="L41" s="113">
        <f>'LDB-10'!$X$35</f>
        <v>-8.893947040629735E-3</v>
      </c>
      <c r="M41" s="114">
        <f>GEOMEAN('LDB-10'!$S$35:'LDB-10'!$S$38)</f>
        <v>0.99827837631315786</v>
      </c>
      <c r="N41" s="115">
        <f>GEOMEAN('LDB-10'!$T$35:'LDB-10'!$T$38)</f>
        <v>0.99234874165083664</v>
      </c>
    </row>
    <row r="42" spans="2:14" ht="12.75" customHeight="1" x14ac:dyDescent="0.2">
      <c r="B42" s="116" t="str">
        <f>'AI-10'!$B$39</f>
        <v>Crew</v>
      </c>
      <c r="C42" s="117">
        <f>'RA-10'!$V$39</f>
        <v>4.962558159467001E-4</v>
      </c>
      <c r="D42" s="118">
        <f>'RA-10'!$W$39</f>
        <v>-8.1589713024416977E-3</v>
      </c>
      <c r="E42" s="119">
        <f>'RA-10'!$X$39</f>
        <v>1.0027111856925064E-3</v>
      </c>
      <c r="F42" s="120">
        <f>GEOMEAN('RA-10'!$S$39:'RA-10'!$S$42)</f>
        <v>0.97111797489248808</v>
      </c>
      <c r="G42" s="121">
        <f>GEOMEAN('RA-10'!$T$39:'RA-10'!$T$42)</f>
        <v>1.0007490613376879</v>
      </c>
      <c r="I42" s="116" t="str">
        <f>'AI-10'!$B$39</f>
        <v>Crew</v>
      </c>
      <c r="J42" s="117">
        <f>'LDB-10'!$V$39</f>
        <v>7.5296250008327625E-4</v>
      </c>
      <c r="K42" s="118">
        <f>'LDB-10'!$W$39</f>
        <v>6.5017554937023547E-3</v>
      </c>
      <c r="L42" s="119">
        <f>'LDB-10'!$X$39</f>
        <v>7.9864532289910528E-3</v>
      </c>
      <c r="M42" s="120">
        <f>GEOMEAN('LDB-10'!$S$39:'LDB-10'!$S$42)</f>
        <v>0.99453357606611992</v>
      </c>
      <c r="N42" s="121">
        <f>GEOMEAN('LDB-10'!$T$39:'LDB-10'!$T$42)</f>
        <v>0.97629700669616637</v>
      </c>
    </row>
    <row r="43" spans="2:14" ht="12.75" customHeight="1" x14ac:dyDescent="0.2">
      <c r="B43" s="116" t="str">
        <f>'AI-10'!$B$43</f>
        <v>vidyo1</v>
      </c>
      <c r="C43" s="117">
        <f>'RA-10'!$V$43</f>
        <v>-6.2482832682797529E-4</v>
      </c>
      <c r="D43" s="118">
        <f>'RA-10'!$W$43</f>
        <v>1.3675019991913562E-2</v>
      </c>
      <c r="E43" s="119">
        <f>'RA-10'!$X$43</f>
        <v>-1.0509706794673557E-2</v>
      </c>
      <c r="F43" s="120">
        <f>GEOMEAN('RA-10'!$S$43:'RA-10'!$S$46)</f>
        <v>0.97575420930648493</v>
      </c>
      <c r="G43" s="121">
        <f>GEOMEAN('RA-10'!$T$43:'RA-10'!$T$46)</f>
        <v>1.0078959509273893</v>
      </c>
      <c r="I43" s="116" t="str">
        <f>'AI-10'!$B$43</f>
        <v>vidyo1</v>
      </c>
      <c r="J43" s="117">
        <f>'LDB-10'!$V$43</f>
        <v>-1.207061392819786E-3</v>
      </c>
      <c r="K43" s="118">
        <f>'LDB-10'!$W$43</f>
        <v>-1.6250954789084227E-2</v>
      </c>
      <c r="L43" s="119">
        <f>'LDB-10'!$X$43</f>
        <v>-1.8336267054395172E-3</v>
      </c>
      <c r="M43" s="120">
        <f>GEOMEAN('LDB-10'!$S$43:'LDB-10'!$S$46)</f>
        <v>0.99781667704335519</v>
      </c>
      <c r="N43" s="121">
        <f>GEOMEAN('LDB-10'!$T$43:'LDB-10'!$T$46)</f>
        <v>0.97209718829115932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1.1416712441001398E-3</v>
      </c>
      <c r="D44" s="124">
        <f>'RA-10'!$W$47</f>
        <v>-9.3394686933467863E-4</v>
      </c>
      <c r="E44" s="125">
        <f>'RA-10'!$X$47</f>
        <v>2.940748123519521E-3</v>
      </c>
      <c r="F44" s="126">
        <f>GEOMEAN('RA-10'!$S$47:'RA-10'!$S$50)</f>
        <v>0.97803150323072741</v>
      </c>
      <c r="G44" s="127">
        <f>GEOMEAN('RA-10'!$T$47:'RA-10'!$T$50)</f>
        <v>0.9596883091409717</v>
      </c>
      <c r="I44" s="122" t="str">
        <f>'AI-10'!$B$47</f>
        <v>vidyo3</v>
      </c>
      <c r="J44" s="123">
        <f>'LDB-10'!$V$47</f>
        <v>-1.4367077171291154E-3</v>
      </c>
      <c r="K44" s="124">
        <f>'LDB-10'!$W$47</f>
        <v>-1.1258154446026847E-2</v>
      </c>
      <c r="L44" s="125">
        <f>'LDB-10'!$X$47</f>
        <v>-1.8533905238912962E-2</v>
      </c>
      <c r="M44" s="126">
        <f>GEOMEAN('LDB-10'!$S$47:'LDB-10'!$S$50)</f>
        <v>0.98448516919499063</v>
      </c>
      <c r="N44" s="127">
        <f>GEOMEAN('LDB-10'!$T$47:'LDB-10'!$T$50)</f>
        <v>1.0291660437030945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>
        <f>'RA-10'!$V75</f>
        <v>4.2171553888933899E-4</v>
      </c>
      <c r="D51" s="112">
        <f>'RA-10'!$W75</f>
        <v>2.2861928197361048E-3</v>
      </c>
      <c r="E51" s="113">
        <f>'RA-10'!$X75</f>
        <v>-1.7833081072687884E-4</v>
      </c>
      <c r="F51" s="128">
        <f>'RA-10'!$S75</f>
        <v>0.98989856296851864</v>
      </c>
      <c r="G51" s="115">
        <f>'RA-10'!$T75</f>
        <v>0.98896994553075812</v>
      </c>
      <c r="I51" s="132" t="s">
        <v>78</v>
      </c>
      <c r="J51" s="111">
        <f>'LDB-10'!$V75</f>
        <v>-1.990616960131919E-4</v>
      </c>
      <c r="K51" s="112">
        <f>'LDB-10'!$W75</f>
        <v>2.5914168149588357E-3</v>
      </c>
      <c r="L51" s="113">
        <f>'LDB-10'!$X75</f>
        <v>1.7903884986164575E-3</v>
      </c>
      <c r="M51" s="128">
        <f>'LDB-10'!$S75</f>
        <v>0.98520124579534352</v>
      </c>
      <c r="N51" s="115">
        <f>'LDB-10'!$T75</f>
        <v>0.98282982664716401</v>
      </c>
    </row>
    <row r="52" spans="2:14" ht="12.75" customHeight="1" x14ac:dyDescent="0.2">
      <c r="B52" s="133" t="s">
        <v>79</v>
      </c>
      <c r="C52" s="117">
        <f>'RA-10'!$V76</f>
        <v>3.9122109252459625E-4</v>
      </c>
      <c r="D52" s="118">
        <f>'RA-10'!$W76</f>
        <v>-3.4161443813320036E-3</v>
      </c>
      <c r="E52" s="119">
        <f>'RA-10'!$X76</f>
        <v>-2.8692058895627426E-3</v>
      </c>
      <c r="F52" s="130">
        <f>'RA-10'!$S76</f>
        <v>0.98475061454758495</v>
      </c>
      <c r="G52" s="121">
        <f>'RA-10'!$T76</f>
        <v>0.98323986324152157</v>
      </c>
      <c r="I52" s="133" t="s">
        <v>79</v>
      </c>
      <c r="J52" s="117">
        <f>'LDB-10'!$V76</f>
        <v>-3.7119793400183787E-4</v>
      </c>
      <c r="K52" s="118">
        <f>'LDB-10'!$W76</f>
        <v>-2.3605851778476517E-3</v>
      </c>
      <c r="L52" s="119">
        <f>'LDB-10'!$X76</f>
        <v>-2.0377764335199888E-3</v>
      </c>
      <c r="M52" s="130">
        <f>'LDB-10'!$S76</f>
        <v>0.98597517647908195</v>
      </c>
      <c r="N52" s="121">
        <f>'LDB-10'!$T76</f>
        <v>0.97499509964953479</v>
      </c>
    </row>
    <row r="53" spans="2:14" ht="12.75" customHeight="1" thickBot="1" x14ac:dyDescent="0.25">
      <c r="B53" s="133" t="s">
        <v>51</v>
      </c>
      <c r="C53" s="117">
        <f>'RA-10'!$V77</f>
        <v>3.7023429901855698E-4</v>
      </c>
      <c r="D53" s="118">
        <f>'RA-10'!$W77</f>
        <v>4.7424244409186023E-4</v>
      </c>
      <c r="E53" s="119">
        <f>'RA-10'!$X77</f>
        <v>-3.0567904315063066E-3</v>
      </c>
      <c r="F53" s="130">
        <f>'RA-10'!$S77</f>
        <v>0.97553996905410323</v>
      </c>
      <c r="G53" s="121">
        <f>'RA-10'!$T77</f>
        <v>0.99325267346989365</v>
      </c>
      <c r="I53" s="133" t="s">
        <v>80</v>
      </c>
      <c r="J53" s="117">
        <f>'LDB-10'!$V77</f>
        <v>-3.2206887808333695E-5</v>
      </c>
      <c r="K53" s="118">
        <f>'LDB-10'!$W77</f>
        <v>-4.3460243066284765E-3</v>
      </c>
      <c r="L53" s="119">
        <f>'LDB-10'!$X77</f>
        <v>-5.3187564389977904E-3</v>
      </c>
      <c r="M53" s="130">
        <f>'LDB-10'!$S77</f>
        <v>0.9937628616848635</v>
      </c>
      <c r="N53" s="121">
        <f>'LDB-10'!$T77</f>
        <v>0.99222543159130894</v>
      </c>
    </row>
    <row r="54" spans="2:14" ht="12.75" customHeight="1" thickBot="1" x14ac:dyDescent="0.25">
      <c r="B54" s="139" t="s">
        <v>37</v>
      </c>
      <c r="C54" s="138">
        <f>'RA-10'!$V80</f>
        <v>3.9439031014416409E-4</v>
      </c>
      <c r="D54" s="137">
        <f>'RA-10'!$W80</f>
        <v>-2.1856970583467952E-4</v>
      </c>
      <c r="E54" s="136">
        <f>'RA-10'!$X80</f>
        <v>-2.0347757105986428E-3</v>
      </c>
      <c r="F54" s="135">
        <f>'RA-10'!$S80</f>
        <v>0.98337842094205397</v>
      </c>
      <c r="G54" s="134">
        <f>'RA-10'!$T80</f>
        <v>0.98847897902311443</v>
      </c>
      <c r="I54" s="139" t="s">
        <v>37</v>
      </c>
      <c r="J54" s="138">
        <f>'LDB-10'!$V80</f>
        <v>-2.0082217260778781E-4</v>
      </c>
      <c r="K54" s="137">
        <f>'LDB-10'!$W80</f>
        <v>-1.3717308898390974E-3</v>
      </c>
      <c r="L54" s="136">
        <f>'LDB-10'!$X80</f>
        <v>-1.8553814579671073E-3</v>
      </c>
      <c r="M54" s="135">
        <f>'LDB-10'!$S80</f>
        <v>0.98830554483021527</v>
      </c>
      <c r="N54" s="134">
        <f>'LDB-10'!$T80</f>
        <v>0.98332490386686666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5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5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tabSelected="1" zoomScaleNormal="100" workbookViewId="0">
      <selection activeCell="C25" sqref="C25:G28"/>
    </sheetView>
  </sheetViews>
  <sheetFormatPr defaultColWidth="10.8984375" defaultRowHeight="11.4" x14ac:dyDescent="0.2"/>
  <cols>
    <col min="1" max="1" width="4.09765625" style="1" customWidth="1"/>
    <col min="2" max="2" width="13.59765625" style="70" customWidth="1"/>
    <col min="3" max="7" width="8.8984375" style="70" customWidth="1"/>
    <col min="8" max="8" width="10.8984375" style="1"/>
    <col min="9" max="9" width="20.59765625" style="1" customWidth="1"/>
    <col min="10" max="10" width="13" style="1" customWidth="1"/>
    <col min="11" max="16384" width="10.8984375" style="1"/>
  </cols>
  <sheetData>
    <row r="1" spans="2:10" ht="12" thickBot="1" x14ac:dyDescent="0.25"/>
    <row r="2" spans="2:10" ht="12.75" customHeight="1" thickBot="1" x14ac:dyDescent="0.3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5">
      <c r="C3" s="145" t="str">
        <f>CONCATENATE("Over ", $J$3)</f>
        <v>Over HPM13.0</v>
      </c>
      <c r="D3" s="146"/>
      <c r="E3" s="146"/>
      <c r="F3" s="146"/>
      <c r="G3" s="147"/>
      <c r="I3" s="28" t="s">
        <v>20</v>
      </c>
      <c r="J3" s="28" t="s">
        <v>694</v>
      </c>
    </row>
    <row r="4" spans="2:10" ht="12.75" customHeight="1" thickBot="1" x14ac:dyDescent="0.3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695</v>
      </c>
    </row>
    <row r="5" spans="2:10" ht="12.75" customHeight="1" x14ac:dyDescent="0.25">
      <c r="B5" s="93" t="s">
        <v>92</v>
      </c>
      <c r="C5" s="60">
        <f>'AI-10'!V75</f>
        <v>-5.0579931802297029E-5</v>
      </c>
      <c r="D5" s="61">
        <f>'AI-10'!W75</f>
        <v>-1.3711040280403597E-3</v>
      </c>
      <c r="E5" s="62">
        <f>'AI-10'!X75</f>
        <v>-9.8213846926820114E-4</v>
      </c>
      <c r="F5" s="63">
        <f>'AI-10'!S75</f>
        <v>0.98812438480533049</v>
      </c>
      <c r="G5" s="64">
        <f>'AI-10'!T75</f>
        <v>0.98885630804894409</v>
      </c>
      <c r="H5" s="25"/>
      <c r="J5" s="28"/>
    </row>
    <row r="6" spans="2:10" ht="12.75" customHeight="1" x14ac:dyDescent="0.25">
      <c r="B6" s="94" t="s">
        <v>91</v>
      </c>
      <c r="C6" s="65">
        <f>'AI-10'!V76</f>
        <v>1.1818246485051365E-5</v>
      </c>
      <c r="D6" s="66">
        <f>'AI-10'!W76</f>
        <v>-1.0034342606121405E-3</v>
      </c>
      <c r="E6" s="67">
        <f>'AI-10'!X76</f>
        <v>-4.8815461572723762E-4</v>
      </c>
      <c r="F6" s="68">
        <f>'AI-10'!S76</f>
        <v>0.99459969225881439</v>
      </c>
      <c r="G6" s="69">
        <f>'AI-10'!T76</f>
        <v>0.99550542100329009</v>
      </c>
      <c r="H6" s="25"/>
      <c r="J6" s="28"/>
    </row>
    <row r="7" spans="2:10" ht="12.75" customHeight="1" thickBot="1" x14ac:dyDescent="0.25">
      <c r="B7" s="95" t="s">
        <v>93</v>
      </c>
      <c r="C7" s="65">
        <f>'AI-10'!V77</f>
        <v>6.940021168419519E-5</v>
      </c>
      <c r="D7" s="66">
        <f>'AI-10'!W77</f>
        <v>-2.0705603793050309E-4</v>
      </c>
      <c r="E7" s="67">
        <f>'AI-10'!X77</f>
        <v>-1.9434141769832658E-3</v>
      </c>
      <c r="F7" s="68">
        <f>'AI-10'!S77</f>
        <v>0.98657089365602524</v>
      </c>
      <c r="G7" s="69">
        <f>'AI-10'!T77</f>
        <v>0.98553300576858816</v>
      </c>
      <c r="H7" s="25"/>
    </row>
    <row r="8" spans="2:10" s="20" customFormat="1" ht="12.75" customHeight="1" thickBot="1" x14ac:dyDescent="0.3">
      <c r="B8" s="81" t="s">
        <v>37</v>
      </c>
      <c r="C8" s="60">
        <f>'AI-10'!V80</f>
        <v>1.0212842122316509E-5</v>
      </c>
      <c r="D8" s="61">
        <f>'AI-10'!W80</f>
        <v>-8.6053144219433442E-4</v>
      </c>
      <c r="E8" s="61">
        <f>'AI-10'!X80</f>
        <v>-1.1379024206595683E-3</v>
      </c>
      <c r="F8" s="100">
        <f>'AI-10'!S80</f>
        <v>0.98975889161862995</v>
      </c>
      <c r="G8" s="101">
        <f>'AI-10'!T80</f>
        <v>0.9899562389946055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3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5">
      <c r="C13" s="145" t="str">
        <f>CONCATENATE("Over ", $J$3)</f>
        <v>Over HPM13.0</v>
      </c>
      <c r="D13" s="146"/>
      <c r="E13" s="146"/>
      <c r="F13" s="146"/>
      <c r="G13" s="147"/>
      <c r="I13" s="28"/>
    </row>
    <row r="14" spans="2:10" ht="12.75" customHeight="1" thickBot="1" x14ac:dyDescent="0.3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5">
      <c r="B15" s="93" t="s">
        <v>92</v>
      </c>
      <c r="C15" s="60">
        <f>'RA-10'!V75</f>
        <v>4.2171553888933899E-4</v>
      </c>
      <c r="D15" s="61">
        <f>'RA-10'!W75</f>
        <v>2.2861928197361048E-3</v>
      </c>
      <c r="E15" s="62">
        <f>'RA-10'!X75</f>
        <v>-1.7833081072687884E-4</v>
      </c>
      <c r="F15" s="63">
        <f>'RA-10'!S75</f>
        <v>0.98989856296851864</v>
      </c>
      <c r="G15" s="64">
        <f>'RA-10'!T75</f>
        <v>0.98896994553075812</v>
      </c>
      <c r="H15" s="25"/>
      <c r="I15" s="28"/>
    </row>
    <row r="16" spans="2:10" ht="12.75" customHeight="1" x14ac:dyDescent="0.25">
      <c r="B16" s="94" t="s">
        <v>91</v>
      </c>
      <c r="C16" s="65">
        <f>'RA-10'!V76</f>
        <v>3.9122109252459625E-4</v>
      </c>
      <c r="D16" s="66">
        <f>'RA-10'!W76</f>
        <v>-3.4161443813320036E-3</v>
      </c>
      <c r="E16" s="67">
        <f>'RA-10'!X76</f>
        <v>-2.8692058895627426E-3</v>
      </c>
      <c r="F16" s="68">
        <f>'RA-10'!S76</f>
        <v>0.98475061454758495</v>
      </c>
      <c r="G16" s="69">
        <f>'RA-10'!T76</f>
        <v>0.98323986324152157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3.7023429901855698E-4</v>
      </c>
      <c r="D17" s="66">
        <f>'RA-10'!W77</f>
        <v>4.7424244409186023E-4</v>
      </c>
      <c r="E17" s="67">
        <f>'RA-10'!X77</f>
        <v>-3.0567904315063066E-3</v>
      </c>
      <c r="F17" s="68">
        <f>'RA-10'!S77</f>
        <v>0.97553996905410323</v>
      </c>
      <c r="G17" s="69">
        <f>'RA-10'!T77</f>
        <v>0.99325267346989365</v>
      </c>
      <c r="H17" s="25"/>
    </row>
    <row r="18" spans="2:9" ht="12.75" customHeight="1" thickBot="1" x14ac:dyDescent="0.3">
      <c r="B18" s="81" t="s">
        <v>37</v>
      </c>
      <c r="C18" s="60">
        <f>'RA-10'!V80</f>
        <v>3.9439031014416409E-4</v>
      </c>
      <c r="D18" s="61">
        <f>'RA-10'!W80</f>
        <v>-2.1856970583467952E-4</v>
      </c>
      <c r="E18" s="61">
        <f>'RA-10'!X80</f>
        <v>-2.0347757105986428E-3</v>
      </c>
      <c r="F18" s="100">
        <f>'RA-10'!S80</f>
        <v>0.98337842094205397</v>
      </c>
      <c r="G18" s="101">
        <f>'RA-10'!T80</f>
        <v>0.98847897902311443</v>
      </c>
      <c r="H18" s="25"/>
      <c r="I18" s="28"/>
    </row>
    <row r="19" spans="2:9" ht="12.75" customHeight="1" thickBot="1" x14ac:dyDescent="0.3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3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3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HPM13.0</v>
      </c>
      <c r="D23" s="146"/>
      <c r="E23" s="146"/>
      <c r="F23" s="146"/>
      <c r="G23" s="147"/>
    </row>
    <row r="24" spans="2:9" ht="12.75" customHeight="1" thickBot="1" x14ac:dyDescent="0.3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5">
      <c r="B25" s="93" t="s">
        <v>92</v>
      </c>
      <c r="C25" s="60">
        <f>'LDB-10'!V75</f>
        <v>-1.990616960131919E-4</v>
      </c>
      <c r="D25" s="61">
        <f>'LDB-10'!W75</f>
        <v>2.5914168149588357E-3</v>
      </c>
      <c r="E25" s="62">
        <f>'LDB-10'!X75</f>
        <v>1.7903884986164575E-3</v>
      </c>
      <c r="F25" s="63">
        <f>'LDB-10'!S75</f>
        <v>0.98520124579534352</v>
      </c>
      <c r="G25" s="64">
        <f>'LDB-10'!T75</f>
        <v>0.98282982664716401</v>
      </c>
      <c r="H25" s="25"/>
      <c r="I25" s="28"/>
    </row>
    <row r="26" spans="2:9" ht="12.75" customHeight="1" x14ac:dyDescent="0.2">
      <c r="B26" s="94" t="s">
        <v>91</v>
      </c>
      <c r="C26" s="65">
        <f>'LDB-10'!V76</f>
        <v>-3.7119793400183787E-4</v>
      </c>
      <c r="D26" s="66">
        <f>'LDB-10'!W76</f>
        <v>-2.3605851778476517E-3</v>
      </c>
      <c r="E26" s="67">
        <f>'LDB-10'!X76</f>
        <v>-2.0377764335199888E-3</v>
      </c>
      <c r="F26" s="68">
        <f>'LDB-10'!S76</f>
        <v>0.98597517647908195</v>
      </c>
      <c r="G26" s="69">
        <f>'LDB-10'!T76</f>
        <v>0.97499509964953479</v>
      </c>
      <c r="H26" s="25"/>
    </row>
    <row r="27" spans="2:9" ht="12.75" customHeight="1" thickBot="1" x14ac:dyDescent="0.3">
      <c r="B27" s="95" t="s">
        <v>93</v>
      </c>
      <c r="C27" s="65">
        <f>'LDB-10'!V77</f>
        <v>-3.2206887808333695E-5</v>
      </c>
      <c r="D27" s="66">
        <f>'LDB-10'!W77</f>
        <v>-4.3460243066284765E-3</v>
      </c>
      <c r="E27" s="67">
        <f>'LDB-10'!X77</f>
        <v>-5.3187564389977904E-3</v>
      </c>
      <c r="F27" s="68">
        <f>'LDB-10'!S77</f>
        <v>0.9937628616848635</v>
      </c>
      <c r="G27" s="69">
        <f>'LDB-10'!T77</f>
        <v>0.99222543159130894</v>
      </c>
      <c r="H27" s="25"/>
      <c r="I27" s="28"/>
    </row>
    <row r="28" spans="2:9" ht="12.75" customHeight="1" thickBot="1" x14ac:dyDescent="0.25">
      <c r="B28" s="81" t="s">
        <v>37</v>
      </c>
      <c r="C28" s="60">
        <f>'LDB-10'!V80</f>
        <v>-2.0082217260778781E-4</v>
      </c>
      <c r="D28" s="61">
        <f>'LDB-10'!W80</f>
        <v>-1.3717308898390974E-3</v>
      </c>
      <c r="E28" s="61">
        <f>'LDB-10'!X80</f>
        <v>-1.8553814579671073E-3</v>
      </c>
      <c r="F28" s="100">
        <f>'LDB-10'!S80</f>
        <v>0.98830554483021527</v>
      </c>
      <c r="G28" s="101">
        <f>'LDB-10'!T80</f>
        <v>0.98332490386686666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HPM13.0</v>
      </c>
      <c r="D33" s="146"/>
      <c r="E33" s="146"/>
      <c r="F33" s="146"/>
      <c r="G33" s="147"/>
    </row>
    <row r="34" spans="2:9" ht="12.75" customHeight="1" thickBot="1" x14ac:dyDescent="0.3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984375" defaultRowHeight="15.6" x14ac:dyDescent="0.25"/>
  <cols>
    <col min="2" max="2" width="21.3984375" customWidth="1"/>
    <col min="25" max="26" width="9" customWidth="1"/>
    <col min="27" max="27" width="16.3984375" style="30" bestFit="1" customWidth="1"/>
    <col min="28" max="39" width="9" customWidth="1"/>
  </cols>
  <sheetData>
    <row r="1" spans="1:43" ht="16.2" thickBot="1" x14ac:dyDescent="0.3">
      <c r="A1" t="s">
        <v>24</v>
      </c>
      <c r="AD1" t="s">
        <v>22</v>
      </c>
      <c r="AI1" t="s">
        <v>23</v>
      </c>
      <c r="AN1" t="s">
        <v>29</v>
      </c>
    </row>
    <row r="2" spans="1:43" ht="16.2" thickBot="1" x14ac:dyDescent="0.3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x14ac:dyDescent="0.25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x14ac:dyDescent="0.25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x14ac:dyDescent="0.25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x14ac:dyDescent="0.25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x14ac:dyDescent="0.25">
      <c r="AA7" s="20" t="s">
        <v>66</v>
      </c>
      <c r="AB7">
        <f t="shared" si="0"/>
        <v>19</v>
      </c>
    </row>
    <row r="8" spans="1:43" x14ac:dyDescent="0.25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x14ac:dyDescent="0.25">
      <c r="AA9" s="20" t="s">
        <v>68</v>
      </c>
      <c r="AB9">
        <f t="shared" si="0"/>
        <v>27</v>
      </c>
    </row>
    <row r="10" spans="1:43" x14ac:dyDescent="0.25">
      <c r="AA10" s="20" t="s">
        <v>69</v>
      </c>
      <c r="AB10">
        <f t="shared" si="0"/>
        <v>31</v>
      </c>
    </row>
    <row r="11" spans="1:43" x14ac:dyDescent="0.25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6.2" x14ac:dyDescent="0.3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6.2" x14ac:dyDescent="0.3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6.2" x14ac:dyDescent="0.3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6.2" x14ac:dyDescent="0.3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6.2" x14ac:dyDescent="0.3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x14ac:dyDescent="0.25">
      <c r="AA17" s="20" t="s">
        <v>83</v>
      </c>
      <c r="AB17">
        <f t="shared" si="0"/>
        <v>59</v>
      </c>
    </row>
    <row r="18" spans="27:28" x14ac:dyDescent="0.25">
      <c r="AA18" s="20" t="s">
        <v>84</v>
      </c>
      <c r="AB18">
        <f t="shared" si="0"/>
        <v>63</v>
      </c>
    </row>
    <row r="19" spans="27:28" x14ac:dyDescent="0.25">
      <c r="AA19" s="20" t="s">
        <v>85</v>
      </c>
      <c r="AB19">
        <f t="shared" si="0"/>
        <v>67</v>
      </c>
    </row>
    <row r="20" spans="27:28" x14ac:dyDescent="0.25">
      <c r="AA20" s="20" t="s">
        <v>86</v>
      </c>
      <c r="AB20">
        <f t="shared" si="0"/>
        <v>71</v>
      </c>
    </row>
    <row r="21" spans="27:28" x14ac:dyDescent="0.25">
      <c r="AA21"/>
    </row>
    <row r="22" spans="27:28" x14ac:dyDescent="0.25">
      <c r="AA22"/>
    </row>
    <row r="23" spans="27:28" x14ac:dyDescent="0.25">
      <c r="AA23"/>
    </row>
    <row r="24" spans="27:28" x14ac:dyDescent="0.25">
      <c r="AA24"/>
    </row>
    <row r="25" spans="27:28" x14ac:dyDescent="0.25">
      <c r="AA25"/>
    </row>
    <row r="26" spans="27:28" x14ac:dyDescent="0.25">
      <c r="AA26"/>
    </row>
    <row r="27" spans="27:28" x14ac:dyDescent="0.25">
      <c r="AA27"/>
    </row>
    <row r="28" spans="27:28" x14ac:dyDescent="0.25">
      <c r="AA28"/>
    </row>
    <row r="29" spans="27:28" x14ac:dyDescent="0.25">
      <c r="AA29"/>
    </row>
    <row r="30" spans="27:28" x14ac:dyDescent="0.25">
      <c r="AA30"/>
    </row>
    <row r="31" spans="27:28" x14ac:dyDescent="0.25">
      <c r="AA31"/>
    </row>
    <row r="32" spans="27:28" x14ac:dyDescent="0.25">
      <c r="AA32"/>
    </row>
    <row r="33" spans="27:27" x14ac:dyDescent="0.25">
      <c r="AA33" s="20"/>
    </row>
    <row r="34" spans="27:27" x14ac:dyDescent="0.25">
      <c r="AA34" s="20"/>
    </row>
    <row r="35" spans="27:27" x14ac:dyDescent="0.25">
      <c r="AA35" s="20"/>
    </row>
    <row r="36" spans="27:27" x14ac:dyDescent="0.25">
      <c r="AA36" s="20"/>
    </row>
    <row r="37" spans="27:27" x14ac:dyDescent="0.25">
      <c r="AA37" s="20"/>
    </row>
    <row r="38" spans="27:27" x14ac:dyDescent="0.25">
      <c r="AA38" s="20"/>
    </row>
    <row r="39" spans="27:27" x14ac:dyDescent="0.25">
      <c r="AA39" s="20"/>
    </row>
    <row r="40" spans="27:27" x14ac:dyDescent="0.25">
      <c r="AA40" s="20"/>
    </row>
    <row r="41" spans="27:27" x14ac:dyDescent="0.25">
      <c r="AA41" s="20"/>
    </row>
    <row r="42" spans="27:27" x14ac:dyDescent="0.25">
      <c r="AA42" s="20"/>
    </row>
    <row r="43" spans="27:27" x14ac:dyDescent="0.25">
      <c r="AA43" s="20"/>
    </row>
    <row r="44" spans="27:27" x14ac:dyDescent="0.25">
      <c r="AA44" s="20"/>
    </row>
    <row r="45" spans="27:27" x14ac:dyDescent="0.25">
      <c r="AA45" s="20"/>
    </row>
    <row r="46" spans="27:27" x14ac:dyDescent="0.25">
      <c r="AA46" s="20"/>
    </row>
    <row r="47" spans="27:27" x14ac:dyDescent="0.25">
      <c r="AA47" s="20"/>
    </row>
    <row r="48" spans="27:27" x14ac:dyDescent="0.25">
      <c r="AA48" s="20"/>
    </row>
    <row r="49" spans="27:27" x14ac:dyDescent="0.25">
      <c r="AA49" s="20"/>
    </row>
    <row r="50" spans="27:27" x14ac:dyDescent="0.25">
      <c r="AA50" s="20"/>
    </row>
    <row r="51" spans="27:27" x14ac:dyDescent="0.25">
      <c r="AA51" s="20"/>
    </row>
    <row r="52" spans="27:27" x14ac:dyDescent="0.25">
      <c r="AA52" s="20"/>
    </row>
    <row r="53" spans="27:27" x14ac:dyDescent="0.25">
      <c r="AA53" s="20"/>
    </row>
    <row r="54" spans="27:27" x14ac:dyDescent="0.25">
      <c r="AA54" s="20"/>
    </row>
    <row r="55" spans="27:27" x14ac:dyDescent="0.25">
      <c r="AA55" s="20"/>
    </row>
    <row r="56" spans="27:27" x14ac:dyDescent="0.25">
      <c r="AA56" s="20"/>
    </row>
    <row r="57" spans="27:27" x14ac:dyDescent="0.25">
      <c r="AA57" s="20"/>
    </row>
    <row r="58" spans="27:27" x14ac:dyDescent="0.25">
      <c r="AA58" s="20"/>
    </row>
    <row r="59" spans="27:27" x14ac:dyDescent="0.25">
      <c r="AA59" s="20"/>
    </row>
    <row r="60" spans="27:27" x14ac:dyDescent="0.25">
      <c r="AA60" s="20"/>
    </row>
    <row r="61" spans="27:27" x14ac:dyDescent="0.25">
      <c r="AA61" s="20"/>
    </row>
    <row r="62" spans="27:27" x14ac:dyDescent="0.25">
      <c r="AA62" s="20"/>
    </row>
    <row r="63" spans="27:27" x14ac:dyDescent="0.25">
      <c r="AA63" s="20"/>
    </row>
    <row r="64" spans="27:27" x14ac:dyDescent="0.25">
      <c r="AA64" s="20"/>
    </row>
    <row r="65" spans="27:27" x14ac:dyDescent="0.25">
      <c r="AA65" s="20"/>
    </row>
    <row r="66" spans="27:27" x14ac:dyDescent="0.25">
      <c r="AA66" s="20"/>
    </row>
    <row r="67" spans="27:27" x14ac:dyDescent="0.25">
      <c r="AA67" s="20"/>
    </row>
    <row r="68" spans="27:27" x14ac:dyDescent="0.25">
      <c r="AA68" s="20"/>
    </row>
    <row r="69" spans="27:27" x14ac:dyDescent="0.25">
      <c r="AA69" s="20"/>
    </row>
    <row r="70" spans="27:27" x14ac:dyDescent="0.25">
      <c r="AA70" s="20"/>
    </row>
    <row r="71" spans="27:27" x14ac:dyDescent="0.25">
      <c r="AA71" s="20"/>
    </row>
    <row r="72" spans="27:27" x14ac:dyDescent="0.25">
      <c r="AA72" s="20"/>
    </row>
    <row r="73" spans="27:27" x14ac:dyDescent="0.25">
      <c r="AA73" s="20"/>
    </row>
    <row r="74" spans="27:27" x14ac:dyDescent="0.25">
      <c r="AA74" s="20"/>
    </row>
    <row r="75" spans="27:27" x14ac:dyDescent="0.25">
      <c r="AA75" s="20"/>
    </row>
    <row r="76" spans="27:27" x14ac:dyDescent="0.25">
      <c r="AA76" s="20"/>
    </row>
    <row r="77" spans="27:27" x14ac:dyDescent="0.25">
      <c r="AA77" s="20"/>
    </row>
    <row r="78" spans="27:27" x14ac:dyDescent="0.25">
      <c r="AA78" s="20"/>
    </row>
    <row r="79" spans="27:27" x14ac:dyDescent="0.25">
      <c r="AA79" s="20"/>
    </row>
    <row r="80" spans="27:27" x14ac:dyDescent="0.25">
      <c r="AA80" s="20"/>
    </row>
    <row r="81" spans="27:27" x14ac:dyDescent="0.25">
      <c r="AA81" s="20"/>
    </row>
    <row r="82" spans="27:27" x14ac:dyDescent="0.25">
      <c r="AA82" s="20"/>
    </row>
    <row r="83" spans="27:27" x14ac:dyDescent="0.25">
      <c r="AA83" s="20"/>
    </row>
    <row r="84" spans="27:27" x14ac:dyDescent="0.25">
      <c r="AA84" s="20"/>
    </row>
    <row r="85" spans="27:27" x14ac:dyDescent="0.25">
      <c r="AA85" s="20"/>
    </row>
    <row r="86" spans="27:27" x14ac:dyDescent="0.25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O47" sqref="O47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76202.309200000003</v>
      </c>
      <c r="E3" s="13">
        <f>Reference!C1</f>
        <v>40.811</v>
      </c>
      <c r="F3" s="13">
        <f>Reference!D1</f>
        <v>49.245199999999997</v>
      </c>
      <c r="G3" s="13">
        <f>Reference!E1</f>
        <v>47.749400000000001</v>
      </c>
      <c r="H3" s="13">
        <f>Reference!F1</f>
        <v>126495.07</v>
      </c>
      <c r="I3" s="13">
        <f>Reference!G1</f>
        <v>24.343</v>
      </c>
      <c r="J3" s="14">
        <f>H3/3600</f>
        <v>35.137519444444443</v>
      </c>
      <c r="L3" s="12">
        <f>Test!B1</f>
        <v>76126.261599999998</v>
      </c>
      <c r="M3" s="13">
        <f>Test!C1</f>
        <v>40.810099999999998</v>
      </c>
      <c r="N3" s="13">
        <f>Test!D1</f>
        <v>49.241599999999998</v>
      </c>
      <c r="O3" s="13">
        <f>Test!E1</f>
        <v>47.746499999999997</v>
      </c>
      <c r="P3" s="13">
        <f>Test!F1</f>
        <v>125952.44500000001</v>
      </c>
      <c r="Q3" s="13">
        <f>Test!G1</f>
        <v>24.103000000000002</v>
      </c>
      <c r="R3" s="13">
        <f>P3/3600</f>
        <v>34.986790277777779</v>
      </c>
      <c r="S3" s="12">
        <f>P3/H3</f>
        <v>0.99571030712896558</v>
      </c>
      <c r="T3" s="13">
        <f>Q3/I3</f>
        <v>0.9901409029289735</v>
      </c>
      <c r="U3" s="90"/>
      <c r="V3" s="42">
        <f>bdrate($D3:$D6,E3:E6,$L3:$L6,M3:M6)</f>
        <v>-3.2059633721759351E-4</v>
      </c>
      <c r="W3" s="42">
        <f>bdrate($D3:$D6,F3:F6,$L3:$L6,N3:N6)</f>
        <v>-4.8409502099352464E-3</v>
      </c>
      <c r="X3" s="43">
        <f>bdrate($D3:$D6,G3:G6,$L3:$L6,O3:O6)</f>
        <v>-1.7813460818260074E-3</v>
      </c>
      <c r="Y3" s="37">
        <f>bdrateOld($D3:$D6,E3:E6,$L3:$L6,M3:M6)</f>
        <v>-3.7919806344066664E-4</v>
      </c>
      <c r="Z3" s="42">
        <f>bdrateOld($D3:$D6,F3:F6,$L3:$L6,N3:N6)</f>
        <v>-4.6280376744614049E-3</v>
      </c>
      <c r="AA3" s="43">
        <f>bdrateOld($D3:$D6,G3:G6,$L3:$L6,O3:O6)</f>
        <v>-1.205870291945299E-3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41139.580499999996</v>
      </c>
      <c r="E4" s="18">
        <f>Reference!C2</f>
        <v>40.157699999999998</v>
      </c>
      <c r="F4" s="18">
        <f>Reference!D2</f>
        <v>48.549599999999998</v>
      </c>
      <c r="G4" s="18">
        <f>Reference!E2</f>
        <v>46.663200000000003</v>
      </c>
      <c r="H4" s="18">
        <f>Reference!F2</f>
        <v>70449.156000000003</v>
      </c>
      <c r="I4" s="18">
        <f>Reference!G2</f>
        <v>22.215</v>
      </c>
      <c r="J4" s="19">
        <f t="shared" ref="J4:J14" si="0">H4/3600</f>
        <v>19.569210000000002</v>
      </c>
      <c r="L4" s="17">
        <f>Test!B2</f>
        <v>41152.164299999997</v>
      </c>
      <c r="M4" s="18">
        <f>Test!C2</f>
        <v>40.157800000000002</v>
      </c>
      <c r="N4" s="18">
        <f>Test!D2</f>
        <v>48.555900000000001</v>
      </c>
      <c r="O4" s="18">
        <f>Test!E2</f>
        <v>46.6755</v>
      </c>
      <c r="P4" s="18">
        <f>Test!F2</f>
        <v>69207.304999999993</v>
      </c>
      <c r="Q4" s="18">
        <f>Test!G2</f>
        <v>21.859000000000002</v>
      </c>
      <c r="R4" s="18">
        <f t="shared" ref="R4:R14" si="1">P4/3600</f>
        <v>19.224251388888888</v>
      </c>
      <c r="S4" s="17">
        <f t="shared" ref="S4:T14" si="2">P4/H4</f>
        <v>0.98237237930856103</v>
      </c>
      <c r="T4" s="18">
        <f t="shared" si="2"/>
        <v>0.98397479180733749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24713.215100000001</v>
      </c>
      <c r="E5" s="18">
        <f>Reference!C3</f>
        <v>39.433700000000002</v>
      </c>
      <c r="F5" s="18">
        <f>Reference!D3</f>
        <v>47.615099999999998</v>
      </c>
      <c r="G5" s="18">
        <f>Reference!E3</f>
        <v>45.389400000000002</v>
      </c>
      <c r="H5" s="18">
        <f>Reference!F3</f>
        <v>42653.370999999999</v>
      </c>
      <c r="I5" s="18">
        <f>Reference!G3</f>
        <v>20.670999999999999</v>
      </c>
      <c r="J5" s="19">
        <f t="shared" si="0"/>
        <v>11.848158611111112</v>
      </c>
      <c r="L5" s="17">
        <f>Test!B3</f>
        <v>24699.736199999999</v>
      </c>
      <c r="M5" s="18">
        <f>Test!C3</f>
        <v>39.433500000000002</v>
      </c>
      <c r="N5" s="18">
        <f>Test!D3</f>
        <v>47.6233</v>
      </c>
      <c r="O5" s="18">
        <f>Test!E3</f>
        <v>45.387300000000003</v>
      </c>
      <c r="P5" s="18">
        <f>Test!F3</f>
        <v>43378.811999999998</v>
      </c>
      <c r="Q5" s="18">
        <f>Test!G3</f>
        <v>20.294</v>
      </c>
      <c r="R5" s="18">
        <f t="shared" si="1"/>
        <v>12.049669999999999</v>
      </c>
      <c r="S5" s="17">
        <f t="shared" si="2"/>
        <v>1.0170078233675832</v>
      </c>
      <c r="T5" s="18">
        <f t="shared" si="2"/>
        <v>0.98176188863625369</v>
      </c>
      <c r="U5" s="91"/>
      <c r="V5" s="25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Reference!B4</f>
        <v>14116.813</v>
      </c>
      <c r="E6" s="23">
        <f>Reference!C4</f>
        <v>38.220500000000001</v>
      </c>
      <c r="F6" s="23">
        <f>Reference!D4</f>
        <v>46.123199999999997</v>
      </c>
      <c r="G6" s="23">
        <f>Reference!E4</f>
        <v>43.593800000000002</v>
      </c>
      <c r="H6" s="23">
        <f>Reference!F4</f>
        <v>24508.84</v>
      </c>
      <c r="I6" s="23">
        <f>Reference!G4</f>
        <v>18.863</v>
      </c>
      <c r="J6" s="24">
        <f t="shared" si="0"/>
        <v>6.808011111111111</v>
      </c>
      <c r="L6" s="22">
        <f>Test!B4</f>
        <v>14099.571900000001</v>
      </c>
      <c r="M6" s="23">
        <f>Test!C4</f>
        <v>38.2196</v>
      </c>
      <c r="N6" s="23">
        <f>Test!D4</f>
        <v>46.153700000000001</v>
      </c>
      <c r="O6" s="23">
        <f>Test!E4</f>
        <v>43.597299999999997</v>
      </c>
      <c r="P6" s="23">
        <f>Test!F4</f>
        <v>23801.234</v>
      </c>
      <c r="Q6" s="23">
        <f>Test!G4</f>
        <v>18.835000000000001</v>
      </c>
      <c r="R6" s="23">
        <f t="shared" si="1"/>
        <v>6.6114538888888887</v>
      </c>
      <c r="S6" s="17">
        <f t="shared" si="2"/>
        <v>0.97112853974321101</v>
      </c>
      <c r="T6" s="18">
        <f t="shared" si="2"/>
        <v>0.99851561257488208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322485.86320000002</v>
      </c>
      <c r="E7" s="13">
        <f>Reference!C5</f>
        <v>44.758600000000001</v>
      </c>
      <c r="F7" s="13">
        <f>Reference!D5</f>
        <v>39.131500000000003</v>
      </c>
      <c r="G7" s="13">
        <f>Reference!E5</f>
        <v>39.621699999999997</v>
      </c>
      <c r="H7" s="13">
        <f>Reference!F5</f>
        <v>205007.59400000001</v>
      </c>
      <c r="I7" s="13">
        <f>Reference!G5</f>
        <v>37.497999999999998</v>
      </c>
      <c r="J7" s="14">
        <f t="shared" si="0"/>
        <v>56.946553888888893</v>
      </c>
      <c r="L7" s="12">
        <f>Test!B5</f>
        <v>322499.50530000002</v>
      </c>
      <c r="M7" s="13">
        <f>Test!C5</f>
        <v>44.758899999999997</v>
      </c>
      <c r="N7" s="13">
        <f>Test!D5</f>
        <v>39.129300000000001</v>
      </c>
      <c r="O7" s="13">
        <f>Test!E5</f>
        <v>39.625500000000002</v>
      </c>
      <c r="P7" s="13">
        <f>Test!F5</f>
        <v>196828.67199999999</v>
      </c>
      <c r="Q7" s="13">
        <f>Test!G5</f>
        <v>36.447000000000003</v>
      </c>
      <c r="R7" s="13">
        <f t="shared" si="1"/>
        <v>54.674631111111111</v>
      </c>
      <c r="S7" s="17">
        <f t="shared" si="2"/>
        <v>0.96010429740470971</v>
      </c>
      <c r="T7" s="18">
        <f t="shared" si="2"/>
        <v>0.97197183849805335</v>
      </c>
      <c r="U7" s="91"/>
      <c r="V7" s="42">
        <f>bdrate($D7:$D10,E7:E10,$L7:$L10,M7:M10)</f>
        <v>-2.3353068655418419E-5</v>
      </c>
      <c r="W7" s="42">
        <f>bdrate($D7:$D10,F7:F10,$L7:$L10,N7:N10)</f>
        <v>6.2278611603683309E-4</v>
      </c>
      <c r="X7" s="42">
        <f>bdrate($D7:$D10,G7:G10,$L7:$L10,O7:O10)</f>
        <v>1.0331308429512021E-4</v>
      </c>
      <c r="Y7" s="40">
        <f>bdrateOld($D7:$D10,E7:E10,$L7:$L10,M7:M10)</f>
        <v>-1.3876873032558912E-5</v>
      </c>
      <c r="Z7" s="44">
        <f>bdrateOld($D7:$D10,F7:F10,$L7:$L10,N7:N10)</f>
        <v>6.2072398358647973E-4</v>
      </c>
      <c r="AA7" s="45">
        <f>bdrateOld($D7:$D10,G7:G10,$L7:$L10,O7:O10)</f>
        <v>1.090528123208756E-4</v>
      </c>
    </row>
    <row r="8" spans="1:27" x14ac:dyDescent="0.2">
      <c r="A8" s="16"/>
      <c r="B8" s="85"/>
      <c r="C8" s="16">
        <v>48</v>
      </c>
      <c r="D8" s="17">
        <f>Reference!B6</f>
        <v>205619.13680000001</v>
      </c>
      <c r="E8" s="18">
        <f>Reference!C6</f>
        <v>41.967700000000001</v>
      </c>
      <c r="F8" s="18">
        <f>Reference!D6</f>
        <v>36.638399999999997</v>
      </c>
      <c r="G8" s="18">
        <f>Reference!E6</f>
        <v>37.444800000000001</v>
      </c>
      <c r="H8" s="18">
        <f>Reference!F6</f>
        <v>158592.96900000001</v>
      </c>
      <c r="I8" s="18">
        <f>Reference!G6</f>
        <v>32.337000000000003</v>
      </c>
      <c r="J8" s="19">
        <f t="shared" si="0"/>
        <v>44.053602500000004</v>
      </c>
      <c r="L8" s="17">
        <f>Test!B6</f>
        <v>205607.4632</v>
      </c>
      <c r="M8" s="18">
        <f>Test!C6</f>
        <v>41.969099999999997</v>
      </c>
      <c r="N8" s="18">
        <f>Test!D6</f>
        <v>36.635899999999999</v>
      </c>
      <c r="O8" s="18">
        <f>Test!E6</f>
        <v>37.4422</v>
      </c>
      <c r="P8" s="18">
        <f>Test!F6</f>
        <v>158530.59400000001</v>
      </c>
      <c r="Q8" s="18">
        <f>Test!G6</f>
        <v>32.106999999999999</v>
      </c>
      <c r="R8" s="18">
        <f t="shared" si="1"/>
        <v>44.036276111111114</v>
      </c>
      <c r="S8" s="17">
        <f t="shared" si="2"/>
        <v>0.99960669757055876</v>
      </c>
      <c r="T8" s="18">
        <f t="shared" si="2"/>
        <v>0.99288740452113666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117444.0105</v>
      </c>
      <c r="E9" s="18">
        <f>Reference!C7</f>
        <v>38.709000000000003</v>
      </c>
      <c r="F9" s="18">
        <f>Reference!D7</f>
        <v>34.3626</v>
      </c>
      <c r="G9" s="18">
        <f>Reference!E7</f>
        <v>35.525500000000001</v>
      </c>
      <c r="H9" s="18">
        <f>Reference!F7</f>
        <v>120026.93799999999</v>
      </c>
      <c r="I9" s="18">
        <f>Reference!G7</f>
        <v>28.218</v>
      </c>
      <c r="J9" s="19">
        <f t="shared" si="0"/>
        <v>33.34081611111111</v>
      </c>
      <c r="L9" s="17">
        <f>Test!B7</f>
        <v>117447.5474</v>
      </c>
      <c r="M9" s="18">
        <f>Test!C7</f>
        <v>38.708799999999997</v>
      </c>
      <c r="N9" s="18">
        <f>Test!D7</f>
        <v>34.3598</v>
      </c>
      <c r="O9" s="18">
        <f>Test!E7</f>
        <v>35.525599999999997</v>
      </c>
      <c r="P9" s="18">
        <f>Test!F7</f>
        <v>120672.617</v>
      </c>
      <c r="Q9" s="18">
        <f>Test!G7</f>
        <v>28.352</v>
      </c>
      <c r="R9" s="18">
        <f t="shared" si="1"/>
        <v>33.52017138888889</v>
      </c>
      <c r="S9" s="17">
        <f t="shared" si="2"/>
        <v>1.0053794507363005</v>
      </c>
      <c r="T9" s="18">
        <f t="shared" si="2"/>
        <v>1.0047487419377703</v>
      </c>
      <c r="U9" s="91"/>
      <c r="V9" s="25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</f>
        <v>55569.347399999999</v>
      </c>
      <c r="E10" s="23">
        <f>Reference!C8</f>
        <v>35.227899999999998</v>
      </c>
      <c r="F10" s="23">
        <f>Reference!D8</f>
        <v>32.007800000000003</v>
      </c>
      <c r="G10" s="23">
        <f>Reference!E8</f>
        <v>33.7012</v>
      </c>
      <c r="H10" s="23">
        <f>Reference!F8</f>
        <v>79740</v>
      </c>
      <c r="I10" s="23">
        <f>Reference!G8</f>
        <v>23.673999999999999</v>
      </c>
      <c r="J10" s="24">
        <f t="shared" si="0"/>
        <v>22.15</v>
      </c>
      <c r="L10" s="22">
        <f>Test!B8</f>
        <v>55572.905299999999</v>
      </c>
      <c r="M10" s="23">
        <f>Test!C8</f>
        <v>35.226700000000001</v>
      </c>
      <c r="N10" s="23">
        <f>Test!D8</f>
        <v>32.005800000000001</v>
      </c>
      <c r="O10" s="23">
        <f>Test!E8</f>
        <v>33.702199999999998</v>
      </c>
      <c r="P10" s="23">
        <f>Test!F8</f>
        <v>78421.976999999999</v>
      </c>
      <c r="Q10" s="23">
        <f>Test!G8</f>
        <v>23.385000000000002</v>
      </c>
      <c r="R10" s="23">
        <f t="shared" si="1"/>
        <v>21.783882500000001</v>
      </c>
      <c r="S10" s="17">
        <f t="shared" si="2"/>
        <v>0.98347099322799092</v>
      </c>
      <c r="T10" s="18">
        <f t="shared" si="2"/>
        <v>0.98779251499535359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124771.6042</v>
      </c>
      <c r="E11" s="13">
        <f>Reference!C9</f>
        <v>41.574300000000001</v>
      </c>
      <c r="F11" s="13">
        <f>Reference!D9</f>
        <v>44.012099999999997</v>
      </c>
      <c r="G11" s="13">
        <f>Reference!E9</f>
        <v>42.909799999999997</v>
      </c>
      <c r="H11" s="13">
        <f>Reference!F9</f>
        <v>168738.359</v>
      </c>
      <c r="I11" s="13">
        <f>Reference!G9</f>
        <v>31.353000000000002</v>
      </c>
      <c r="J11" s="14">
        <f t="shared" si="0"/>
        <v>46.871766388888886</v>
      </c>
      <c r="L11" s="12">
        <f>Test!B9</f>
        <v>124797.3474</v>
      </c>
      <c r="M11" s="13">
        <f>Test!C9</f>
        <v>41.574300000000001</v>
      </c>
      <c r="N11" s="13">
        <f>Test!D9</f>
        <v>44.0124</v>
      </c>
      <c r="O11" s="13">
        <f>Test!E9</f>
        <v>42.908000000000001</v>
      </c>
      <c r="P11" s="13">
        <f>Test!F9</f>
        <v>166010.46900000001</v>
      </c>
      <c r="Q11" s="13">
        <f>Test!G9</f>
        <v>30.616</v>
      </c>
      <c r="R11" s="13">
        <f t="shared" si="1"/>
        <v>46.114019166666672</v>
      </c>
      <c r="S11" s="17">
        <f t="shared" si="2"/>
        <v>0.98383361070851716</v>
      </c>
      <c r="T11" s="18">
        <f t="shared" si="2"/>
        <v>0.97649347749816595</v>
      </c>
      <c r="U11" s="91"/>
      <c r="V11" s="42">
        <f>bdrate($D11:$D14,E11:E14,$L11:$L14,M11:M14)</f>
        <v>1.011393392236215E-4</v>
      </c>
      <c r="W11" s="42">
        <f>bdrate($D11:$D14,F11:F14,$L11:$L14,N11:N14)</f>
        <v>-5.8277765845671237E-4</v>
      </c>
      <c r="X11" s="42">
        <f>bdrate($D11:$D14,G11:G14,$L11:$L14,O11:O14)</f>
        <v>-2.5548989514756482E-4</v>
      </c>
      <c r="Y11" s="40">
        <f>bdrateOld($D11:$D14,E11:E14,$L11:$L14,M11:M14)</f>
        <v>-1.1212800287818681E-5</v>
      </c>
      <c r="Z11" s="44">
        <f>bdrateOld($D11:$D14,F11:F14,$L11:$L14,N11:N14)</f>
        <v>-6.4486696245058539E-4</v>
      </c>
      <c r="AA11" s="45">
        <f>bdrateOld($D11:$D14,G11:G14,$L11:$L14,O11:O14)</f>
        <v>-2.7373421539234055E-4</v>
      </c>
    </row>
    <row r="12" spans="1:27" x14ac:dyDescent="0.2">
      <c r="A12" s="34"/>
      <c r="B12" s="83"/>
      <c r="C12" s="16">
        <v>48</v>
      </c>
      <c r="D12" s="17">
        <f>Reference!B10</f>
        <v>55894.098899999997</v>
      </c>
      <c r="E12" s="18">
        <f>Reference!C10</f>
        <v>38.880299999999998</v>
      </c>
      <c r="F12" s="18">
        <f>Reference!D10</f>
        <v>41.386600000000001</v>
      </c>
      <c r="G12" s="18">
        <f>Reference!E10</f>
        <v>41.7851</v>
      </c>
      <c r="H12" s="18">
        <f>Reference!F10</f>
        <v>117629.117</v>
      </c>
      <c r="I12" s="18">
        <f>Reference!G10</f>
        <v>24.448</v>
      </c>
      <c r="J12" s="19">
        <f t="shared" si="0"/>
        <v>32.674754722222225</v>
      </c>
      <c r="L12" s="17">
        <f>Test!B10</f>
        <v>55876.4905</v>
      </c>
      <c r="M12" s="18">
        <f>Test!C10</f>
        <v>38.8795</v>
      </c>
      <c r="N12" s="18">
        <f>Test!D10</f>
        <v>41.391300000000001</v>
      </c>
      <c r="O12" s="18">
        <f>Test!E10</f>
        <v>41.784599999999998</v>
      </c>
      <c r="P12" s="18">
        <f>Test!F10</f>
        <v>114316.109</v>
      </c>
      <c r="Q12" s="18">
        <f>Test!G10</f>
        <v>23.684999999999999</v>
      </c>
      <c r="R12" s="18">
        <f t="shared" si="1"/>
        <v>31.75447472222222</v>
      </c>
      <c r="S12" s="17">
        <f t="shared" si="2"/>
        <v>0.97183513670344046</v>
      </c>
      <c r="T12" s="18">
        <f t="shared" si="2"/>
        <v>0.96879090314136118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25285.1937</v>
      </c>
      <c r="E13" s="18">
        <f>Reference!C11</f>
        <v>37.308300000000003</v>
      </c>
      <c r="F13" s="18">
        <f>Reference!D11</f>
        <v>39.062800000000003</v>
      </c>
      <c r="G13" s="18">
        <f>Reference!E11</f>
        <v>40.705399999999997</v>
      </c>
      <c r="H13" s="18">
        <f>Reference!F11</f>
        <v>68208.858999999997</v>
      </c>
      <c r="I13" s="18">
        <f>Reference!G11</f>
        <v>19.984000000000002</v>
      </c>
      <c r="J13" s="19">
        <f t="shared" si="0"/>
        <v>18.946905277777777</v>
      </c>
      <c r="L13" s="17">
        <f>Test!B11</f>
        <v>25287.5684</v>
      </c>
      <c r="M13" s="18">
        <f>Test!C11</f>
        <v>37.307499999999997</v>
      </c>
      <c r="N13" s="18">
        <f>Test!D11</f>
        <v>39.0642</v>
      </c>
      <c r="O13" s="18">
        <f>Test!E11</f>
        <v>40.706800000000001</v>
      </c>
      <c r="P13" s="18">
        <f>Test!F11</f>
        <v>67025.468999999997</v>
      </c>
      <c r="Q13" s="18">
        <f>Test!G11</f>
        <v>19.565000000000001</v>
      </c>
      <c r="R13" s="18">
        <f t="shared" si="1"/>
        <v>18.618185833333332</v>
      </c>
      <c r="S13" s="17">
        <f t="shared" si="2"/>
        <v>0.982650494124231</v>
      </c>
      <c r="T13" s="18">
        <f t="shared" si="2"/>
        <v>0.97903322658126501</v>
      </c>
      <c r="U13" s="91"/>
      <c r="V13" s="25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Reference!B12</f>
        <v>12252.606299999999</v>
      </c>
      <c r="E14" s="23">
        <f>Reference!C12</f>
        <v>35.924399999999999</v>
      </c>
      <c r="F14" s="23">
        <f>Reference!D12</f>
        <v>36.3444</v>
      </c>
      <c r="G14" s="23">
        <f>Reference!E12</f>
        <v>39.223100000000002</v>
      </c>
      <c r="H14" s="23">
        <f>Reference!F12</f>
        <v>39994.839999999997</v>
      </c>
      <c r="I14" s="23">
        <f>Reference!G12</f>
        <v>17.588999999999999</v>
      </c>
      <c r="J14" s="24">
        <f t="shared" si="0"/>
        <v>11.109677777777776</v>
      </c>
      <c r="L14" s="22">
        <f>Test!B12</f>
        <v>12251.8737</v>
      </c>
      <c r="M14" s="23">
        <f>Test!C12</f>
        <v>35.925800000000002</v>
      </c>
      <c r="N14" s="23">
        <f>Test!D12</f>
        <v>36.337800000000001</v>
      </c>
      <c r="O14" s="23">
        <f>Test!E12</f>
        <v>39.225000000000001</v>
      </c>
      <c r="P14" s="23">
        <f>Test!F12</f>
        <v>39507.116999999998</v>
      </c>
      <c r="Q14" s="23">
        <f>Test!G12</f>
        <v>17.355</v>
      </c>
      <c r="R14" s="23">
        <f t="shared" si="1"/>
        <v>10.974199166666667</v>
      </c>
      <c r="S14" s="17">
        <f t="shared" si="2"/>
        <v>0.98780535189039387</v>
      </c>
      <c r="T14" s="18">
        <f t="shared" si="2"/>
        <v>0.98669623059866973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177370.96419999999</v>
      </c>
      <c r="E15" s="13">
        <f>Reference!C13</f>
        <v>38.624200000000002</v>
      </c>
      <c r="F15" s="13">
        <f>Reference!D13</f>
        <v>45.659500000000001</v>
      </c>
      <c r="G15" s="13">
        <f>Reference!E13</f>
        <v>43.478000000000002</v>
      </c>
      <c r="H15" s="13">
        <f>Reference!F13</f>
        <v>200365.71900000001</v>
      </c>
      <c r="I15" s="13">
        <f>Reference!G13</f>
        <v>31.428999999999998</v>
      </c>
      <c r="J15" s="14">
        <f>H15/3600</f>
        <v>55.657144166666669</v>
      </c>
      <c r="L15" s="12">
        <f>Test!B13</f>
        <v>177353.19159999999</v>
      </c>
      <c r="M15" s="13">
        <f>Test!C13</f>
        <v>38.623800000000003</v>
      </c>
      <c r="N15" s="13">
        <f>Test!D13</f>
        <v>45.6629</v>
      </c>
      <c r="O15" s="13">
        <f>Test!E13</f>
        <v>43.4786</v>
      </c>
      <c r="P15" s="13">
        <f>Test!F13</f>
        <v>203305.34400000001</v>
      </c>
      <c r="Q15" s="13">
        <f>Test!G13</f>
        <v>31.914999999999999</v>
      </c>
      <c r="R15" s="13">
        <f>P15/3600</f>
        <v>56.473706666666672</v>
      </c>
      <c r="S15" s="17">
        <f>P15/H15</f>
        <v>1.0146712971394074</v>
      </c>
      <c r="T15" s="18">
        <f>Q15/I15</f>
        <v>1.0154634254987431</v>
      </c>
      <c r="U15" s="91"/>
      <c r="V15" s="42">
        <f>bdrate($D15:$D18,E15:E18,$L15:$L18,M15:M18)</f>
        <v>4.0490339440202305E-5</v>
      </c>
      <c r="W15" s="42">
        <f>bdrate($D15:$D18,F15:F18,$L15:$L18,N15:N18)</f>
        <v>-6.834743598063131E-4</v>
      </c>
      <c r="X15" s="43">
        <f>bdrate($D15:$D18,G15:G18,$L15:$L18,O15:O18)</f>
        <v>-1.9950309843943526E-3</v>
      </c>
      <c r="Y15" s="37">
        <f>bdrateOld($D15:$D18,E15:E18,$L15:$L18,M15:M18)</f>
        <v>2.6853788058112116E-5</v>
      </c>
      <c r="Z15" s="42">
        <f>bdrateOld($D15:$D18,F15:F18,$L15:$L18,N15:N18)</f>
        <v>-7.1271038866005387E-4</v>
      </c>
      <c r="AA15" s="43">
        <f>bdrateOld($D15:$D18,G15:G18,$L15:$L18,O15:O18)</f>
        <v>-2.1045044764628207E-3</v>
      </c>
    </row>
    <row r="16" spans="1:27" x14ac:dyDescent="0.2">
      <c r="A16" s="16"/>
      <c r="B16" s="85"/>
      <c r="C16" s="16">
        <v>48</v>
      </c>
      <c r="D16" s="17">
        <f>Reference!B14</f>
        <v>86182.433699999994</v>
      </c>
      <c r="E16" s="18">
        <f>Reference!C14</f>
        <v>37.677599999999998</v>
      </c>
      <c r="F16" s="18">
        <f>Reference!D14</f>
        <v>44.793999999999997</v>
      </c>
      <c r="G16" s="18">
        <f>Reference!E14</f>
        <v>42.493400000000001</v>
      </c>
      <c r="H16" s="18">
        <f>Reference!F14</f>
        <v>125103.82799999999</v>
      </c>
      <c r="I16" s="18">
        <f>Reference!G14</f>
        <v>25.501000000000001</v>
      </c>
      <c r="J16" s="19">
        <f t="shared" ref="J16:J26" si="3">H16/3600</f>
        <v>34.751063333333335</v>
      </c>
      <c r="L16" s="17">
        <f>Test!B14</f>
        <v>86186.463199999998</v>
      </c>
      <c r="M16" s="18">
        <f>Test!C14</f>
        <v>37.677500000000002</v>
      </c>
      <c r="N16" s="18">
        <f>Test!D14</f>
        <v>44.796100000000003</v>
      </c>
      <c r="O16" s="18">
        <f>Test!E14</f>
        <v>42.493400000000001</v>
      </c>
      <c r="P16" s="18">
        <f>Test!F14</f>
        <v>121447.617</v>
      </c>
      <c r="Q16" s="18">
        <f>Test!G14</f>
        <v>24.754000000000001</v>
      </c>
      <c r="R16" s="18">
        <f t="shared" ref="R16:R26" si="4">P16/3600</f>
        <v>33.735449166666669</v>
      </c>
      <c r="S16" s="17">
        <f t="shared" ref="S16:S26" si="5">P16/H16</f>
        <v>0.97077458732917432</v>
      </c>
      <c r="T16" s="18">
        <f t="shared" ref="T16:T26" si="6">Q16/I16</f>
        <v>0.97070703109681977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49710.378900000003</v>
      </c>
      <c r="E17" s="18">
        <f>Reference!C15</f>
        <v>36.759099999999997</v>
      </c>
      <c r="F17" s="18">
        <f>Reference!D15</f>
        <v>43.830100000000002</v>
      </c>
      <c r="G17" s="18">
        <f>Reference!E15</f>
        <v>41.468299999999999</v>
      </c>
      <c r="H17" s="18">
        <f>Reference!F15</f>
        <v>81726.085999999996</v>
      </c>
      <c r="I17" s="18">
        <f>Reference!G15</f>
        <v>22.148</v>
      </c>
      <c r="J17" s="19">
        <f t="shared" si="3"/>
        <v>22.701690555555555</v>
      </c>
      <c r="L17" s="17">
        <f>Test!B15</f>
        <v>49701.233699999997</v>
      </c>
      <c r="M17" s="18">
        <f>Test!C15</f>
        <v>36.758899999999997</v>
      </c>
      <c r="N17" s="18">
        <f>Test!D15</f>
        <v>43.833300000000001</v>
      </c>
      <c r="O17" s="18">
        <f>Test!E15</f>
        <v>41.472999999999999</v>
      </c>
      <c r="P17" s="18">
        <f>Test!F15</f>
        <v>78423.172000000006</v>
      </c>
      <c r="Q17" s="18">
        <f>Test!G15</f>
        <v>22.058</v>
      </c>
      <c r="R17" s="18">
        <f t="shared" si="4"/>
        <v>21.784214444444444</v>
      </c>
      <c r="S17" s="17">
        <f t="shared" si="5"/>
        <v>0.95958555998876549</v>
      </c>
      <c r="T17" s="18">
        <f t="shared" si="6"/>
        <v>0.99593642766841251</v>
      </c>
      <c r="U17" s="91"/>
      <c r="V17" s="25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</f>
        <v>26284.4211</v>
      </c>
      <c r="E18" s="23">
        <f>Reference!C16</f>
        <v>35.2605</v>
      </c>
      <c r="F18" s="23">
        <f>Reference!D16</f>
        <v>42.428100000000001</v>
      </c>
      <c r="G18" s="23">
        <f>Reference!E16</f>
        <v>40.2164</v>
      </c>
      <c r="H18" s="23">
        <f>Reference!F16</f>
        <v>48011.504000000001</v>
      </c>
      <c r="I18" s="23">
        <f>Reference!G16</f>
        <v>19.384</v>
      </c>
      <c r="J18" s="24">
        <f t="shared" si="3"/>
        <v>13.336528888888889</v>
      </c>
      <c r="L18" s="22">
        <f>Test!B16</f>
        <v>26287.2379</v>
      </c>
      <c r="M18" s="23">
        <f>Test!C16</f>
        <v>35.2605</v>
      </c>
      <c r="N18" s="23">
        <f>Test!D16</f>
        <v>42.415199999999999</v>
      </c>
      <c r="O18" s="23">
        <f>Test!E16</f>
        <v>40.2286</v>
      </c>
      <c r="P18" s="23">
        <f>Test!F16</f>
        <v>49313.940999999999</v>
      </c>
      <c r="Q18" s="23">
        <f>Test!G16</f>
        <v>19.742000000000001</v>
      </c>
      <c r="R18" s="23">
        <f t="shared" si="4"/>
        <v>13.698316944444445</v>
      </c>
      <c r="S18" s="17">
        <f t="shared" si="5"/>
        <v>1.0271276025845806</v>
      </c>
      <c r="T18" s="18">
        <f t="shared" si="6"/>
        <v>1.0184688402806439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67494.945999999996</v>
      </c>
      <c r="E19" s="13">
        <f>Reference!C17</f>
        <v>39.563000000000002</v>
      </c>
      <c r="F19" s="13">
        <f>Reference!D17</f>
        <v>40.538800000000002</v>
      </c>
      <c r="G19" s="13">
        <f>Reference!E17</f>
        <v>43.534300000000002</v>
      </c>
      <c r="H19" s="13">
        <f>Reference!F17</f>
        <v>87874.616999999998</v>
      </c>
      <c r="I19" s="13">
        <f>Reference!G17</f>
        <v>16.169</v>
      </c>
      <c r="J19" s="14">
        <f t="shared" si="3"/>
        <v>24.409615833333334</v>
      </c>
      <c r="L19" s="12">
        <f>Test!B17</f>
        <v>67508.488899999997</v>
      </c>
      <c r="M19" s="13">
        <f>Test!C17</f>
        <v>39.563600000000001</v>
      </c>
      <c r="N19" s="13">
        <f>Test!D17</f>
        <v>40.536299999999997</v>
      </c>
      <c r="O19" s="13">
        <f>Test!E17</f>
        <v>43.531599999999997</v>
      </c>
      <c r="P19" s="13">
        <f>Test!F17</f>
        <v>87351.312000000005</v>
      </c>
      <c r="Q19" s="13">
        <f>Test!G17</f>
        <v>15.656000000000001</v>
      </c>
      <c r="R19" s="13">
        <f t="shared" si="4"/>
        <v>24.264253333333336</v>
      </c>
      <c r="S19" s="12">
        <f t="shared" si="5"/>
        <v>0.99404486735913744</v>
      </c>
      <c r="T19" s="13">
        <f t="shared" si="6"/>
        <v>0.96827262044653351</v>
      </c>
      <c r="U19" s="90"/>
      <c r="V19" s="42">
        <f>bdrate($D19:$D22,E19:E22,$L19:$L22,M19:M22)</f>
        <v>9.5443081882473635E-5</v>
      </c>
      <c r="W19" s="42">
        <f>bdrate($D19:$D22,F19:F22,$L19:$L22,N19:N22)</f>
        <v>2.8332651708073975E-4</v>
      </c>
      <c r="X19" s="42">
        <f>bdrate($D19:$D22,G19:G22,$L19:$L22,O19:O22)</f>
        <v>-1.2181714216974449E-3</v>
      </c>
      <c r="Y19" s="40">
        <f>bdrateOld($D19:$D22,E19:E22,$L19:$L22,M19:M22)</f>
        <v>8.1337135746872846E-5</v>
      </c>
      <c r="Z19" s="44">
        <f>bdrateOld($D19:$D22,F19:F22,$L19:$L22,N19:N22)</f>
        <v>2.4061127481433964E-4</v>
      </c>
      <c r="AA19" s="45">
        <f>bdrateOld($D19:$D22,G19:G22,$L19:$L22,O19:O22)</f>
        <v>-1.087920336196313E-3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40264.393700000001</v>
      </c>
      <c r="E20" s="18">
        <f>Reference!C18</f>
        <v>37.929099999999998</v>
      </c>
      <c r="F20" s="18">
        <f>Reference!D18</f>
        <v>39.567500000000003</v>
      </c>
      <c r="G20" s="18">
        <f>Reference!E18</f>
        <v>42.1432</v>
      </c>
      <c r="H20" s="18">
        <f>Reference!F18</f>
        <v>65833.429999999993</v>
      </c>
      <c r="I20" s="18">
        <f>Reference!G18</f>
        <v>13.228999999999999</v>
      </c>
      <c r="J20" s="19">
        <f t="shared" si="3"/>
        <v>18.287063888888888</v>
      </c>
      <c r="L20" s="17">
        <f>Test!B18</f>
        <v>40277.942900000002</v>
      </c>
      <c r="M20" s="18">
        <f>Test!C18</f>
        <v>37.929699999999997</v>
      </c>
      <c r="N20" s="18">
        <f>Test!D18</f>
        <v>39.565399999999997</v>
      </c>
      <c r="O20" s="18">
        <f>Test!E18</f>
        <v>42.151400000000002</v>
      </c>
      <c r="P20" s="18">
        <f>Test!F18</f>
        <v>64489.207000000002</v>
      </c>
      <c r="Q20" s="18">
        <f>Test!G18</f>
        <v>12.795999999999999</v>
      </c>
      <c r="R20" s="18">
        <f t="shared" si="4"/>
        <v>17.913668611111113</v>
      </c>
      <c r="S20" s="17">
        <f t="shared" si="5"/>
        <v>0.97958145276647457</v>
      </c>
      <c r="T20" s="18">
        <f t="shared" si="6"/>
        <v>0.96726887897800284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23215.707900000001</v>
      </c>
      <c r="E21" s="18">
        <f>Reference!C19</f>
        <v>36.014099999999999</v>
      </c>
      <c r="F21" s="18">
        <f>Reference!D19</f>
        <v>38.716099999999997</v>
      </c>
      <c r="G21" s="18">
        <f>Reference!E19</f>
        <v>40.761899999999997</v>
      </c>
      <c r="H21" s="18">
        <f>Reference!F19</f>
        <v>49034.921999999999</v>
      </c>
      <c r="I21" s="18">
        <f>Reference!G19</f>
        <v>11.249000000000001</v>
      </c>
      <c r="J21" s="19">
        <f t="shared" si="3"/>
        <v>13.620811666666667</v>
      </c>
      <c r="L21" s="17">
        <f>Test!B19</f>
        <v>23214.196800000002</v>
      </c>
      <c r="M21" s="18">
        <f>Test!C19</f>
        <v>36.013800000000003</v>
      </c>
      <c r="N21" s="18">
        <f>Test!D19</f>
        <v>38.716999999999999</v>
      </c>
      <c r="O21" s="18">
        <f>Test!E19</f>
        <v>40.763599999999997</v>
      </c>
      <c r="P21" s="18">
        <f>Test!F19</f>
        <v>47698.891000000003</v>
      </c>
      <c r="Q21" s="18">
        <f>Test!G19</f>
        <v>10.863</v>
      </c>
      <c r="R21" s="18">
        <f t="shared" si="4"/>
        <v>13.249691944444445</v>
      </c>
      <c r="S21" s="17">
        <f t="shared" si="5"/>
        <v>0.97275347965272596</v>
      </c>
      <c r="T21" s="18">
        <f t="shared" si="6"/>
        <v>0.96568583874122138</v>
      </c>
      <c r="U21" s="91"/>
      <c r="V21" s="25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Reference!B20</f>
        <v>11832.412700000001</v>
      </c>
      <c r="E22" s="23">
        <f>Reference!C20</f>
        <v>33.539200000000001</v>
      </c>
      <c r="F22" s="23">
        <f>Reference!D20</f>
        <v>37.526800000000001</v>
      </c>
      <c r="G22" s="23">
        <f>Reference!E20</f>
        <v>38.918700000000001</v>
      </c>
      <c r="H22" s="23">
        <f>Reference!F20</f>
        <v>33282.241999999998</v>
      </c>
      <c r="I22" s="23">
        <f>Reference!G20</f>
        <v>9.5489999999999995</v>
      </c>
      <c r="J22" s="24">
        <f t="shared" si="3"/>
        <v>9.2450672222222217</v>
      </c>
      <c r="L22" s="22">
        <f>Test!B20</f>
        <v>11837.5746</v>
      </c>
      <c r="M22" s="23">
        <f>Test!C20</f>
        <v>33.539900000000003</v>
      </c>
      <c r="N22" s="23">
        <f>Test!D20</f>
        <v>37.529499999999999</v>
      </c>
      <c r="O22" s="23">
        <f>Test!E20</f>
        <v>38.922800000000002</v>
      </c>
      <c r="P22" s="23">
        <f>Test!F20</f>
        <v>32056.895</v>
      </c>
      <c r="Q22" s="23">
        <f>Test!G20</f>
        <v>9.3719999999999999</v>
      </c>
      <c r="R22" s="23">
        <f t="shared" si="4"/>
        <v>8.9046930555555548</v>
      </c>
      <c r="S22" s="17">
        <f t="shared" si="5"/>
        <v>0.96318315935567089</v>
      </c>
      <c r="T22" s="18">
        <f t="shared" si="6"/>
        <v>0.98146402764687402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42267.911099999998</v>
      </c>
      <c r="E23" s="13">
        <f>Reference!C21</f>
        <v>40.197000000000003</v>
      </c>
      <c r="F23" s="13">
        <f>Reference!D21</f>
        <v>44.213000000000001</v>
      </c>
      <c r="G23" s="13">
        <f>Reference!E21</f>
        <v>45.685099999999998</v>
      </c>
      <c r="H23" s="13">
        <f>Reference!F21</f>
        <v>74594.233999999997</v>
      </c>
      <c r="I23" s="13">
        <f>Reference!G21</f>
        <v>13.44</v>
      </c>
      <c r="J23" s="14">
        <f t="shared" si="3"/>
        <v>20.720620555555556</v>
      </c>
      <c r="L23" s="12">
        <f>Test!B21</f>
        <v>42271.7333</v>
      </c>
      <c r="M23" s="13">
        <f>Test!C21</f>
        <v>40.197099999999999</v>
      </c>
      <c r="N23" s="13">
        <f>Test!D21</f>
        <v>44.214599999999997</v>
      </c>
      <c r="O23" s="13">
        <f>Test!E21</f>
        <v>45.685400000000001</v>
      </c>
      <c r="P23" s="13">
        <f>Test!F21</f>
        <v>75490.577999999994</v>
      </c>
      <c r="Q23" s="13">
        <f>Test!G21</f>
        <v>13.363</v>
      </c>
      <c r="R23" s="13">
        <f t="shared" si="4"/>
        <v>20.969604999999998</v>
      </c>
      <c r="S23" s="17">
        <f t="shared" si="5"/>
        <v>1.0120162638844177</v>
      </c>
      <c r="T23" s="18">
        <f t="shared" si="6"/>
        <v>0.99427083333333333</v>
      </c>
      <c r="U23" s="91"/>
      <c r="V23" s="42">
        <f>bdrate($D23:$D26,E23:E26,$L23:$L26,M23:M26)</f>
        <v>-7.0980902406203583E-5</v>
      </c>
      <c r="W23" s="42">
        <f>bdrate($D23:$D26,F23:F26,$L23:$L26,N23:N26)</f>
        <v>-1.8967884499112575E-3</v>
      </c>
      <c r="X23" s="42">
        <f>bdrate($D23:$D26,G23:G26,$L23:$L26,O23:O26)</f>
        <v>5.9113548956934991E-4</v>
      </c>
      <c r="Y23" s="40">
        <f>bdrateOld($D23:$D26,E23:E26,$L23:$L26,M23:M26)</f>
        <v>-9.0002375135567192E-5</v>
      </c>
      <c r="Z23" s="44">
        <f>bdrateOld($D23:$D26,F23:F26,$L23:$L26,N23:N26)</f>
        <v>-2.2367739399700159E-3</v>
      </c>
      <c r="AA23" s="45">
        <f>bdrateOld($D23:$D26,G23:G26,$L23:$L26,O23:O26)</f>
        <v>7.279680081955231E-4</v>
      </c>
    </row>
    <row r="24" spans="1:27" x14ac:dyDescent="0.2">
      <c r="A24" s="34"/>
      <c r="B24" s="85"/>
      <c r="C24" s="16">
        <v>32</v>
      </c>
      <c r="D24" s="17">
        <f>Reference!B22</f>
        <v>22922.736499999999</v>
      </c>
      <c r="E24" s="18">
        <f>Reference!C22</f>
        <v>38.721800000000002</v>
      </c>
      <c r="F24" s="18">
        <f>Reference!D22</f>
        <v>43.267299999999999</v>
      </c>
      <c r="G24" s="18">
        <f>Reference!E22</f>
        <v>44.241100000000003</v>
      </c>
      <c r="H24" s="18">
        <f>Reference!F22</f>
        <v>51717.913999999997</v>
      </c>
      <c r="I24" s="18">
        <f>Reference!G22</f>
        <v>11.156000000000001</v>
      </c>
      <c r="J24" s="19">
        <f t="shared" si="3"/>
        <v>14.366087222222221</v>
      </c>
      <c r="L24" s="17">
        <f>Test!B22</f>
        <v>22926.019</v>
      </c>
      <c r="M24" s="18">
        <f>Test!C22</f>
        <v>38.722099999999998</v>
      </c>
      <c r="N24" s="18">
        <f>Test!D22</f>
        <v>43.268900000000002</v>
      </c>
      <c r="O24" s="18">
        <f>Test!E22</f>
        <v>44.243600000000001</v>
      </c>
      <c r="P24" s="18">
        <f>Test!F22</f>
        <v>51328.413999999997</v>
      </c>
      <c r="Q24" s="18">
        <f>Test!G22</f>
        <v>11.111000000000001</v>
      </c>
      <c r="R24" s="18">
        <f t="shared" si="4"/>
        <v>14.257892777777776</v>
      </c>
      <c r="S24" s="17">
        <f t="shared" si="5"/>
        <v>0.99246876043763099</v>
      </c>
      <c r="T24" s="18">
        <f t="shared" si="6"/>
        <v>0.99596629616349952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12964.0762</v>
      </c>
      <c r="E25" s="18">
        <f>Reference!C23</f>
        <v>37.282600000000002</v>
      </c>
      <c r="F25" s="18">
        <f>Reference!D23</f>
        <v>42.193399999999997</v>
      </c>
      <c r="G25" s="18">
        <f>Reference!E23</f>
        <v>42.682499999999997</v>
      </c>
      <c r="H25" s="18">
        <f>Reference!F23</f>
        <v>35603.074000000001</v>
      </c>
      <c r="I25" s="18">
        <f>Reference!G23</f>
        <v>9.8030000000000008</v>
      </c>
      <c r="J25" s="19">
        <f t="shared" si="3"/>
        <v>9.8897427777777782</v>
      </c>
      <c r="L25" s="17">
        <f>Test!B23</f>
        <v>12952.292100000001</v>
      </c>
      <c r="M25" s="18">
        <f>Test!C23</f>
        <v>37.280799999999999</v>
      </c>
      <c r="N25" s="18">
        <f>Test!D23</f>
        <v>42.200800000000001</v>
      </c>
      <c r="O25" s="18">
        <f>Test!E23</f>
        <v>42.674199999999999</v>
      </c>
      <c r="P25" s="18">
        <f>Test!F23</f>
        <v>36287.836000000003</v>
      </c>
      <c r="Q25" s="18">
        <f>Test!G23</f>
        <v>9.798</v>
      </c>
      <c r="R25" s="18">
        <f t="shared" si="4"/>
        <v>10.079954444444445</v>
      </c>
      <c r="S25" s="17">
        <f t="shared" si="5"/>
        <v>1.0192332268837236</v>
      </c>
      <c r="T25" s="18">
        <f t="shared" si="6"/>
        <v>0.99948995205549318</v>
      </c>
      <c r="U25" s="91"/>
      <c r="V25" s="25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</f>
        <v>6928.9396999999999</v>
      </c>
      <c r="E26" s="23">
        <f>Reference!C24</f>
        <v>35.361499999999999</v>
      </c>
      <c r="F26" s="23">
        <f>Reference!D24</f>
        <v>40.691000000000003</v>
      </c>
      <c r="G26" s="23">
        <f>Reference!E24</f>
        <v>40.660200000000003</v>
      </c>
      <c r="H26" s="23">
        <f>Reference!F24</f>
        <v>22670.300999999999</v>
      </c>
      <c r="I26" s="23">
        <f>Reference!G24</f>
        <v>8.6890000000000001</v>
      </c>
      <c r="J26" s="24">
        <f t="shared" si="3"/>
        <v>6.2973058333333336</v>
      </c>
      <c r="L26" s="22">
        <f>Test!B24</f>
        <v>6922.0190000000002</v>
      </c>
      <c r="M26" s="23">
        <f>Test!C24</f>
        <v>35.357599999999998</v>
      </c>
      <c r="N26" s="23">
        <f>Test!D24</f>
        <v>40.681100000000001</v>
      </c>
      <c r="O26" s="23">
        <f>Test!E24</f>
        <v>40.655500000000004</v>
      </c>
      <c r="P26" s="23">
        <f>Test!F24</f>
        <v>22074.98</v>
      </c>
      <c r="Q26" s="23">
        <f>Test!G24</f>
        <v>9.0120000000000005</v>
      </c>
      <c r="R26" s="23">
        <f t="shared" si="4"/>
        <v>6.1319388888888886</v>
      </c>
      <c r="S26" s="17">
        <f t="shared" si="5"/>
        <v>0.97374004870954289</v>
      </c>
      <c r="T26" s="18">
        <f t="shared" si="6"/>
        <v>1.0371734376798252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64671.494400000003</v>
      </c>
      <c r="E27" s="13">
        <f>Reference!C25</f>
        <v>41.737299999999998</v>
      </c>
      <c r="F27" s="13">
        <f>Reference!D25</f>
        <v>44.441200000000002</v>
      </c>
      <c r="G27" s="13">
        <f>Reference!E25</f>
        <v>45.163499999999999</v>
      </c>
      <c r="H27" s="13">
        <f>Reference!F25</f>
        <v>90834.445000000007</v>
      </c>
      <c r="I27" s="13">
        <f>Reference!G25</f>
        <v>16.395</v>
      </c>
      <c r="J27" s="14">
        <f>H27/3600</f>
        <v>25.23179027777778</v>
      </c>
      <c r="L27" s="12">
        <f>Test!B25</f>
        <v>64678.713600000003</v>
      </c>
      <c r="M27" s="13">
        <f>Test!C25</f>
        <v>41.737200000000001</v>
      </c>
      <c r="N27" s="13">
        <f>Test!D25</f>
        <v>44.442900000000002</v>
      </c>
      <c r="O27" s="13">
        <f>Test!E25</f>
        <v>45.164700000000003</v>
      </c>
      <c r="P27" s="13">
        <f>Test!F25</f>
        <v>91393.023000000001</v>
      </c>
      <c r="Q27" s="13">
        <f>Test!G25</f>
        <v>16.475999999999999</v>
      </c>
      <c r="R27" s="13">
        <f>P27/3600</f>
        <v>25.386950833333334</v>
      </c>
      <c r="S27" s="17">
        <f>P27/H27</f>
        <v>1.0061494073090884</v>
      </c>
      <c r="T27" s="18">
        <f>Q27/I27</f>
        <v>1.0049405306495882</v>
      </c>
      <c r="U27" s="91"/>
      <c r="V27" s="42">
        <f>bdrate($D27:$D30,E27:E30,$L27:$L30,M27:M30)</f>
        <v>7.9219995905432938E-6</v>
      </c>
      <c r="W27" s="42">
        <f>bdrate($D27:$D30,F27:F30,$L27:$L30,N27:N30)</f>
        <v>-2.6481316832593915E-4</v>
      </c>
      <c r="X27" s="43">
        <f>bdrate($D27:$D30,G27:G30,$L27:$L30,O27:O30)</f>
        <v>-8.1109871308482351E-4</v>
      </c>
      <c r="Y27" s="37">
        <f>bdrateOld($D27:$D30,E27:E30,$L27:$L30,M27:M30)</f>
        <v>1.252993167000227E-5</v>
      </c>
      <c r="Z27" s="42">
        <f>bdrateOld($D27:$D30,F27:F30,$L27:$L30,N27:N30)</f>
        <v>-2.9604858465626105E-4</v>
      </c>
      <c r="AA27" s="43">
        <f>bdrateOld($D27:$D30,G27:G30,$L27:$L30,O27:O30)</f>
        <v>-9.0951784821247106E-4</v>
      </c>
    </row>
    <row r="28" spans="1:27" x14ac:dyDescent="0.2">
      <c r="A28" s="16"/>
      <c r="B28" s="85"/>
      <c r="C28" s="16">
        <v>48</v>
      </c>
      <c r="D28" s="17">
        <f>Reference!B26</f>
        <v>41712.6656</v>
      </c>
      <c r="E28" s="18">
        <f>Reference!C26</f>
        <v>39.930900000000001</v>
      </c>
      <c r="F28" s="18">
        <f>Reference!D26</f>
        <v>43.0349</v>
      </c>
      <c r="G28" s="18">
        <f>Reference!E26</f>
        <v>43.9268</v>
      </c>
      <c r="H28" s="18">
        <f>Reference!F26</f>
        <v>69232.633000000002</v>
      </c>
      <c r="I28" s="18">
        <f>Reference!G26</f>
        <v>14.532</v>
      </c>
      <c r="J28" s="19">
        <f t="shared" ref="J28:J46" si="7">H28/3600</f>
        <v>19.231286944444445</v>
      </c>
      <c r="L28" s="17">
        <f>Test!B26</f>
        <v>41712.351999999999</v>
      </c>
      <c r="M28" s="18">
        <f>Test!C26</f>
        <v>39.930799999999998</v>
      </c>
      <c r="N28" s="18">
        <f>Test!D26</f>
        <v>43.034700000000001</v>
      </c>
      <c r="O28" s="18">
        <f>Test!E26</f>
        <v>43.927500000000002</v>
      </c>
      <c r="P28" s="18">
        <f>Test!F26</f>
        <v>69268.437999999995</v>
      </c>
      <c r="Q28" s="18">
        <f>Test!G26</f>
        <v>14.407999999999999</v>
      </c>
      <c r="R28" s="18">
        <f t="shared" ref="R28:R46" si="8">P28/3600</f>
        <v>19.241232777777775</v>
      </c>
      <c r="S28" s="17">
        <f t="shared" ref="S28:S46" si="9">P28/H28</f>
        <v>1.0005171694105581</v>
      </c>
      <c r="T28" s="18">
        <f t="shared" ref="T28:T46" si="10">Q28/I28</f>
        <v>0.9914671070740434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24533.356800000001</v>
      </c>
      <c r="E29" s="18">
        <f>Reference!C27</f>
        <v>37.703699999999998</v>
      </c>
      <c r="F29" s="18">
        <f>Reference!D27</f>
        <v>41.734000000000002</v>
      </c>
      <c r="G29" s="18">
        <f>Reference!E27</f>
        <v>42.630400000000002</v>
      </c>
      <c r="H29" s="18">
        <f>Reference!F27</f>
        <v>48662.48</v>
      </c>
      <c r="I29" s="18">
        <f>Reference!G27</f>
        <v>12.244</v>
      </c>
      <c r="J29" s="19">
        <f t="shared" si="7"/>
        <v>13.517355555555556</v>
      </c>
      <c r="L29" s="17">
        <f>Test!B27</f>
        <v>24536.6656</v>
      </c>
      <c r="M29" s="18">
        <f>Test!C27</f>
        <v>37.7042</v>
      </c>
      <c r="N29" s="18">
        <f>Test!D27</f>
        <v>41.736600000000003</v>
      </c>
      <c r="O29" s="18">
        <f>Test!E27</f>
        <v>42.6355</v>
      </c>
      <c r="P29" s="18">
        <f>Test!F27</f>
        <v>49804.305</v>
      </c>
      <c r="Q29" s="18">
        <f>Test!G27</f>
        <v>12.339</v>
      </c>
      <c r="R29" s="18">
        <f t="shared" si="8"/>
        <v>13.834529166666666</v>
      </c>
      <c r="S29" s="17">
        <f t="shared" si="9"/>
        <v>1.0234641760962448</v>
      </c>
      <c r="T29" s="18">
        <f t="shared" si="10"/>
        <v>1.0077589023195035</v>
      </c>
      <c r="U29" s="91"/>
      <c r="V29" s="25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Reference!B28</f>
        <v>12379.712</v>
      </c>
      <c r="E30" s="23">
        <f>Reference!C28</f>
        <v>35.008899999999997</v>
      </c>
      <c r="F30" s="23">
        <f>Reference!D28</f>
        <v>40.169499999999999</v>
      </c>
      <c r="G30" s="23">
        <f>Reference!E28</f>
        <v>41.012300000000003</v>
      </c>
      <c r="H30" s="23">
        <f>Reference!F28</f>
        <v>31388.088</v>
      </c>
      <c r="I30" s="23">
        <f>Reference!G28</f>
        <v>10.683</v>
      </c>
      <c r="J30" s="24">
        <f t="shared" si="7"/>
        <v>8.7189133333333331</v>
      </c>
      <c r="L30" s="22">
        <f>Test!B28</f>
        <v>12379.084800000001</v>
      </c>
      <c r="M30" s="23">
        <f>Test!C28</f>
        <v>35.009099999999997</v>
      </c>
      <c r="N30" s="23">
        <f>Test!D28</f>
        <v>40.167299999999997</v>
      </c>
      <c r="O30" s="23">
        <f>Test!E28</f>
        <v>41.01</v>
      </c>
      <c r="P30" s="23">
        <f>Test!F28</f>
        <v>32467.895</v>
      </c>
      <c r="Q30" s="23">
        <f>Test!G28</f>
        <v>10.801</v>
      </c>
      <c r="R30" s="23">
        <f t="shared" si="8"/>
        <v>9.0188597222222224</v>
      </c>
      <c r="S30" s="17">
        <f t="shared" si="9"/>
        <v>1.0344018087371234</v>
      </c>
      <c r="T30" s="18">
        <f t="shared" si="10"/>
        <v>1.011045586445755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39540.6976</v>
      </c>
      <c r="E31" s="13">
        <f>Reference!C29</f>
        <v>44.935200000000002</v>
      </c>
      <c r="F31" s="13">
        <f>Reference!D29</f>
        <v>47.607900000000001</v>
      </c>
      <c r="G31" s="13">
        <f>Reference!E29</f>
        <v>48.338799999999999</v>
      </c>
      <c r="H31" s="13">
        <f>Reference!F29</f>
        <v>62333.836000000003</v>
      </c>
      <c r="I31" s="13">
        <f>Reference!G29</f>
        <v>14.702</v>
      </c>
      <c r="J31" s="14">
        <f t="shared" si="7"/>
        <v>17.314954444444446</v>
      </c>
      <c r="L31" s="12">
        <f>Test!B29</f>
        <v>39533.638400000003</v>
      </c>
      <c r="M31" s="13">
        <f>Test!C29</f>
        <v>44.935200000000002</v>
      </c>
      <c r="N31" s="13">
        <f>Test!D29</f>
        <v>47.604300000000002</v>
      </c>
      <c r="O31" s="13">
        <f>Test!E29</f>
        <v>48.335599999999999</v>
      </c>
      <c r="P31" s="13">
        <f>Test!F29</f>
        <v>60375.809000000001</v>
      </c>
      <c r="Q31" s="13">
        <f>Test!G29</f>
        <v>14.414999999999999</v>
      </c>
      <c r="R31" s="13">
        <f t="shared" si="8"/>
        <v>16.771058055555557</v>
      </c>
      <c r="S31" s="17">
        <f t="shared" si="9"/>
        <v>0.96858805545033355</v>
      </c>
      <c r="T31" s="18">
        <f t="shared" si="10"/>
        <v>0.98047884641545358</v>
      </c>
      <c r="U31" s="91"/>
      <c r="V31" s="42">
        <f>bdrate($D31:$D34,E31:E34,$L31:$L34,M31:M34)</f>
        <v>1.4888806873392113E-5</v>
      </c>
      <c r="W31" s="42">
        <f>bdrate($D31:$D34,F31:F34,$L31:$L34,N31:N34)</f>
        <v>-2.135461941292105E-3</v>
      </c>
      <c r="X31" s="42">
        <f>bdrate($D31:$D34,G31:G34,$L31:$L34,O31:O34)</f>
        <v>-5.1448381769603202E-4</v>
      </c>
      <c r="Y31" s="40">
        <f>bdrateOld($D31:$D34,E31:E34,$L31:$L34,M31:M34)</f>
        <v>-3.1311718983184633E-6</v>
      </c>
      <c r="Z31" s="44">
        <f>bdrateOld($D31:$D34,F31:F34,$L31:$L34,N31:N34)</f>
        <v>-2.5033023530781628E-3</v>
      </c>
      <c r="AA31" s="45">
        <f>bdrateOld($D31:$D34,G31:G34,$L31:$L34,O31:O34)</f>
        <v>-3.5128148555685357E-4</v>
      </c>
    </row>
    <row r="32" spans="1:27" x14ac:dyDescent="0.2">
      <c r="A32" s="16"/>
      <c r="B32" s="85"/>
      <c r="C32" s="16">
        <v>48</v>
      </c>
      <c r="D32" s="17">
        <f>Reference!B30</f>
        <v>26056.460800000001</v>
      </c>
      <c r="E32" s="18">
        <f>Reference!C30</f>
        <v>42.767699999999998</v>
      </c>
      <c r="F32" s="18">
        <f>Reference!D30</f>
        <v>46.0075</v>
      </c>
      <c r="G32" s="18">
        <f>Reference!E30</f>
        <v>46.536099999999998</v>
      </c>
      <c r="H32" s="18">
        <f>Reference!F30</f>
        <v>49645.586000000003</v>
      </c>
      <c r="I32" s="18">
        <f>Reference!G30</f>
        <v>12.916</v>
      </c>
      <c r="J32" s="19">
        <f t="shared" si="7"/>
        <v>13.790440555555556</v>
      </c>
      <c r="L32" s="17">
        <f>Test!B30</f>
        <v>26053.7088</v>
      </c>
      <c r="M32" s="18">
        <f>Test!C30</f>
        <v>42.766599999999997</v>
      </c>
      <c r="N32" s="18">
        <f>Test!D30</f>
        <v>46.002699999999997</v>
      </c>
      <c r="O32" s="18">
        <f>Test!E30</f>
        <v>46.531599999999997</v>
      </c>
      <c r="P32" s="18">
        <f>Test!F30</f>
        <v>48432.464999999997</v>
      </c>
      <c r="Q32" s="18">
        <f>Test!G30</f>
        <v>12.772</v>
      </c>
      <c r="R32" s="18">
        <f t="shared" si="8"/>
        <v>13.453462499999999</v>
      </c>
      <c r="S32" s="17">
        <f t="shared" si="9"/>
        <v>0.97556437343694546</v>
      </c>
      <c r="T32" s="18">
        <f t="shared" si="10"/>
        <v>0.98885103747290182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15441.3696</v>
      </c>
      <c r="E33" s="18">
        <f>Reference!C31</f>
        <v>40.0809</v>
      </c>
      <c r="F33" s="18">
        <f>Reference!D31</f>
        <v>44.455599999999997</v>
      </c>
      <c r="G33" s="18">
        <f>Reference!E31</f>
        <v>44.716099999999997</v>
      </c>
      <c r="H33" s="18">
        <f>Reference!F31</f>
        <v>37633.656000000003</v>
      </c>
      <c r="I33" s="18">
        <f>Reference!G31</f>
        <v>11.369</v>
      </c>
      <c r="J33" s="19">
        <f t="shared" si="7"/>
        <v>10.453793333333333</v>
      </c>
      <c r="L33" s="17">
        <f>Test!B31</f>
        <v>15440.6976</v>
      </c>
      <c r="M33" s="18">
        <f>Test!C31</f>
        <v>40.081299999999999</v>
      </c>
      <c r="N33" s="18">
        <f>Test!D31</f>
        <v>44.474400000000003</v>
      </c>
      <c r="O33" s="18">
        <f>Test!E31</f>
        <v>44.7134</v>
      </c>
      <c r="P33" s="18">
        <f>Test!F31</f>
        <v>37049.18</v>
      </c>
      <c r="Q33" s="18">
        <f>Test!G31</f>
        <v>11.484999999999999</v>
      </c>
      <c r="R33" s="18">
        <f t="shared" si="8"/>
        <v>10.291438888888889</v>
      </c>
      <c r="S33" s="17">
        <f t="shared" si="9"/>
        <v>0.98446932713632707</v>
      </c>
      <c r="T33" s="18">
        <f t="shared" si="10"/>
        <v>1.0102031840971062</v>
      </c>
      <c r="U33" s="91"/>
      <c r="V33" s="25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Reference!B32</f>
        <v>8055.1296000000002</v>
      </c>
      <c r="E34" s="23">
        <f>Reference!C32</f>
        <v>37.008699999999997</v>
      </c>
      <c r="F34" s="23">
        <f>Reference!D32</f>
        <v>42.448500000000003</v>
      </c>
      <c r="G34" s="23">
        <f>Reference!E32</f>
        <v>42.4863</v>
      </c>
      <c r="H34" s="23">
        <f>Reference!F32</f>
        <v>23609.035</v>
      </c>
      <c r="I34" s="23">
        <f>Reference!G32</f>
        <v>9.8040000000000003</v>
      </c>
      <c r="J34" s="24">
        <f t="shared" si="7"/>
        <v>6.5580652777777777</v>
      </c>
      <c r="L34" s="22">
        <f>Test!B32</f>
        <v>8060.4160000000002</v>
      </c>
      <c r="M34" s="23">
        <f>Test!C32</f>
        <v>37.010100000000001</v>
      </c>
      <c r="N34" s="23">
        <f>Test!D32</f>
        <v>42.451599999999999</v>
      </c>
      <c r="O34" s="23">
        <f>Test!E32</f>
        <v>42.517400000000002</v>
      </c>
      <c r="P34" s="23">
        <f>Test!F32</f>
        <v>24011.873</v>
      </c>
      <c r="Q34" s="23">
        <f>Test!G32</f>
        <v>10.068</v>
      </c>
      <c r="R34" s="23">
        <f t="shared" si="8"/>
        <v>6.6699647222222218</v>
      </c>
      <c r="S34" s="17">
        <f t="shared" si="9"/>
        <v>1.0170628744461601</v>
      </c>
      <c r="T34" s="18">
        <f t="shared" si="10"/>
        <v>1.0269277845777234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53885.331200000001</v>
      </c>
      <c r="E35" s="13">
        <f>Reference!C33</f>
        <v>41.744900000000001</v>
      </c>
      <c r="F35" s="13">
        <f>Reference!D33</f>
        <v>46.070099999999996</v>
      </c>
      <c r="G35" s="13">
        <f>Reference!E33</f>
        <v>46.383099999999999</v>
      </c>
      <c r="H35" s="13">
        <f>Reference!F33</f>
        <v>51957.457000000002</v>
      </c>
      <c r="I35" s="13">
        <f>Reference!G33</f>
        <v>9.4280000000000008</v>
      </c>
      <c r="J35" s="14">
        <f t="shared" si="7"/>
        <v>14.432626944444445</v>
      </c>
      <c r="L35" s="12">
        <f>Test!B33</f>
        <v>53885.331200000001</v>
      </c>
      <c r="M35" s="13">
        <f>Test!C33</f>
        <v>41.744900000000001</v>
      </c>
      <c r="N35" s="13">
        <f>Test!D33</f>
        <v>46.070099999999996</v>
      </c>
      <c r="O35" s="13">
        <f>Test!E33</f>
        <v>46.383099999999999</v>
      </c>
      <c r="P35" s="13">
        <f>Test!F33</f>
        <v>50159.296999999999</v>
      </c>
      <c r="Q35" s="13">
        <f>Test!G33</f>
        <v>9.2569999999999997</v>
      </c>
      <c r="R35" s="13">
        <f t="shared" si="8"/>
        <v>13.933138055555554</v>
      </c>
      <c r="S35" s="12">
        <f t="shared" si="9"/>
        <v>0.96539168574012379</v>
      </c>
      <c r="T35" s="13">
        <f t="shared" si="10"/>
        <v>0.98186253712346194</v>
      </c>
      <c r="U35" s="90"/>
      <c r="V35" s="42">
        <f>bdrate($D35:$D38,E35:E38,$L35:$L38,M35:M38)</f>
        <v>-4.4396014337033662E-6</v>
      </c>
      <c r="W35" s="42">
        <f>bdrate($D35:$D38,F35:F38,$L35:$L38,N35:N38)</f>
        <v>-5.0552474683629445E-4</v>
      </c>
      <c r="X35" s="42">
        <f>bdrate($D35:$D38,G35:G38,$L35:$L38,O35:O38)</f>
        <v>-2.0381900951582654E-4</v>
      </c>
      <c r="Y35" s="40">
        <f>bdrateOld($D35:$D38,E35:E38,$L35:$L38,M35:M38)</f>
        <v>-4.3321321028244597E-6</v>
      </c>
      <c r="Z35" s="44">
        <f>bdrateOld($D35:$D38,F35:F38,$L35:$L38,N35:N38)</f>
        <v>-5.3349299568627995E-4</v>
      </c>
      <c r="AA35" s="45">
        <f>bdrateOld($D35:$D38,G35:G38,$L35:$L38,O35:O38)</f>
        <v>-1.9554082217454472E-4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36759.296000000002</v>
      </c>
      <c r="E36" s="18">
        <f>Reference!C34</f>
        <v>38.811300000000003</v>
      </c>
      <c r="F36" s="18">
        <f>Reference!D34</f>
        <v>44.322299999999998</v>
      </c>
      <c r="G36" s="18">
        <f>Reference!E34</f>
        <v>44.660899999999998</v>
      </c>
      <c r="H36" s="18">
        <f>Reference!F34</f>
        <v>45086.675999999999</v>
      </c>
      <c r="I36" s="18">
        <f>Reference!G34</f>
        <v>8.2520000000000007</v>
      </c>
      <c r="J36" s="19">
        <f t="shared" si="7"/>
        <v>12.524076666666666</v>
      </c>
      <c r="L36" s="17">
        <f>Test!B34</f>
        <v>36758.131200000003</v>
      </c>
      <c r="M36" s="18">
        <f>Test!C34</f>
        <v>38.811199999999999</v>
      </c>
      <c r="N36" s="18">
        <f>Test!D34</f>
        <v>44.325200000000002</v>
      </c>
      <c r="O36" s="18">
        <f>Test!E34</f>
        <v>44.660699999999999</v>
      </c>
      <c r="P36" s="18">
        <f>Test!F34</f>
        <v>44645.688000000002</v>
      </c>
      <c r="Q36" s="18">
        <f>Test!G34</f>
        <v>8.1620000000000008</v>
      </c>
      <c r="R36" s="18">
        <f t="shared" si="8"/>
        <v>12.401580000000001</v>
      </c>
      <c r="S36" s="17">
        <f t="shared" si="9"/>
        <v>0.99021910597268259</v>
      </c>
      <c r="T36" s="18">
        <f t="shared" si="10"/>
        <v>0.9890935530780417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21831.2448</v>
      </c>
      <c r="E37" s="18">
        <f>Reference!C35</f>
        <v>35.423699999999997</v>
      </c>
      <c r="F37" s="18">
        <f>Reference!D35</f>
        <v>42.871499999999997</v>
      </c>
      <c r="G37" s="18">
        <f>Reference!E35</f>
        <v>43.200699999999998</v>
      </c>
      <c r="H37" s="18">
        <f>Reference!F35</f>
        <v>36714.366999999998</v>
      </c>
      <c r="I37" s="18">
        <f>Reference!G35</f>
        <v>7.0439999999999996</v>
      </c>
      <c r="J37" s="19">
        <f t="shared" si="7"/>
        <v>10.198435277777778</v>
      </c>
      <c r="L37" s="17">
        <f>Test!B35</f>
        <v>21830.687999999998</v>
      </c>
      <c r="M37" s="18">
        <f>Test!C35</f>
        <v>35.4236</v>
      </c>
      <c r="N37" s="18">
        <f>Test!D35</f>
        <v>42.872100000000003</v>
      </c>
      <c r="O37" s="18">
        <f>Test!E35</f>
        <v>43.201700000000002</v>
      </c>
      <c r="P37" s="18">
        <f>Test!F35</f>
        <v>36387.879000000001</v>
      </c>
      <c r="Q37" s="18">
        <f>Test!G35</f>
        <v>7.1020000000000003</v>
      </c>
      <c r="R37" s="18">
        <f t="shared" si="8"/>
        <v>10.107744166666667</v>
      </c>
      <c r="S37" s="17">
        <f t="shared" si="9"/>
        <v>0.99110735042769504</v>
      </c>
      <c r="T37" s="18">
        <f t="shared" si="10"/>
        <v>1.0082339579784214</v>
      </c>
      <c r="U37" s="91"/>
      <c r="V37" s="25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Reference!B36</f>
        <v>10756.2176</v>
      </c>
      <c r="E38" s="23">
        <f>Reference!C36</f>
        <v>31.796500000000002</v>
      </c>
      <c r="F38" s="23">
        <f>Reference!D36</f>
        <v>41.5002</v>
      </c>
      <c r="G38" s="23">
        <f>Reference!E36</f>
        <v>41.678800000000003</v>
      </c>
      <c r="H38" s="23">
        <f>Reference!F36</f>
        <v>26776.437999999998</v>
      </c>
      <c r="I38" s="23">
        <f>Reference!G36</f>
        <v>5.7489999999999997</v>
      </c>
      <c r="J38" s="24">
        <f t="shared" si="7"/>
        <v>7.4378994444444437</v>
      </c>
      <c r="L38" s="22">
        <f>Test!B36</f>
        <v>10755.910400000001</v>
      </c>
      <c r="M38" s="23">
        <f>Test!C36</f>
        <v>31.796199999999999</v>
      </c>
      <c r="N38" s="23">
        <f>Test!D36</f>
        <v>41.500999999999998</v>
      </c>
      <c r="O38" s="23">
        <f>Test!E36</f>
        <v>41.679699999999997</v>
      </c>
      <c r="P38" s="23">
        <f>Test!F36</f>
        <v>26396.096000000001</v>
      </c>
      <c r="Q38" s="23">
        <f>Test!G36</f>
        <v>5.8230000000000004</v>
      </c>
      <c r="R38" s="23">
        <f t="shared" si="8"/>
        <v>7.3322488888888895</v>
      </c>
      <c r="S38" s="17">
        <f t="shared" si="9"/>
        <v>0.98579564615726722</v>
      </c>
      <c r="T38" s="18">
        <f t="shared" si="10"/>
        <v>1.012871803791964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20107.385600000001</v>
      </c>
      <c r="E39" s="13">
        <f>Reference!C37</f>
        <v>42.69</v>
      </c>
      <c r="F39" s="13">
        <f>Reference!D37</f>
        <v>45.481200000000001</v>
      </c>
      <c r="G39" s="13">
        <f>Reference!E37</f>
        <v>47.031799999999997</v>
      </c>
      <c r="H39" s="13">
        <f>Reference!F37</f>
        <v>34313.355000000003</v>
      </c>
      <c r="I39" s="13">
        <f>Reference!G37</f>
        <v>6.4329999999999998</v>
      </c>
      <c r="J39" s="14">
        <f t="shared" si="7"/>
        <v>9.5314875000000008</v>
      </c>
      <c r="L39" s="12">
        <f>Test!B37</f>
        <v>20102.272000000001</v>
      </c>
      <c r="M39" s="13">
        <f>Test!C37</f>
        <v>42.688400000000001</v>
      </c>
      <c r="N39" s="13">
        <f>Test!D37</f>
        <v>45.477699999999999</v>
      </c>
      <c r="O39" s="13">
        <f>Test!E37</f>
        <v>47.034100000000002</v>
      </c>
      <c r="P39" s="13">
        <f>Test!F37</f>
        <v>34298.887000000002</v>
      </c>
      <c r="Q39" s="13">
        <f>Test!G37</f>
        <v>6.45</v>
      </c>
      <c r="R39" s="13">
        <f t="shared" si="8"/>
        <v>9.5274686111111127</v>
      </c>
      <c r="S39" s="17">
        <f t="shared" si="9"/>
        <v>0.99957835659031302</v>
      </c>
      <c r="T39" s="18">
        <f t="shared" si="10"/>
        <v>1.002642623970154</v>
      </c>
      <c r="U39" s="91"/>
      <c r="V39" s="42">
        <f>bdrate($D39:$D42,E39:E42,$L39:$L42,M39:M42)</f>
        <v>-1.184332549608591E-5</v>
      </c>
      <c r="W39" s="42">
        <f>bdrate($D39:$D42,F39:F42,$L39:$L42,N39:N42)</f>
        <v>4.8707095453481841E-4</v>
      </c>
      <c r="X39" s="42">
        <f>bdrate($D39:$D42,G39:G42,$L39:$L42,O39:O42)</f>
        <v>-3.2478450260881031E-3</v>
      </c>
      <c r="Y39" s="40">
        <f>bdrateOld($D39:$D42,E39:E42,$L39:$L42,M39:M42)</f>
        <v>-1.5477149199694118E-5</v>
      </c>
      <c r="Z39" s="44">
        <f>bdrateOld($D39:$D42,F39:F42,$L39:$L42,N39:N42)</f>
        <v>3.9424335906645958E-4</v>
      </c>
      <c r="AA39" s="45">
        <f>bdrateOld($D39:$D42,G39:G42,$L39:$L42,O39:O42)</f>
        <v>-3.6110939506051043E-3</v>
      </c>
    </row>
    <row r="40" spans="1:27" x14ac:dyDescent="0.2">
      <c r="A40" s="16"/>
      <c r="B40" s="85"/>
      <c r="C40" s="16">
        <v>32</v>
      </c>
      <c r="D40" s="17">
        <f>Reference!B38</f>
        <v>11409.843199999999</v>
      </c>
      <c r="E40" s="18">
        <f>Reference!C38</f>
        <v>40.6663</v>
      </c>
      <c r="F40" s="18">
        <f>Reference!D38</f>
        <v>44.567500000000003</v>
      </c>
      <c r="G40" s="18">
        <f>Reference!E38</f>
        <v>45.400300000000001</v>
      </c>
      <c r="H40" s="18">
        <f>Reference!F38</f>
        <v>26866.423999999999</v>
      </c>
      <c r="I40" s="18">
        <f>Reference!G38</f>
        <v>5.6310000000000002</v>
      </c>
      <c r="J40" s="19">
        <f t="shared" si="7"/>
        <v>7.4628955555555549</v>
      </c>
      <c r="L40" s="17">
        <f>Test!B38</f>
        <v>11416.6656</v>
      </c>
      <c r="M40" s="18">
        <f>Test!C38</f>
        <v>40.667999999999999</v>
      </c>
      <c r="N40" s="18">
        <f>Test!D38</f>
        <v>44.567700000000002</v>
      </c>
      <c r="O40" s="18">
        <f>Test!E38</f>
        <v>45.400799999999997</v>
      </c>
      <c r="P40" s="18">
        <f>Test!F38</f>
        <v>25105.116999999998</v>
      </c>
      <c r="Q40" s="18">
        <f>Test!G38</f>
        <v>5.4130000000000003</v>
      </c>
      <c r="R40" s="18">
        <f t="shared" si="8"/>
        <v>6.9736436111111111</v>
      </c>
      <c r="S40" s="17">
        <f t="shared" si="9"/>
        <v>0.93444207535770296</v>
      </c>
      <c r="T40" s="18">
        <f t="shared" si="10"/>
        <v>0.96128573965547859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6331.4687999999996</v>
      </c>
      <c r="E41" s="18">
        <f>Reference!C39</f>
        <v>38.6648</v>
      </c>
      <c r="F41" s="18">
        <f>Reference!D39</f>
        <v>43.620399999999997</v>
      </c>
      <c r="G41" s="18">
        <f>Reference!E39</f>
        <v>43.6327</v>
      </c>
      <c r="H41" s="18">
        <f>Reference!F39</f>
        <v>17442.976999999999</v>
      </c>
      <c r="I41" s="18">
        <f>Reference!G39</f>
        <v>4.8869999999999996</v>
      </c>
      <c r="J41" s="19">
        <f t="shared" si="7"/>
        <v>4.8452713888888885</v>
      </c>
      <c r="L41" s="17">
        <f>Test!B39</f>
        <v>6329.3760000000002</v>
      </c>
      <c r="M41" s="18">
        <f>Test!C39</f>
        <v>38.663600000000002</v>
      </c>
      <c r="N41" s="18">
        <f>Test!D39</f>
        <v>43.6203</v>
      </c>
      <c r="O41" s="18">
        <f>Test!E39</f>
        <v>43.655099999999997</v>
      </c>
      <c r="P41" s="18">
        <f>Test!F39</f>
        <v>17267.41</v>
      </c>
      <c r="Q41" s="18">
        <f>Test!G39</f>
        <v>4.7699999999999996</v>
      </c>
      <c r="R41" s="18">
        <f t="shared" si="8"/>
        <v>4.7965027777777776</v>
      </c>
      <c r="S41" s="17">
        <f t="shared" si="9"/>
        <v>0.9899348029868984</v>
      </c>
      <c r="T41" s="18">
        <f t="shared" si="10"/>
        <v>0.97605893186003678</v>
      </c>
      <c r="U41" s="91"/>
      <c r="V41" s="25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Reference!B40</f>
        <v>3230.4895999999999</v>
      </c>
      <c r="E42" s="23">
        <f>Reference!C40</f>
        <v>36.290999999999997</v>
      </c>
      <c r="F42" s="23">
        <f>Reference!D40</f>
        <v>42.315899999999999</v>
      </c>
      <c r="G42" s="23">
        <f>Reference!E40</f>
        <v>41.464500000000001</v>
      </c>
      <c r="H42" s="23">
        <f>Reference!F40</f>
        <v>10783.253000000001</v>
      </c>
      <c r="I42" s="23">
        <f>Reference!G40</f>
        <v>4.2549999999999999</v>
      </c>
      <c r="J42" s="24">
        <f t="shared" si="7"/>
        <v>2.9953480555555556</v>
      </c>
      <c r="L42" s="22">
        <f>Test!B40</f>
        <v>3225.2287999999999</v>
      </c>
      <c r="M42" s="23">
        <f>Test!C40</f>
        <v>36.287100000000002</v>
      </c>
      <c r="N42" s="23">
        <f>Test!D40</f>
        <v>42.308900000000001</v>
      </c>
      <c r="O42" s="23">
        <f>Test!E40</f>
        <v>41.461300000000001</v>
      </c>
      <c r="P42" s="23">
        <f>Test!F40</f>
        <v>10898.710999999999</v>
      </c>
      <c r="Q42" s="23">
        <f>Test!G40</f>
        <v>4.2539999999999996</v>
      </c>
      <c r="R42" s="23">
        <f t="shared" si="8"/>
        <v>3.0274197222222221</v>
      </c>
      <c r="S42" s="17">
        <f t="shared" si="9"/>
        <v>1.0107071585911969</v>
      </c>
      <c r="T42" s="18">
        <f t="shared" si="10"/>
        <v>0.99976498237367795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15114.5152</v>
      </c>
      <c r="E43" s="13">
        <f>Reference!C41</f>
        <v>44.225700000000003</v>
      </c>
      <c r="F43" s="13">
        <f>Reference!D41</f>
        <v>47.0792</v>
      </c>
      <c r="G43" s="13">
        <f>Reference!E41</f>
        <v>47.969700000000003</v>
      </c>
      <c r="H43" s="13">
        <f>Reference!F41</f>
        <v>27344.398000000001</v>
      </c>
      <c r="I43" s="13">
        <f>Reference!G41</f>
        <v>6.1710000000000003</v>
      </c>
      <c r="J43" s="14">
        <f t="shared" si="7"/>
        <v>7.595666111111111</v>
      </c>
      <c r="L43" s="12">
        <f>Test!B41</f>
        <v>15113.6</v>
      </c>
      <c r="M43" s="13">
        <f>Test!C41</f>
        <v>44.225900000000003</v>
      </c>
      <c r="N43" s="13">
        <f>Test!D41</f>
        <v>47.078600000000002</v>
      </c>
      <c r="O43" s="13">
        <f>Test!E41</f>
        <v>47.972000000000001</v>
      </c>
      <c r="P43" s="13">
        <f>Test!F41</f>
        <v>26541.796999999999</v>
      </c>
      <c r="Q43" s="13">
        <f>Test!G41</f>
        <v>6.0609999999999999</v>
      </c>
      <c r="R43" s="13">
        <f t="shared" si="8"/>
        <v>7.3727213888888885</v>
      </c>
      <c r="S43" s="17">
        <f t="shared" si="9"/>
        <v>0.97064843043902438</v>
      </c>
      <c r="T43" s="18">
        <f t="shared" si="10"/>
        <v>0.982174688057041</v>
      </c>
      <c r="U43" s="91"/>
      <c r="V43" s="42">
        <f>bdrate($D43:$D46,E43:E46,$L43:$L46,M43:M46)</f>
        <v>1.0849699412629477E-4</v>
      </c>
      <c r="W43" s="42">
        <f>bdrate($D43:$D46,F43:F46,$L43:$L46,N43:N46)</f>
        <v>-2.5288911472409747E-3</v>
      </c>
      <c r="X43" s="42">
        <f>bdrate($D43:$D46,G43:G46,$L43:$L46,O43:O46)</f>
        <v>-7.6357260716186648E-4</v>
      </c>
      <c r="Y43" s="40">
        <f>bdrateOld($D43:$D46,E43:E46,$L43:$L46,M43:M46)</f>
        <v>1.6324945220724807E-4</v>
      </c>
      <c r="Z43" s="44">
        <f>bdrateOld($D43:$D46,F43:F46,$L43:$L46,N43:N46)</f>
        <v>-2.6720557899037045E-3</v>
      </c>
      <c r="AA43" s="45">
        <f>bdrateOld($D43:$D46,G43:G46,$L43:$L46,O43:O46)</f>
        <v>-5.7399585885253845E-4</v>
      </c>
    </row>
    <row r="44" spans="1:27" x14ac:dyDescent="0.2">
      <c r="A44" s="16"/>
      <c r="B44" s="85"/>
      <c r="C44" s="16">
        <v>32</v>
      </c>
      <c r="D44" s="17">
        <f>Reference!B42</f>
        <v>10258.822399999999</v>
      </c>
      <c r="E44" s="18">
        <f>Reference!C42</f>
        <v>42.495899999999999</v>
      </c>
      <c r="F44" s="18">
        <f>Reference!D42</f>
        <v>45.927500000000002</v>
      </c>
      <c r="G44" s="18">
        <f>Reference!E42</f>
        <v>46.6449</v>
      </c>
      <c r="H44" s="18">
        <f>Reference!F42</f>
        <v>21491.921999999999</v>
      </c>
      <c r="I44" s="18">
        <f>Reference!G42</f>
        <v>5.5860000000000003</v>
      </c>
      <c r="J44" s="19">
        <f t="shared" si="7"/>
        <v>5.9699783333333327</v>
      </c>
      <c r="L44" s="17">
        <f>Test!B42</f>
        <v>10258.2528</v>
      </c>
      <c r="M44" s="18">
        <f>Test!C42</f>
        <v>42.497399999999999</v>
      </c>
      <c r="N44" s="18">
        <f>Test!D42</f>
        <v>45.936999999999998</v>
      </c>
      <c r="O44" s="18">
        <f>Test!E42</f>
        <v>46.642099999999999</v>
      </c>
      <c r="P44" s="18">
        <f>Test!F42</f>
        <v>21360.561000000002</v>
      </c>
      <c r="Q44" s="18">
        <f>Test!G42</f>
        <v>5.5149999999999997</v>
      </c>
      <c r="R44" s="18">
        <f t="shared" si="8"/>
        <v>5.9334891666666669</v>
      </c>
      <c r="S44" s="17">
        <f t="shared" si="9"/>
        <v>0.99388788959870611</v>
      </c>
      <c r="T44" s="18">
        <f t="shared" si="10"/>
        <v>0.98728965270318647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6478.7071999999998</v>
      </c>
      <c r="E45" s="18">
        <f>Reference!C43</f>
        <v>40.162300000000002</v>
      </c>
      <c r="F45" s="18">
        <f>Reference!D43</f>
        <v>44.5916</v>
      </c>
      <c r="G45" s="18">
        <f>Reference!E43</f>
        <v>45.1053</v>
      </c>
      <c r="H45" s="18">
        <f>Reference!F43</f>
        <v>16863.713</v>
      </c>
      <c r="I45" s="18">
        <f>Reference!G43</f>
        <v>5.3860000000000001</v>
      </c>
      <c r="J45" s="19">
        <f t="shared" si="7"/>
        <v>4.684364722222222</v>
      </c>
      <c r="L45" s="17">
        <f>Test!B43</f>
        <v>6482.9632000000001</v>
      </c>
      <c r="M45" s="18">
        <f>Test!C43</f>
        <v>40.163899999999998</v>
      </c>
      <c r="N45" s="18">
        <f>Test!D43</f>
        <v>44.606999999999999</v>
      </c>
      <c r="O45" s="18">
        <f>Test!E43</f>
        <v>45.104399999999998</v>
      </c>
      <c r="P45" s="18">
        <f>Test!F43</f>
        <v>15772.986999999999</v>
      </c>
      <c r="Q45" s="18">
        <f>Test!G43</f>
        <v>5.2229999999999999</v>
      </c>
      <c r="R45" s="18">
        <f t="shared" si="8"/>
        <v>4.3813852777777775</v>
      </c>
      <c r="S45" s="17">
        <f t="shared" si="9"/>
        <v>0.93532112412017443</v>
      </c>
      <c r="T45" s="18">
        <f t="shared" si="10"/>
        <v>0.96973635350909759</v>
      </c>
      <c r="U45" s="91"/>
      <c r="V45" s="25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Reference!B44</f>
        <v>3752.7359999999999</v>
      </c>
      <c r="E46" s="23">
        <f>Reference!C44</f>
        <v>37.174399999999999</v>
      </c>
      <c r="F46" s="23">
        <f>Reference!D44</f>
        <v>42.877600000000001</v>
      </c>
      <c r="G46" s="23">
        <f>Reference!E44</f>
        <v>43.065100000000001</v>
      </c>
      <c r="H46" s="23">
        <f>Reference!F44</f>
        <v>10783.79</v>
      </c>
      <c r="I46" s="23">
        <f>Reference!G44</f>
        <v>4.5869999999999997</v>
      </c>
      <c r="J46" s="24">
        <f t="shared" si="7"/>
        <v>2.9954972222222223</v>
      </c>
      <c r="L46" s="22">
        <f>Test!B44</f>
        <v>3749.9072000000001</v>
      </c>
      <c r="M46" s="23">
        <f>Test!C44</f>
        <v>37.167900000000003</v>
      </c>
      <c r="N46" s="23">
        <f>Test!D44</f>
        <v>42.866199999999999</v>
      </c>
      <c r="O46" s="23">
        <f>Test!E44</f>
        <v>43.095100000000002</v>
      </c>
      <c r="P46" s="23">
        <f>Test!F44</f>
        <v>10957.403</v>
      </c>
      <c r="Q46" s="23">
        <f>Test!G44</f>
        <v>4.431</v>
      </c>
      <c r="R46" s="23">
        <f t="shared" si="8"/>
        <v>3.0437230555555557</v>
      </c>
      <c r="S46" s="17">
        <f t="shared" si="9"/>
        <v>1.0160994418474394</v>
      </c>
      <c r="T46" s="18">
        <f t="shared" si="10"/>
        <v>0.96599084368868549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16384.947199999999</v>
      </c>
      <c r="E47" s="13">
        <f>Reference!C45</f>
        <v>44.169199999999996</v>
      </c>
      <c r="F47" s="13">
        <f>Reference!D45</f>
        <v>48.808399999999999</v>
      </c>
      <c r="G47" s="13">
        <f>Reference!E45</f>
        <v>48.461799999999997</v>
      </c>
      <c r="H47" s="13">
        <f>Reference!F45</f>
        <v>27911.768</v>
      </c>
      <c r="I47" s="13">
        <f>Reference!G45</f>
        <v>6.0940000000000003</v>
      </c>
      <c r="J47" s="14">
        <f>H47/3600</f>
        <v>7.753268888888889</v>
      </c>
      <c r="L47" s="12">
        <f>Test!B45</f>
        <v>16385.792000000001</v>
      </c>
      <c r="M47" s="13">
        <f>Test!C45</f>
        <v>44.1693</v>
      </c>
      <c r="N47" s="13">
        <f>Test!D45</f>
        <v>48.808799999999998</v>
      </c>
      <c r="O47" s="13">
        <f>Test!E45</f>
        <v>48.463299999999997</v>
      </c>
      <c r="P47" s="13">
        <f>Test!F45</f>
        <v>26761.956999999999</v>
      </c>
      <c r="Q47" s="13">
        <f>Test!G45</f>
        <v>5.7709999999999999</v>
      </c>
      <c r="R47" s="13">
        <f>P47/3600</f>
        <v>7.4338769444444441</v>
      </c>
      <c r="S47" s="17">
        <f>P47/H47</f>
        <v>0.958805511711046</v>
      </c>
      <c r="T47" s="18">
        <f>Q47/I47</f>
        <v>0.94699704627502457</v>
      </c>
      <c r="U47" s="91"/>
      <c r="V47" s="42">
        <f>bdrate($D47:$D50,E47:E50,$L47:$L50,M47:M50)</f>
        <v>1.8538677954027527E-4</v>
      </c>
      <c r="W47" s="42">
        <f>bdrate($D47:$D50,F47:F50,$L47:$L50,N47:N50)</f>
        <v>1.7191207878204384E-3</v>
      </c>
      <c r="X47" s="43">
        <f>bdrate($D47:$D50,G47:G50,$L47:$L50,O47:O50)</f>
        <v>-3.5584200651672671E-3</v>
      </c>
      <c r="Y47" s="37">
        <f>bdrateOld($D47:$D50,E47:E50,$L47:$L50,M47:M50)</f>
        <v>1.8297511185583204E-4</v>
      </c>
      <c r="Z47" s="42">
        <f>bdrateOld($D47:$D50,F47:F50,$L47:$L50,N47:N50)</f>
        <v>1.0799921990116701E-3</v>
      </c>
      <c r="AA47" s="43">
        <f>bdrateOld($D47:$D50,G47:G50,$L47:$L50,O47:O50)</f>
        <v>-3.4861015746631141E-3</v>
      </c>
    </row>
    <row r="48" spans="1:27" x14ac:dyDescent="0.2">
      <c r="A48" s="16"/>
      <c r="B48" s="85"/>
      <c r="C48" s="16">
        <v>32</v>
      </c>
      <c r="D48" s="17">
        <f>Reference!B46</f>
        <v>11391.315199999999</v>
      </c>
      <c r="E48" s="18">
        <f>Reference!C46</f>
        <v>42.431699999999999</v>
      </c>
      <c r="F48" s="18">
        <f>Reference!D46</f>
        <v>47.805</v>
      </c>
      <c r="G48" s="18">
        <f>Reference!E46</f>
        <v>46.991999999999997</v>
      </c>
      <c r="H48" s="18">
        <f>Reference!F46</f>
        <v>21917.988000000001</v>
      </c>
      <c r="I48" s="18">
        <f>Reference!G46</f>
        <v>5.3049999999999997</v>
      </c>
      <c r="J48" s="19">
        <f t="shared" ref="J48:J70" si="11">H48/3600</f>
        <v>6.08833</v>
      </c>
      <c r="L48" s="17">
        <f>Test!B46</f>
        <v>11392.7232</v>
      </c>
      <c r="M48" s="18">
        <f>Test!C46</f>
        <v>42.4315</v>
      </c>
      <c r="N48" s="18">
        <f>Test!D46</f>
        <v>47.797199999999997</v>
      </c>
      <c r="O48" s="18">
        <f>Test!E46</f>
        <v>47.000300000000003</v>
      </c>
      <c r="P48" s="18">
        <f>Test!F46</f>
        <v>21970.055</v>
      </c>
      <c r="Q48" s="18">
        <f>Test!G46</f>
        <v>5.2519999999999998</v>
      </c>
      <c r="R48" s="18">
        <f t="shared" ref="R48:R70" si="12">P48/3600</f>
        <v>6.1027930555555558</v>
      </c>
      <c r="S48" s="17">
        <f t="shared" ref="S48:S70" si="13">P48/H48</f>
        <v>1.0023755373896546</v>
      </c>
      <c r="T48" s="18">
        <f t="shared" ref="T48:T70" si="14">Q48/I48</f>
        <v>0.99000942507068801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7412.5951999999997</v>
      </c>
      <c r="E49" s="18">
        <f>Reference!C47</f>
        <v>40.051200000000001</v>
      </c>
      <c r="F49" s="18">
        <f>Reference!D47</f>
        <v>46.616399999999999</v>
      </c>
      <c r="G49" s="18">
        <f>Reference!E47</f>
        <v>45.3123</v>
      </c>
      <c r="H49" s="18">
        <f>Reference!F47</f>
        <v>16249.713</v>
      </c>
      <c r="I49" s="18">
        <f>Reference!G47</f>
        <v>4.8159999999999998</v>
      </c>
      <c r="J49" s="19">
        <f t="shared" si="11"/>
        <v>4.5138091666666664</v>
      </c>
      <c r="L49" s="17">
        <f>Test!B47</f>
        <v>7410.8032000000003</v>
      </c>
      <c r="M49" s="18">
        <f>Test!C47</f>
        <v>40.048299999999998</v>
      </c>
      <c r="N49" s="18">
        <f>Test!D47</f>
        <v>46.615499999999997</v>
      </c>
      <c r="O49" s="18">
        <f>Test!E47</f>
        <v>45.326300000000003</v>
      </c>
      <c r="P49" s="18">
        <f>Test!F47</f>
        <v>16557.879000000001</v>
      </c>
      <c r="Q49" s="18">
        <f>Test!G47</f>
        <v>4.7450000000000001</v>
      </c>
      <c r="R49" s="18">
        <f t="shared" si="12"/>
        <v>4.5994108333333337</v>
      </c>
      <c r="S49" s="17">
        <f t="shared" si="13"/>
        <v>1.0189643964788795</v>
      </c>
      <c r="T49" s="18">
        <f t="shared" si="14"/>
        <v>0.9852574750830565</v>
      </c>
      <c r="U49" s="91"/>
      <c r="V49" s="25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Reference!B48</f>
        <v>4304.9215999999997</v>
      </c>
      <c r="E50" s="23">
        <f>Reference!C48</f>
        <v>36.829799999999999</v>
      </c>
      <c r="F50" s="23">
        <f>Reference!D48</f>
        <v>44.759900000000002</v>
      </c>
      <c r="G50" s="23">
        <f>Reference!E48</f>
        <v>42.994399999999999</v>
      </c>
      <c r="H50" s="23">
        <f>Reference!F48</f>
        <v>11327.239</v>
      </c>
      <c r="I50" s="23">
        <f>Reference!G48</f>
        <v>4.0960000000000001</v>
      </c>
      <c r="J50" s="24">
        <f t="shared" si="11"/>
        <v>3.1464552777777777</v>
      </c>
      <c r="L50" s="22">
        <f>Test!B48</f>
        <v>4305.2031999999999</v>
      </c>
      <c r="M50" s="23">
        <f>Test!C48</f>
        <v>36.829700000000003</v>
      </c>
      <c r="N50" s="23">
        <f>Test!D48</f>
        <v>44.739600000000003</v>
      </c>
      <c r="O50" s="23">
        <f>Test!E48</f>
        <v>43.030299999999997</v>
      </c>
      <c r="P50" s="23">
        <f>Test!F48</f>
        <v>11641.714</v>
      </c>
      <c r="Q50" s="23">
        <f>Test!G48</f>
        <v>4.1449999999999996</v>
      </c>
      <c r="R50" s="23">
        <f t="shared" si="12"/>
        <v>3.2338094444444443</v>
      </c>
      <c r="S50" s="22">
        <f t="shared" si="13"/>
        <v>1.0277627231137261</v>
      </c>
      <c r="T50" s="23">
        <f t="shared" si="14"/>
        <v>1.0119628906249998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24.404821160576539</v>
      </c>
      <c r="J75" s="15">
        <f>GEOMEAN(J3:J18)</f>
        <v>24.716415402853617</v>
      </c>
      <c r="Q75" s="15">
        <f>GEOMEAN(Q3:Q18)</f>
        <v>24.132861351442461</v>
      </c>
      <c r="R75" s="15">
        <f>GEOMEAN(R3:R18)</f>
        <v>24.422892764537725</v>
      </c>
      <c r="S75" s="15">
        <f>GEOMEAN(S3:S18)</f>
        <v>0.98812438480533049</v>
      </c>
      <c r="T75" s="15">
        <f>GEOMEAN(T3:T18)</f>
        <v>0.98885630804894409</v>
      </c>
      <c r="V75" s="37">
        <f>AVERAGE(V3:V18)</f>
        <v>-5.0579931802297029E-5</v>
      </c>
      <c r="W75" s="42">
        <f t="shared" ref="W75:AA75" si="19">AVERAGE(W3:W18)</f>
        <v>-1.3711040280403597E-3</v>
      </c>
      <c r="X75" s="42">
        <f t="shared" si="19"/>
        <v>-9.8213846926820114E-4</v>
      </c>
      <c r="Y75" s="37">
        <f>AVERAGE(Y3:Y18)</f>
        <v>-9.435848717573303E-5</v>
      </c>
      <c r="Z75" s="42">
        <f t="shared" si="19"/>
        <v>-1.3412227604963911E-3</v>
      </c>
      <c r="AA75" s="43">
        <f t="shared" si="19"/>
        <v>-8.6876404286989617E-4</v>
      </c>
    </row>
    <row r="76" spans="1:27" x14ac:dyDescent="0.2">
      <c r="B76" s="89" t="s">
        <v>47</v>
      </c>
      <c r="I76" s="15">
        <f>GEOMEAN(I19:I34)</f>
        <v>12.034418817268204</v>
      </c>
      <c r="J76" s="15">
        <f>GEOMEAN(J19:J34)</f>
        <v>13.31461666462913</v>
      </c>
      <c r="Q76" s="15">
        <f>GEOMEAN(Q19:Q34)</f>
        <v>11.9803291712145</v>
      </c>
      <c r="R76" s="15">
        <f>GEOMEAN(R19:R34)</f>
        <v>13.242713637184215</v>
      </c>
      <c r="S76" s="15">
        <f>GEOMEAN(S19:S34)</f>
        <v>0.99459969225881439</v>
      </c>
      <c r="T76" s="15">
        <f>GEOMEAN(T19:T34)</f>
        <v>0.99550542100329009</v>
      </c>
      <c r="V76" s="40">
        <f>AVERAGE(V19:V34)</f>
        <v>1.1818246485051365E-5</v>
      </c>
      <c r="W76" s="44">
        <f t="shared" ref="W76:AA76" si="20">AVERAGE(W19:W34)</f>
        <v>-1.0034342606121405E-3</v>
      </c>
      <c r="X76" s="44">
        <f t="shared" si="20"/>
        <v>-4.8815461572723762E-4</v>
      </c>
      <c r="Y76" s="40">
        <f t="shared" si="20"/>
        <v>1.8338009574736525E-7</v>
      </c>
      <c r="Z76" s="44">
        <f t="shared" si="20"/>
        <v>-1.1988784007225251E-3</v>
      </c>
      <c r="AA76" s="45">
        <f t="shared" si="20"/>
        <v>-4.0518791544252863E-4</v>
      </c>
    </row>
    <row r="77" spans="1:27" x14ac:dyDescent="0.2">
      <c r="B77" s="89" t="s">
        <v>51</v>
      </c>
      <c r="I77" s="15">
        <f>GEOMEAN(I35:I50)</f>
        <v>5.7133203890014137</v>
      </c>
      <c r="J77" s="15">
        <f>GEOMEAN(J35:J50)</f>
        <v>6.2922671310851728</v>
      </c>
      <c r="Q77" s="15">
        <f>GEOMEAN(Q35:Q50)</f>
        <v>5.6306658158915228</v>
      </c>
      <c r="R77" s="15">
        <f>GEOMEAN(R35:R50)</f>
        <v>6.2077676066371339</v>
      </c>
      <c r="S77" s="15">
        <f>GEOMEAN(S35:S50)</f>
        <v>0.98657089365602524</v>
      </c>
      <c r="T77" s="15">
        <f>GEOMEAN(T35:T50)</f>
        <v>0.98553300576858816</v>
      </c>
      <c r="V77" s="40">
        <f>AVERAGE(V35:V50)</f>
        <v>6.940021168419519E-5</v>
      </c>
      <c r="W77" s="44">
        <f t="shared" ref="W77:AA77" si="21">AVERAGE(W35:W50)</f>
        <v>-2.0705603793050309E-4</v>
      </c>
      <c r="X77" s="44">
        <f t="shared" si="21"/>
        <v>-1.9434141769832658E-3</v>
      </c>
      <c r="Y77" s="40">
        <f t="shared" si="21"/>
        <v>8.1603820690140383E-5</v>
      </c>
      <c r="Z77" s="44">
        <f t="shared" si="21"/>
        <v>-4.328283068779637E-4</v>
      </c>
      <c r="AA77" s="45">
        <f t="shared" si="21"/>
        <v>-1.9666830515738254E-3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11.883100678322</v>
      </c>
      <c r="J80" s="54">
        <f xml:space="preserve"> GEOMEAN(J3:J50)</f>
        <v>12.745995719479332</v>
      </c>
      <c r="K80" s="4"/>
      <c r="L80" s="4"/>
      <c r="M80" s="4"/>
      <c r="N80" s="4"/>
      <c r="O80" s="4"/>
      <c r="P80" s="4"/>
      <c r="Q80" s="54">
        <f xml:space="preserve"> GEOMEAN(Q3:Q50)</f>
        <v>11.763749655105892</v>
      </c>
      <c r="R80" s="54">
        <f xml:space="preserve"> GEOMEAN(R3:R50)</f>
        <v>12.615462595887667</v>
      </c>
      <c r="S80" s="54">
        <f xml:space="preserve"> GEOMEAN(S3:S50)</f>
        <v>0.98975889161862995</v>
      </c>
      <c r="T80" s="54">
        <f>GEOMEAN(T3:T50)</f>
        <v>0.9899562389946055</v>
      </c>
      <c r="U80" s="4"/>
      <c r="V80" s="41">
        <f>AVERAGE(V3:V50)</f>
        <v>1.0212842122316509E-5</v>
      </c>
      <c r="W80" s="46">
        <f t="shared" ref="W80:AA80" si="25">AVERAGE(W3:W50)</f>
        <v>-8.6053144219433442E-4</v>
      </c>
      <c r="X80" s="47">
        <f t="shared" si="25"/>
        <v>-1.1379024206595683E-3</v>
      </c>
      <c r="Y80" s="46">
        <f t="shared" si="25"/>
        <v>-4.1904287966150937E-6</v>
      </c>
      <c r="Z80" s="46">
        <f t="shared" si="25"/>
        <v>-9.9097648936562655E-4</v>
      </c>
      <c r="AA80" s="47">
        <f t="shared" si="25"/>
        <v>-1.0802116699620834E-3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topLeftCell="B22" zoomScale="85" zoomScaleNormal="85" workbookViewId="0">
      <selection activeCell="N34" sqref="N3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14739.951999999999</v>
      </c>
      <c r="E3" s="13">
        <f>Reference!C73</f>
        <v>40.090600000000002</v>
      </c>
      <c r="F3" s="13">
        <f>Reference!D73</f>
        <v>49.065600000000003</v>
      </c>
      <c r="G3" s="13">
        <f>Reference!E73</f>
        <v>47.050600000000003</v>
      </c>
      <c r="H3" s="13">
        <f>Reference!F73</f>
        <v>369153.63500000001</v>
      </c>
      <c r="I3" s="13">
        <f>Reference!G73</f>
        <v>56.688000000000002</v>
      </c>
      <c r="J3" s="14">
        <f>H3/3600</f>
        <v>102.54267638888889</v>
      </c>
      <c r="L3" s="12">
        <f>Test!B73</f>
        <v>14746.856</v>
      </c>
      <c r="M3" s="13">
        <f>Test!C73</f>
        <v>40.090400000000002</v>
      </c>
      <c r="N3" s="13">
        <f>Test!D73</f>
        <v>49.063400000000001</v>
      </c>
      <c r="O3" s="13">
        <f>Test!E73</f>
        <v>47.0503</v>
      </c>
      <c r="P3" s="13">
        <f>Test!F73</f>
        <v>361961.413</v>
      </c>
      <c r="Q3" s="13">
        <f>Test!G73</f>
        <v>55.472000000000001</v>
      </c>
      <c r="R3" s="14">
        <f>P3/3600</f>
        <v>100.54483694444444</v>
      </c>
      <c r="S3" s="12">
        <f>P3/H3</f>
        <v>0.98051699531551406</v>
      </c>
      <c r="T3" s="13">
        <f>Q3/I3</f>
        <v>0.9785492520462884</v>
      </c>
      <c r="U3" s="90"/>
      <c r="V3" s="37">
        <f>bdrate($D3:$D6,E3:E6,$L3:$L6,M3:M6)</f>
        <v>5.2491295013390449E-4</v>
      </c>
      <c r="W3" s="42">
        <f>bdrate($D3:$D6,F3:F6,$L3:$L6,N3:N6)</f>
        <v>1.0575211574064047E-2</v>
      </c>
      <c r="X3" s="43">
        <f>bdrate($D3:$D6,G3:G6,$L3:$L6,O3:O6)</f>
        <v>-2.1536034468796483E-3</v>
      </c>
      <c r="Y3" s="37">
        <f>bdrateOld($D3:$D6,E3:E6,$L3:$L6,M3:M6)</f>
        <v>3.8358861493170693E-4</v>
      </c>
      <c r="Z3" s="42">
        <f>bdrateOld($D3:$D6,F3:F6,$L3:$L6,N3:N6)</f>
        <v>8.5700841153422136E-3</v>
      </c>
      <c r="AA3" s="43">
        <f>bdrateOld($D3:$D6,G3:G6,$L3:$L6,O3:O6)</f>
        <v>-1.8668323924636576E-3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6721.8519999999999</v>
      </c>
      <c r="E4" s="18">
        <f>Reference!C74</f>
        <v>39.600200000000001</v>
      </c>
      <c r="F4" s="18">
        <f>Reference!D74</f>
        <v>48.478900000000003</v>
      </c>
      <c r="G4" s="18">
        <f>Reference!E74</f>
        <v>46.146099999999997</v>
      </c>
      <c r="H4" s="18">
        <f>Reference!F74</f>
        <v>204296.63699999999</v>
      </c>
      <c r="I4" s="18">
        <f>Reference!G74</f>
        <v>53.082999999999998</v>
      </c>
      <c r="J4" s="19">
        <f t="shared" ref="J4:J14" si="0">H4/3600</f>
        <v>56.749065833333333</v>
      </c>
      <c r="L4" s="17">
        <f>Test!B74</f>
        <v>6727.1120000000001</v>
      </c>
      <c r="M4" s="18">
        <f>Test!C74</f>
        <v>39.600700000000003</v>
      </c>
      <c r="N4" s="18">
        <f>Test!D74</f>
        <v>48.467700000000001</v>
      </c>
      <c r="O4" s="18">
        <f>Test!E74</f>
        <v>46.150100000000002</v>
      </c>
      <c r="P4" s="18">
        <f>Test!F74</f>
        <v>200562.59099999999</v>
      </c>
      <c r="Q4" s="18">
        <f>Test!G74</f>
        <v>50.631</v>
      </c>
      <c r="R4" s="19">
        <f t="shared" ref="R4:R14" si="1">P4/3600</f>
        <v>55.71183083333333</v>
      </c>
      <c r="S4" s="17">
        <f t="shared" ref="S4:T46" si="2">P4/H4</f>
        <v>0.98172243040887652</v>
      </c>
      <c r="T4" s="18">
        <f t="shared" si="2"/>
        <v>0.95380818717856941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3646.4560000000001</v>
      </c>
      <c r="E5" s="18">
        <f>Reference!C75</f>
        <v>38.7605</v>
      </c>
      <c r="F5" s="18">
        <f>Reference!D75</f>
        <v>47.662599999999998</v>
      </c>
      <c r="G5" s="18">
        <f>Reference!E75</f>
        <v>44.913499999999999</v>
      </c>
      <c r="H5" s="18">
        <f>Reference!F75</f>
        <v>101148.323</v>
      </c>
      <c r="I5" s="18">
        <f>Reference!G75</f>
        <v>46.23</v>
      </c>
      <c r="J5" s="19">
        <f t="shared" si="0"/>
        <v>28.096756388888888</v>
      </c>
      <c r="L5" s="17">
        <f>Test!B75</f>
        <v>3645.7</v>
      </c>
      <c r="M5" s="18">
        <f>Test!C75</f>
        <v>38.76</v>
      </c>
      <c r="N5" s="18">
        <f>Test!D75</f>
        <v>47.635300000000001</v>
      </c>
      <c r="O5" s="18">
        <f>Test!E75</f>
        <v>44.925600000000003</v>
      </c>
      <c r="P5" s="18">
        <f>Test!F75</f>
        <v>100408.542</v>
      </c>
      <c r="Q5" s="18">
        <f>Test!G75</f>
        <v>47.031999999999996</v>
      </c>
      <c r="R5" s="19">
        <f t="shared" si="1"/>
        <v>27.891261666666669</v>
      </c>
      <c r="S5" s="17">
        <f t="shared" si="2"/>
        <v>0.99268617631950262</v>
      </c>
      <c r="T5" s="18">
        <f t="shared" si="2"/>
        <v>1.0173480423967121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Reference!B76</f>
        <v>1927.6320000000001</v>
      </c>
      <c r="E6" s="23">
        <f>Reference!C76</f>
        <v>37.268500000000003</v>
      </c>
      <c r="F6" s="23">
        <f>Reference!D76</f>
        <v>46.2883</v>
      </c>
      <c r="G6" s="23">
        <f>Reference!E76</f>
        <v>43.203299999999999</v>
      </c>
      <c r="H6" s="23">
        <f>Reference!F76</f>
        <v>51295.05</v>
      </c>
      <c r="I6" s="23">
        <f>Reference!G76</f>
        <v>42.253999999999998</v>
      </c>
      <c r="J6" s="24">
        <f t="shared" si="0"/>
        <v>14.248625000000001</v>
      </c>
      <c r="L6" s="22">
        <f>Test!B76</f>
        <v>1931.604</v>
      </c>
      <c r="M6" s="23">
        <f>Test!C76</f>
        <v>37.269300000000001</v>
      </c>
      <c r="N6" s="23">
        <f>Test!D76</f>
        <v>46.308599999999998</v>
      </c>
      <c r="O6" s="23">
        <f>Test!E76</f>
        <v>43.193899999999999</v>
      </c>
      <c r="P6" s="23">
        <f>Test!F76</f>
        <v>50303.995000000003</v>
      </c>
      <c r="Q6" s="23">
        <f>Test!G76</f>
        <v>41.863</v>
      </c>
      <c r="R6" s="24">
        <f t="shared" si="1"/>
        <v>13.973331944444444</v>
      </c>
      <c r="S6" s="17">
        <f t="shared" si="2"/>
        <v>0.98067932480814424</v>
      </c>
      <c r="T6" s="18">
        <f t="shared" si="2"/>
        <v>0.99074643820703368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75668.42</v>
      </c>
      <c r="E7" s="13">
        <f>Reference!C77</f>
        <v>41.653500000000001</v>
      </c>
      <c r="F7" s="13">
        <f>Reference!D77</f>
        <v>36.4818</v>
      </c>
      <c r="G7" s="13">
        <f>Reference!E77</f>
        <v>37.613700000000001</v>
      </c>
      <c r="H7" s="13">
        <f>Reference!F77</f>
        <v>653077.83799999999</v>
      </c>
      <c r="I7" s="13">
        <f>Reference!G77</f>
        <v>63.898000000000003</v>
      </c>
      <c r="J7" s="14">
        <f t="shared" si="0"/>
        <v>181.41051055555556</v>
      </c>
      <c r="L7" s="12">
        <f>Test!B77</f>
        <v>75653.347999999998</v>
      </c>
      <c r="M7" s="13">
        <f>Test!C77</f>
        <v>41.652999999999999</v>
      </c>
      <c r="N7" s="13">
        <f>Test!D77</f>
        <v>36.478999999999999</v>
      </c>
      <c r="O7" s="13">
        <f>Test!E77</f>
        <v>37.614800000000002</v>
      </c>
      <c r="P7" s="13">
        <f>Test!F77</f>
        <v>652611.97100000002</v>
      </c>
      <c r="Q7" s="13">
        <f>Test!G77</f>
        <v>64.319999999999993</v>
      </c>
      <c r="R7" s="14">
        <f t="shared" si="1"/>
        <v>181.28110305555555</v>
      </c>
      <c r="S7" s="17">
        <f t="shared" si="2"/>
        <v>0.99928665930323612</v>
      </c>
      <c r="T7" s="18">
        <f t="shared" si="2"/>
        <v>1.0066042755641802</v>
      </c>
      <c r="U7" s="91"/>
      <c r="V7" s="37">
        <f>bdrate($D7:$D10,E7:E10,$L7:$L10,M7:M10)</f>
        <v>-6.2672929894147522E-5</v>
      </c>
      <c r="W7" s="42">
        <f>bdrate($D7:$D10,F7:F10,$L7:$L10,N7:N10)</f>
        <v>4.550314474016659E-5</v>
      </c>
      <c r="X7" s="42">
        <f>bdrate($D7:$D10,G7:G10,$L7:$L10,O7:O10)</f>
        <v>1.4860229950475201E-3</v>
      </c>
      <c r="Y7" s="40">
        <f>bdrateOld($D7:$D10,E7:E10,$L7:$L10,M7:M10)</f>
        <v>-5.9902908372100327E-5</v>
      </c>
      <c r="Z7" s="44">
        <f>bdrateOld($D7:$D10,F7:F10,$L7:$L10,N7:N10)</f>
        <v>4.5451346038616336E-5</v>
      </c>
      <c r="AA7" s="45">
        <f>bdrateOld($D7:$D10,G7:G10,$L7:$L10,O7:O10)</f>
        <v>1.4604388086818521E-3</v>
      </c>
    </row>
    <row r="8" spans="1:27" x14ac:dyDescent="0.2">
      <c r="A8" s="16"/>
      <c r="B8" s="85"/>
      <c r="C8" s="16">
        <v>48</v>
      </c>
      <c r="D8" s="17">
        <f>Reference!B78</f>
        <v>39114.076000000001</v>
      </c>
      <c r="E8" s="18">
        <f>Reference!C78</f>
        <v>39.051000000000002</v>
      </c>
      <c r="F8" s="18">
        <f>Reference!D78</f>
        <v>34.553400000000003</v>
      </c>
      <c r="G8" s="18">
        <f>Reference!E78</f>
        <v>35.9604</v>
      </c>
      <c r="H8" s="18">
        <f>Reference!F78</f>
        <v>448544.88400000002</v>
      </c>
      <c r="I8" s="18">
        <f>Reference!G78</f>
        <v>56.965000000000003</v>
      </c>
      <c r="J8" s="19">
        <f t="shared" si="0"/>
        <v>124.59580111111111</v>
      </c>
      <c r="L8" s="17">
        <f>Test!B78</f>
        <v>39090.076000000001</v>
      </c>
      <c r="M8" s="18">
        <f>Test!C78</f>
        <v>39.049399999999999</v>
      </c>
      <c r="N8" s="18">
        <f>Test!D78</f>
        <v>34.552700000000002</v>
      </c>
      <c r="O8" s="18">
        <f>Test!E78</f>
        <v>35.957099999999997</v>
      </c>
      <c r="P8" s="18">
        <f>Test!F78</f>
        <v>440357.17099999997</v>
      </c>
      <c r="Q8" s="18">
        <f>Test!G78</f>
        <v>57.296999999999997</v>
      </c>
      <c r="R8" s="19">
        <f t="shared" si="1"/>
        <v>122.32143638888888</v>
      </c>
      <c r="S8" s="17">
        <f t="shared" si="2"/>
        <v>0.98174605643255974</v>
      </c>
      <c r="T8" s="18">
        <f t="shared" si="2"/>
        <v>1.0058281400860176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18780.227999999999</v>
      </c>
      <c r="E9" s="18">
        <f>Reference!C79</f>
        <v>36.142899999999997</v>
      </c>
      <c r="F9" s="18">
        <f>Reference!D79</f>
        <v>32.922600000000003</v>
      </c>
      <c r="G9" s="18">
        <f>Reference!E79</f>
        <v>34.591099999999997</v>
      </c>
      <c r="H9" s="18">
        <f>Reference!F79</f>
        <v>282157.97899999999</v>
      </c>
      <c r="I9" s="18">
        <f>Reference!G79</f>
        <v>52.228999999999999</v>
      </c>
      <c r="J9" s="19">
        <f t="shared" si="0"/>
        <v>78.377216388888883</v>
      </c>
      <c r="L9" s="17">
        <f>Test!B79</f>
        <v>18789.919999999998</v>
      </c>
      <c r="M9" s="18">
        <f>Test!C79</f>
        <v>36.145200000000003</v>
      </c>
      <c r="N9" s="18">
        <f>Test!D79</f>
        <v>32.924199999999999</v>
      </c>
      <c r="O9" s="18">
        <f>Test!E79</f>
        <v>34.586500000000001</v>
      </c>
      <c r="P9" s="18">
        <f>Test!F79</f>
        <v>275003.09700000001</v>
      </c>
      <c r="Q9" s="18">
        <f>Test!G79</f>
        <v>51.070999999999998</v>
      </c>
      <c r="R9" s="19">
        <f t="shared" si="1"/>
        <v>76.389749166666675</v>
      </c>
      <c r="S9" s="17">
        <f t="shared" si="2"/>
        <v>0.9746422836406835</v>
      </c>
      <c r="T9" s="18">
        <f t="shared" si="2"/>
        <v>0.97782840950429839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Reference!B80</f>
        <v>7753.7479999999996</v>
      </c>
      <c r="E10" s="23">
        <f>Reference!C80</f>
        <v>33.0886</v>
      </c>
      <c r="F10" s="23">
        <f>Reference!D80</f>
        <v>31.2621</v>
      </c>
      <c r="G10" s="23">
        <f>Reference!E80</f>
        <v>33.166600000000003</v>
      </c>
      <c r="H10" s="23">
        <f>Reference!F80</f>
        <v>159678.601</v>
      </c>
      <c r="I10" s="23">
        <f>Reference!G80</f>
        <v>47.451999999999998</v>
      </c>
      <c r="J10" s="24">
        <f t="shared" si="0"/>
        <v>44.355166944444441</v>
      </c>
      <c r="L10" s="22">
        <f>Test!B80</f>
        <v>7756.2719999999999</v>
      </c>
      <c r="M10" s="23">
        <f>Test!C80</f>
        <v>33.088200000000001</v>
      </c>
      <c r="N10" s="23">
        <f>Test!D80</f>
        <v>31.26</v>
      </c>
      <c r="O10" s="23">
        <f>Test!E80</f>
        <v>33.165799999999997</v>
      </c>
      <c r="P10" s="23">
        <f>Test!F80</f>
        <v>157960.19500000001</v>
      </c>
      <c r="Q10" s="23">
        <f>Test!G80</f>
        <v>47.533999999999999</v>
      </c>
      <c r="R10" s="24">
        <f t="shared" si="1"/>
        <v>43.877831944444445</v>
      </c>
      <c r="S10" s="17">
        <f t="shared" si="2"/>
        <v>0.98923834509296593</v>
      </c>
      <c r="T10" s="18">
        <f t="shared" si="2"/>
        <v>1.001728062041642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37735.883999999998</v>
      </c>
      <c r="E11" s="13">
        <f>Reference!C81</f>
        <v>38.306600000000003</v>
      </c>
      <c r="F11" s="13">
        <f>Reference!D81</f>
        <v>40.466700000000003</v>
      </c>
      <c r="G11" s="13">
        <f>Reference!E81</f>
        <v>41.549399999999999</v>
      </c>
      <c r="H11" s="13">
        <f>Reference!F81</f>
        <v>386094.49800000002</v>
      </c>
      <c r="I11" s="13">
        <f>Reference!G81</f>
        <v>35.119</v>
      </c>
      <c r="J11" s="14">
        <f t="shared" si="0"/>
        <v>107.24847166666667</v>
      </c>
      <c r="L11" s="12">
        <f>Test!B81</f>
        <v>37745.603999999999</v>
      </c>
      <c r="M11" s="13">
        <f>Test!C81</f>
        <v>38.306899999999999</v>
      </c>
      <c r="N11" s="13">
        <f>Test!D81</f>
        <v>40.4666</v>
      </c>
      <c r="O11" s="13">
        <f>Test!E81</f>
        <v>41.552900000000001</v>
      </c>
      <c r="P11" s="13">
        <f>Test!F81</f>
        <v>386644.43099999998</v>
      </c>
      <c r="Q11" s="13">
        <f>Test!G81</f>
        <v>35.546999999999997</v>
      </c>
      <c r="R11" s="14">
        <f t="shared" si="1"/>
        <v>107.40123083333333</v>
      </c>
      <c r="S11" s="17">
        <f t="shared" si="2"/>
        <v>1.0014243481915661</v>
      </c>
      <c r="T11" s="18">
        <f t="shared" si="2"/>
        <v>1.0121871351689968</v>
      </c>
      <c r="U11" s="91"/>
      <c r="V11" s="37">
        <f>bdrate($D11:$D14,E11:E14,$L11:$L14,M11:M14)</f>
        <v>2.3814248709874697E-4</v>
      </c>
      <c r="W11" s="42">
        <f>bdrate($D11:$D14,F11:F14,$L11:$L14,N11:N14)</f>
        <v>-4.2044547491226769E-4</v>
      </c>
      <c r="X11" s="42">
        <f>bdrate($D11:$D14,G11:G14,$L11:$L14,O11:O14)</f>
        <v>-1.4391428039095544E-4</v>
      </c>
      <c r="Y11" s="40">
        <f>bdrateOld($D11:$D14,E11:E14,$L11:$L14,M11:M14)</f>
        <v>2.90560540784357E-4</v>
      </c>
      <c r="Z11" s="44">
        <f>bdrateOld($D11:$D14,F11:F14,$L11:$L14,N11:N14)</f>
        <v>-4.07827358961943E-4</v>
      </c>
      <c r="AA11" s="45">
        <f>bdrateOld($D11:$D14,G11:G14,$L11:$L14,O11:O14)</f>
        <v>1.0491823859171134E-4</v>
      </c>
    </row>
    <row r="12" spans="1:27" x14ac:dyDescent="0.2">
      <c r="A12" s="34"/>
      <c r="B12" s="83"/>
      <c r="C12" s="16">
        <v>48</v>
      </c>
      <c r="D12" s="17">
        <f>Reference!B82</f>
        <v>18415.944</v>
      </c>
      <c r="E12" s="18">
        <f>Reference!C82</f>
        <v>37.198799999999999</v>
      </c>
      <c r="F12" s="18">
        <f>Reference!D82</f>
        <v>37.919600000000003</v>
      </c>
      <c r="G12" s="18">
        <f>Reference!E82</f>
        <v>40.338299999999997</v>
      </c>
      <c r="H12" s="18">
        <f>Reference!F82</f>
        <v>235834.16399999999</v>
      </c>
      <c r="I12" s="18">
        <f>Reference!G82</f>
        <v>31.99</v>
      </c>
      <c r="J12" s="19">
        <f t="shared" si="0"/>
        <v>65.50949</v>
      </c>
      <c r="L12" s="17">
        <f>Test!B82</f>
        <v>18408.804</v>
      </c>
      <c r="M12" s="18">
        <f>Test!C82</f>
        <v>37.197899999999997</v>
      </c>
      <c r="N12" s="18">
        <f>Test!D82</f>
        <v>37.920299999999997</v>
      </c>
      <c r="O12" s="18">
        <f>Test!E82</f>
        <v>40.3414</v>
      </c>
      <c r="P12" s="18">
        <f>Test!F82</f>
        <v>232605.15100000001</v>
      </c>
      <c r="Q12" s="18">
        <f>Test!G82</f>
        <v>29.963000000000001</v>
      </c>
      <c r="R12" s="19">
        <f t="shared" si="1"/>
        <v>64.612541944444445</v>
      </c>
      <c r="S12" s="17">
        <f t="shared" si="2"/>
        <v>0.9863081203111862</v>
      </c>
      <c r="T12" s="18">
        <f t="shared" si="2"/>
        <v>0.93663644889027831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9148.2080000000005</v>
      </c>
      <c r="E13" s="18">
        <f>Reference!C83</f>
        <v>35.837499999999999</v>
      </c>
      <c r="F13" s="18">
        <f>Reference!D83</f>
        <v>35.709000000000003</v>
      </c>
      <c r="G13" s="18">
        <f>Reference!E83</f>
        <v>39.027099999999997</v>
      </c>
      <c r="H13" s="18">
        <f>Reference!F83</f>
        <v>141118.21100000001</v>
      </c>
      <c r="I13" s="18">
        <f>Reference!G83</f>
        <v>26.774999999999999</v>
      </c>
      <c r="J13" s="19">
        <f t="shared" si="0"/>
        <v>39.19950305555556</v>
      </c>
      <c r="L13" s="17">
        <f>Test!B83</f>
        <v>9149.9480000000003</v>
      </c>
      <c r="M13" s="18">
        <f>Test!C83</f>
        <v>35.836399999999998</v>
      </c>
      <c r="N13" s="18">
        <f>Test!D83</f>
        <v>35.711799999999997</v>
      </c>
      <c r="O13" s="18">
        <f>Test!E83</f>
        <v>39.020499999999998</v>
      </c>
      <c r="P13" s="18">
        <f>Test!F83</f>
        <v>140276.36199999999</v>
      </c>
      <c r="Q13" s="18">
        <f>Test!G83</f>
        <v>26.251000000000001</v>
      </c>
      <c r="R13" s="19">
        <f t="shared" si="1"/>
        <v>38.965656111111109</v>
      </c>
      <c r="S13" s="17">
        <f t="shared" si="2"/>
        <v>0.99403444109704586</v>
      </c>
      <c r="T13" s="18">
        <f t="shared" si="2"/>
        <v>0.98042950513538762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Reference!B84</f>
        <v>4625.2560000000003</v>
      </c>
      <c r="E14" s="23">
        <f>Reference!C84</f>
        <v>33.999000000000002</v>
      </c>
      <c r="F14" s="23">
        <f>Reference!D84</f>
        <v>33.811999999999998</v>
      </c>
      <c r="G14" s="23">
        <f>Reference!E84</f>
        <v>37.465699999999998</v>
      </c>
      <c r="H14" s="23">
        <f>Reference!F84</f>
        <v>80494.562999999995</v>
      </c>
      <c r="I14" s="23">
        <f>Reference!G84</f>
        <v>23.664999999999999</v>
      </c>
      <c r="J14" s="24">
        <f t="shared" si="0"/>
        <v>22.359600833333332</v>
      </c>
      <c r="L14" s="22">
        <f>Test!B84</f>
        <v>4624.6480000000001</v>
      </c>
      <c r="M14" s="23">
        <f>Test!C84</f>
        <v>34.000799999999998</v>
      </c>
      <c r="N14" s="23">
        <f>Test!D84</f>
        <v>33.810699999999997</v>
      </c>
      <c r="O14" s="23">
        <f>Test!E84</f>
        <v>37.476300000000002</v>
      </c>
      <c r="P14" s="23">
        <f>Test!F84</f>
        <v>80893.921000000002</v>
      </c>
      <c r="Q14" s="23">
        <f>Test!G84</f>
        <v>23.561</v>
      </c>
      <c r="R14" s="24">
        <f t="shared" si="1"/>
        <v>22.470533611111112</v>
      </c>
      <c r="S14" s="17">
        <f t="shared" si="2"/>
        <v>1.0049613040324228</v>
      </c>
      <c r="T14" s="18">
        <f t="shared" si="2"/>
        <v>0.99560532431861404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26242.991999999998</v>
      </c>
      <c r="E15" s="13">
        <f>Reference!C85</f>
        <v>37.639400000000002</v>
      </c>
      <c r="F15" s="13">
        <f>Reference!D85</f>
        <v>45.337200000000003</v>
      </c>
      <c r="G15" s="13">
        <f>Reference!E85</f>
        <v>43.030999999999999</v>
      </c>
      <c r="H15" s="13">
        <f>Reference!F85</f>
        <v>513763.04</v>
      </c>
      <c r="I15" s="13">
        <f>Reference!G85</f>
        <v>59.52</v>
      </c>
      <c r="J15" s="14">
        <f>H15/3600</f>
        <v>142.71195555555556</v>
      </c>
      <c r="L15" s="12">
        <f>Test!B85</f>
        <v>26227.743999999999</v>
      </c>
      <c r="M15" s="13">
        <f>Test!C85</f>
        <v>37.639099999999999</v>
      </c>
      <c r="N15" s="13">
        <f>Test!D85</f>
        <v>45.343699999999998</v>
      </c>
      <c r="O15" s="13">
        <f>Test!E85</f>
        <v>43.035699999999999</v>
      </c>
      <c r="P15" s="13">
        <f>Test!F85</f>
        <v>508940.011</v>
      </c>
      <c r="Q15" s="13">
        <f>Test!G85</f>
        <v>60.792000000000002</v>
      </c>
      <c r="R15" s="14">
        <f>P15/3600</f>
        <v>141.37222527777777</v>
      </c>
      <c r="S15" s="17">
        <f>P15/H15</f>
        <v>0.99061234727978875</v>
      </c>
      <c r="T15" s="18">
        <f>Q15/I15</f>
        <v>1.0213709677419354</v>
      </c>
      <c r="U15" s="91"/>
      <c r="V15" s="37">
        <f>bdrate($D15:$D18,E15:E18,$L15:$L18,M15:M18)</f>
        <v>9.8647964821885203E-4</v>
      </c>
      <c r="W15" s="42">
        <f>bdrate($D15:$D18,F15:F18,$L15:$L18,N15:N18)</f>
        <v>-1.0554979649475271E-3</v>
      </c>
      <c r="X15" s="43">
        <f>bdrate($D15:$D18,G15:G18,$L15:$L18,O15:O18)</f>
        <v>9.8171489315568294E-5</v>
      </c>
      <c r="Y15" s="37">
        <f>bdrateOld($D15:$D18,E15:E18,$L15:$L18,M15:M18)</f>
        <v>1.0201922769064176E-3</v>
      </c>
      <c r="Z15" s="42">
        <f>bdrateOld($D15:$D18,F15:F18,$L15:$L18,N15:N18)</f>
        <v>-3.8591052652314772E-3</v>
      </c>
      <c r="AA15" s="43">
        <f>bdrateOld($D15:$D18,G15:G18,$L15:$L18,O15:O18)</f>
        <v>-6.1486370165908522E-4</v>
      </c>
    </row>
    <row r="16" spans="1:27" x14ac:dyDescent="0.2">
      <c r="A16" s="16"/>
      <c r="B16" s="85"/>
      <c r="C16" s="16">
        <v>48</v>
      </c>
      <c r="D16" s="17">
        <f>Reference!B86</f>
        <v>9141.3719999999994</v>
      </c>
      <c r="E16" s="18">
        <f>Reference!C86</f>
        <v>37.099299999999999</v>
      </c>
      <c r="F16" s="18">
        <f>Reference!D86</f>
        <v>44.749299999999998</v>
      </c>
      <c r="G16" s="18">
        <f>Reference!E86</f>
        <v>42.407200000000003</v>
      </c>
      <c r="H16" s="18">
        <f>Reference!F86</f>
        <v>281660.69799999997</v>
      </c>
      <c r="I16" s="18">
        <f>Reference!G86</f>
        <v>53.265000000000001</v>
      </c>
      <c r="J16" s="19">
        <f t="shared" ref="J16:J26" si="3">H16/3600</f>
        <v>78.239082777777767</v>
      </c>
      <c r="L16" s="17">
        <f>Test!B86</f>
        <v>9139.3719999999994</v>
      </c>
      <c r="M16" s="18">
        <f>Test!C86</f>
        <v>37.098599999999998</v>
      </c>
      <c r="N16" s="18">
        <f>Test!D86</f>
        <v>44.745699999999999</v>
      </c>
      <c r="O16" s="18">
        <f>Test!E86</f>
        <v>42.404699999999998</v>
      </c>
      <c r="P16" s="18">
        <f>Test!F86</f>
        <v>275515.68900000001</v>
      </c>
      <c r="Q16" s="18">
        <f>Test!G86</f>
        <v>51.438000000000002</v>
      </c>
      <c r="R16" s="19">
        <f t="shared" ref="R16:R26" si="4">P16/3600</f>
        <v>76.532135833333342</v>
      </c>
      <c r="S16" s="17">
        <f t="shared" ref="S16:S26" si="5">P16/H16</f>
        <v>0.97818293768483111</v>
      </c>
      <c r="T16" s="18">
        <f t="shared" ref="T16:T26" si="6">Q16/I16</f>
        <v>0.96569980287243029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4505.7079999999996</v>
      </c>
      <c r="E17" s="18">
        <f>Reference!C87</f>
        <v>36.249699999999997</v>
      </c>
      <c r="F17" s="18">
        <f>Reference!D87</f>
        <v>43.991500000000002</v>
      </c>
      <c r="G17" s="18">
        <f>Reference!E87</f>
        <v>41.615000000000002</v>
      </c>
      <c r="H17" s="18">
        <f>Reference!F87</f>
        <v>142294.93299999999</v>
      </c>
      <c r="I17" s="18">
        <f>Reference!G87</f>
        <v>44.825000000000003</v>
      </c>
      <c r="J17" s="19">
        <f t="shared" si="3"/>
        <v>39.526370277777772</v>
      </c>
      <c r="L17" s="17">
        <f>Test!B87</f>
        <v>4509.9319999999998</v>
      </c>
      <c r="M17" s="18">
        <f>Test!C87</f>
        <v>36.249400000000001</v>
      </c>
      <c r="N17" s="18">
        <f>Test!D87</f>
        <v>43.992600000000003</v>
      </c>
      <c r="O17" s="18">
        <f>Test!E87</f>
        <v>41.616300000000003</v>
      </c>
      <c r="P17" s="18">
        <f>Test!F87</f>
        <v>142756.304</v>
      </c>
      <c r="Q17" s="18">
        <f>Test!G87</f>
        <v>44.16</v>
      </c>
      <c r="R17" s="19">
        <f t="shared" si="4"/>
        <v>39.65452888888889</v>
      </c>
      <c r="S17" s="17">
        <f t="shared" si="5"/>
        <v>1.0032423571962328</v>
      </c>
      <c r="T17" s="18">
        <f t="shared" si="6"/>
        <v>0.9851645287228108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Reference!B88</f>
        <v>2179.2759999999998</v>
      </c>
      <c r="E18" s="23">
        <f>Reference!C88</f>
        <v>34.7941</v>
      </c>
      <c r="F18" s="23">
        <f>Reference!D88</f>
        <v>42.6858</v>
      </c>
      <c r="G18" s="23">
        <f>Reference!E88</f>
        <v>40.470999999999997</v>
      </c>
      <c r="H18" s="23">
        <f>Reference!F88</f>
        <v>68730.804999999993</v>
      </c>
      <c r="I18" s="23">
        <f>Reference!G88</f>
        <v>38.045999999999999</v>
      </c>
      <c r="J18" s="24">
        <f t="shared" si="3"/>
        <v>19.091890277777775</v>
      </c>
      <c r="L18" s="22">
        <f>Test!B88</f>
        <v>2181.0320000000002</v>
      </c>
      <c r="M18" s="23">
        <f>Test!C88</f>
        <v>34.793300000000002</v>
      </c>
      <c r="N18" s="23">
        <f>Test!D88</f>
        <v>42.700699999999998</v>
      </c>
      <c r="O18" s="23">
        <f>Test!E88</f>
        <v>40.4696</v>
      </c>
      <c r="P18" s="23">
        <f>Test!F88</f>
        <v>68718.400999999998</v>
      </c>
      <c r="Q18" s="23">
        <f>Test!G88</f>
        <v>37.975000000000001</v>
      </c>
      <c r="R18" s="24">
        <f t="shared" si="4"/>
        <v>19.088444722222221</v>
      </c>
      <c r="S18" s="17">
        <f t="shared" si="5"/>
        <v>0.99981952779397831</v>
      </c>
      <c r="T18" s="18">
        <f t="shared" si="6"/>
        <v>0.99813383798559641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9764.9760000000006</v>
      </c>
      <c r="E19" s="13">
        <f>Reference!C89</f>
        <v>38.013300000000001</v>
      </c>
      <c r="F19" s="13">
        <f>Reference!D89</f>
        <v>39.849600000000002</v>
      </c>
      <c r="G19" s="13">
        <f>Reference!E89</f>
        <v>43.340200000000003</v>
      </c>
      <c r="H19" s="13">
        <f>Reference!F89</f>
        <v>117717.045</v>
      </c>
      <c r="I19" s="13">
        <f>Reference!G89</f>
        <v>13.173</v>
      </c>
      <c r="J19" s="14">
        <f t="shared" si="3"/>
        <v>32.699179166666667</v>
      </c>
      <c r="L19" s="12">
        <f>Test!B89</f>
        <v>9769.5400000000009</v>
      </c>
      <c r="M19" s="13">
        <f>Test!C89</f>
        <v>38.013500000000001</v>
      </c>
      <c r="N19" s="13">
        <f>Test!D89</f>
        <v>39.850499999999997</v>
      </c>
      <c r="O19" s="13">
        <f>Test!E89</f>
        <v>43.338500000000003</v>
      </c>
      <c r="P19" s="13">
        <f>Test!F89</f>
        <v>116478.53200000001</v>
      </c>
      <c r="Q19" s="13">
        <f>Test!G89</f>
        <v>13.01</v>
      </c>
      <c r="R19" s="14">
        <f t="shared" si="4"/>
        <v>32.355147777777781</v>
      </c>
      <c r="S19" s="12">
        <f t="shared" si="5"/>
        <v>0.98947889831927061</v>
      </c>
      <c r="T19" s="13">
        <f t="shared" si="6"/>
        <v>0.98762620511652621</v>
      </c>
      <c r="U19" s="90"/>
      <c r="V19" s="37">
        <f>bdrate($D19:$D22,E19:E22,$L19:$L22,M19:M22)</f>
        <v>5.3713698893553818E-4</v>
      </c>
      <c r="W19" s="42">
        <f>bdrate($D19:$D22,F19:F22,$L19:$L22,N19:N22)</f>
        <v>-3.7149499987841894E-3</v>
      </c>
      <c r="X19" s="42">
        <f>bdrate($D19:$D22,G19:G22,$L19:$L22,O19:O22)</f>
        <v>8.5339394018735248E-4</v>
      </c>
      <c r="Y19" s="40">
        <f>bdrateOld($D19:$D22,E19:E22,$L19:$L22,M19:M22)</f>
        <v>3.984299877686226E-4</v>
      </c>
      <c r="Z19" s="44">
        <f>bdrateOld($D19:$D22,F19:F22,$L19:$L22,N19:N22)</f>
        <v>-4.3038124227413599E-3</v>
      </c>
      <c r="AA19" s="45">
        <f>bdrateOld($D19:$D22,G19:G22,$L19:$L22,O19:O22)</f>
        <v>1.2933185437438155E-3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4524.42</v>
      </c>
      <c r="E20" s="18">
        <f>Reference!C90</f>
        <v>36.916699999999999</v>
      </c>
      <c r="F20" s="18">
        <f>Reference!D90</f>
        <v>39.344099999999997</v>
      </c>
      <c r="G20" s="18">
        <f>Reference!E90</f>
        <v>42.2117</v>
      </c>
      <c r="H20" s="18">
        <f>Reference!F90</f>
        <v>71677.198000000004</v>
      </c>
      <c r="I20" s="18">
        <f>Reference!G90</f>
        <v>11.298</v>
      </c>
      <c r="J20" s="19">
        <f t="shared" si="3"/>
        <v>19.910332777777779</v>
      </c>
      <c r="L20" s="17">
        <f>Test!B90</f>
        <v>4522.7879999999996</v>
      </c>
      <c r="M20" s="18">
        <f>Test!C90</f>
        <v>36.915199999999999</v>
      </c>
      <c r="N20" s="18">
        <f>Test!D90</f>
        <v>39.3446</v>
      </c>
      <c r="O20" s="18">
        <f>Test!E90</f>
        <v>42.221299999999999</v>
      </c>
      <c r="P20" s="18">
        <f>Test!F90</f>
        <v>70070.361999999994</v>
      </c>
      <c r="Q20" s="18">
        <f>Test!G90</f>
        <v>11.105</v>
      </c>
      <c r="R20" s="19">
        <f t="shared" si="4"/>
        <v>19.463989444444444</v>
      </c>
      <c r="S20" s="17">
        <f t="shared" si="5"/>
        <v>0.97758232680914769</v>
      </c>
      <c r="T20" s="18">
        <f t="shared" si="6"/>
        <v>0.98291733050097363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2302.904</v>
      </c>
      <c r="E21" s="18">
        <f>Reference!C91</f>
        <v>35.360700000000001</v>
      </c>
      <c r="F21" s="18">
        <f>Reference!D91</f>
        <v>38.723700000000001</v>
      </c>
      <c r="G21" s="18">
        <f>Reference!E91</f>
        <v>40.9499</v>
      </c>
      <c r="H21" s="18">
        <f>Reference!F91</f>
        <v>42218.938999999998</v>
      </c>
      <c r="I21" s="18">
        <f>Reference!G91</f>
        <v>10.005000000000001</v>
      </c>
      <c r="J21" s="19">
        <f t="shared" si="3"/>
        <v>11.727483055555554</v>
      </c>
      <c r="L21" s="17">
        <f>Test!B91</f>
        <v>2300.7399999999998</v>
      </c>
      <c r="M21" s="18">
        <f>Test!C91</f>
        <v>35.357300000000002</v>
      </c>
      <c r="N21" s="18">
        <f>Test!D91</f>
        <v>38.728900000000003</v>
      </c>
      <c r="O21" s="18">
        <f>Test!E91</f>
        <v>40.947000000000003</v>
      </c>
      <c r="P21" s="18">
        <f>Test!F91</f>
        <v>41124.656000000003</v>
      </c>
      <c r="Q21" s="18">
        <f>Test!G91</f>
        <v>9.2829999999999995</v>
      </c>
      <c r="R21" s="19">
        <f t="shared" si="4"/>
        <v>11.423515555555555</v>
      </c>
      <c r="S21" s="17">
        <f t="shared" si="5"/>
        <v>0.97408075555854223</v>
      </c>
      <c r="T21" s="18">
        <f t="shared" si="6"/>
        <v>0.92783608195902034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Reference!B92</f>
        <v>1102.7719999999999</v>
      </c>
      <c r="E22" s="23">
        <f>Reference!C92</f>
        <v>33.169600000000003</v>
      </c>
      <c r="F22" s="23">
        <f>Reference!D92</f>
        <v>37.709000000000003</v>
      </c>
      <c r="G22" s="23">
        <f>Reference!E92</f>
        <v>39.230699999999999</v>
      </c>
      <c r="H22" s="23">
        <f>Reference!F92</f>
        <v>22172.383000000002</v>
      </c>
      <c r="I22" s="23">
        <f>Reference!G92</f>
        <v>8.548</v>
      </c>
      <c r="J22" s="24">
        <f t="shared" si="3"/>
        <v>6.1589952777777786</v>
      </c>
      <c r="L22" s="22">
        <f>Test!B92</f>
        <v>1104.404</v>
      </c>
      <c r="M22" s="23">
        <f>Test!C92</f>
        <v>33.1706</v>
      </c>
      <c r="N22" s="23">
        <f>Test!D92</f>
        <v>37.717599999999997</v>
      </c>
      <c r="O22" s="23">
        <f>Test!E92</f>
        <v>39.195799999999998</v>
      </c>
      <c r="P22" s="23">
        <f>Test!F92</f>
        <v>22097.569</v>
      </c>
      <c r="Q22" s="23">
        <f>Test!G92</f>
        <v>8.4819999999999993</v>
      </c>
      <c r="R22" s="24">
        <f t="shared" si="4"/>
        <v>6.1382136111111114</v>
      </c>
      <c r="S22" s="17">
        <f t="shared" si="5"/>
        <v>0.9966258024678718</v>
      </c>
      <c r="T22" s="18">
        <f t="shared" si="6"/>
        <v>0.99227889564810479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8555.8320000000003</v>
      </c>
      <c r="E23" s="13">
        <f>Reference!C93</f>
        <v>38.950000000000003</v>
      </c>
      <c r="F23" s="13">
        <f>Reference!D93</f>
        <v>44.056800000000003</v>
      </c>
      <c r="G23" s="13">
        <f>Reference!E93</f>
        <v>45.222700000000003</v>
      </c>
      <c r="H23" s="13">
        <f>Reference!F93</f>
        <v>125762.897</v>
      </c>
      <c r="I23" s="13">
        <f>Reference!G93</f>
        <v>14.192</v>
      </c>
      <c r="J23" s="14">
        <f t="shared" si="3"/>
        <v>34.934138055555557</v>
      </c>
      <c r="L23" s="12">
        <f>Test!B93</f>
        <v>8549.0560000000005</v>
      </c>
      <c r="M23" s="13">
        <f>Test!C93</f>
        <v>38.949100000000001</v>
      </c>
      <c r="N23" s="13">
        <f>Test!D93</f>
        <v>44.056399999999996</v>
      </c>
      <c r="O23" s="13">
        <f>Test!E93</f>
        <v>45.210999999999999</v>
      </c>
      <c r="P23" s="13">
        <f>Test!F93</f>
        <v>123688.274</v>
      </c>
      <c r="Q23" s="13">
        <f>Test!G93</f>
        <v>13.526</v>
      </c>
      <c r="R23" s="14">
        <f t="shared" si="4"/>
        <v>34.35785388888889</v>
      </c>
      <c r="S23" s="17">
        <f t="shared" si="5"/>
        <v>0.98350369584759179</v>
      </c>
      <c r="T23" s="18">
        <f t="shared" si="6"/>
        <v>0.9530721533258173</v>
      </c>
      <c r="U23" s="91"/>
      <c r="V23" s="37">
        <f>bdrate($D23:$D26,E23:E26,$L23:$L26,M23:M26)</f>
        <v>-3.3294807489658851E-4</v>
      </c>
      <c r="W23" s="42">
        <f>bdrate($D23:$D26,F23:F26,$L23:$L26,N23:N26)</f>
        <v>-2.521654782960181E-3</v>
      </c>
      <c r="X23" s="42">
        <f>bdrate($D23:$D26,G23:G26,$L23:$L26,O23:O26)</f>
        <v>1.8258827355446261E-3</v>
      </c>
      <c r="Y23" s="40">
        <f>bdrateOld($D23:$D26,E23:E26,$L23:$L26,M23:M26)</f>
        <v>-5.0346221608377206E-5</v>
      </c>
      <c r="Z23" s="44">
        <f>bdrateOld($D23:$D26,F23:F26,$L23:$L26,N23:N26)</f>
        <v>-2.4029825086249179E-3</v>
      </c>
      <c r="AA23" s="45">
        <f>bdrateOld($D23:$D26,G23:G26,$L23:$L26,O23:O26)</f>
        <v>1.7971472891307183E-3</v>
      </c>
    </row>
    <row r="24" spans="1:27" x14ac:dyDescent="0.2">
      <c r="A24" s="34"/>
      <c r="B24" s="85"/>
      <c r="C24" s="16">
        <v>32</v>
      </c>
      <c r="D24" s="17">
        <f>Reference!B94</f>
        <v>4279.62</v>
      </c>
      <c r="E24" s="18">
        <f>Reference!C94</f>
        <v>37.917200000000001</v>
      </c>
      <c r="F24" s="18">
        <f>Reference!D94</f>
        <v>43.211599999999997</v>
      </c>
      <c r="G24" s="18">
        <f>Reference!E94</f>
        <v>43.784999999999997</v>
      </c>
      <c r="H24" s="18">
        <f>Reference!F94</f>
        <v>78068.194000000003</v>
      </c>
      <c r="I24" s="18">
        <f>Reference!G94</f>
        <v>12.419</v>
      </c>
      <c r="J24" s="19">
        <f t="shared" si="3"/>
        <v>21.685609444444445</v>
      </c>
      <c r="L24" s="17">
        <f>Test!B94</f>
        <v>4278.2240000000002</v>
      </c>
      <c r="M24" s="18">
        <f>Test!C94</f>
        <v>37.919800000000002</v>
      </c>
      <c r="N24" s="18">
        <f>Test!D94</f>
        <v>43.216700000000003</v>
      </c>
      <c r="O24" s="18">
        <f>Test!E94</f>
        <v>43.778300000000002</v>
      </c>
      <c r="P24" s="18">
        <f>Test!F94</f>
        <v>76118.082999999999</v>
      </c>
      <c r="Q24" s="18">
        <f>Test!G94</f>
        <v>11.832000000000001</v>
      </c>
      <c r="R24" s="19">
        <f t="shared" si="4"/>
        <v>21.143911944444444</v>
      </c>
      <c r="S24" s="17">
        <f t="shared" si="5"/>
        <v>0.97502041612490731</v>
      </c>
      <c r="T24" s="18">
        <f t="shared" si="6"/>
        <v>0.95273371446976407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2189.64</v>
      </c>
      <c r="E25" s="18">
        <f>Reference!C95</f>
        <v>36.4251</v>
      </c>
      <c r="F25" s="18">
        <f>Reference!D95</f>
        <v>42.206000000000003</v>
      </c>
      <c r="G25" s="18">
        <f>Reference!E95</f>
        <v>42.211500000000001</v>
      </c>
      <c r="H25" s="18">
        <f>Reference!F95</f>
        <v>42813.464999999997</v>
      </c>
      <c r="I25" s="18">
        <f>Reference!G95</f>
        <v>10.571</v>
      </c>
      <c r="J25" s="19">
        <f t="shared" si="3"/>
        <v>11.892629166666666</v>
      </c>
      <c r="L25" s="17">
        <f>Test!B95</f>
        <v>2188.3760000000002</v>
      </c>
      <c r="M25" s="18">
        <f>Test!C95</f>
        <v>36.422800000000002</v>
      </c>
      <c r="N25" s="18">
        <f>Test!D95</f>
        <v>42.210299999999997</v>
      </c>
      <c r="O25" s="18">
        <f>Test!E95</f>
        <v>42.208799999999997</v>
      </c>
      <c r="P25" s="18">
        <f>Test!F95</f>
        <v>42611.906000000003</v>
      </c>
      <c r="Q25" s="18">
        <f>Test!G95</f>
        <v>10.256</v>
      </c>
      <c r="R25" s="19">
        <f t="shared" si="4"/>
        <v>11.836640555555556</v>
      </c>
      <c r="S25" s="17">
        <f t="shared" si="5"/>
        <v>0.99529215867017551</v>
      </c>
      <c r="T25" s="18">
        <f t="shared" si="6"/>
        <v>0.97020149465518879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Reference!B96</f>
        <v>1078.6679999999999</v>
      </c>
      <c r="E26" s="23">
        <f>Reference!C96</f>
        <v>34.367199999999997</v>
      </c>
      <c r="F26" s="23">
        <f>Reference!D96</f>
        <v>40.816699999999997</v>
      </c>
      <c r="G26" s="23">
        <f>Reference!E96</f>
        <v>40.311199999999999</v>
      </c>
      <c r="H26" s="23">
        <f>Reference!F96</f>
        <v>24134.416000000001</v>
      </c>
      <c r="I26" s="23">
        <f>Reference!G96</f>
        <v>9.0990000000000002</v>
      </c>
      <c r="J26" s="24">
        <f t="shared" si="3"/>
        <v>6.7040044444444451</v>
      </c>
      <c r="L26" s="22">
        <f>Test!B96</f>
        <v>1076.52</v>
      </c>
      <c r="M26" s="23">
        <f>Test!C96</f>
        <v>34.360599999999998</v>
      </c>
      <c r="N26" s="23">
        <f>Test!D96</f>
        <v>40.810499999999998</v>
      </c>
      <c r="O26" s="23">
        <f>Test!E96</f>
        <v>40.302100000000003</v>
      </c>
      <c r="P26" s="23">
        <f>Test!F96</f>
        <v>22974.420999999998</v>
      </c>
      <c r="Q26" s="23">
        <f>Test!G96</f>
        <v>9.17</v>
      </c>
      <c r="R26" s="24">
        <f t="shared" si="4"/>
        <v>6.3817836111111106</v>
      </c>
      <c r="S26" s="17">
        <f t="shared" si="5"/>
        <v>0.95193606507818529</v>
      </c>
      <c r="T26" s="18">
        <f t="shared" si="6"/>
        <v>1.0078030552808002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6748.7879999999996</v>
      </c>
      <c r="E27" s="13">
        <f>Reference!C97</f>
        <v>39.705199999999998</v>
      </c>
      <c r="F27" s="13">
        <f>Reference!D97</f>
        <v>43.910699999999999</v>
      </c>
      <c r="G27" s="13">
        <f>Reference!E97</f>
        <v>45.0471</v>
      </c>
      <c r="H27" s="13">
        <f>Reference!F97</f>
        <v>114747.087</v>
      </c>
      <c r="I27" s="13">
        <f>Reference!G97</f>
        <v>14.237</v>
      </c>
      <c r="J27" s="14">
        <f>H27/3600</f>
        <v>31.874190833333333</v>
      </c>
      <c r="L27" s="12">
        <f>Test!B97</f>
        <v>6750.0640000000003</v>
      </c>
      <c r="M27" s="13">
        <f>Test!C97</f>
        <v>39.704099999999997</v>
      </c>
      <c r="N27" s="13">
        <f>Test!D97</f>
        <v>43.908299999999997</v>
      </c>
      <c r="O27" s="13">
        <f>Test!E97</f>
        <v>45.055500000000002</v>
      </c>
      <c r="P27" s="13">
        <f>Test!F97</f>
        <v>112165.333</v>
      </c>
      <c r="Q27" s="13">
        <f>Test!G97</f>
        <v>13.972</v>
      </c>
      <c r="R27" s="14">
        <f>P27/3600</f>
        <v>31.157036944444442</v>
      </c>
      <c r="S27" s="17">
        <f t="shared" si="2"/>
        <v>0.97750048330202921</v>
      </c>
      <c r="T27" s="18">
        <f t="shared" si="2"/>
        <v>0.98138652806068694</v>
      </c>
      <c r="U27" s="91"/>
      <c r="V27" s="37">
        <f>bdrate($D27:$D30,E27:E30,$L27:$L30,M27:M30)</f>
        <v>1.202317873948866E-3</v>
      </c>
      <c r="W27" s="42">
        <f>bdrate($D27:$D30,F27:F30,$L27:$L30,N27:N30)</f>
        <v>-5.8876144435783262E-3</v>
      </c>
      <c r="X27" s="43">
        <f>bdrate($D27:$D30,G27:G30,$L27:$L30,O27:O30)</f>
        <v>-1.1467053185130527E-2</v>
      </c>
      <c r="Y27" s="37">
        <f>bdrateOld($D27:$D30,E27:E30,$L27:$L30,M27:M30)</f>
        <v>1.43265248288027E-3</v>
      </c>
      <c r="Z27" s="42">
        <f>bdrateOld($D27:$D30,F27:F30,$L27:$L30,N27:N30)</f>
        <v>-5.1395596158012591E-3</v>
      </c>
      <c r="AA27" s="43">
        <f>bdrateOld($D27:$D30,G27:G30,$L27:$L30,O27:O30)</f>
        <v>-1.2053904597148279E-2</v>
      </c>
    </row>
    <row r="28" spans="1:27" x14ac:dyDescent="0.2">
      <c r="A28" s="16"/>
      <c r="B28" s="85"/>
      <c r="C28" s="16">
        <v>48</v>
      </c>
      <c r="D28" s="17">
        <f>Reference!B98</f>
        <v>3209.6</v>
      </c>
      <c r="E28" s="18">
        <f>Reference!C98</f>
        <v>38.565300000000001</v>
      </c>
      <c r="F28" s="18">
        <f>Reference!D98</f>
        <v>43.143999999999998</v>
      </c>
      <c r="G28" s="18">
        <f>Reference!E98</f>
        <v>44.360999999999997</v>
      </c>
      <c r="H28" s="18">
        <f>Reference!F98</f>
        <v>68372.593999999997</v>
      </c>
      <c r="I28" s="18">
        <f>Reference!G98</f>
        <v>11.897</v>
      </c>
      <c r="J28" s="19">
        <f t="shared" ref="J28:J46" si="7">H28/3600</f>
        <v>18.99238722222222</v>
      </c>
      <c r="L28" s="17">
        <f>Test!B98</f>
        <v>3209.3679999999999</v>
      </c>
      <c r="M28" s="18">
        <f>Test!C98</f>
        <v>38.566000000000003</v>
      </c>
      <c r="N28" s="18">
        <f>Test!D98</f>
        <v>43.1616</v>
      </c>
      <c r="O28" s="18">
        <f>Test!E98</f>
        <v>44.373199999999997</v>
      </c>
      <c r="P28" s="18">
        <f>Test!F98</f>
        <v>67784.797000000006</v>
      </c>
      <c r="Q28" s="18">
        <f>Test!G98</f>
        <v>11.885999999999999</v>
      </c>
      <c r="R28" s="19">
        <f t="shared" ref="R28:R46" si="8">P28/3600</f>
        <v>18.829110277777779</v>
      </c>
      <c r="S28" s="17">
        <f t="shared" si="2"/>
        <v>0.99140303203941638</v>
      </c>
      <c r="T28" s="18">
        <f t="shared" si="2"/>
        <v>0.99907539715894755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1542.596</v>
      </c>
      <c r="E29" s="18">
        <f>Reference!C99</f>
        <v>36.888199999999998</v>
      </c>
      <c r="F29" s="18">
        <f>Reference!D99</f>
        <v>42.277799999999999</v>
      </c>
      <c r="G29" s="18">
        <f>Reference!E99</f>
        <v>43.452800000000003</v>
      </c>
      <c r="H29" s="18">
        <f>Reference!F99</f>
        <v>36509.750999999997</v>
      </c>
      <c r="I29" s="18">
        <f>Reference!G99</f>
        <v>10.454000000000001</v>
      </c>
      <c r="J29" s="19">
        <f t="shared" si="7"/>
        <v>10.1415975</v>
      </c>
      <c r="L29" s="17">
        <f>Test!B99</f>
        <v>1547.0640000000001</v>
      </c>
      <c r="M29" s="18">
        <f>Test!C99</f>
        <v>36.889800000000001</v>
      </c>
      <c r="N29" s="18">
        <f>Test!D99</f>
        <v>42.291200000000003</v>
      </c>
      <c r="O29" s="18">
        <f>Test!E99</f>
        <v>43.482399999999998</v>
      </c>
      <c r="P29" s="18">
        <f>Test!F99</f>
        <v>36388.29</v>
      </c>
      <c r="Q29" s="18">
        <f>Test!G99</f>
        <v>10.313000000000001</v>
      </c>
      <c r="R29" s="19">
        <f t="shared" si="8"/>
        <v>10.107858333333333</v>
      </c>
      <c r="S29" s="17">
        <f t="shared" si="2"/>
        <v>0.9966731901293987</v>
      </c>
      <c r="T29" s="18">
        <f t="shared" si="2"/>
        <v>0.98651233977424913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Reference!B100</f>
        <v>693.65200000000004</v>
      </c>
      <c r="E30" s="23">
        <f>Reference!C100</f>
        <v>34.6447</v>
      </c>
      <c r="F30" s="23">
        <f>Reference!D100</f>
        <v>41.034399999999998</v>
      </c>
      <c r="G30" s="23">
        <f>Reference!E100</f>
        <v>42.155299999999997</v>
      </c>
      <c r="H30" s="23">
        <f>Reference!F100</f>
        <v>18530.433000000001</v>
      </c>
      <c r="I30" s="23">
        <f>Reference!G100</f>
        <v>9.6259999999999994</v>
      </c>
      <c r="J30" s="24">
        <f t="shared" si="7"/>
        <v>5.1473425000000006</v>
      </c>
      <c r="L30" s="22">
        <f>Test!B100</f>
        <v>695.26</v>
      </c>
      <c r="M30" s="23">
        <f>Test!C100</f>
        <v>34.649099999999997</v>
      </c>
      <c r="N30" s="23">
        <f>Test!D100</f>
        <v>41.020600000000002</v>
      </c>
      <c r="O30" s="23">
        <f>Test!E100</f>
        <v>42.147599999999997</v>
      </c>
      <c r="P30" s="23">
        <f>Test!F100</f>
        <v>18341.948</v>
      </c>
      <c r="Q30" s="23">
        <f>Test!G100</f>
        <v>9.1630000000000003</v>
      </c>
      <c r="R30" s="24">
        <f t="shared" si="8"/>
        <v>5.0949855555555557</v>
      </c>
      <c r="S30" s="17">
        <f t="shared" si="2"/>
        <v>0.98982835425378346</v>
      </c>
      <c r="T30" s="18">
        <f t="shared" si="2"/>
        <v>0.95190110118429261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5568.9679999999998</v>
      </c>
      <c r="E31" s="13">
        <f>Reference!C101</f>
        <v>44.888599999999997</v>
      </c>
      <c r="F31" s="13">
        <f>Reference!D101</f>
        <v>47.727200000000003</v>
      </c>
      <c r="G31" s="13">
        <f>Reference!E101</f>
        <v>48.512700000000002</v>
      </c>
      <c r="H31" s="13">
        <f>Reference!F101</f>
        <v>85869.476999999999</v>
      </c>
      <c r="I31" s="13">
        <f>Reference!G101</f>
        <v>13.670999999999999</v>
      </c>
      <c r="J31" s="14">
        <f t="shared" si="7"/>
        <v>23.852632499999999</v>
      </c>
      <c r="L31" s="12">
        <f>Test!B101</f>
        <v>5564.2280000000001</v>
      </c>
      <c r="M31" s="13">
        <f>Test!C101</f>
        <v>44.8902</v>
      </c>
      <c r="N31" s="13">
        <f>Test!D101</f>
        <v>47.724400000000003</v>
      </c>
      <c r="O31" s="13">
        <f>Test!E101</f>
        <v>48.512099999999997</v>
      </c>
      <c r="P31" s="13">
        <f>Test!F101</f>
        <v>85659.046000000002</v>
      </c>
      <c r="Q31" s="13">
        <f>Test!G101</f>
        <v>14.028</v>
      </c>
      <c r="R31" s="14">
        <f t="shared" si="8"/>
        <v>23.794179444444445</v>
      </c>
      <c r="S31" s="17">
        <f t="shared" si="2"/>
        <v>0.99754940862164565</v>
      </c>
      <c r="T31" s="18">
        <f t="shared" si="2"/>
        <v>1.0261136712749617</v>
      </c>
      <c r="U31" s="91"/>
      <c r="V31" s="37">
        <f>bdrate($D31:$D34,E31:E34,$L31:$L34,M31:M34)</f>
        <v>1.5837758211056929E-4</v>
      </c>
      <c r="W31" s="42">
        <f>bdrate($D31:$D34,F31:F34,$L31:$L34,N31:N34)</f>
        <v>-1.5403583000053178E-3</v>
      </c>
      <c r="X31" s="42">
        <f>bdrate($D31:$D34,G31:G34,$L31:$L34,O31:O34)</f>
        <v>-2.6890470488524221E-3</v>
      </c>
      <c r="Y31" s="40">
        <f>bdrateOld($D31:$D34,E31:E34,$L31:$L34,M31:M34)</f>
        <v>8.580979126304733E-5</v>
      </c>
      <c r="Z31" s="44">
        <f>bdrateOld($D31:$D34,F31:F34,$L31:$L34,N31:N34)</f>
        <v>-1.6401167245913006E-3</v>
      </c>
      <c r="AA31" s="45">
        <f>bdrateOld($D31:$D34,G31:G34,$L31:$L34,O31:O34)</f>
        <v>-2.5390088125407662E-3</v>
      </c>
    </row>
    <row r="32" spans="1:27" x14ac:dyDescent="0.2">
      <c r="A32" s="16"/>
      <c r="B32" s="85"/>
      <c r="C32" s="16">
        <v>48</v>
      </c>
      <c r="D32" s="17">
        <f>Reference!B102</f>
        <v>3416.8440000000001</v>
      </c>
      <c r="E32" s="18">
        <f>Reference!C102</f>
        <v>42.645800000000001</v>
      </c>
      <c r="F32" s="18">
        <f>Reference!D102</f>
        <v>46.145200000000003</v>
      </c>
      <c r="G32" s="18">
        <f>Reference!E102</f>
        <v>46.719000000000001</v>
      </c>
      <c r="H32" s="18">
        <f>Reference!F102</f>
        <v>58980.466</v>
      </c>
      <c r="I32" s="18">
        <f>Reference!G102</f>
        <v>12.529</v>
      </c>
      <c r="J32" s="19">
        <f t="shared" si="7"/>
        <v>16.383462777777776</v>
      </c>
      <c r="L32" s="17">
        <f>Test!B102</f>
        <v>3414.5120000000002</v>
      </c>
      <c r="M32" s="18">
        <f>Test!C102</f>
        <v>42.637300000000003</v>
      </c>
      <c r="N32" s="18">
        <f>Test!D102</f>
        <v>46.161700000000003</v>
      </c>
      <c r="O32" s="18">
        <f>Test!E102</f>
        <v>46.748100000000001</v>
      </c>
      <c r="P32" s="18">
        <f>Test!F102</f>
        <v>58587.925999999999</v>
      </c>
      <c r="Q32" s="18">
        <f>Test!G102</f>
        <v>12.442</v>
      </c>
      <c r="R32" s="19">
        <f t="shared" si="8"/>
        <v>16.27442388888889</v>
      </c>
      <c r="S32" s="17">
        <f t="shared" si="2"/>
        <v>0.99334457615170413</v>
      </c>
      <c r="T32" s="18">
        <f t="shared" si="2"/>
        <v>0.99305610982520554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1909.204</v>
      </c>
      <c r="E33" s="18">
        <f>Reference!C103</f>
        <v>39.8245</v>
      </c>
      <c r="F33" s="18">
        <f>Reference!D103</f>
        <v>44.597900000000003</v>
      </c>
      <c r="G33" s="18">
        <f>Reference!E103</f>
        <v>44.924599999999998</v>
      </c>
      <c r="H33" s="18">
        <f>Reference!F103</f>
        <v>37323.186999999998</v>
      </c>
      <c r="I33" s="18">
        <f>Reference!G103</f>
        <v>11.493</v>
      </c>
      <c r="J33" s="19">
        <f t="shared" si="7"/>
        <v>10.367551944444443</v>
      </c>
      <c r="L33" s="17">
        <f>Test!B103</f>
        <v>1909.5319999999999</v>
      </c>
      <c r="M33" s="18">
        <f>Test!C103</f>
        <v>39.825000000000003</v>
      </c>
      <c r="N33" s="18">
        <f>Test!D103</f>
        <v>44.602499999999999</v>
      </c>
      <c r="O33" s="18">
        <f>Test!E103</f>
        <v>44.922699999999999</v>
      </c>
      <c r="P33" s="18">
        <f>Test!F103</f>
        <v>36465.597999999998</v>
      </c>
      <c r="Q33" s="18">
        <f>Test!G103</f>
        <v>11.195</v>
      </c>
      <c r="R33" s="19">
        <f t="shared" si="8"/>
        <v>10.129332777777778</v>
      </c>
      <c r="S33" s="17">
        <f t="shared" si="2"/>
        <v>0.97702262135331586</v>
      </c>
      <c r="T33" s="18">
        <f t="shared" si="2"/>
        <v>0.97407117375793961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Reference!B104</f>
        <v>971.71600000000001</v>
      </c>
      <c r="E34" s="23">
        <f>Reference!C104</f>
        <v>36.639200000000002</v>
      </c>
      <c r="F34" s="23">
        <f>Reference!D104</f>
        <v>42.776800000000001</v>
      </c>
      <c r="G34" s="23">
        <f>Reference!E104</f>
        <v>42.851700000000001</v>
      </c>
      <c r="H34" s="23">
        <f>Reference!F104</f>
        <v>20951.464</v>
      </c>
      <c r="I34" s="23">
        <f>Reference!G104</f>
        <v>9.4969999999999999</v>
      </c>
      <c r="J34" s="24">
        <f t="shared" si="7"/>
        <v>5.8198511111111113</v>
      </c>
      <c r="L34" s="22">
        <f>Test!B104</f>
        <v>973.05600000000004</v>
      </c>
      <c r="M34" s="23">
        <f>Test!C104</f>
        <v>36.649299999999997</v>
      </c>
      <c r="N34" s="23">
        <f>Test!D104</f>
        <v>42.755600000000001</v>
      </c>
      <c r="O34" s="23">
        <f>Test!E104</f>
        <v>42.848799999999997</v>
      </c>
      <c r="P34" s="23">
        <f>Test!F104</f>
        <v>20748.210999999999</v>
      </c>
      <c r="Q34" s="23">
        <f>Test!G104</f>
        <v>9.9930000000000003</v>
      </c>
      <c r="R34" s="24">
        <f t="shared" si="8"/>
        <v>5.7633919444444439</v>
      </c>
      <c r="S34" s="17">
        <f t="shared" si="2"/>
        <v>0.99029886407937884</v>
      </c>
      <c r="T34" s="18">
        <f t="shared" si="2"/>
        <v>1.0522270190586502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4094.9720000000002</v>
      </c>
      <c r="E35" s="13">
        <f>Reference!C105</f>
        <v>38.611499999999999</v>
      </c>
      <c r="F35" s="13">
        <f>Reference!D105</f>
        <v>46.229900000000001</v>
      </c>
      <c r="G35" s="13">
        <f>Reference!E105</f>
        <v>46.443300000000001</v>
      </c>
      <c r="H35" s="13">
        <f>Reference!F105</f>
        <v>55316.377999999997</v>
      </c>
      <c r="I35" s="13">
        <f>Reference!G105</f>
        <v>5.7380000000000004</v>
      </c>
      <c r="J35" s="14">
        <f t="shared" si="7"/>
        <v>15.365660555555555</v>
      </c>
      <c r="L35" s="12">
        <f>Test!B105</f>
        <v>4096.3159999999998</v>
      </c>
      <c r="M35" s="13">
        <f>Test!C105</f>
        <v>38.607999999999997</v>
      </c>
      <c r="N35" s="13">
        <f>Test!D105</f>
        <v>46.225999999999999</v>
      </c>
      <c r="O35" s="13">
        <f>Test!E105</f>
        <v>46.444699999999997</v>
      </c>
      <c r="P35" s="13">
        <f>Test!F105</f>
        <v>54849.851000000002</v>
      </c>
      <c r="Q35" s="13">
        <f>Test!G105</f>
        <v>5.8849999999999998</v>
      </c>
      <c r="R35" s="14">
        <f t="shared" si="8"/>
        <v>15.236069722222222</v>
      </c>
      <c r="S35" s="12">
        <f t="shared" si="2"/>
        <v>0.9915662048588938</v>
      </c>
      <c r="T35" s="13">
        <f t="shared" si="2"/>
        <v>1.0256186824677587</v>
      </c>
      <c r="U35" s="90"/>
      <c r="V35" s="37">
        <f>bdrate($D35:$D38,E35:E38,$L35:$L38,M35:M38)</f>
        <v>4.6783846285536335E-4</v>
      </c>
      <c r="W35" s="42">
        <f>bdrate($D35:$D38,F35:F38,$L35:$L38,N35:N38)</f>
        <v>-2.6851320437697446E-3</v>
      </c>
      <c r="X35" s="42">
        <f>bdrate($D35:$D38,G35:G38,$L35:$L38,O35:O38)</f>
        <v>-5.660914240563697E-3</v>
      </c>
      <c r="Y35" s="40">
        <f>bdrateOld($D35:$D38,E35:E38,$L35:$L38,M35:M38)</f>
        <v>6.1620640626158796E-4</v>
      </c>
      <c r="Z35" s="44">
        <f>bdrateOld($D35:$D38,F35:F38,$L35:$L38,N35:N38)</f>
        <v>-2.7161642367916627E-3</v>
      </c>
      <c r="AA35" s="45">
        <f>bdrateOld($D35:$D38,G35:G38,$L35:$L38,O35:O38)</f>
        <v>-6.1640942121963249E-3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1780.9680000000001</v>
      </c>
      <c r="E36" s="18">
        <f>Reference!C106</f>
        <v>37.102899999999998</v>
      </c>
      <c r="F36" s="18">
        <f>Reference!D106</f>
        <v>45.185099999999998</v>
      </c>
      <c r="G36" s="18">
        <f>Reference!E106</f>
        <v>45.397300000000001</v>
      </c>
      <c r="H36" s="18">
        <f>Reference!F106</f>
        <v>30249.998</v>
      </c>
      <c r="I36" s="18">
        <f>Reference!G106</f>
        <v>4.7770000000000001</v>
      </c>
      <c r="J36" s="19">
        <f t="shared" si="7"/>
        <v>8.4027772222222215</v>
      </c>
      <c r="L36" s="17">
        <f>Test!B106</f>
        <v>1778.58</v>
      </c>
      <c r="M36" s="18">
        <f>Test!C106</f>
        <v>37.100900000000003</v>
      </c>
      <c r="N36" s="18">
        <f>Test!D106</f>
        <v>45.186</v>
      </c>
      <c r="O36" s="18">
        <f>Test!E106</f>
        <v>45.399000000000001</v>
      </c>
      <c r="P36" s="18">
        <f>Test!F106</f>
        <v>29831.63</v>
      </c>
      <c r="Q36" s="18">
        <f>Test!G106</f>
        <v>4.7990000000000004</v>
      </c>
      <c r="R36" s="19">
        <f t="shared" si="8"/>
        <v>8.2865638888888888</v>
      </c>
      <c r="S36" s="17">
        <f t="shared" si="2"/>
        <v>0.98616965197815887</v>
      </c>
      <c r="T36" s="18">
        <f t="shared" si="2"/>
        <v>1.0046054008792129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840.65599999999995</v>
      </c>
      <c r="E37" s="18">
        <f>Reference!C107</f>
        <v>35.151699999999998</v>
      </c>
      <c r="F37" s="18">
        <f>Reference!D107</f>
        <v>43.887599999999999</v>
      </c>
      <c r="G37" s="18">
        <f>Reference!E107</f>
        <v>44.1434</v>
      </c>
      <c r="H37" s="18">
        <f>Reference!F107</f>
        <v>16534.914000000001</v>
      </c>
      <c r="I37" s="18">
        <f>Reference!G107</f>
        <v>4.2539999999999996</v>
      </c>
      <c r="J37" s="19">
        <f t="shared" si="7"/>
        <v>4.5930316666666666</v>
      </c>
      <c r="L37" s="17">
        <f>Test!B107</f>
        <v>841.00800000000004</v>
      </c>
      <c r="M37" s="18">
        <f>Test!C107</f>
        <v>35.153100000000002</v>
      </c>
      <c r="N37" s="18">
        <f>Test!D107</f>
        <v>43.9011</v>
      </c>
      <c r="O37" s="18">
        <f>Test!E107</f>
        <v>44.165999999999997</v>
      </c>
      <c r="P37" s="18">
        <f>Test!F107</f>
        <v>16009.045</v>
      </c>
      <c r="Q37" s="18">
        <f>Test!G107</f>
        <v>4.1859999999999999</v>
      </c>
      <c r="R37" s="19">
        <f t="shared" si="8"/>
        <v>4.4469569444444446</v>
      </c>
      <c r="S37" s="17">
        <f t="shared" si="2"/>
        <v>0.96819644783153991</v>
      </c>
      <c r="T37" s="18">
        <f t="shared" si="2"/>
        <v>0.98401504466384593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Reference!B108</f>
        <v>399.09199999999998</v>
      </c>
      <c r="E38" s="23">
        <f>Reference!C108</f>
        <v>32.479599999999998</v>
      </c>
      <c r="F38" s="23">
        <f>Reference!D108</f>
        <v>42.230800000000002</v>
      </c>
      <c r="G38" s="23">
        <f>Reference!E108</f>
        <v>42.509700000000002</v>
      </c>
      <c r="H38" s="23">
        <f>Reference!F108</f>
        <v>8493.6710000000003</v>
      </c>
      <c r="I38" s="23">
        <f>Reference!G108</f>
        <v>3.472</v>
      </c>
      <c r="J38" s="24">
        <f t="shared" si="7"/>
        <v>2.3593530555555557</v>
      </c>
      <c r="L38" s="22">
        <f>Test!B108</f>
        <v>399.32400000000001</v>
      </c>
      <c r="M38" s="23">
        <f>Test!C108</f>
        <v>32.472499999999997</v>
      </c>
      <c r="N38" s="23">
        <f>Test!D108</f>
        <v>42.225200000000001</v>
      </c>
      <c r="O38" s="23">
        <f>Test!E108</f>
        <v>42.506599999999999</v>
      </c>
      <c r="P38" s="23">
        <f>Test!F108</f>
        <v>8183.1139999999996</v>
      </c>
      <c r="Q38" s="23">
        <f>Test!G108</f>
        <v>3.5</v>
      </c>
      <c r="R38" s="24">
        <f t="shared" si="8"/>
        <v>2.2730872222222223</v>
      </c>
      <c r="S38" s="17">
        <f t="shared" si="2"/>
        <v>0.96343665771843523</v>
      </c>
      <c r="T38" s="18">
        <f t="shared" si="2"/>
        <v>1.0080645161290323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2420.9960000000001</v>
      </c>
      <c r="E39" s="13">
        <f>Reference!C109</f>
        <v>40.651800000000001</v>
      </c>
      <c r="F39" s="13">
        <f>Reference!D109</f>
        <v>46.147599999999997</v>
      </c>
      <c r="G39" s="13">
        <f>Reference!E109</f>
        <v>47.3337</v>
      </c>
      <c r="H39" s="13">
        <f>Reference!F109</f>
        <v>44758.591999999997</v>
      </c>
      <c r="I39" s="13">
        <f>Reference!G109</f>
        <v>5.8310000000000004</v>
      </c>
      <c r="J39" s="14">
        <f t="shared" si="7"/>
        <v>12.432942222222222</v>
      </c>
      <c r="L39" s="12">
        <f>Test!B109</f>
        <v>2425.5479999999998</v>
      </c>
      <c r="M39" s="13">
        <f>Test!C109</f>
        <v>40.652099999999997</v>
      </c>
      <c r="N39" s="13">
        <f>Test!D109</f>
        <v>46.1449</v>
      </c>
      <c r="O39" s="13">
        <f>Test!E109</f>
        <v>47.320099999999996</v>
      </c>
      <c r="P39" s="13">
        <f>Test!F109</f>
        <v>42915.665000000001</v>
      </c>
      <c r="Q39" s="13">
        <f>Test!G109</f>
        <v>5.6669999999999998</v>
      </c>
      <c r="R39" s="14">
        <f t="shared" si="8"/>
        <v>11.921018055555555</v>
      </c>
      <c r="S39" s="17">
        <f t="shared" si="2"/>
        <v>0.95882517930858957</v>
      </c>
      <c r="T39" s="18">
        <f t="shared" si="2"/>
        <v>0.9718744640713427</v>
      </c>
      <c r="U39" s="91"/>
      <c r="V39" s="37">
        <f>bdrate($D39:$D42,E39:E42,$L39:$L42,M39:M42)</f>
        <v>4.962558159467001E-4</v>
      </c>
      <c r="W39" s="42">
        <f>bdrate($D39:$D42,F39:F42,$L39:$L42,N39:N42)</f>
        <v>-8.1589713024416977E-3</v>
      </c>
      <c r="X39" s="42">
        <f>bdrate($D39:$D42,G39:G42,$L39:$L42,O39:O42)</f>
        <v>1.0027111856925064E-3</v>
      </c>
      <c r="Y39" s="40">
        <f>bdrateOld($D39:$D42,E39:E42,$L39:$L42,M39:M42)</f>
        <v>4.7987659482529033E-4</v>
      </c>
      <c r="Z39" s="44">
        <f>bdrateOld($D39:$D42,F39:F42,$L39:$L42,N39:N42)</f>
        <v>-7.7053511979612299E-3</v>
      </c>
      <c r="AA39" s="45">
        <f>bdrateOld($D39:$D42,G39:G42,$L39:$L42,O39:O42)</f>
        <v>1.3145642031122673E-3</v>
      </c>
    </row>
    <row r="40" spans="1:27" x14ac:dyDescent="0.2">
      <c r="A40" s="16"/>
      <c r="B40" s="85"/>
      <c r="C40" s="16">
        <v>32</v>
      </c>
      <c r="D40" s="17">
        <f>Reference!B110</f>
        <v>1087.24</v>
      </c>
      <c r="E40" s="18">
        <f>Reference!C110</f>
        <v>39.504600000000003</v>
      </c>
      <c r="F40" s="18">
        <f>Reference!D110</f>
        <v>45.573900000000002</v>
      </c>
      <c r="G40" s="18">
        <f>Reference!E110</f>
        <v>46.055300000000003</v>
      </c>
      <c r="H40" s="18">
        <f>Reference!F110</f>
        <v>24163.109</v>
      </c>
      <c r="I40" s="18">
        <f>Reference!G110</f>
        <v>5.0940000000000003</v>
      </c>
      <c r="J40" s="19">
        <f t="shared" si="7"/>
        <v>6.7119747222222221</v>
      </c>
      <c r="L40" s="17">
        <f>Test!B110</f>
        <v>1089.2280000000001</v>
      </c>
      <c r="M40" s="18">
        <f>Test!C110</f>
        <v>39.5075</v>
      </c>
      <c r="N40" s="18">
        <f>Test!D110</f>
        <v>45.581000000000003</v>
      </c>
      <c r="O40" s="18">
        <f>Test!E110</f>
        <v>46.055799999999998</v>
      </c>
      <c r="P40" s="18">
        <f>Test!F110</f>
        <v>24192.591</v>
      </c>
      <c r="Q40" s="18">
        <f>Test!G110</f>
        <v>5.0369999999999999</v>
      </c>
      <c r="R40" s="19">
        <f t="shared" si="8"/>
        <v>6.7201641666666667</v>
      </c>
      <c r="S40" s="17">
        <f t="shared" si="2"/>
        <v>1.001220124446734</v>
      </c>
      <c r="T40" s="18">
        <f t="shared" si="2"/>
        <v>0.9888103651354534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514.976</v>
      </c>
      <c r="E41" s="18">
        <f>Reference!C111</f>
        <v>37.945</v>
      </c>
      <c r="F41" s="18">
        <f>Reference!D111</f>
        <v>44.786299999999997</v>
      </c>
      <c r="G41" s="18">
        <f>Reference!E111</f>
        <v>44.479700000000001</v>
      </c>
      <c r="H41" s="18">
        <f>Reference!F111</f>
        <v>12594.987999999999</v>
      </c>
      <c r="I41" s="18">
        <f>Reference!G111</f>
        <v>4.3070000000000004</v>
      </c>
      <c r="J41" s="19">
        <f t="shared" si="7"/>
        <v>3.4986077777777775</v>
      </c>
      <c r="L41" s="17">
        <f>Test!B111</f>
        <v>514.44000000000005</v>
      </c>
      <c r="M41" s="18">
        <f>Test!C111</f>
        <v>37.943899999999999</v>
      </c>
      <c r="N41" s="18">
        <f>Test!D111</f>
        <v>44.790599999999998</v>
      </c>
      <c r="O41" s="18">
        <f>Test!E111</f>
        <v>44.473199999999999</v>
      </c>
      <c r="P41" s="18">
        <f>Test!F111</f>
        <v>12197.918</v>
      </c>
      <c r="Q41" s="18">
        <f>Test!G111</f>
        <v>4.5</v>
      </c>
      <c r="R41" s="19">
        <f t="shared" si="8"/>
        <v>3.3883105555555555</v>
      </c>
      <c r="S41" s="17">
        <f t="shared" si="2"/>
        <v>0.96847396758139037</v>
      </c>
      <c r="T41" s="18">
        <f t="shared" si="2"/>
        <v>1.0448107731599721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Reference!B112</f>
        <v>232.80799999999999</v>
      </c>
      <c r="E42" s="23">
        <f>Reference!C112</f>
        <v>35.855800000000002</v>
      </c>
      <c r="F42" s="23">
        <f>Reference!D112</f>
        <v>43.595599999999997</v>
      </c>
      <c r="G42" s="23">
        <f>Reference!E112</f>
        <v>42.378999999999998</v>
      </c>
      <c r="H42" s="23">
        <f>Reference!F112</f>
        <v>6223.0370000000003</v>
      </c>
      <c r="I42" s="23">
        <f>Reference!G112</f>
        <v>3.778</v>
      </c>
      <c r="J42" s="24">
        <f t="shared" si="7"/>
        <v>1.7286213888888891</v>
      </c>
      <c r="L42" s="22">
        <f>Test!B112</f>
        <v>233.22</v>
      </c>
      <c r="M42" s="23">
        <f>Test!C112</f>
        <v>35.8506</v>
      </c>
      <c r="N42" s="23">
        <f>Test!D112</f>
        <v>43.648800000000001</v>
      </c>
      <c r="O42" s="23">
        <f>Test!E112</f>
        <v>42.408299999999997</v>
      </c>
      <c r="P42" s="23">
        <f>Test!F112</f>
        <v>5952.9660000000003</v>
      </c>
      <c r="Q42" s="23">
        <f>Test!G112</f>
        <v>3.774</v>
      </c>
      <c r="R42" s="24">
        <f t="shared" si="8"/>
        <v>1.6536016666666669</v>
      </c>
      <c r="S42" s="17">
        <f t="shared" si="2"/>
        <v>0.95660141503256368</v>
      </c>
      <c r="T42" s="18">
        <f t="shared" si="2"/>
        <v>0.99894123875066176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920.9</v>
      </c>
      <c r="E43" s="13">
        <f>Reference!C113</f>
        <v>43.544400000000003</v>
      </c>
      <c r="F43" s="13">
        <f>Reference!D113</f>
        <v>47.270600000000002</v>
      </c>
      <c r="G43" s="13">
        <f>Reference!E113</f>
        <v>48.276499999999999</v>
      </c>
      <c r="H43" s="13">
        <f>Reference!F113</f>
        <v>19332.793000000001</v>
      </c>
      <c r="I43" s="13">
        <f>Reference!G113</f>
        <v>4.3129999999999997</v>
      </c>
      <c r="J43" s="14">
        <f t="shared" si="7"/>
        <v>5.3702202777777783</v>
      </c>
      <c r="L43" s="12">
        <f>Test!B113</f>
        <v>923.35599999999999</v>
      </c>
      <c r="M43" s="13">
        <f>Test!C113</f>
        <v>43.543300000000002</v>
      </c>
      <c r="N43" s="13">
        <f>Test!D113</f>
        <v>47.262599999999999</v>
      </c>
      <c r="O43" s="13">
        <f>Test!E113</f>
        <v>48.293300000000002</v>
      </c>
      <c r="P43" s="13">
        <f>Test!F113</f>
        <v>18747.13</v>
      </c>
      <c r="Q43" s="13">
        <f>Test!G113</f>
        <v>4.3550000000000004</v>
      </c>
      <c r="R43" s="14">
        <f t="shared" si="8"/>
        <v>5.2075361111111116</v>
      </c>
      <c r="S43" s="17">
        <f t="shared" si="2"/>
        <v>0.96970623954852253</v>
      </c>
      <c r="T43" s="18">
        <f t="shared" si="2"/>
        <v>1.0097380013911432</v>
      </c>
      <c r="U43" s="91"/>
      <c r="V43" s="37">
        <f>bdrate($D43:$D46,E43:E46,$L43:$L46,M43:M46)</f>
        <v>-6.2482832682797529E-4</v>
      </c>
      <c r="W43" s="42">
        <f>bdrate($D43:$D46,F43:F46,$L43:$L46,N43:N46)</f>
        <v>1.3675019991913562E-2</v>
      </c>
      <c r="X43" s="42">
        <f>bdrate($D43:$D46,G43:G46,$L43:$L46,O43:O46)</f>
        <v>-1.0509706794673557E-2</v>
      </c>
      <c r="Y43" s="40">
        <f>bdrateOld($D43:$D46,E43:E46,$L43:$L46,M43:M46)</f>
        <v>-2.0392055204887516E-4</v>
      </c>
      <c r="Z43" s="44">
        <f>bdrateOld($D43:$D46,F43:F46,$L43:$L46,N43:N46)</f>
        <v>1.7606930788377051E-2</v>
      </c>
      <c r="AA43" s="45">
        <f>bdrateOld($D43:$D46,G43:G46,$L43:$L46,O43:O46)</f>
        <v>-1.2415293107103653E-2</v>
      </c>
    </row>
    <row r="44" spans="1:27" x14ac:dyDescent="0.2">
      <c r="A44" s="16"/>
      <c r="B44" s="85"/>
      <c r="C44" s="16">
        <v>32</v>
      </c>
      <c r="D44" s="17">
        <f>Reference!B114</f>
        <v>506.55599999999998</v>
      </c>
      <c r="E44" s="18">
        <f>Reference!C114</f>
        <v>42.264800000000001</v>
      </c>
      <c r="F44" s="18">
        <f>Reference!D114</f>
        <v>46.553400000000003</v>
      </c>
      <c r="G44" s="18">
        <f>Reference!E114</f>
        <v>47.3292</v>
      </c>
      <c r="H44" s="18">
        <f>Reference!F114</f>
        <v>10722.285</v>
      </c>
      <c r="I44" s="18">
        <f>Reference!G114</f>
        <v>4.0910000000000002</v>
      </c>
      <c r="J44" s="19">
        <f t="shared" si="7"/>
        <v>2.9784125000000001</v>
      </c>
      <c r="L44" s="17">
        <f>Test!B114</f>
        <v>507.38</v>
      </c>
      <c r="M44" s="18">
        <f>Test!C114</f>
        <v>42.272199999999998</v>
      </c>
      <c r="N44" s="18">
        <f>Test!D114</f>
        <v>46.557299999999998</v>
      </c>
      <c r="O44" s="18">
        <f>Test!E114</f>
        <v>47.318600000000004</v>
      </c>
      <c r="P44" s="18">
        <f>Test!F114</f>
        <v>10614.416999999999</v>
      </c>
      <c r="Q44" s="18">
        <f>Test!G114</f>
        <v>4.109</v>
      </c>
      <c r="R44" s="19">
        <f t="shared" si="8"/>
        <v>2.9484491666666663</v>
      </c>
      <c r="S44" s="17">
        <f t="shared" si="2"/>
        <v>0.98993983092223348</v>
      </c>
      <c r="T44" s="18">
        <f t="shared" si="2"/>
        <v>1.004399902224395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290.78399999999999</v>
      </c>
      <c r="E45" s="18">
        <f>Reference!C115</f>
        <v>40.492699999999999</v>
      </c>
      <c r="F45" s="18">
        <f>Reference!D115</f>
        <v>45.558</v>
      </c>
      <c r="G45" s="18">
        <f>Reference!E115</f>
        <v>46.071300000000001</v>
      </c>
      <c r="H45" s="18">
        <f>Reference!F115</f>
        <v>6027.1279999999997</v>
      </c>
      <c r="I45" s="18">
        <f>Reference!G115</f>
        <v>3.8170000000000002</v>
      </c>
      <c r="J45" s="19">
        <f t="shared" si="7"/>
        <v>1.6742022222222221</v>
      </c>
      <c r="L45" s="17">
        <f>Test!B115</f>
        <v>290.42</v>
      </c>
      <c r="M45" s="18">
        <f>Test!C115</f>
        <v>40.488</v>
      </c>
      <c r="N45" s="18">
        <f>Test!D115</f>
        <v>45.506399999999999</v>
      </c>
      <c r="O45" s="18">
        <f>Test!E115</f>
        <v>46.085599999999999</v>
      </c>
      <c r="P45" s="18">
        <f>Test!F115</f>
        <v>5932.72</v>
      </c>
      <c r="Q45" s="18">
        <f>Test!G115</f>
        <v>3.8610000000000002</v>
      </c>
      <c r="R45" s="19">
        <f t="shared" si="8"/>
        <v>1.6479777777777778</v>
      </c>
      <c r="S45" s="17">
        <f t="shared" si="2"/>
        <v>0.9843361547987699</v>
      </c>
      <c r="T45" s="18">
        <f t="shared" si="2"/>
        <v>1.0115273775216138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Reference!B116</f>
        <v>163.012</v>
      </c>
      <c r="E46" s="23">
        <f>Reference!C116</f>
        <v>37.932099999999998</v>
      </c>
      <c r="F46" s="23">
        <f>Reference!D116</f>
        <v>43.880400000000002</v>
      </c>
      <c r="G46" s="23">
        <f>Reference!E116</f>
        <v>43.987299999999998</v>
      </c>
      <c r="H46" s="23">
        <f>Reference!F116</f>
        <v>3561.2020000000002</v>
      </c>
      <c r="I46" s="23">
        <f>Reference!G116</f>
        <v>3.7069999999999999</v>
      </c>
      <c r="J46" s="24">
        <f t="shared" si="7"/>
        <v>0.9892227777777779</v>
      </c>
      <c r="L46" s="22">
        <f>Test!B116</f>
        <v>162.33199999999999</v>
      </c>
      <c r="M46" s="23">
        <f>Test!C116</f>
        <v>37.926400000000001</v>
      </c>
      <c r="N46" s="23">
        <f>Test!D116</f>
        <v>43.824800000000003</v>
      </c>
      <c r="O46" s="23">
        <f>Test!E116</f>
        <v>44.191499999999998</v>
      </c>
      <c r="P46" s="23">
        <f>Test!F116</f>
        <v>3416.3780000000002</v>
      </c>
      <c r="Q46" s="23">
        <f>Test!G116</f>
        <v>3.7290000000000001</v>
      </c>
      <c r="R46" s="24">
        <f t="shared" si="8"/>
        <v>0.94899388888888891</v>
      </c>
      <c r="S46" s="17">
        <f t="shared" si="2"/>
        <v>0.95933283200447483</v>
      </c>
      <c r="T46" s="18">
        <f t="shared" si="2"/>
        <v>1.0059347181008902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1284.4000000000001</v>
      </c>
      <c r="E47" s="13">
        <f>Reference!C117</f>
        <v>42.917999999999999</v>
      </c>
      <c r="F47" s="13">
        <f>Reference!D117</f>
        <v>49.037399999999998</v>
      </c>
      <c r="G47" s="13">
        <f>Reference!E117</f>
        <v>48.689100000000003</v>
      </c>
      <c r="H47" s="13">
        <f>Reference!F117</f>
        <v>22578.5</v>
      </c>
      <c r="I47" s="13">
        <f>Reference!G117</f>
        <v>4.266</v>
      </c>
      <c r="J47" s="14">
        <f>H47/3600</f>
        <v>6.2718055555555559</v>
      </c>
      <c r="L47" s="12">
        <f>Test!B117</f>
        <v>1284.6679999999999</v>
      </c>
      <c r="M47" s="13">
        <f>Test!C117</f>
        <v>42.911900000000003</v>
      </c>
      <c r="N47" s="13">
        <f>Test!D117</f>
        <v>49.027999999999999</v>
      </c>
      <c r="O47" s="13">
        <f>Test!E117</f>
        <v>48.708399999999997</v>
      </c>
      <c r="P47" s="13">
        <f>Test!F117</f>
        <v>21831.419000000002</v>
      </c>
      <c r="Q47" s="13">
        <f>Test!G117</f>
        <v>4.2510000000000003</v>
      </c>
      <c r="R47" s="14">
        <f>P47/3600</f>
        <v>6.0642830555555562</v>
      </c>
      <c r="S47" s="17">
        <f t="shared" ref="S47:T62" si="9">P47/H47</f>
        <v>0.96691184091060089</v>
      </c>
      <c r="T47" s="18">
        <f t="shared" si="9"/>
        <v>0.99648382559774973</v>
      </c>
      <c r="U47" s="91"/>
      <c r="V47" s="72">
        <f>bdrate($D47:$D50,E47:E50,$L47:$L50,M47:M50)</f>
        <v>1.1416712441001398E-3</v>
      </c>
      <c r="W47" s="73">
        <f>bdrate($D47:$D50,F47:F50,$L47:$L50,N47:N50)</f>
        <v>-9.3394686933467863E-4</v>
      </c>
      <c r="X47" s="74">
        <f>bdrate($D47:$D50,G47:G50,$L47:$L50,O47:O50)</f>
        <v>2.940748123519521E-3</v>
      </c>
      <c r="Y47" s="37">
        <f>bdrateOld($D47:$D50,E47:E50,$L47:$L50,M47:M50)</f>
        <v>1.5574907171267416E-3</v>
      </c>
      <c r="Z47" s="42">
        <f>bdrateOld($D47:$D50,F47:F50,$L47:$L50,N47:N50)</f>
        <v>-1.3289848978829122E-3</v>
      </c>
      <c r="AA47" s="43">
        <f>bdrateOld($D47:$D50,G47:G50,$L47:$L50,O47:O50)</f>
        <v>-2.3994362801288416E-3</v>
      </c>
    </row>
    <row r="48" spans="1:27" x14ac:dyDescent="0.2">
      <c r="A48" s="16"/>
      <c r="B48" s="85"/>
      <c r="C48" s="16">
        <v>32</v>
      </c>
      <c r="D48" s="17">
        <f>Reference!B118</f>
        <v>691.46799999999996</v>
      </c>
      <c r="E48" s="18">
        <f>Reference!C118</f>
        <v>41.630099999999999</v>
      </c>
      <c r="F48" s="18">
        <f>Reference!D118</f>
        <v>48.224299999999999</v>
      </c>
      <c r="G48" s="18">
        <f>Reference!E118</f>
        <v>47.747300000000003</v>
      </c>
      <c r="H48" s="18">
        <f>Reference!F118</f>
        <v>12777.124</v>
      </c>
      <c r="I48" s="18">
        <f>Reference!G118</f>
        <v>4.0259999999999998</v>
      </c>
      <c r="J48" s="19">
        <f t="shared" ref="J48:J70" si="10">H48/3600</f>
        <v>3.549201111111111</v>
      </c>
      <c r="L48" s="17">
        <f>Test!B118</f>
        <v>690.58399999999995</v>
      </c>
      <c r="M48" s="18">
        <f>Test!C118</f>
        <v>41.630899999999997</v>
      </c>
      <c r="N48" s="18">
        <f>Test!D118</f>
        <v>48.214799999999997</v>
      </c>
      <c r="O48" s="18">
        <f>Test!E118</f>
        <v>47.700600000000001</v>
      </c>
      <c r="P48" s="18">
        <f>Test!F118</f>
        <v>12410.425999999999</v>
      </c>
      <c r="Q48" s="18">
        <f>Test!G118</f>
        <v>3.8849999999999998</v>
      </c>
      <c r="R48" s="19">
        <f t="shared" ref="R48:R70" si="11">P48/3600</f>
        <v>3.4473405555555554</v>
      </c>
      <c r="S48" s="17">
        <f t="shared" si="9"/>
        <v>0.97130042723229415</v>
      </c>
      <c r="T48" s="18">
        <f t="shared" si="9"/>
        <v>0.96497764530551411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393.84800000000001</v>
      </c>
      <c r="E49" s="18">
        <f>Reference!C119</f>
        <v>39.775799999999997</v>
      </c>
      <c r="F49" s="18">
        <f>Reference!D119</f>
        <v>47.233499999999999</v>
      </c>
      <c r="G49" s="18">
        <f>Reference!E119</f>
        <v>46.255400000000002</v>
      </c>
      <c r="H49" s="18">
        <f>Reference!F119</f>
        <v>7362.8140000000003</v>
      </c>
      <c r="I49" s="18">
        <f>Reference!G119</f>
        <v>3.839</v>
      </c>
      <c r="J49" s="19">
        <f t="shared" si="10"/>
        <v>2.0452261111111114</v>
      </c>
      <c r="L49" s="17">
        <f>Test!B119</f>
        <v>393.12400000000002</v>
      </c>
      <c r="M49" s="18">
        <f>Test!C119</f>
        <v>39.759</v>
      </c>
      <c r="N49" s="18">
        <f>Test!D119</f>
        <v>47.235300000000002</v>
      </c>
      <c r="O49" s="18">
        <f>Test!E119</f>
        <v>46.269799999999996</v>
      </c>
      <c r="P49" s="18">
        <f>Test!F119</f>
        <v>7249.3249999999998</v>
      </c>
      <c r="Q49" s="18">
        <f>Test!G119</f>
        <v>3.59</v>
      </c>
      <c r="R49" s="19">
        <f t="shared" si="11"/>
        <v>2.0137013888888888</v>
      </c>
      <c r="S49" s="17">
        <f t="shared" si="9"/>
        <v>0.98458619218141319</v>
      </c>
      <c r="T49" s="18">
        <f t="shared" si="9"/>
        <v>0.93513935920812707</v>
      </c>
      <c r="U49" s="91"/>
      <c r="V49" s="75"/>
      <c r="W49" s="76"/>
      <c r="X49" s="77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Reference!B120</f>
        <v>218.71199999999999</v>
      </c>
      <c r="E50" s="23">
        <f>Reference!C120</f>
        <v>37.045299999999997</v>
      </c>
      <c r="F50" s="23">
        <f>Reference!D120</f>
        <v>45.666600000000003</v>
      </c>
      <c r="G50" s="23">
        <f>Reference!E120</f>
        <v>43.997399999999999</v>
      </c>
      <c r="H50" s="23">
        <f>Reference!F120</f>
        <v>4278.3270000000002</v>
      </c>
      <c r="I50" s="23">
        <f>Reference!G120</f>
        <v>3.74</v>
      </c>
      <c r="J50" s="24">
        <f t="shared" si="10"/>
        <v>1.1884241666666668</v>
      </c>
      <c r="L50" s="22">
        <f>Test!B120</f>
        <v>218.89599999999999</v>
      </c>
      <c r="M50" s="23">
        <f>Test!C120</f>
        <v>37.049300000000002</v>
      </c>
      <c r="N50" s="23">
        <f>Test!D120</f>
        <v>45.702399999999997</v>
      </c>
      <c r="O50" s="23">
        <f>Test!E120</f>
        <v>43.949199999999998</v>
      </c>
      <c r="P50" s="23">
        <f>Test!F120</f>
        <v>4233.4179999999997</v>
      </c>
      <c r="Q50" s="23">
        <f>Test!G120</f>
        <v>3.528</v>
      </c>
      <c r="R50" s="24">
        <f t="shared" si="11"/>
        <v>1.1759494444444443</v>
      </c>
      <c r="S50" s="22">
        <f t="shared" si="9"/>
        <v>0.98950313989557115</v>
      </c>
      <c r="T50" s="23">
        <f t="shared" si="9"/>
        <v>0.9433155080213903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44.092442019191942</v>
      </c>
      <c r="J75" s="15">
        <f>GEOMEAN(J3:J18)</f>
        <v>56.053569047744404</v>
      </c>
      <c r="Q75" s="15">
        <f>GEOMEAN(Q3:Q18)</f>
        <v>43.606099982038366</v>
      </c>
      <c r="R75" s="15">
        <f>GEOMEAN(R3:R18)</f>
        <v>55.487347449618817</v>
      </c>
      <c r="S75" s="15">
        <f>GEOMEAN(S3:S18)</f>
        <v>0.98989856296851864</v>
      </c>
      <c r="T75" s="15">
        <f>GEOMEAN(T3:T18)</f>
        <v>0.98896994553075812</v>
      </c>
      <c r="V75" s="37">
        <f>AVERAGE(V3:V18)</f>
        <v>4.2171553888933899E-4</v>
      </c>
      <c r="W75" s="42">
        <f t="shared" ref="W75:AA75" si="16">AVERAGE(W3:W18)</f>
        <v>2.2861928197361048E-3</v>
      </c>
      <c r="X75" s="42">
        <f t="shared" si="16"/>
        <v>-1.7833081072687884E-4</v>
      </c>
      <c r="Y75" s="37">
        <f>AVERAGE(Y3:Y18)</f>
        <v>4.0860963106259529E-4</v>
      </c>
      <c r="Z75" s="42">
        <f t="shared" si="16"/>
        <v>1.0871507092968524E-3</v>
      </c>
      <c r="AA75" s="43">
        <f t="shared" si="16"/>
        <v>-2.2908476171229486E-4</v>
      </c>
    </row>
    <row r="76" spans="1:27" x14ac:dyDescent="0.2">
      <c r="B76" s="89" t="s">
        <v>47</v>
      </c>
      <c r="I76" s="15">
        <f>GEOMEAN(I19:I34)</f>
        <v>11.280621877462726</v>
      </c>
      <c r="J76" s="15">
        <f>GEOMEAN(J19:J34)</f>
        <v>13.974945892699088</v>
      </c>
      <c r="Q76" s="15">
        <f>GEOMEAN(Q19:Q34)</f>
        <v>11.091557112075767</v>
      </c>
      <c r="R76" s="15">
        <f>GEOMEAN(R19:R34)</f>
        <v>13.761836556104676</v>
      </c>
      <c r="S76" s="15">
        <f>GEOMEAN(S19:S34)</f>
        <v>0.98475061454758495</v>
      </c>
      <c r="T76" s="15">
        <f>GEOMEAN(T19:T34)</f>
        <v>0.98323986324152157</v>
      </c>
      <c r="V76" s="40">
        <f>AVERAGE(V19:V34)</f>
        <v>3.9122109252459625E-4</v>
      </c>
      <c r="W76" s="44">
        <f t="shared" ref="W76:AA76" si="17">AVERAGE(W19:W34)</f>
        <v>-3.4161443813320036E-3</v>
      </c>
      <c r="X76" s="44">
        <f t="shared" si="17"/>
        <v>-2.8692058895627426E-3</v>
      </c>
      <c r="Y76" s="40">
        <f t="shared" si="17"/>
        <v>4.6663651007589069E-4</v>
      </c>
      <c r="Z76" s="44">
        <f t="shared" si="17"/>
        <v>-3.3716178179397094E-3</v>
      </c>
      <c r="AA76" s="45">
        <f t="shared" si="17"/>
        <v>-2.8756118942036279E-3</v>
      </c>
    </row>
    <row r="77" spans="1:27" x14ac:dyDescent="0.2">
      <c r="B77" s="89" t="s">
        <v>51</v>
      </c>
      <c r="I77" s="15">
        <f>GEOMEAN(I35:I50)</f>
        <v>4.2663291980476368</v>
      </c>
      <c r="J77" s="15">
        <f>GEOMEAN(J35:J50)</f>
        <v>3.6544754558644819</v>
      </c>
      <c r="Q77" s="15">
        <f>GEOMEAN(Q35:Q50)</f>
        <v>4.237542881863483</v>
      </c>
      <c r="R77" s="15">
        <f>GEOMEAN(R35:R50)</f>
        <v>3.5650868731230165</v>
      </c>
      <c r="S77" s="15">
        <f>GEOMEAN(S35:S50)</f>
        <v>0.97553996905410323</v>
      </c>
      <c r="T77" s="15">
        <f>GEOMEAN(T35:T50)</f>
        <v>0.99325267346989365</v>
      </c>
      <c r="V77" s="40">
        <f>AVERAGE(V35:V50)</f>
        <v>3.7023429901855698E-4</v>
      </c>
      <c r="W77" s="44">
        <f t="shared" ref="W77:AA77" si="18">AVERAGE(W35:W50)</f>
        <v>4.7424244409186023E-4</v>
      </c>
      <c r="X77" s="44">
        <f t="shared" si="18"/>
        <v>-3.0567904315063066E-3</v>
      </c>
      <c r="Y77" s="40">
        <f t="shared" si="18"/>
        <v>6.1241329154118618E-4</v>
      </c>
      <c r="Z77" s="44">
        <f t="shared" si="18"/>
        <v>1.4641076139353115E-3</v>
      </c>
      <c r="AA77" s="45">
        <f t="shared" si="18"/>
        <v>-4.9160648490791381E-3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12.850415967269432</v>
      </c>
      <c r="J80" s="54">
        <f xml:space="preserve"> GEOMEAN(J3:J50)</f>
        <v>14.199056421939657</v>
      </c>
      <c r="K80" s="4"/>
      <c r="L80" s="4"/>
      <c r="M80" s="4"/>
      <c r="N80" s="4"/>
      <c r="O80" s="4"/>
      <c r="P80" s="4"/>
      <c r="Q80" s="54">
        <f xml:space="preserve"> GEOMEAN(Q3:Q50)</f>
        <v>12.702366055348815</v>
      </c>
      <c r="R80" s="54">
        <f xml:space="preserve"> GEOMEAN(R3:R50)</f>
        <v>13.963045683074151</v>
      </c>
      <c r="S80" s="54">
        <f>GEOMEAN(S3:S50)</f>
        <v>0.98337842094205397</v>
      </c>
      <c r="T80" s="54">
        <f>GEOMEAN(T3:T50)</f>
        <v>0.98847897902311443</v>
      </c>
      <c r="U80" s="4"/>
      <c r="V80" s="41">
        <f>AVERAGE(V3:V50)</f>
        <v>3.9439031014416409E-4</v>
      </c>
      <c r="W80" s="46">
        <f t="shared" ref="W80:AA80" si="22">AVERAGE(W3:W50)</f>
        <v>-2.1856970583467952E-4</v>
      </c>
      <c r="X80" s="47">
        <f t="shared" si="22"/>
        <v>-2.0347757105986428E-3</v>
      </c>
      <c r="Y80" s="46">
        <f t="shared" si="22"/>
        <v>4.9588647755989068E-4</v>
      </c>
      <c r="Z80" s="46">
        <f t="shared" si="22"/>
        <v>-2.7345316490251514E-4</v>
      </c>
      <c r="AA80" s="47">
        <f t="shared" si="22"/>
        <v>-2.673587168331687E-3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I44" sqref="I4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19" width="8.3984375" style="1" customWidth="1"/>
    <col min="20" max="20" width="8.5" style="1" customWidth="1"/>
    <col min="21" max="21" width="7.199218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17062.216</v>
      </c>
      <c r="E3" s="13">
        <f>Reference!C145</f>
        <v>40.1706</v>
      </c>
      <c r="F3" s="13">
        <f>Reference!D145</f>
        <v>48.770099999999999</v>
      </c>
      <c r="G3" s="13">
        <f>Reference!E145</f>
        <v>46.6783</v>
      </c>
      <c r="H3" s="13">
        <f>Reference!F145</f>
        <v>211899.29699999999</v>
      </c>
      <c r="I3" s="13">
        <f>Reference!G145</f>
        <v>28.091000000000001</v>
      </c>
      <c r="J3" s="14">
        <f>H3/3600</f>
        <v>58.86091583333333</v>
      </c>
      <c r="L3" s="12">
        <f>Test!B145</f>
        <v>17065.16</v>
      </c>
      <c r="M3" s="13">
        <f>Test!C145</f>
        <v>40.170299999999997</v>
      </c>
      <c r="N3" s="13">
        <f>Test!D145</f>
        <v>48.758699999999997</v>
      </c>
      <c r="O3" s="13">
        <f>Test!E145</f>
        <v>46.671999999999997</v>
      </c>
      <c r="P3" s="13">
        <f>Test!F145</f>
        <v>206094.57800000001</v>
      </c>
      <c r="Q3" s="13">
        <f>Test!G145</f>
        <v>27.73</v>
      </c>
      <c r="R3" s="14">
        <f>P3/3600</f>
        <v>57.248493888888895</v>
      </c>
      <c r="S3" s="12">
        <f t="shared" ref="S3:T3" si="0">P3/H3</f>
        <v>0.9726062375752007</v>
      </c>
      <c r="T3" s="13">
        <f t="shared" si="0"/>
        <v>0.98714890890320739</v>
      </c>
      <c r="U3" s="90"/>
      <c r="V3" s="37">
        <f>bdrate($D3:$D6,E3:E6,$L3:$L6,M3:M6)</f>
        <v>-5.6862150330982963E-4</v>
      </c>
      <c r="W3" s="42">
        <f>bdrate($D3:$D6,F3:F6,$L3:$L6,N3:N6)</f>
        <v>1.0432691039714115E-2</v>
      </c>
      <c r="X3" s="43">
        <f>bdrate($D3:$D6,G3:G6,$L3:$L6,O3:O6)</f>
        <v>2.0171923699627836E-3</v>
      </c>
      <c r="Y3" s="37">
        <f>bdrateOld($D3:$D6,E3:E6,$L3:$L6,M3:M6)</f>
        <v>-4.7344552697969888E-4</v>
      </c>
      <c r="Z3" s="42">
        <f>bdrateOld($D3:$D6,F3:F6,$L3:$L6,N3:N6)</f>
        <v>1.1192661626439504E-2</v>
      </c>
      <c r="AA3" s="43">
        <f>bdrateOld($D3:$D6,G3:G6,$L3:$L6,O3:O6)</f>
        <v>1.6627108108986377E-3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8439.9279999999999</v>
      </c>
      <c r="E4" s="18">
        <f>Reference!C146</f>
        <v>39.564900000000002</v>
      </c>
      <c r="F4" s="18">
        <f>Reference!D146</f>
        <v>47.939599999999999</v>
      </c>
      <c r="G4" s="18">
        <f>Reference!E146</f>
        <v>45.555300000000003</v>
      </c>
      <c r="H4" s="18">
        <f>Reference!F146</f>
        <v>119119.06200000001</v>
      </c>
      <c r="I4" s="18">
        <f>Reference!G146</f>
        <v>25.091999999999999</v>
      </c>
      <c r="J4" s="19">
        <f t="shared" ref="J4:J14" si="1">H4/3600</f>
        <v>33.088628333333332</v>
      </c>
      <c r="L4" s="17">
        <f>Test!B146</f>
        <v>8439.232</v>
      </c>
      <c r="M4" s="18">
        <f>Test!C146</f>
        <v>39.565899999999999</v>
      </c>
      <c r="N4" s="18">
        <f>Test!D146</f>
        <v>47.935099999999998</v>
      </c>
      <c r="O4" s="18">
        <f>Test!E146</f>
        <v>45.541899999999998</v>
      </c>
      <c r="P4" s="18">
        <f>Test!F146</f>
        <v>114879.289</v>
      </c>
      <c r="Q4" s="18">
        <f>Test!G146</f>
        <v>24.234999999999999</v>
      </c>
      <c r="R4" s="19">
        <f t="shared" ref="R4:R14" si="2">P4/3600</f>
        <v>31.910913611111113</v>
      </c>
      <c r="S4" s="17">
        <f t="shared" ref="S4:S26" si="3">P4/H4</f>
        <v>0.96440726673955846</v>
      </c>
      <c r="T4" s="18">
        <f t="shared" ref="T4:T26" si="4">Q4/I4</f>
        <v>0.96584568786864344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4595.616</v>
      </c>
      <c r="E5" s="18">
        <f>Reference!C147</f>
        <v>38.577199999999998</v>
      </c>
      <c r="F5" s="18">
        <f>Reference!D147</f>
        <v>46.936700000000002</v>
      </c>
      <c r="G5" s="18">
        <f>Reference!E147</f>
        <v>44.170400000000001</v>
      </c>
      <c r="H5" s="18">
        <f>Reference!F147</f>
        <v>62405.913999999997</v>
      </c>
      <c r="I5" s="18">
        <f>Reference!G147</f>
        <v>21.097000000000001</v>
      </c>
      <c r="J5" s="19">
        <f t="shared" si="1"/>
        <v>17.334976111111111</v>
      </c>
      <c r="L5" s="17">
        <f>Test!B147</f>
        <v>4589.8879999999999</v>
      </c>
      <c r="M5" s="18">
        <f>Test!C147</f>
        <v>38.575800000000001</v>
      </c>
      <c r="N5" s="18">
        <f>Test!D147</f>
        <v>46.908999999999999</v>
      </c>
      <c r="O5" s="18">
        <f>Test!E147</f>
        <v>44.166899999999998</v>
      </c>
      <c r="P5" s="18">
        <f>Test!F147</f>
        <v>62212.300999999999</v>
      </c>
      <c r="Q5" s="18">
        <f>Test!G147</f>
        <v>21.468</v>
      </c>
      <c r="R5" s="19">
        <f t="shared" si="2"/>
        <v>17.281194722222221</v>
      </c>
      <c r="S5" s="17">
        <f t="shared" si="3"/>
        <v>0.99689752160348144</v>
      </c>
      <c r="T5" s="18">
        <f t="shared" si="4"/>
        <v>1.017585438687965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Reference!B148</f>
        <v>2500</v>
      </c>
      <c r="E6" s="23">
        <f>Reference!C148</f>
        <v>37.035299999999999</v>
      </c>
      <c r="F6" s="23">
        <f>Reference!D148</f>
        <v>45.613900000000001</v>
      </c>
      <c r="G6" s="23">
        <f>Reference!E148</f>
        <v>42.470799999999997</v>
      </c>
      <c r="H6" s="23">
        <f>Reference!F148</f>
        <v>32743.298999999999</v>
      </c>
      <c r="I6" s="23">
        <f>Reference!G148</f>
        <v>18.765999999999998</v>
      </c>
      <c r="J6" s="24">
        <f t="shared" si="1"/>
        <v>9.0953608333333325</v>
      </c>
      <c r="L6" s="22">
        <f>Test!B148</f>
        <v>2498.64</v>
      </c>
      <c r="M6" s="23">
        <f>Test!C148</f>
        <v>37.035400000000003</v>
      </c>
      <c r="N6" s="23">
        <f>Test!D148</f>
        <v>45.574599999999997</v>
      </c>
      <c r="O6" s="23">
        <f>Test!E148</f>
        <v>42.482700000000001</v>
      </c>
      <c r="P6" s="23">
        <f>Test!F148</f>
        <v>31988.74</v>
      </c>
      <c r="Q6" s="23">
        <f>Test!G148</f>
        <v>18.443999999999999</v>
      </c>
      <c r="R6" s="24">
        <f t="shared" si="2"/>
        <v>8.8857611111111119</v>
      </c>
      <c r="S6" s="17">
        <f t="shared" si="3"/>
        <v>0.97695531534559188</v>
      </c>
      <c r="T6" s="18">
        <f t="shared" si="4"/>
        <v>0.98284130874986686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91132.528000000006</v>
      </c>
      <c r="E7" s="13">
        <f>Reference!C149</f>
        <v>41.736600000000003</v>
      </c>
      <c r="F7" s="13">
        <f>Reference!D149</f>
        <v>36.689799999999998</v>
      </c>
      <c r="G7" s="13">
        <f>Reference!E149</f>
        <v>37.711199999999998</v>
      </c>
      <c r="H7" s="13">
        <f>Reference!F149</f>
        <v>349206.375</v>
      </c>
      <c r="I7" s="13">
        <f>Reference!G149</f>
        <v>30.815000000000001</v>
      </c>
      <c r="J7" s="14">
        <f t="shared" si="1"/>
        <v>97.001770833333339</v>
      </c>
      <c r="L7" s="12">
        <f>Test!B149</f>
        <v>91093.967999999993</v>
      </c>
      <c r="M7" s="13">
        <f>Test!C149</f>
        <v>41.734499999999997</v>
      </c>
      <c r="N7" s="13">
        <f>Test!D149</f>
        <v>36.693899999999999</v>
      </c>
      <c r="O7" s="13">
        <f>Test!E149</f>
        <v>37.711199999999998</v>
      </c>
      <c r="P7" s="13">
        <f>Test!F149</f>
        <v>354431.25</v>
      </c>
      <c r="Q7" s="13">
        <f>Test!G149</f>
        <v>31.045999999999999</v>
      </c>
      <c r="R7" s="14">
        <f t="shared" si="2"/>
        <v>98.453125</v>
      </c>
      <c r="S7" s="17">
        <f t="shared" si="3"/>
        <v>1.0149621409402965</v>
      </c>
      <c r="T7" s="18">
        <f t="shared" si="4"/>
        <v>1.0074963491805937</v>
      </c>
      <c r="U7" s="91"/>
      <c r="V7" s="37">
        <f>bdrate($D7:$D10,E7:E10,$L7:$L10,M7:M10)</f>
        <v>2.8645264352378241E-4</v>
      </c>
      <c r="W7" s="42">
        <f>bdrate($D7:$D10,F7:F10,$L7:$L10,N7:N10)</f>
        <v>4.5604540258770143E-4</v>
      </c>
      <c r="X7" s="43">
        <f>bdrate($D7:$D10,G7:G10,$L7:$L10,O7:O10)</f>
        <v>2.3686088652530302E-4</v>
      </c>
      <c r="Y7" s="37">
        <f>bdrateOld($D7:$D10,E7:E10,$L7:$L10,M7:M10)</f>
        <v>2.7989971742159447E-4</v>
      </c>
      <c r="Z7" s="42">
        <f>bdrateOld($D7:$D10,F7:F10,$L7:$L10,N7:N10)</f>
        <v>6.3076242724924292E-4</v>
      </c>
      <c r="AA7" s="43">
        <f>bdrateOld($D7:$D10,G7:G10,$L7:$L10,O7:O10)</f>
        <v>3.8186345683199896E-4</v>
      </c>
    </row>
    <row r="8" spans="1:27" x14ac:dyDescent="0.2">
      <c r="A8" s="16"/>
      <c r="B8" s="85"/>
      <c r="C8" s="16">
        <v>48</v>
      </c>
      <c r="D8" s="17">
        <f>Reference!B150</f>
        <v>46623.512000000002</v>
      </c>
      <c r="E8" s="18">
        <f>Reference!C150</f>
        <v>38.9422</v>
      </c>
      <c r="F8" s="18">
        <f>Reference!D150</f>
        <v>34.4236</v>
      </c>
      <c r="G8" s="18">
        <f>Reference!E150</f>
        <v>35.803600000000003</v>
      </c>
      <c r="H8" s="18">
        <f>Reference!F150</f>
        <v>246618.75</v>
      </c>
      <c r="I8" s="18">
        <f>Reference!G150</f>
        <v>25.875</v>
      </c>
      <c r="J8" s="19">
        <f t="shared" si="1"/>
        <v>68.505208333333329</v>
      </c>
      <c r="L8" s="17">
        <f>Test!B150</f>
        <v>46658.696000000004</v>
      </c>
      <c r="M8" s="18">
        <f>Test!C150</f>
        <v>38.942</v>
      </c>
      <c r="N8" s="18">
        <f>Test!D150</f>
        <v>34.415599999999998</v>
      </c>
      <c r="O8" s="18">
        <f>Test!E150</f>
        <v>35.8035</v>
      </c>
      <c r="P8" s="18">
        <f>Test!F150</f>
        <v>243925.5</v>
      </c>
      <c r="Q8" s="18">
        <f>Test!G150</f>
        <v>26.986999999999998</v>
      </c>
      <c r="R8" s="19">
        <f t="shared" si="2"/>
        <v>67.757083333333327</v>
      </c>
      <c r="S8" s="17">
        <f t="shared" si="3"/>
        <v>0.98907929749866952</v>
      </c>
      <c r="T8" s="18">
        <f t="shared" si="4"/>
        <v>1.0429758454106279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21678.103999999999</v>
      </c>
      <c r="E9" s="18">
        <f>Reference!C151</f>
        <v>35.842300000000002</v>
      </c>
      <c r="F9" s="18">
        <f>Reference!D151</f>
        <v>32.510899999999999</v>
      </c>
      <c r="G9" s="18">
        <f>Reference!E151</f>
        <v>34.195099999999996</v>
      </c>
      <c r="H9" s="18">
        <f>Reference!F151</f>
        <v>165853.766</v>
      </c>
      <c r="I9" s="18">
        <f>Reference!G151</f>
        <v>22.448</v>
      </c>
      <c r="J9" s="19">
        <f t="shared" si="1"/>
        <v>46.070490555555558</v>
      </c>
      <c r="L9" s="17">
        <f>Test!B151</f>
        <v>21681.024000000001</v>
      </c>
      <c r="M9" s="18">
        <f>Test!C151</f>
        <v>35.844099999999997</v>
      </c>
      <c r="N9" s="18">
        <f>Test!D151</f>
        <v>32.514299999999999</v>
      </c>
      <c r="O9" s="18">
        <f>Test!E151</f>
        <v>34.197400000000002</v>
      </c>
      <c r="P9" s="18">
        <f>Test!F151</f>
        <v>160818.68799999999</v>
      </c>
      <c r="Q9" s="18">
        <f>Test!G151</f>
        <v>21.821000000000002</v>
      </c>
      <c r="R9" s="19">
        <f t="shared" si="2"/>
        <v>44.671857777777774</v>
      </c>
      <c r="S9" s="17">
        <f t="shared" si="3"/>
        <v>0.96964146114113559</v>
      </c>
      <c r="T9" s="18">
        <f t="shared" si="4"/>
        <v>0.97206878118317896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Reference!B152</f>
        <v>9161.6319999999996</v>
      </c>
      <c r="E10" s="23">
        <f>Reference!C152</f>
        <v>32.825400000000002</v>
      </c>
      <c r="F10" s="23">
        <f>Reference!D152</f>
        <v>30.8004</v>
      </c>
      <c r="G10" s="23">
        <f>Reference!E152</f>
        <v>32.8125</v>
      </c>
      <c r="H10" s="23">
        <f>Reference!F152</f>
        <v>92766.5</v>
      </c>
      <c r="I10" s="23">
        <f>Reference!G152</f>
        <v>20.405999999999999</v>
      </c>
      <c r="J10" s="24">
        <f t="shared" si="1"/>
        <v>25.768472222222222</v>
      </c>
      <c r="L10" s="22">
        <f>Test!B152</f>
        <v>9164.6880000000001</v>
      </c>
      <c r="M10" s="23">
        <f>Test!C152</f>
        <v>32.823500000000003</v>
      </c>
      <c r="N10" s="23">
        <f>Test!D152</f>
        <v>30.806899999999999</v>
      </c>
      <c r="O10" s="23">
        <f>Test!E152</f>
        <v>32.808399999999999</v>
      </c>
      <c r="P10" s="23">
        <f>Test!F152</f>
        <v>92316.023000000001</v>
      </c>
      <c r="Q10" s="23">
        <f>Test!G152</f>
        <v>18.911999999999999</v>
      </c>
      <c r="R10" s="24">
        <f t="shared" si="2"/>
        <v>25.643339722222223</v>
      </c>
      <c r="S10" s="17">
        <f t="shared" si="3"/>
        <v>0.99514396899742907</v>
      </c>
      <c r="T10" s="18">
        <f t="shared" si="4"/>
        <v>0.92678623934137017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45109</v>
      </c>
      <c r="E11" s="13">
        <f>Reference!C153</f>
        <v>38.879600000000003</v>
      </c>
      <c r="F11" s="13">
        <f>Reference!D153</f>
        <v>41.220500000000001</v>
      </c>
      <c r="G11" s="13">
        <f>Reference!E153</f>
        <v>41.496600000000001</v>
      </c>
      <c r="H11" s="13">
        <f>Reference!F153</f>
        <v>195470.641</v>
      </c>
      <c r="I11" s="13">
        <f>Reference!G153</f>
        <v>17.350999999999999</v>
      </c>
      <c r="J11" s="14">
        <f t="shared" si="1"/>
        <v>54.297400277777776</v>
      </c>
      <c r="L11" s="12">
        <f>Test!B153</f>
        <v>45169.944000000003</v>
      </c>
      <c r="M11" s="13">
        <f>Test!C153</f>
        <v>38.883200000000002</v>
      </c>
      <c r="N11" s="13">
        <f>Test!D153</f>
        <v>41.218600000000002</v>
      </c>
      <c r="O11" s="13">
        <f>Test!E153</f>
        <v>41.493000000000002</v>
      </c>
      <c r="P11" s="13">
        <f>Test!F153</f>
        <v>187888.375</v>
      </c>
      <c r="Q11" s="13">
        <f>Test!G153</f>
        <v>16.841000000000001</v>
      </c>
      <c r="R11" s="14">
        <f t="shared" si="2"/>
        <v>52.191215277777779</v>
      </c>
      <c r="S11" s="17">
        <f t="shared" si="3"/>
        <v>0.96121020547530711</v>
      </c>
      <c r="T11" s="18">
        <f t="shared" si="4"/>
        <v>0.97060688144775531</v>
      </c>
      <c r="U11" s="91"/>
      <c r="V11" s="37">
        <f>bdrate($D11:$D14,E11:E14,$L11:$L14,M11:M14)</f>
        <v>-5.5990840542308185E-5</v>
      </c>
      <c r="W11" s="42">
        <f>bdrate($D11:$D14,F11:F14,$L11:$L14,N11:N14)</f>
        <v>-3.1143197429672753E-4</v>
      </c>
      <c r="X11" s="43">
        <f>bdrate($D11:$D14,G11:G14,$L11:$L14,O11:O14)</f>
        <v>3.2971403884936024E-3</v>
      </c>
      <c r="Y11" s="37">
        <f>bdrateOld($D11:$D14,E11:E14,$L11:$L14,M11:M14)</f>
        <v>1.446302555851986E-5</v>
      </c>
      <c r="Z11" s="42">
        <f>bdrateOld($D11:$D14,F11:F14,$L11:$L14,N11:N14)</f>
        <v>-3.0921325031896263E-4</v>
      </c>
      <c r="AA11" s="43">
        <f>bdrateOld($D11:$D14,G11:G14,$L11:$L14,O11:O14)</f>
        <v>3.2731451060710182E-3</v>
      </c>
    </row>
    <row r="12" spans="1:27" x14ac:dyDescent="0.2">
      <c r="A12" s="34"/>
      <c r="B12" s="83"/>
      <c r="C12" s="16">
        <v>48</v>
      </c>
      <c r="D12" s="17">
        <f>Reference!B154</f>
        <v>22146.536</v>
      </c>
      <c r="E12" s="18">
        <f>Reference!C154</f>
        <v>37.520200000000003</v>
      </c>
      <c r="F12" s="18">
        <f>Reference!D154</f>
        <v>38.652900000000002</v>
      </c>
      <c r="G12" s="18">
        <f>Reference!E154</f>
        <v>40.118499999999997</v>
      </c>
      <c r="H12" s="18">
        <f>Reference!F154</f>
        <v>115905.016</v>
      </c>
      <c r="I12" s="18">
        <f>Reference!G154</f>
        <v>14.101000000000001</v>
      </c>
      <c r="J12" s="19">
        <f t="shared" si="1"/>
        <v>32.195837777777776</v>
      </c>
      <c r="L12" s="17">
        <f>Test!B154</f>
        <v>22142.824000000001</v>
      </c>
      <c r="M12" s="18">
        <f>Test!C154</f>
        <v>37.521500000000003</v>
      </c>
      <c r="N12" s="18">
        <f>Test!D154</f>
        <v>38.651800000000001</v>
      </c>
      <c r="O12" s="18">
        <f>Test!E154</f>
        <v>40.108499999999999</v>
      </c>
      <c r="P12" s="18">
        <f>Test!F154</f>
        <v>116327.234</v>
      </c>
      <c r="Q12" s="18">
        <f>Test!G154</f>
        <v>13.765000000000001</v>
      </c>
      <c r="R12" s="19">
        <f t="shared" si="2"/>
        <v>32.313120555555557</v>
      </c>
      <c r="S12" s="17">
        <f t="shared" si="3"/>
        <v>1.0036427931643614</v>
      </c>
      <c r="T12" s="18">
        <f t="shared" si="4"/>
        <v>0.97617190270193599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11560.856</v>
      </c>
      <c r="E13" s="18">
        <f>Reference!C155</f>
        <v>35.968299999999999</v>
      </c>
      <c r="F13" s="18">
        <f>Reference!D155</f>
        <v>36.405900000000003</v>
      </c>
      <c r="G13" s="18">
        <f>Reference!E155</f>
        <v>38.681800000000003</v>
      </c>
      <c r="H13" s="18">
        <f>Reference!F155</f>
        <v>74235.108999999997</v>
      </c>
      <c r="I13" s="18">
        <f>Reference!G155</f>
        <v>12.436</v>
      </c>
      <c r="J13" s="19">
        <f t="shared" si="1"/>
        <v>20.620863611111112</v>
      </c>
      <c r="L13" s="17">
        <f>Test!B155</f>
        <v>11574.407999999999</v>
      </c>
      <c r="M13" s="18">
        <f>Test!C155</f>
        <v>35.969099999999997</v>
      </c>
      <c r="N13" s="18">
        <f>Test!D155</f>
        <v>36.414299999999997</v>
      </c>
      <c r="O13" s="18">
        <f>Test!E155</f>
        <v>38.676699999999997</v>
      </c>
      <c r="P13" s="18">
        <f>Test!F155</f>
        <v>72236.820000000007</v>
      </c>
      <c r="Q13" s="18">
        <f>Test!G155</f>
        <v>11.776</v>
      </c>
      <c r="R13" s="19">
        <f t="shared" si="2"/>
        <v>20.065783333333336</v>
      </c>
      <c r="S13" s="17">
        <f t="shared" si="3"/>
        <v>0.97308161829465367</v>
      </c>
      <c r="T13" s="18">
        <f t="shared" si="4"/>
        <v>0.94692827275651337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Reference!B156</f>
        <v>5677.7920000000004</v>
      </c>
      <c r="E14" s="23">
        <f>Reference!C156</f>
        <v>34.052</v>
      </c>
      <c r="F14" s="23">
        <f>Reference!D156</f>
        <v>33.985199999999999</v>
      </c>
      <c r="G14" s="23">
        <f>Reference!E156</f>
        <v>36.924900000000001</v>
      </c>
      <c r="H14" s="23">
        <f>Reference!F156</f>
        <v>43873.902000000002</v>
      </c>
      <c r="I14" s="23">
        <f>Reference!G156</f>
        <v>11.1</v>
      </c>
      <c r="J14" s="24">
        <f t="shared" si="1"/>
        <v>12.187195000000001</v>
      </c>
      <c r="L14" s="22">
        <f>Test!B156</f>
        <v>5675.2079999999996</v>
      </c>
      <c r="M14" s="23">
        <f>Test!C156</f>
        <v>34.052599999999998</v>
      </c>
      <c r="N14" s="23">
        <f>Test!D156</f>
        <v>33.987900000000003</v>
      </c>
      <c r="O14" s="23">
        <f>Test!E156</f>
        <v>36.923699999999997</v>
      </c>
      <c r="P14" s="23">
        <f>Test!F156</f>
        <v>43251.391000000003</v>
      </c>
      <c r="Q14" s="23">
        <f>Test!G156</f>
        <v>11.115</v>
      </c>
      <c r="R14" s="24">
        <f t="shared" si="2"/>
        <v>12.014275277777779</v>
      </c>
      <c r="S14" s="17">
        <f t="shared" si="3"/>
        <v>0.98581136001990433</v>
      </c>
      <c r="T14" s="18">
        <f t="shared" si="4"/>
        <v>1.0013513513513514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24496.256000000001</v>
      </c>
      <c r="E15" s="13">
        <f>Reference!C157</f>
        <v>37.540300000000002</v>
      </c>
      <c r="F15" s="13">
        <f>Reference!D157</f>
        <v>45.025599999999997</v>
      </c>
      <c r="G15" s="13">
        <f>Reference!E157</f>
        <v>42.796999999999997</v>
      </c>
      <c r="H15" s="13">
        <f>Reference!F157</f>
        <v>278961</v>
      </c>
      <c r="I15" s="13">
        <f>Reference!G157</f>
        <v>27.361999999999998</v>
      </c>
      <c r="J15" s="14">
        <f>H15/3600</f>
        <v>77.489166666666662</v>
      </c>
      <c r="L15" s="12">
        <f>Test!B157</f>
        <v>24478.928</v>
      </c>
      <c r="M15" s="13">
        <f>Test!C157</f>
        <v>37.5396</v>
      </c>
      <c r="N15" s="13">
        <f>Test!D157</f>
        <v>45.035600000000002</v>
      </c>
      <c r="O15" s="13">
        <f>Test!E157</f>
        <v>42.803800000000003</v>
      </c>
      <c r="P15" s="13">
        <f>Test!F157</f>
        <v>272494.09399999998</v>
      </c>
      <c r="Q15" s="13">
        <f>Test!G157</f>
        <v>26.986999999999998</v>
      </c>
      <c r="R15" s="14">
        <f>P15/3600</f>
        <v>75.692803888888889</v>
      </c>
      <c r="S15" s="17">
        <f t="shared" si="3"/>
        <v>0.97681788493732091</v>
      </c>
      <c r="T15" s="18">
        <f t="shared" si="4"/>
        <v>0.9862948614867334</v>
      </c>
      <c r="U15" s="91"/>
      <c r="V15" s="37">
        <f>bdrate($D15:$D18,E15:E18,$L15:$L18,M15:M18)</f>
        <v>-4.580870837244122E-4</v>
      </c>
      <c r="W15" s="42">
        <f>bdrate($D15:$D18,F15:F18,$L15:$L18,N15:N18)</f>
        <v>-2.1163720816974596E-4</v>
      </c>
      <c r="X15" s="43">
        <f>bdrate($D15:$D18,G15:G18,$L15:$L18,O15:O18)</f>
        <v>1.6103603494841412E-3</v>
      </c>
      <c r="Y15" s="37">
        <f>bdrateOld($D15:$D18,E15:E18,$L15:$L18,M15:M18)</f>
        <v>-1.0845549795512888E-3</v>
      </c>
      <c r="Z15" s="42">
        <f>bdrateOld($D15:$D18,F15:F18,$L15:$L18,N15:N18)</f>
        <v>-6.7075708847019744E-4</v>
      </c>
      <c r="AA15" s="43">
        <f>bdrateOld($D15:$D18,G15:G18,$L15:$L18,O15:O18)</f>
        <v>2.1782073822400605E-3</v>
      </c>
    </row>
    <row r="16" spans="1:27" x14ac:dyDescent="0.2">
      <c r="A16" s="16"/>
      <c r="B16" s="85"/>
      <c r="C16" s="16">
        <v>48</v>
      </c>
      <c r="D16" s="17">
        <f>Reference!B158</f>
        <v>10322.495999999999</v>
      </c>
      <c r="E16" s="18">
        <f>Reference!C158</f>
        <v>36.917999999999999</v>
      </c>
      <c r="F16" s="18">
        <f>Reference!D158</f>
        <v>44.376600000000003</v>
      </c>
      <c r="G16" s="18">
        <f>Reference!E158</f>
        <v>42.078499999999998</v>
      </c>
      <c r="H16" s="18">
        <f>Reference!F158</f>
        <v>153430.859</v>
      </c>
      <c r="I16" s="18">
        <f>Reference!G158</f>
        <v>23.199000000000002</v>
      </c>
      <c r="J16" s="19">
        <f t="shared" ref="J16:J26" si="5">H16/3600</f>
        <v>42.619683055555555</v>
      </c>
      <c r="L16" s="17">
        <f>Test!B158</f>
        <v>10319.128000000001</v>
      </c>
      <c r="M16" s="18">
        <f>Test!C158</f>
        <v>36.916200000000003</v>
      </c>
      <c r="N16" s="18">
        <f>Test!D158</f>
        <v>44.381700000000002</v>
      </c>
      <c r="O16" s="18">
        <f>Test!E158</f>
        <v>42.090499999999999</v>
      </c>
      <c r="P16" s="18">
        <f>Test!F158</f>
        <v>151291.25</v>
      </c>
      <c r="Q16" s="18">
        <f>Test!G158</f>
        <v>22.512</v>
      </c>
      <c r="R16" s="19">
        <f t="shared" ref="R16:R26" si="6">P16/3600</f>
        <v>42.025347222222223</v>
      </c>
      <c r="S16" s="17">
        <f t="shared" si="3"/>
        <v>0.98605489786119238</v>
      </c>
      <c r="T16" s="18">
        <f t="shared" si="4"/>
        <v>0.97038665459718088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5155.7759999999998</v>
      </c>
      <c r="E17" s="18">
        <f>Reference!C159</f>
        <v>35.906300000000002</v>
      </c>
      <c r="F17" s="18">
        <f>Reference!D159</f>
        <v>43.460599999999999</v>
      </c>
      <c r="G17" s="18">
        <f>Reference!E159</f>
        <v>41.1387</v>
      </c>
      <c r="H17" s="18">
        <f>Reference!F159</f>
        <v>82685.070000000007</v>
      </c>
      <c r="I17" s="18">
        <f>Reference!G159</f>
        <v>19.553000000000001</v>
      </c>
      <c r="J17" s="19">
        <f t="shared" si="5"/>
        <v>22.968075000000002</v>
      </c>
      <c r="L17" s="17">
        <f>Test!B159</f>
        <v>5152.3119999999999</v>
      </c>
      <c r="M17" s="18">
        <f>Test!C159</f>
        <v>35.906999999999996</v>
      </c>
      <c r="N17" s="18">
        <f>Test!D159</f>
        <v>43.449100000000001</v>
      </c>
      <c r="O17" s="18">
        <f>Test!E159</f>
        <v>41.122</v>
      </c>
      <c r="P17" s="18">
        <f>Test!F159</f>
        <v>82699.125</v>
      </c>
      <c r="Q17" s="18">
        <f>Test!G159</f>
        <v>19.317</v>
      </c>
      <c r="R17" s="19">
        <f t="shared" si="6"/>
        <v>22.971979166666667</v>
      </c>
      <c r="S17" s="17">
        <f t="shared" si="3"/>
        <v>1.0001699823196617</v>
      </c>
      <c r="T17" s="18">
        <f t="shared" si="4"/>
        <v>0.98793024088375181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Reference!B160</f>
        <v>2561.4560000000001</v>
      </c>
      <c r="E18" s="23">
        <f>Reference!C160</f>
        <v>34.327199999999998</v>
      </c>
      <c r="F18" s="23">
        <f>Reference!D160</f>
        <v>42.158000000000001</v>
      </c>
      <c r="G18" s="23">
        <f>Reference!E160</f>
        <v>40.0169</v>
      </c>
      <c r="H18" s="23">
        <f>Reference!F160</f>
        <v>42056.258000000002</v>
      </c>
      <c r="I18" s="23">
        <f>Reference!G160</f>
        <v>15.09</v>
      </c>
      <c r="J18" s="24">
        <f t="shared" si="5"/>
        <v>11.682293888888889</v>
      </c>
      <c r="L18" s="22">
        <f>Test!B160</f>
        <v>2562.0720000000001</v>
      </c>
      <c r="M18" s="23">
        <f>Test!C160</f>
        <v>34.332500000000003</v>
      </c>
      <c r="N18" s="23">
        <f>Test!D160</f>
        <v>42.166499999999999</v>
      </c>
      <c r="O18" s="23">
        <f>Test!E160</f>
        <v>39.999899999999997</v>
      </c>
      <c r="P18" s="23">
        <f>Test!F160</f>
        <v>41995.226999999999</v>
      </c>
      <c r="Q18" s="23">
        <f>Test!G160</f>
        <v>14.916</v>
      </c>
      <c r="R18" s="24">
        <f t="shared" si="6"/>
        <v>11.665340833333333</v>
      </c>
      <c r="S18" s="17">
        <f t="shared" si="3"/>
        <v>0.99854882476705364</v>
      </c>
      <c r="T18" s="18">
        <f t="shared" si="4"/>
        <v>0.98846918489065605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7976.4096</v>
      </c>
      <c r="E19" s="13">
        <f>Reference!C161</f>
        <v>38.024999999999999</v>
      </c>
      <c r="F19" s="13">
        <f>Reference!D161</f>
        <v>39.7423</v>
      </c>
      <c r="G19" s="13">
        <f>Reference!E161</f>
        <v>42.825000000000003</v>
      </c>
      <c r="H19" s="13">
        <f>Reference!F161</f>
        <v>318000.5</v>
      </c>
      <c r="I19" s="13">
        <f>Reference!G161</f>
        <v>24.446999999999999</v>
      </c>
      <c r="J19" s="14">
        <f t="shared" si="5"/>
        <v>88.333472222222227</v>
      </c>
      <c r="L19" s="12">
        <f>Test!B161</f>
        <v>7974.0640000000003</v>
      </c>
      <c r="M19" s="13">
        <f>Test!C161</f>
        <v>38.024000000000001</v>
      </c>
      <c r="N19" s="13">
        <f>Test!D161</f>
        <v>39.740499999999997</v>
      </c>
      <c r="O19" s="13">
        <f>Test!E161</f>
        <v>42.824599999999997</v>
      </c>
      <c r="P19" s="13">
        <f>Test!F161</f>
        <v>307671.09399999998</v>
      </c>
      <c r="Q19" s="13">
        <f>Test!G161</f>
        <v>24.260999999999999</v>
      </c>
      <c r="R19" s="14">
        <f t="shared" si="6"/>
        <v>85.464192777777768</v>
      </c>
      <c r="S19" s="12">
        <f t="shared" si="3"/>
        <v>0.96751764226785797</v>
      </c>
      <c r="T19" s="13">
        <f t="shared" si="4"/>
        <v>0.99239170450362013</v>
      </c>
      <c r="U19" s="90"/>
      <c r="V19" s="37">
        <f>bdrate($D19:$D22,E19:E22,$L19:$L22,M19:M22)</f>
        <v>-7.5006043660508226E-4</v>
      </c>
      <c r="W19" s="42">
        <f>bdrate($D19:$D22,F19:F22,$L19:$L22,N19:N22)</f>
        <v>-6.3861267254713416E-3</v>
      </c>
      <c r="X19" s="43">
        <f>bdrate($D19:$D22,G19:G22,$L19:$L22,O19:O22)</f>
        <v>1.4968453038650686E-3</v>
      </c>
      <c r="Y19" s="37">
        <f>bdrateOld($D19:$D22,E19:E22,$L19:$L22,M19:M22)</f>
        <v>-7.0656733480389811E-4</v>
      </c>
      <c r="Z19" s="42">
        <f>bdrateOld($D19:$D22,F19:F22,$L19:$L22,N19:N22)</f>
        <v>-6.4791682411734497E-3</v>
      </c>
      <c r="AA19" s="43">
        <f>bdrateOld($D19:$D22,G19:G22,$L19:$L22,O19:O22)</f>
        <v>1.7294399999159271E-3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3762.6016</v>
      </c>
      <c r="E20" s="18">
        <f>Reference!C162</f>
        <v>36.682600000000001</v>
      </c>
      <c r="F20" s="18">
        <f>Reference!D162</f>
        <v>39.100200000000001</v>
      </c>
      <c r="G20" s="18">
        <f>Reference!E162</f>
        <v>41.665199999999999</v>
      </c>
      <c r="H20" s="18">
        <f>Reference!F162</f>
        <v>197970.375</v>
      </c>
      <c r="I20" s="18">
        <f>Reference!G162</f>
        <v>20.907</v>
      </c>
      <c r="J20" s="19">
        <f t="shared" si="5"/>
        <v>54.991770833333334</v>
      </c>
      <c r="L20" s="17">
        <f>Test!B162</f>
        <v>3757.0223999999998</v>
      </c>
      <c r="M20" s="18">
        <f>Test!C162</f>
        <v>36.681100000000001</v>
      </c>
      <c r="N20" s="18">
        <f>Test!D162</f>
        <v>39.103000000000002</v>
      </c>
      <c r="O20" s="18">
        <f>Test!E162</f>
        <v>41.668500000000002</v>
      </c>
      <c r="P20" s="18">
        <f>Test!F162</f>
        <v>194177.82800000001</v>
      </c>
      <c r="Q20" s="18">
        <f>Test!G162</f>
        <v>20.218</v>
      </c>
      <c r="R20" s="19">
        <f t="shared" si="6"/>
        <v>53.938285555555559</v>
      </c>
      <c r="S20" s="17">
        <f t="shared" si="3"/>
        <v>0.9808428559071023</v>
      </c>
      <c r="T20" s="18">
        <f t="shared" si="4"/>
        <v>0.96704453054001049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1844.4896000000001</v>
      </c>
      <c r="E21" s="18">
        <f>Reference!C163</f>
        <v>34.812199999999997</v>
      </c>
      <c r="F21" s="18">
        <f>Reference!D163</f>
        <v>38.270499999999998</v>
      </c>
      <c r="G21" s="18">
        <f>Reference!E163</f>
        <v>40.179099999999998</v>
      </c>
      <c r="H21" s="18">
        <f>Reference!F163</f>
        <v>118207.56200000001</v>
      </c>
      <c r="I21" s="18">
        <f>Reference!G163</f>
        <v>17.13</v>
      </c>
      <c r="J21" s="19">
        <f t="shared" si="5"/>
        <v>32.835433888888893</v>
      </c>
      <c r="L21" s="17">
        <f>Test!B163</f>
        <v>1842.864</v>
      </c>
      <c r="M21" s="18">
        <f>Test!C163</f>
        <v>34.8125</v>
      </c>
      <c r="N21" s="18">
        <f>Test!D163</f>
        <v>38.286999999999999</v>
      </c>
      <c r="O21" s="18">
        <f>Test!E163</f>
        <v>40.167400000000001</v>
      </c>
      <c r="P21" s="18">
        <f>Test!F163</f>
        <v>115628.43799999999</v>
      </c>
      <c r="Q21" s="18">
        <f>Test!G163</f>
        <v>16.305</v>
      </c>
      <c r="R21" s="19">
        <f t="shared" si="6"/>
        <v>32.119010555555555</v>
      </c>
      <c r="S21" s="17">
        <f t="shared" si="3"/>
        <v>0.97818139587381037</v>
      </c>
      <c r="T21" s="18">
        <f t="shared" si="4"/>
        <v>0.9518388791593696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Reference!B164</f>
        <v>882.17600000000004</v>
      </c>
      <c r="E22" s="23">
        <f>Reference!C164</f>
        <v>32.499699999999997</v>
      </c>
      <c r="F22" s="23">
        <f>Reference!D164</f>
        <v>37.267200000000003</v>
      </c>
      <c r="G22" s="23">
        <f>Reference!E164</f>
        <v>38.528100000000002</v>
      </c>
      <c r="H22" s="23">
        <f>Reference!F164</f>
        <v>66939.016000000003</v>
      </c>
      <c r="I22" s="23">
        <f>Reference!G164</f>
        <v>13.933999999999999</v>
      </c>
      <c r="J22" s="24">
        <f t="shared" si="5"/>
        <v>18.594171111111113</v>
      </c>
      <c r="L22" s="22">
        <f>Test!B164</f>
        <v>881.17920000000004</v>
      </c>
      <c r="M22" s="23">
        <f>Test!C164</f>
        <v>32.497900000000001</v>
      </c>
      <c r="N22" s="23">
        <f>Test!D164</f>
        <v>37.2562</v>
      </c>
      <c r="O22" s="23">
        <f>Test!E164</f>
        <v>38.515099999999997</v>
      </c>
      <c r="P22" s="23">
        <f>Test!F164</f>
        <v>67423.351999999999</v>
      </c>
      <c r="Q22" s="23">
        <f>Test!G164</f>
        <v>13.609</v>
      </c>
      <c r="R22" s="24">
        <f t="shared" si="6"/>
        <v>18.728708888888889</v>
      </c>
      <c r="S22" s="17">
        <f t="shared" si="3"/>
        <v>1.0072354813222828</v>
      </c>
      <c r="T22" s="18">
        <f t="shared" si="4"/>
        <v>0.97667575714080668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9106.1808000000001</v>
      </c>
      <c r="E23" s="13">
        <f>Reference!C165</f>
        <v>38.741300000000003</v>
      </c>
      <c r="F23" s="13">
        <f>Reference!D165</f>
        <v>43.691699999999997</v>
      </c>
      <c r="G23" s="13">
        <f>Reference!E165</f>
        <v>44.622700000000002</v>
      </c>
      <c r="H23" s="13">
        <f>Reference!F165</f>
        <v>348038.375</v>
      </c>
      <c r="I23" s="13">
        <f>Reference!G165</f>
        <v>31.963999999999999</v>
      </c>
      <c r="J23" s="14">
        <f t="shared" si="5"/>
        <v>96.677326388888886</v>
      </c>
      <c r="L23" s="12">
        <f>Test!B165</f>
        <v>9100.0064000000002</v>
      </c>
      <c r="M23" s="13">
        <f>Test!C165</f>
        <v>38.740499999999997</v>
      </c>
      <c r="N23" s="13">
        <f>Test!D165</f>
        <v>43.689100000000003</v>
      </c>
      <c r="O23" s="13">
        <f>Test!E165</f>
        <v>44.625900000000001</v>
      </c>
      <c r="P23" s="13">
        <f>Test!F165</f>
        <v>344808.59399999998</v>
      </c>
      <c r="Q23" s="13">
        <f>Test!G165</f>
        <v>31.795999999999999</v>
      </c>
      <c r="R23" s="14">
        <f t="shared" si="6"/>
        <v>95.780164999999997</v>
      </c>
      <c r="S23" s="17">
        <f t="shared" si="3"/>
        <v>0.99072004344348519</v>
      </c>
      <c r="T23" s="18">
        <f t="shared" si="4"/>
        <v>0.99474408709798523</v>
      </c>
      <c r="U23" s="91"/>
      <c r="V23" s="37">
        <f>bdrate($D23:$D26,E23:E26,$L23:$L26,M23:M26)</f>
        <v>-1.7919938690680315E-4</v>
      </c>
      <c r="W23" s="42">
        <f>bdrate($D23:$D26,F23:F26,$L23:$L26,N23:N26)</f>
        <v>3.942222596154954E-3</v>
      </c>
      <c r="X23" s="43">
        <f>bdrate($D23:$D26,G23:G26,$L23:$L26,O23:O26)</f>
        <v>-2.2440908346038624E-3</v>
      </c>
      <c r="Y23" s="37">
        <f>bdrateOld($D23:$D26,E23:E26,$L23:$L26,M23:M26)</f>
        <v>-1.0902871389528723E-4</v>
      </c>
      <c r="Z23" s="42">
        <f>bdrateOld($D23:$D26,F23:F26,$L23:$L26,N23:N26)</f>
        <v>3.8166414721283459E-3</v>
      </c>
      <c r="AA23" s="43">
        <f>bdrateOld($D23:$D26,G23:G26,$L23:$L26,O23:O26)</f>
        <v>-2.2971199905676976E-3</v>
      </c>
    </row>
    <row r="24" spans="1:27" x14ac:dyDescent="0.2">
      <c r="A24" s="34"/>
      <c r="B24" s="85"/>
      <c r="C24" s="16">
        <v>32</v>
      </c>
      <c r="D24" s="17">
        <f>Reference!B166</f>
        <v>4705.6815999999999</v>
      </c>
      <c r="E24" s="18">
        <f>Reference!C166</f>
        <v>37.536000000000001</v>
      </c>
      <c r="F24" s="18">
        <f>Reference!D166</f>
        <v>42.721899999999998</v>
      </c>
      <c r="G24" s="18">
        <f>Reference!E166</f>
        <v>43.1203</v>
      </c>
      <c r="H24" s="18">
        <f>Reference!F166</f>
        <v>216279.95300000001</v>
      </c>
      <c r="I24" s="18">
        <f>Reference!G166</f>
        <v>26.44</v>
      </c>
      <c r="J24" s="19">
        <f t="shared" si="5"/>
        <v>60.077764722222227</v>
      </c>
      <c r="L24" s="17">
        <f>Test!B166</f>
        <v>4701.5856000000003</v>
      </c>
      <c r="M24" s="18">
        <f>Test!C166</f>
        <v>37.535200000000003</v>
      </c>
      <c r="N24" s="18">
        <f>Test!D166</f>
        <v>42.711799999999997</v>
      </c>
      <c r="O24" s="18">
        <f>Test!E166</f>
        <v>43.118600000000001</v>
      </c>
      <c r="P24" s="18">
        <f>Test!F166</f>
        <v>216006.54699999999</v>
      </c>
      <c r="Q24" s="18">
        <f>Test!G166</f>
        <v>26.111000000000001</v>
      </c>
      <c r="R24" s="19">
        <f t="shared" si="6"/>
        <v>60.001818611111112</v>
      </c>
      <c r="S24" s="17">
        <f t="shared" si="3"/>
        <v>0.99873586989359098</v>
      </c>
      <c r="T24" s="18">
        <f t="shared" si="4"/>
        <v>0.98755673222390317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2396.8496</v>
      </c>
      <c r="E25" s="18">
        <f>Reference!C167</f>
        <v>35.856200000000001</v>
      </c>
      <c r="F25" s="18">
        <f>Reference!D167</f>
        <v>41.488300000000002</v>
      </c>
      <c r="G25" s="18">
        <f>Reference!E167</f>
        <v>41.377499999999998</v>
      </c>
      <c r="H25" s="18">
        <f>Reference!F167</f>
        <v>129255.141</v>
      </c>
      <c r="I25" s="18">
        <f>Reference!G167</f>
        <v>22.524999999999999</v>
      </c>
      <c r="J25" s="19">
        <f t="shared" si="5"/>
        <v>35.904205833333336</v>
      </c>
      <c r="L25" s="17">
        <f>Test!B167</f>
        <v>2398.8303999999998</v>
      </c>
      <c r="M25" s="18">
        <f>Test!C167</f>
        <v>35.858800000000002</v>
      </c>
      <c r="N25" s="18">
        <f>Test!D167</f>
        <v>41.485199999999999</v>
      </c>
      <c r="O25" s="18">
        <f>Test!E167</f>
        <v>41.386899999999997</v>
      </c>
      <c r="P25" s="18">
        <f>Test!F167</f>
        <v>127756.70299999999</v>
      </c>
      <c r="Q25" s="18">
        <f>Test!G167</f>
        <v>21.63</v>
      </c>
      <c r="R25" s="19">
        <f t="shared" si="6"/>
        <v>35.487973055555557</v>
      </c>
      <c r="S25" s="17">
        <f t="shared" si="3"/>
        <v>0.98840713035932548</v>
      </c>
      <c r="T25" s="18">
        <f t="shared" si="4"/>
        <v>0.96026637069922305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Reference!B168</f>
        <v>1189.3456000000001</v>
      </c>
      <c r="E26" s="23">
        <f>Reference!C168</f>
        <v>33.767899999999997</v>
      </c>
      <c r="F26" s="23">
        <f>Reference!D168</f>
        <v>40.122</v>
      </c>
      <c r="G26" s="23">
        <f>Reference!E168</f>
        <v>39.459400000000002</v>
      </c>
      <c r="H26" s="23">
        <f>Reference!F168</f>
        <v>72657.625</v>
      </c>
      <c r="I26" s="23">
        <f>Reference!G168</f>
        <v>18.864999999999998</v>
      </c>
      <c r="J26" s="24">
        <f t="shared" si="5"/>
        <v>20.18267361111111</v>
      </c>
      <c r="L26" s="22">
        <f>Test!B168</f>
        <v>1188.3664000000001</v>
      </c>
      <c r="M26" s="23">
        <f>Test!C168</f>
        <v>33.764400000000002</v>
      </c>
      <c r="N26" s="23">
        <f>Test!D168</f>
        <v>40.105899999999998</v>
      </c>
      <c r="O26" s="23">
        <f>Test!E168</f>
        <v>39.4739</v>
      </c>
      <c r="P26" s="23">
        <f>Test!F168</f>
        <v>70994.008000000002</v>
      </c>
      <c r="Q26" s="23">
        <f>Test!G168</f>
        <v>18.248000000000001</v>
      </c>
      <c r="R26" s="24">
        <f t="shared" si="6"/>
        <v>19.720557777777778</v>
      </c>
      <c r="S26" s="17">
        <f t="shared" si="3"/>
        <v>0.97710333911960379</v>
      </c>
      <c r="T26" s="18">
        <f t="shared" si="4"/>
        <v>0.96729393055923685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6360.2479999999996</v>
      </c>
      <c r="E27" s="13">
        <f>Reference!C169</f>
        <v>39.8339</v>
      </c>
      <c r="F27" s="13">
        <f>Reference!D169</f>
        <v>43.796399999999998</v>
      </c>
      <c r="G27" s="13">
        <f>Reference!E169</f>
        <v>44.505000000000003</v>
      </c>
      <c r="H27" s="13">
        <f>Reference!F169</f>
        <v>311732.875</v>
      </c>
      <c r="I27" s="13">
        <f>Reference!G169</f>
        <v>31.189</v>
      </c>
      <c r="J27" s="14">
        <f>H27/3600</f>
        <v>86.592465277777777</v>
      </c>
      <c r="L27" s="12">
        <f>Test!B169</f>
        <v>6359.3728000000001</v>
      </c>
      <c r="M27" s="13">
        <f>Test!C169</f>
        <v>39.834200000000003</v>
      </c>
      <c r="N27" s="13">
        <f>Test!D169</f>
        <v>43.800400000000003</v>
      </c>
      <c r="O27" s="13">
        <f>Test!E169</f>
        <v>44.509900000000002</v>
      </c>
      <c r="P27" s="13">
        <f>Test!F169</f>
        <v>304111.15600000002</v>
      </c>
      <c r="Q27" s="13">
        <f>Test!G169</f>
        <v>31.309000000000001</v>
      </c>
      <c r="R27" s="14">
        <f>P27/3600</f>
        <v>84.475321111111114</v>
      </c>
      <c r="S27" s="17">
        <f t="shared" ref="S27:T46" si="7">P27/H27</f>
        <v>0.97555048051957949</v>
      </c>
      <c r="T27" s="18">
        <f t="shared" si="7"/>
        <v>1.003847510340184</v>
      </c>
      <c r="U27" s="91"/>
      <c r="V27" s="37">
        <f>bdrate($D27:$D30,E27:E30,$L27:$L30,M27:M30)</f>
        <v>2.1011413637328502E-4</v>
      </c>
      <c r="W27" s="42">
        <f>bdrate($D27:$D30,F27:F30,$L27:$L30,N27:N30)</f>
        <v>-6.5970088966522678E-3</v>
      </c>
      <c r="X27" s="43">
        <f>bdrate($D27:$D30,G27:G30,$L27:$L30,O27:O30)</f>
        <v>-6.0571494059754594E-3</v>
      </c>
      <c r="Y27" s="37">
        <f>bdrateOld($D27:$D30,E27:E30,$L27:$L30,M27:M30)</f>
        <v>2.7335988073029505E-4</v>
      </c>
      <c r="Z27" s="42">
        <f>bdrateOld($D27:$D30,F27:F30,$L27:$L30,N27:N30)</f>
        <v>-6.6883988279758944E-3</v>
      </c>
      <c r="AA27" s="43">
        <f>bdrateOld($D27:$D30,G27:G30,$L27:$L30,O27:O30)</f>
        <v>-6.3043455602463938E-3</v>
      </c>
    </row>
    <row r="28" spans="1:27" x14ac:dyDescent="0.2">
      <c r="A28" s="16"/>
      <c r="B28" s="85"/>
      <c r="C28" s="16">
        <v>48</v>
      </c>
      <c r="D28" s="17">
        <f>Reference!B170</f>
        <v>3029.6687999999999</v>
      </c>
      <c r="E28" s="18">
        <f>Reference!C170</f>
        <v>38.537399999999998</v>
      </c>
      <c r="F28" s="18">
        <f>Reference!D170</f>
        <v>42.933199999999999</v>
      </c>
      <c r="G28" s="18">
        <f>Reference!E170</f>
        <v>43.6631</v>
      </c>
      <c r="H28" s="18">
        <f>Reference!F170</f>
        <v>181611.5</v>
      </c>
      <c r="I28" s="18">
        <f>Reference!G170</f>
        <v>25.248000000000001</v>
      </c>
      <c r="J28" s="19">
        <f t="shared" ref="J28:J46" si="8">H28/3600</f>
        <v>50.447638888888889</v>
      </c>
      <c r="L28" s="17">
        <f>Test!B170</f>
        <v>3027.0576000000001</v>
      </c>
      <c r="M28" s="18">
        <f>Test!C170</f>
        <v>38.536200000000001</v>
      </c>
      <c r="N28" s="18">
        <f>Test!D170</f>
        <v>42.935699999999997</v>
      </c>
      <c r="O28" s="18">
        <f>Test!E170</f>
        <v>43.661799999999999</v>
      </c>
      <c r="P28" s="18">
        <f>Test!F170</f>
        <v>180363.125</v>
      </c>
      <c r="Q28" s="18">
        <f>Test!G170</f>
        <v>25.204999999999998</v>
      </c>
      <c r="R28" s="19">
        <f t="shared" ref="R28:R46" si="9">P28/3600</f>
        <v>50.100868055555559</v>
      </c>
      <c r="S28" s="17">
        <f t="shared" si="7"/>
        <v>0.99312612362102615</v>
      </c>
      <c r="T28" s="18">
        <f t="shared" si="7"/>
        <v>0.99829689480354866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1460.9584</v>
      </c>
      <c r="E29" s="18">
        <f>Reference!C171</f>
        <v>36.724899999999998</v>
      </c>
      <c r="F29" s="18">
        <f>Reference!D171</f>
        <v>41.831000000000003</v>
      </c>
      <c r="G29" s="18">
        <f>Reference!E171</f>
        <v>42.415700000000001</v>
      </c>
      <c r="H29" s="18">
        <f>Reference!F171</f>
        <v>104579.18799999999</v>
      </c>
      <c r="I29" s="18">
        <f>Reference!G171</f>
        <v>22.902000000000001</v>
      </c>
      <c r="J29" s="19">
        <f t="shared" si="8"/>
        <v>29.049774444444441</v>
      </c>
      <c r="L29" s="17">
        <f>Test!B171</f>
        <v>1460.8784000000001</v>
      </c>
      <c r="M29" s="18">
        <f>Test!C171</f>
        <v>36.723500000000001</v>
      </c>
      <c r="N29" s="18">
        <f>Test!D171</f>
        <v>41.8521</v>
      </c>
      <c r="O29" s="18">
        <f>Test!E171</f>
        <v>42.433399999999999</v>
      </c>
      <c r="P29" s="18">
        <f>Test!F171</f>
        <v>99690.766000000003</v>
      </c>
      <c r="Q29" s="18">
        <f>Test!G171</f>
        <v>20.553000000000001</v>
      </c>
      <c r="R29" s="19">
        <f t="shared" si="9"/>
        <v>27.691879444444446</v>
      </c>
      <c r="S29" s="17">
        <f t="shared" si="7"/>
        <v>0.95325626356938253</v>
      </c>
      <c r="T29" s="18">
        <f t="shared" si="7"/>
        <v>0.89743253864291328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Reference!B172</f>
        <v>686.63679999999999</v>
      </c>
      <c r="E30" s="23">
        <f>Reference!C172</f>
        <v>34.429200000000002</v>
      </c>
      <c r="F30" s="23">
        <f>Reference!D172</f>
        <v>40.674300000000002</v>
      </c>
      <c r="G30" s="23">
        <f>Reference!E172</f>
        <v>41.051299999999998</v>
      </c>
      <c r="H30" s="23">
        <f>Reference!F172</f>
        <v>54297.02</v>
      </c>
      <c r="I30" s="23">
        <f>Reference!G172</f>
        <v>17.972999999999999</v>
      </c>
      <c r="J30" s="24">
        <f t="shared" si="8"/>
        <v>15.082505555555555</v>
      </c>
      <c r="L30" s="22">
        <f>Test!B172</f>
        <v>685.92639999999994</v>
      </c>
      <c r="M30" s="23">
        <f>Test!C172</f>
        <v>34.423400000000001</v>
      </c>
      <c r="N30" s="23">
        <f>Test!D172</f>
        <v>40.666699999999999</v>
      </c>
      <c r="O30" s="23">
        <f>Test!E172</f>
        <v>41.063800000000001</v>
      </c>
      <c r="P30" s="23">
        <f>Test!F172</f>
        <v>54215.809000000001</v>
      </c>
      <c r="Q30" s="23">
        <f>Test!G172</f>
        <v>17.919</v>
      </c>
      <c r="R30" s="24">
        <f t="shared" si="9"/>
        <v>15.059946944444444</v>
      </c>
      <c r="S30" s="17">
        <f t="shared" si="7"/>
        <v>0.99850431938990403</v>
      </c>
      <c r="T30" s="18">
        <f t="shared" si="7"/>
        <v>0.99699549323985992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6708.2640000000001</v>
      </c>
      <c r="E31" s="13">
        <f>Reference!C173</f>
        <v>43.389400000000002</v>
      </c>
      <c r="F31" s="13">
        <f>Reference!D173</f>
        <v>46.726100000000002</v>
      </c>
      <c r="G31" s="13">
        <f>Reference!E173</f>
        <v>47.3172</v>
      </c>
      <c r="H31" s="13">
        <f>Reference!F173</f>
        <v>257282.875</v>
      </c>
      <c r="I31" s="13">
        <f>Reference!G173</f>
        <v>32.021000000000001</v>
      </c>
      <c r="J31" s="14">
        <f t="shared" si="8"/>
        <v>71.467465277777777</v>
      </c>
      <c r="L31" s="12">
        <f>Test!B173</f>
        <v>6706.32</v>
      </c>
      <c r="M31" s="13">
        <f>Test!C173</f>
        <v>43.388300000000001</v>
      </c>
      <c r="N31" s="13">
        <f>Test!D173</f>
        <v>46.719799999999999</v>
      </c>
      <c r="O31" s="13">
        <f>Test!E173</f>
        <v>47.328000000000003</v>
      </c>
      <c r="P31" s="13">
        <f>Test!F173</f>
        <v>258146.484</v>
      </c>
      <c r="Q31" s="13">
        <f>Test!G173</f>
        <v>32.554000000000002</v>
      </c>
      <c r="R31" s="14">
        <f t="shared" si="9"/>
        <v>71.707356666666669</v>
      </c>
      <c r="S31" s="17">
        <f t="shared" si="7"/>
        <v>1.0033566517009731</v>
      </c>
      <c r="T31" s="18">
        <f t="shared" si="7"/>
        <v>1.0166453265044815</v>
      </c>
      <c r="U31" s="91"/>
      <c r="V31" s="37">
        <f>bdrate($D31:$D34,E31:E34,$L31:$L34,M31:M34)</f>
        <v>-7.6564604886875109E-4</v>
      </c>
      <c r="W31" s="42">
        <f>bdrate($D31:$D34,F31:F34,$L31:$L34,N31:N34)</f>
        <v>-4.0142768542195117E-4</v>
      </c>
      <c r="X31" s="42">
        <f>bdrate($D31:$D34,G31:G34,$L31:$L34,O31:O34)</f>
        <v>-1.3467107973657022E-3</v>
      </c>
      <c r="Y31" s="40">
        <f>bdrateOld($D31:$D34,E31:E34,$L31:$L34,M31:M34)</f>
        <v>-7.4424296306363491E-4</v>
      </c>
      <c r="Z31" s="44">
        <f>bdrateOld($D31:$D34,F31:F34,$L31:$L34,N31:N34)</f>
        <v>-3.785112203166241E-4</v>
      </c>
      <c r="AA31" s="45">
        <f>bdrateOld($D31:$D34,G31:G34,$L31:$L34,O31:O34)</f>
        <v>-1.2304437943865265E-3</v>
      </c>
    </row>
    <row r="32" spans="1:27" x14ac:dyDescent="0.2">
      <c r="A32" s="16"/>
      <c r="B32" s="85"/>
      <c r="C32" s="16">
        <v>48</v>
      </c>
      <c r="D32" s="17">
        <f>Reference!B174</f>
        <v>4086.4160000000002</v>
      </c>
      <c r="E32" s="18">
        <f>Reference!C174</f>
        <v>41.075699999999998</v>
      </c>
      <c r="F32" s="18">
        <f>Reference!D174</f>
        <v>45.276600000000002</v>
      </c>
      <c r="G32" s="18">
        <f>Reference!E174</f>
        <v>45.6267</v>
      </c>
      <c r="H32" s="18">
        <f>Reference!F174</f>
        <v>181359.391</v>
      </c>
      <c r="I32" s="18">
        <f>Reference!G174</f>
        <v>28.363</v>
      </c>
      <c r="J32" s="19">
        <f t="shared" si="8"/>
        <v>50.377608611111114</v>
      </c>
      <c r="L32" s="17">
        <f>Test!B174</f>
        <v>4083.1871999999998</v>
      </c>
      <c r="M32" s="18">
        <f>Test!C174</f>
        <v>41.076599999999999</v>
      </c>
      <c r="N32" s="18">
        <f>Test!D174</f>
        <v>45.272799999999997</v>
      </c>
      <c r="O32" s="18">
        <f>Test!E174</f>
        <v>45.637</v>
      </c>
      <c r="P32" s="18">
        <f>Test!F174</f>
        <v>180995.70300000001</v>
      </c>
      <c r="Q32" s="18">
        <f>Test!G174</f>
        <v>27.943999999999999</v>
      </c>
      <c r="R32" s="19">
        <f t="shared" si="9"/>
        <v>50.276584166666666</v>
      </c>
      <c r="S32" s="17">
        <f t="shared" si="7"/>
        <v>0.99799465581575542</v>
      </c>
      <c r="T32" s="18">
        <f t="shared" si="7"/>
        <v>0.9852272326622713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2257.9520000000002</v>
      </c>
      <c r="E33" s="18">
        <f>Reference!C175</f>
        <v>38.2682</v>
      </c>
      <c r="F33" s="18">
        <f>Reference!D175</f>
        <v>43.6143</v>
      </c>
      <c r="G33" s="18">
        <f>Reference!E175</f>
        <v>43.777999999999999</v>
      </c>
      <c r="H33" s="18">
        <f>Reference!F175</f>
        <v>117341.375</v>
      </c>
      <c r="I33" s="18">
        <f>Reference!G175</f>
        <v>25.251000000000001</v>
      </c>
      <c r="J33" s="19">
        <f t="shared" si="8"/>
        <v>32.59482638888889</v>
      </c>
      <c r="L33" s="17">
        <f>Test!B175</f>
        <v>2258.2303999999999</v>
      </c>
      <c r="M33" s="18">
        <f>Test!C175</f>
        <v>38.271799999999999</v>
      </c>
      <c r="N33" s="18">
        <f>Test!D175</f>
        <v>43.613199999999999</v>
      </c>
      <c r="O33" s="18">
        <f>Test!E175</f>
        <v>43.7654</v>
      </c>
      <c r="P33" s="18">
        <f>Test!F175</f>
        <v>113815.969</v>
      </c>
      <c r="Q33" s="18">
        <f>Test!G175</f>
        <v>23.722000000000001</v>
      </c>
      <c r="R33" s="19">
        <f t="shared" si="9"/>
        <v>31.615546944444443</v>
      </c>
      <c r="S33" s="17">
        <f t="shared" si="7"/>
        <v>0.96995598526095328</v>
      </c>
      <c r="T33" s="18">
        <f t="shared" si="7"/>
        <v>0.93944794265573639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Reference!B176</f>
        <v>1174.0992000000001</v>
      </c>
      <c r="E34" s="23">
        <f>Reference!C176</f>
        <v>35.308</v>
      </c>
      <c r="F34" s="23">
        <f>Reference!D176</f>
        <v>41.9773</v>
      </c>
      <c r="G34" s="23">
        <f>Reference!E176</f>
        <v>41.888199999999998</v>
      </c>
      <c r="H34" s="23">
        <f>Reference!F176</f>
        <v>67215.327999999994</v>
      </c>
      <c r="I34" s="23">
        <f>Reference!G176</f>
        <v>20.544</v>
      </c>
      <c r="J34" s="24">
        <f t="shared" si="8"/>
        <v>18.670924444444442</v>
      </c>
      <c r="L34" s="22">
        <f>Test!B176</f>
        <v>1173.6768</v>
      </c>
      <c r="M34" s="23">
        <f>Test!C176</f>
        <v>35.311300000000003</v>
      </c>
      <c r="N34" s="23">
        <f>Test!D176</f>
        <v>41.995199999999997</v>
      </c>
      <c r="O34" s="23">
        <f>Test!E176</f>
        <v>41.913800000000002</v>
      </c>
      <c r="P34" s="23">
        <f>Test!F176</f>
        <v>67002.031000000003</v>
      </c>
      <c r="Q34" s="23">
        <f>Test!G176</f>
        <v>19.946000000000002</v>
      </c>
      <c r="R34" s="24">
        <f t="shared" si="9"/>
        <v>18.611675277777778</v>
      </c>
      <c r="S34" s="17">
        <f t="shared" si="7"/>
        <v>0.99682666132344111</v>
      </c>
      <c r="T34" s="18">
        <f t="shared" si="7"/>
        <v>0.97089174454828664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4676.3711999999996</v>
      </c>
      <c r="E35" s="13">
        <f>Reference!C177</f>
        <v>38.456600000000002</v>
      </c>
      <c r="F35" s="13">
        <f>Reference!D177</f>
        <v>45.529499999999999</v>
      </c>
      <c r="G35" s="13">
        <f>Reference!E177</f>
        <v>45.737099999999998</v>
      </c>
      <c r="H35" s="13">
        <f>Reference!F177</f>
        <v>176719.42199999999</v>
      </c>
      <c r="I35" s="13">
        <f>Reference!G177</f>
        <v>13.958</v>
      </c>
      <c r="J35" s="14">
        <f t="shared" si="8"/>
        <v>49.088728333333329</v>
      </c>
      <c r="L35" s="12">
        <f>Test!B177</f>
        <v>4672.16</v>
      </c>
      <c r="M35" s="13">
        <f>Test!C177</f>
        <v>38.455300000000001</v>
      </c>
      <c r="N35" s="13">
        <f>Test!D177</f>
        <v>45.5182</v>
      </c>
      <c r="O35" s="13">
        <f>Test!E177</f>
        <v>45.734999999999999</v>
      </c>
      <c r="P35" s="13">
        <f>Test!F177</f>
        <v>179305.96900000001</v>
      </c>
      <c r="Q35" s="13">
        <f>Test!G177</f>
        <v>14.041</v>
      </c>
      <c r="R35" s="14">
        <f t="shared" si="9"/>
        <v>49.807213611111116</v>
      </c>
      <c r="S35" s="12">
        <f t="shared" si="7"/>
        <v>1.0146364614071679</v>
      </c>
      <c r="T35" s="13">
        <f t="shared" si="7"/>
        <v>1.0059464106605531</v>
      </c>
      <c r="U35" s="90"/>
      <c r="V35" s="37">
        <f>bdrate($D35:$D38,E35:E38,$L35:$L38,M35:M38)</f>
        <v>1.7619790586322903E-3</v>
      </c>
      <c r="W35" s="42">
        <f>bdrate($D35:$D38,F35:F38,$L35:$L38,N35:N38)</f>
        <v>3.6232565148948126E-3</v>
      </c>
      <c r="X35" s="42">
        <f>bdrate($D35:$D38,G35:G38,$L35:$L38,O35:O38)</f>
        <v>-8.893947040629735E-3</v>
      </c>
      <c r="Y35" s="40">
        <f>bdrateOld($D35:$D38,E35:E38,$L35:$L38,M35:M38)</f>
        <v>1.6372162583115912E-3</v>
      </c>
      <c r="Z35" s="44">
        <f>bdrateOld($D35:$D38,F35:F38,$L35:$L38,N35:N38)</f>
        <v>4.5079753376848775E-3</v>
      </c>
      <c r="AA35" s="45">
        <f>bdrateOld($D35:$D38,G35:G38,$L35:$L38,O35:O38)</f>
        <v>-8.7962247110769942E-3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1633.4559999999999</v>
      </c>
      <c r="E36" s="18">
        <f>Reference!C178</f>
        <v>36.4649</v>
      </c>
      <c r="F36" s="18">
        <f>Reference!D178</f>
        <v>44.539000000000001</v>
      </c>
      <c r="G36" s="18">
        <f>Reference!E178</f>
        <v>44.749200000000002</v>
      </c>
      <c r="H36" s="18">
        <f>Reference!F178</f>
        <v>90400.710999999996</v>
      </c>
      <c r="I36" s="18">
        <f>Reference!G178</f>
        <v>10.474</v>
      </c>
      <c r="J36" s="19">
        <f t="shared" si="8"/>
        <v>25.111308611111109</v>
      </c>
      <c r="L36" s="17">
        <f>Test!B178</f>
        <v>1633.1264000000001</v>
      </c>
      <c r="M36" s="18">
        <f>Test!C178</f>
        <v>36.459299999999999</v>
      </c>
      <c r="N36" s="18">
        <f>Test!D178</f>
        <v>44.537500000000001</v>
      </c>
      <c r="O36" s="18">
        <f>Test!E178</f>
        <v>44.762700000000002</v>
      </c>
      <c r="P36" s="18">
        <f>Test!F178</f>
        <v>91523.108999999997</v>
      </c>
      <c r="Q36" s="18">
        <f>Test!G178</f>
        <v>10.073</v>
      </c>
      <c r="R36" s="19">
        <f t="shared" si="9"/>
        <v>25.423085833333332</v>
      </c>
      <c r="S36" s="17">
        <f t="shared" si="7"/>
        <v>1.0124158094287554</v>
      </c>
      <c r="T36" s="18">
        <f t="shared" si="7"/>
        <v>0.96171472216918086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653.10239999999999</v>
      </c>
      <c r="E37" s="18">
        <f>Reference!C179</f>
        <v>34.035299999999999</v>
      </c>
      <c r="F37" s="18">
        <f>Reference!D179</f>
        <v>43.1965</v>
      </c>
      <c r="G37" s="18">
        <f>Reference!E179</f>
        <v>43.357100000000003</v>
      </c>
      <c r="H37" s="18">
        <f>Reference!F179</f>
        <v>52331.245999999999</v>
      </c>
      <c r="I37" s="18">
        <f>Reference!G179</f>
        <v>8.1859999999999999</v>
      </c>
      <c r="J37" s="19">
        <f t="shared" si="8"/>
        <v>14.536457222222221</v>
      </c>
      <c r="L37" s="17">
        <f>Test!B179</f>
        <v>653.54560000000004</v>
      </c>
      <c r="M37" s="18">
        <f>Test!C179</f>
        <v>34.033000000000001</v>
      </c>
      <c r="N37" s="18">
        <f>Test!D179</f>
        <v>43.206699999999998</v>
      </c>
      <c r="O37" s="18">
        <f>Test!E179</f>
        <v>43.370699999999999</v>
      </c>
      <c r="P37" s="18">
        <f>Test!F179</f>
        <v>51336.449000000001</v>
      </c>
      <c r="Q37" s="18">
        <f>Test!G179</f>
        <v>8.1140000000000008</v>
      </c>
      <c r="R37" s="19">
        <f t="shared" si="9"/>
        <v>14.260124722222223</v>
      </c>
      <c r="S37" s="17">
        <f t="shared" si="7"/>
        <v>0.98099038192211208</v>
      </c>
      <c r="T37" s="18">
        <f t="shared" si="7"/>
        <v>0.99120449548008804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Reference!B180</f>
        <v>273.42079999999999</v>
      </c>
      <c r="E38" s="23">
        <f>Reference!C180</f>
        <v>31.017800000000001</v>
      </c>
      <c r="F38" s="23">
        <f>Reference!D180</f>
        <v>41.906500000000001</v>
      </c>
      <c r="G38" s="23">
        <f>Reference!E180</f>
        <v>42.000599999999999</v>
      </c>
      <c r="H38" s="23">
        <f>Reference!F180</f>
        <v>29783.812000000002</v>
      </c>
      <c r="I38" s="23">
        <f>Reference!G180</f>
        <v>6.3810000000000002</v>
      </c>
      <c r="J38" s="24">
        <f t="shared" si="8"/>
        <v>8.2732811111111122</v>
      </c>
      <c r="L38" s="22">
        <f>Test!B180</f>
        <v>274.15519999999998</v>
      </c>
      <c r="M38" s="23">
        <f>Test!C180</f>
        <v>31.017700000000001</v>
      </c>
      <c r="N38" s="23">
        <f>Test!D180</f>
        <v>41.856499999999997</v>
      </c>
      <c r="O38" s="23">
        <f>Test!E180</f>
        <v>42.025799999999997</v>
      </c>
      <c r="P38" s="23">
        <f>Test!F180</f>
        <v>29353.021000000001</v>
      </c>
      <c r="Q38" s="23">
        <f>Test!G180</f>
        <v>6.4530000000000003</v>
      </c>
      <c r="R38" s="24">
        <f t="shared" si="9"/>
        <v>8.153616944444444</v>
      </c>
      <c r="S38" s="17">
        <f t="shared" si="7"/>
        <v>0.98553606905657343</v>
      </c>
      <c r="T38" s="18">
        <f t="shared" si="7"/>
        <v>1.0112834978843441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3767.8224</v>
      </c>
      <c r="E39" s="13">
        <f>Reference!C181</f>
        <v>40.534300000000002</v>
      </c>
      <c r="F39" s="13">
        <f>Reference!D181</f>
        <v>45.2575</v>
      </c>
      <c r="G39" s="13">
        <f>Reference!E181</f>
        <v>46.063000000000002</v>
      </c>
      <c r="H39" s="13">
        <f>Reference!F181</f>
        <v>157236.609</v>
      </c>
      <c r="I39" s="13">
        <f>Reference!G181</f>
        <v>15.319000000000001</v>
      </c>
      <c r="J39" s="14">
        <f t="shared" si="8"/>
        <v>43.676835833333335</v>
      </c>
      <c r="L39" s="12">
        <f>Test!B181</f>
        <v>3771.4207999999999</v>
      </c>
      <c r="M39" s="13">
        <f>Test!C181</f>
        <v>40.531199999999998</v>
      </c>
      <c r="N39" s="13">
        <f>Test!D181</f>
        <v>45.2605</v>
      </c>
      <c r="O39" s="13">
        <f>Test!E181</f>
        <v>46.064100000000003</v>
      </c>
      <c r="P39" s="13">
        <f>Test!F181</f>
        <v>153917.78099999999</v>
      </c>
      <c r="Q39" s="13">
        <f>Test!G181</f>
        <v>14.826000000000001</v>
      </c>
      <c r="R39" s="14">
        <f t="shared" si="9"/>
        <v>42.754939166666666</v>
      </c>
      <c r="S39" s="17">
        <f t="shared" si="7"/>
        <v>0.97889277808070763</v>
      </c>
      <c r="T39" s="18">
        <f t="shared" si="7"/>
        <v>0.9678177426724982</v>
      </c>
      <c r="U39" s="91"/>
      <c r="V39" s="37">
        <f>bdrate($D39:$D42,E39:E42,$L39:$L42,M39:M42)</f>
        <v>7.5296250008327625E-4</v>
      </c>
      <c r="W39" s="42">
        <f>bdrate($D39:$D42,F39:F42,$L39:$L42,N39:N42)</f>
        <v>6.5017554937023547E-3</v>
      </c>
      <c r="X39" s="42">
        <f>bdrate($D39:$D42,G39:G42,$L39:$L42,O39:O42)</f>
        <v>7.9864532289910528E-3</v>
      </c>
      <c r="Y39" s="40">
        <f>bdrateOld($D39:$D42,E39:E42,$L39:$L42,M39:M42)</f>
        <v>8.6089047599302582E-4</v>
      </c>
      <c r="Z39" s="44">
        <f>bdrateOld($D39:$D42,F39:F42,$L39:$L42,N39:N42)</f>
        <v>7.0098372360936079E-3</v>
      </c>
      <c r="AA39" s="45">
        <f>bdrateOld($D39:$D42,G39:G42,$L39:$L42,O39:O42)</f>
        <v>7.6705527011038388E-3</v>
      </c>
    </row>
    <row r="40" spans="1:27" x14ac:dyDescent="0.2">
      <c r="A40" s="16"/>
      <c r="B40" s="85"/>
      <c r="C40" s="16">
        <v>32</v>
      </c>
      <c r="D40" s="17">
        <f>Reference!B182</f>
        <v>1702.5871999999999</v>
      </c>
      <c r="E40" s="18">
        <f>Reference!C182</f>
        <v>38.877299999999998</v>
      </c>
      <c r="F40" s="18">
        <f>Reference!D182</f>
        <v>44.440199999999997</v>
      </c>
      <c r="G40" s="18">
        <f>Reference!E182</f>
        <v>44.5274</v>
      </c>
      <c r="H40" s="18">
        <f>Reference!F182</f>
        <v>89953.952999999994</v>
      </c>
      <c r="I40" s="18">
        <f>Reference!G182</f>
        <v>12.452999999999999</v>
      </c>
      <c r="J40" s="19">
        <f t="shared" si="8"/>
        <v>24.987209166666666</v>
      </c>
      <c r="L40" s="17">
        <f>Test!B182</f>
        <v>1704.0047999999999</v>
      </c>
      <c r="M40" s="18">
        <f>Test!C182</f>
        <v>38.880699999999997</v>
      </c>
      <c r="N40" s="18">
        <f>Test!D182</f>
        <v>44.443199999999997</v>
      </c>
      <c r="O40" s="18">
        <f>Test!E182</f>
        <v>44.502200000000002</v>
      </c>
      <c r="P40" s="18">
        <f>Test!F182</f>
        <v>90463.983999999997</v>
      </c>
      <c r="Q40" s="18">
        <f>Test!G182</f>
        <v>12.24</v>
      </c>
      <c r="R40" s="19">
        <f t="shared" si="9"/>
        <v>25.128884444444445</v>
      </c>
      <c r="S40" s="17">
        <f t="shared" si="7"/>
        <v>1.0056699120271013</v>
      </c>
      <c r="T40" s="18">
        <f t="shared" si="7"/>
        <v>0.98289568778607572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813.76639999999998</v>
      </c>
      <c r="E41" s="18">
        <f>Reference!C183</f>
        <v>36.912799999999997</v>
      </c>
      <c r="F41" s="18">
        <f>Reference!D183</f>
        <v>43.408700000000003</v>
      </c>
      <c r="G41" s="18">
        <f>Reference!E183</f>
        <v>42.727200000000003</v>
      </c>
      <c r="H41" s="18">
        <f>Reference!F183</f>
        <v>50413.101999999999</v>
      </c>
      <c r="I41" s="18">
        <f>Reference!G183</f>
        <v>10.116</v>
      </c>
      <c r="J41" s="19">
        <f t="shared" si="8"/>
        <v>14.003639444444444</v>
      </c>
      <c r="L41" s="17">
        <f>Test!B183</f>
        <v>813.98720000000003</v>
      </c>
      <c r="M41" s="18">
        <f>Test!C183</f>
        <v>36.9101</v>
      </c>
      <c r="N41" s="18">
        <f>Test!D183</f>
        <v>43.388300000000001</v>
      </c>
      <c r="O41" s="18">
        <f>Test!E183</f>
        <v>42.710099999999997</v>
      </c>
      <c r="P41" s="18">
        <f>Test!F183</f>
        <v>50197.358999999997</v>
      </c>
      <c r="Q41" s="18">
        <f>Test!G183</f>
        <v>9.6649999999999991</v>
      </c>
      <c r="R41" s="19">
        <f t="shared" si="9"/>
        <v>13.943710833333332</v>
      </c>
      <c r="S41" s="17">
        <f t="shared" si="7"/>
        <v>0.99572049742148372</v>
      </c>
      <c r="T41" s="18">
        <f t="shared" si="7"/>
        <v>0.95541716093317508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Reference!B184</f>
        <v>381.30239999999998</v>
      </c>
      <c r="E42" s="23">
        <f>Reference!C184</f>
        <v>34.676400000000001</v>
      </c>
      <c r="F42" s="23">
        <f>Reference!D184</f>
        <v>42.1325</v>
      </c>
      <c r="G42" s="23">
        <f>Reference!E184</f>
        <v>40.694800000000001</v>
      </c>
      <c r="H42" s="23">
        <f>Reference!F184</f>
        <v>26554.708999999999</v>
      </c>
      <c r="I42" s="23">
        <f>Reference!G184</f>
        <v>7.84</v>
      </c>
      <c r="J42" s="24">
        <f t="shared" si="8"/>
        <v>7.3763080555555556</v>
      </c>
      <c r="L42" s="22">
        <f>Test!B184</f>
        <v>381.16160000000002</v>
      </c>
      <c r="M42" s="23">
        <f>Test!C184</f>
        <v>34.671700000000001</v>
      </c>
      <c r="N42" s="23">
        <f>Test!D184</f>
        <v>42.1173</v>
      </c>
      <c r="O42" s="23">
        <f>Test!E184</f>
        <v>40.676200000000001</v>
      </c>
      <c r="P42" s="23">
        <f>Test!F184</f>
        <v>26502.773000000001</v>
      </c>
      <c r="Q42" s="23">
        <f>Test!G184</f>
        <v>7.8369999999999997</v>
      </c>
      <c r="R42" s="24">
        <f t="shared" si="9"/>
        <v>7.3618813888888894</v>
      </c>
      <c r="S42" s="17">
        <f t="shared" si="7"/>
        <v>0.99804418869737954</v>
      </c>
      <c r="T42" s="18">
        <f t="shared" si="7"/>
        <v>0.99961734693877546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917.28959999999995</v>
      </c>
      <c r="E43" s="13">
        <f>Reference!C185</f>
        <v>42.974899999999998</v>
      </c>
      <c r="F43" s="13">
        <f>Reference!D185</f>
        <v>46.779699999999998</v>
      </c>
      <c r="G43" s="13">
        <f>Reference!E185</f>
        <v>47.596899999999998</v>
      </c>
      <c r="H43" s="13">
        <f>Reference!F185</f>
        <v>59765.476999999999</v>
      </c>
      <c r="I43" s="13">
        <f>Reference!G185</f>
        <v>8.0280000000000005</v>
      </c>
      <c r="J43" s="14">
        <f t="shared" si="8"/>
        <v>16.601521388888887</v>
      </c>
      <c r="L43" s="12">
        <f>Test!B185</f>
        <v>916.11360000000002</v>
      </c>
      <c r="M43" s="13">
        <f>Test!C185</f>
        <v>42.970300000000002</v>
      </c>
      <c r="N43" s="13">
        <f>Test!D185</f>
        <v>46.778199999999998</v>
      </c>
      <c r="O43" s="13">
        <f>Test!E185</f>
        <v>47.613100000000003</v>
      </c>
      <c r="P43" s="13">
        <f>Test!F185</f>
        <v>59843.288999999997</v>
      </c>
      <c r="Q43" s="13">
        <f>Test!G185</f>
        <v>7.9489999999999998</v>
      </c>
      <c r="R43" s="14">
        <f t="shared" si="9"/>
        <v>16.623135833333333</v>
      </c>
      <c r="S43" s="17">
        <f t="shared" si="7"/>
        <v>1.0013019556423852</v>
      </c>
      <c r="T43" s="18">
        <f t="shared" si="7"/>
        <v>0.99015944195316385</v>
      </c>
      <c r="U43" s="91"/>
      <c r="V43" s="37">
        <f>bdrate($D43:$D46,E43:E46,$L43:$L46,M43:M46)</f>
        <v>-1.207061392819786E-3</v>
      </c>
      <c r="W43" s="42">
        <f>bdrate($D43:$D46,F43:F46,$L43:$L46,N43:N46)</f>
        <v>-1.6250954789084227E-2</v>
      </c>
      <c r="X43" s="42">
        <f>bdrate($D43:$D46,G43:G46,$L43:$L46,O43:O46)</f>
        <v>-1.8336267054395172E-3</v>
      </c>
      <c r="Y43" s="40">
        <f>bdrateOld($D43:$D46,E43:E46,$L43:$L46,M43:M46)</f>
        <v>-1.3821229642150268E-3</v>
      </c>
      <c r="Z43" s="44">
        <f>bdrateOld($D43:$D46,F43:F46,$L43:$L46,N43:N46)</f>
        <v>-1.6675264731524808E-2</v>
      </c>
      <c r="AA43" s="45">
        <f>bdrateOld($D43:$D46,G43:G46,$L43:$L46,O43:O46)</f>
        <v>-1.9252206342239564E-3</v>
      </c>
    </row>
    <row r="44" spans="1:27" x14ac:dyDescent="0.2">
      <c r="A44" s="16"/>
      <c r="B44" s="85"/>
      <c r="C44" s="16">
        <v>32</v>
      </c>
      <c r="D44" s="17">
        <f>Reference!B186</f>
        <v>468.89600000000002</v>
      </c>
      <c r="E44" s="18">
        <f>Reference!C186</f>
        <v>41.303400000000003</v>
      </c>
      <c r="F44" s="18">
        <f>Reference!D186</f>
        <v>45.967799999999997</v>
      </c>
      <c r="G44" s="18">
        <f>Reference!E186</f>
        <v>46.5488</v>
      </c>
      <c r="H44" s="18">
        <f>Reference!F186</f>
        <v>35705.711000000003</v>
      </c>
      <c r="I44" s="18">
        <f>Reference!G186</f>
        <v>6.7009999999999996</v>
      </c>
      <c r="J44" s="19">
        <f t="shared" si="8"/>
        <v>9.9182530555555566</v>
      </c>
      <c r="L44" s="17">
        <f>Test!B186</f>
        <v>468.88</v>
      </c>
      <c r="M44" s="18">
        <f>Test!C186</f>
        <v>41.299199999999999</v>
      </c>
      <c r="N44" s="18">
        <f>Test!D186</f>
        <v>45.979500000000002</v>
      </c>
      <c r="O44" s="18">
        <f>Test!E186</f>
        <v>46.565800000000003</v>
      </c>
      <c r="P44" s="18">
        <f>Test!F186</f>
        <v>35519.434000000001</v>
      </c>
      <c r="Q44" s="18">
        <f>Test!G186</f>
        <v>6.5289999999999999</v>
      </c>
      <c r="R44" s="19">
        <f t="shared" si="9"/>
        <v>9.8665094444444446</v>
      </c>
      <c r="S44" s="17">
        <f t="shared" si="7"/>
        <v>0.99478299143798032</v>
      </c>
      <c r="T44" s="18">
        <f t="shared" si="7"/>
        <v>0.97433218922548881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249.4864</v>
      </c>
      <c r="E45" s="18">
        <f>Reference!C187</f>
        <v>39.0762</v>
      </c>
      <c r="F45" s="18">
        <f>Reference!D187</f>
        <v>44.75</v>
      </c>
      <c r="G45" s="18">
        <f>Reference!E187</f>
        <v>45.170900000000003</v>
      </c>
      <c r="H45" s="18">
        <f>Reference!F187</f>
        <v>20411.171999999999</v>
      </c>
      <c r="I45" s="18">
        <f>Reference!G187</f>
        <v>5.7320000000000002</v>
      </c>
      <c r="J45" s="19">
        <f t="shared" si="8"/>
        <v>5.6697699999999998</v>
      </c>
      <c r="L45" s="17">
        <f>Test!B187</f>
        <v>249.17599999999999</v>
      </c>
      <c r="M45" s="18">
        <f>Test!C187</f>
        <v>39.078200000000002</v>
      </c>
      <c r="N45" s="18">
        <f>Test!D187</f>
        <v>44.812899999999999</v>
      </c>
      <c r="O45" s="18">
        <f>Test!E187</f>
        <v>45.180799999999998</v>
      </c>
      <c r="P45" s="18">
        <f>Test!F187</f>
        <v>20380.098000000002</v>
      </c>
      <c r="Q45" s="18">
        <f>Test!G187</f>
        <v>5.3159999999999998</v>
      </c>
      <c r="R45" s="19">
        <f t="shared" si="9"/>
        <v>5.6611383333333336</v>
      </c>
      <c r="S45" s="17">
        <f t="shared" si="7"/>
        <v>0.9984775984446167</v>
      </c>
      <c r="T45" s="18">
        <f t="shared" si="7"/>
        <v>0.92742498255408223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Reference!B188</f>
        <v>135.82079999999999</v>
      </c>
      <c r="E46" s="23">
        <f>Reference!C188</f>
        <v>36.292200000000001</v>
      </c>
      <c r="F46" s="23">
        <f>Reference!D188</f>
        <v>43.099299999999999</v>
      </c>
      <c r="G46" s="23">
        <f>Reference!E188</f>
        <v>43.247100000000003</v>
      </c>
      <c r="H46" s="23">
        <f>Reference!F188</f>
        <v>11933.683999999999</v>
      </c>
      <c r="I46" s="23">
        <f>Reference!G188</f>
        <v>5.101</v>
      </c>
      <c r="J46" s="24">
        <f t="shared" si="8"/>
        <v>3.314912222222222</v>
      </c>
      <c r="L46" s="22">
        <f>Test!B188</f>
        <v>135.65280000000001</v>
      </c>
      <c r="M46" s="23">
        <f>Test!C188</f>
        <v>36.315800000000003</v>
      </c>
      <c r="N46" s="23">
        <f>Test!D188</f>
        <v>43.097000000000001</v>
      </c>
      <c r="O46" s="23">
        <f>Test!E188</f>
        <v>43.134399999999999</v>
      </c>
      <c r="P46" s="23">
        <f>Test!F188</f>
        <v>11894.49</v>
      </c>
      <c r="Q46" s="23">
        <f>Test!G188</f>
        <v>5.0910000000000002</v>
      </c>
      <c r="R46" s="24">
        <f t="shared" si="9"/>
        <v>3.3040249999999998</v>
      </c>
      <c r="S46" s="17">
        <f t="shared" si="7"/>
        <v>0.99671568310339043</v>
      </c>
      <c r="T46" s="18">
        <f t="shared" si="7"/>
        <v>0.99803960007841608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1255.3552</v>
      </c>
      <c r="E47" s="13">
        <f>Reference!C189</f>
        <v>42.682499999999997</v>
      </c>
      <c r="F47" s="13">
        <f>Reference!D189</f>
        <v>48.537700000000001</v>
      </c>
      <c r="G47" s="13">
        <f>Reference!E189</f>
        <v>47.673699999999997</v>
      </c>
      <c r="H47" s="13">
        <f>Reference!F189</f>
        <v>65672.327999999994</v>
      </c>
      <c r="I47" s="13">
        <f>Reference!G189</f>
        <v>8.8800000000000008</v>
      </c>
      <c r="J47" s="14">
        <f>H47/3600</f>
        <v>18.242313333333332</v>
      </c>
      <c r="L47" s="12">
        <f>Test!B189</f>
        <v>1257.6079999999999</v>
      </c>
      <c r="M47" s="13">
        <f>Test!C189</f>
        <v>42.679699999999997</v>
      </c>
      <c r="N47" s="13">
        <f>Test!D189</f>
        <v>48.569600000000001</v>
      </c>
      <c r="O47" s="13">
        <f>Test!E189</f>
        <v>47.538699999999999</v>
      </c>
      <c r="P47" s="13">
        <f>Test!F189</f>
        <v>65254.336000000003</v>
      </c>
      <c r="Q47" s="13">
        <f>Test!G189</f>
        <v>9.0879999999999992</v>
      </c>
      <c r="R47" s="14">
        <f>P47/3600</f>
        <v>18.126204444444447</v>
      </c>
      <c r="S47" s="17">
        <f t="shared" ref="S47:T62" si="10">P47/H47</f>
        <v>0.99363518832467779</v>
      </c>
      <c r="T47" s="18">
        <f t="shared" si="10"/>
        <v>1.0234234234234232</v>
      </c>
      <c r="U47" s="91"/>
      <c r="V47" s="37">
        <f>bdrate($D47:$D50,E47:E50,$L47:$L50,M47:M50)</f>
        <v>-1.4367077171291154E-3</v>
      </c>
      <c r="W47" s="42">
        <f>bdrate($D47:$D50,F47:F50,$L47:$L50,N47:N50)</f>
        <v>-1.1258154446026847E-2</v>
      </c>
      <c r="X47" s="43">
        <f>bdrate($D47:$D50,G47:G50,$L47:$L50,O47:O50)</f>
        <v>-1.8533905238912962E-2</v>
      </c>
      <c r="Y47" s="37">
        <f>bdrateOld($D47:$D50,E47:E50,$L47:$L50,M47:M50)</f>
        <v>-1.3310352933466607E-3</v>
      </c>
      <c r="Z47" s="42">
        <f>bdrateOld($D47:$D50,F47:F50,$L47:$L50,N47:N50)</f>
        <v>-1.1214663313258266E-2</v>
      </c>
      <c r="AA47" s="43">
        <f>bdrateOld($D47:$D50,G47:G50,$L47:$L50,O47:O50)</f>
        <v>2.4846770816694841E-2</v>
      </c>
    </row>
    <row r="48" spans="1:27" x14ac:dyDescent="0.2">
      <c r="A48" s="16"/>
      <c r="B48" s="85"/>
      <c r="C48" s="16">
        <v>32</v>
      </c>
      <c r="D48" s="17">
        <f>Reference!B190</f>
        <v>607.04160000000002</v>
      </c>
      <c r="E48" s="18">
        <f>Reference!C190</f>
        <v>40.908900000000003</v>
      </c>
      <c r="F48" s="18">
        <f>Reference!D190</f>
        <v>47.771500000000003</v>
      </c>
      <c r="G48" s="18">
        <f>Reference!E190</f>
        <v>46.862699999999997</v>
      </c>
      <c r="H48" s="18">
        <f>Reference!F190</f>
        <v>38928.546999999999</v>
      </c>
      <c r="I48" s="18">
        <f>Reference!G190</f>
        <v>6.6529999999999996</v>
      </c>
      <c r="J48" s="19">
        <f t="shared" ref="J48:J70" si="11">H48/3600</f>
        <v>10.813485277777778</v>
      </c>
      <c r="L48" s="17">
        <f>Test!B190</f>
        <v>606.24</v>
      </c>
      <c r="M48" s="18">
        <f>Test!C190</f>
        <v>40.9084</v>
      </c>
      <c r="N48" s="18">
        <f>Test!D190</f>
        <v>47.789000000000001</v>
      </c>
      <c r="O48" s="18">
        <f>Test!E190</f>
        <v>46.997900000000001</v>
      </c>
      <c r="P48" s="18">
        <f>Test!F190</f>
        <v>37871.184000000001</v>
      </c>
      <c r="Q48" s="18">
        <f>Test!G190</f>
        <v>6.8639999999999999</v>
      </c>
      <c r="R48" s="19">
        <f t="shared" ref="R48:R70" si="12">P48/3600</f>
        <v>10.519773333333333</v>
      </c>
      <c r="S48" s="17">
        <f t="shared" si="10"/>
        <v>0.97283836460682704</v>
      </c>
      <c r="T48" s="18">
        <f t="shared" si="10"/>
        <v>1.0317150157823538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322.50560000000002</v>
      </c>
      <c r="E49" s="18">
        <f>Reference!C191</f>
        <v>38.5199</v>
      </c>
      <c r="F49" s="18">
        <f>Reference!D191</f>
        <v>46.643500000000003</v>
      </c>
      <c r="G49" s="18">
        <f>Reference!E191</f>
        <v>45.448599999999999</v>
      </c>
      <c r="H49" s="18">
        <f>Reference!F191</f>
        <v>22373.094000000001</v>
      </c>
      <c r="I49" s="18">
        <f>Reference!G191</f>
        <v>5.8949999999999996</v>
      </c>
      <c r="J49" s="19">
        <f t="shared" si="11"/>
        <v>6.2147483333333335</v>
      </c>
      <c r="L49" s="17">
        <f>Test!B191</f>
        <v>322.63040000000001</v>
      </c>
      <c r="M49" s="18">
        <f>Test!C191</f>
        <v>38.531599999999997</v>
      </c>
      <c r="N49" s="18">
        <f>Test!D191</f>
        <v>46.6676</v>
      </c>
      <c r="O49" s="18">
        <f>Test!E191</f>
        <v>45.469099999999997</v>
      </c>
      <c r="P49" s="18">
        <f>Test!F191</f>
        <v>22093.782999999999</v>
      </c>
      <c r="Q49" s="18">
        <f>Test!G191</f>
        <v>5.7939999999999996</v>
      </c>
      <c r="R49" s="19">
        <f t="shared" si="12"/>
        <v>6.1371619444444443</v>
      </c>
      <c r="S49" s="17">
        <f t="shared" si="10"/>
        <v>0.98751576335396429</v>
      </c>
      <c r="T49" s="18">
        <f t="shared" si="10"/>
        <v>0.98286683630195082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Reference!B192</f>
        <v>176.1584</v>
      </c>
      <c r="E50" s="23">
        <f>Reference!C192</f>
        <v>35.426299999999998</v>
      </c>
      <c r="F50" s="23">
        <f>Reference!D192</f>
        <v>45.253700000000002</v>
      </c>
      <c r="G50" s="23">
        <f>Reference!E192</f>
        <v>43.334600000000002</v>
      </c>
      <c r="H50" s="23">
        <f>Reference!F192</f>
        <v>13775.691000000001</v>
      </c>
      <c r="I50" s="23">
        <f>Reference!G192</f>
        <v>4.9619999999999997</v>
      </c>
      <c r="J50" s="24">
        <f t="shared" si="11"/>
        <v>3.8265808333333333</v>
      </c>
      <c r="L50" s="22">
        <f>Test!B192</f>
        <v>176.17439999999999</v>
      </c>
      <c r="M50" s="23">
        <f>Test!C192</f>
        <v>35.439100000000003</v>
      </c>
      <c r="N50" s="23">
        <f>Test!D192</f>
        <v>45.239800000000002</v>
      </c>
      <c r="O50" s="23">
        <f>Test!E192</f>
        <v>43.346499999999999</v>
      </c>
      <c r="P50" s="23">
        <f>Test!F192</f>
        <v>13556.214</v>
      </c>
      <c r="Q50" s="23">
        <f>Test!G192</f>
        <v>5.3639999999999999</v>
      </c>
      <c r="R50" s="24">
        <f t="shared" si="12"/>
        <v>3.7656149999999999</v>
      </c>
      <c r="S50" s="22">
        <f t="shared" si="10"/>
        <v>0.98406780465676813</v>
      </c>
      <c r="T50" s="23">
        <f t="shared" si="10"/>
        <v>1.0810157194679566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19.979548792651258</v>
      </c>
      <c r="J75" s="15">
        <f>GEOMEAN(J3:J18)</f>
        <v>31.507200331571369</v>
      </c>
      <c r="Q75" s="15">
        <f>GEOMEAN(Q3:Q18)</f>
        <v>19.636496476369992</v>
      </c>
      <c r="R75" s="15">
        <f>GEOMEAN(R3:R18)</f>
        <v>31.040933018187573</v>
      </c>
      <c r="S75" s="15">
        <f>GEOMEAN(S3:S18)</f>
        <v>0.98520124579534352</v>
      </c>
      <c r="T75" s="15">
        <f>GEOMEAN(T3:T18)</f>
        <v>0.98282982664716401</v>
      </c>
      <c r="V75" s="37">
        <f>AVERAGE(V3:V18)</f>
        <v>-1.990616960131919E-4</v>
      </c>
      <c r="W75" s="42">
        <f t="shared" ref="W75:AA75" si="17">AVERAGE(W3:W18)</f>
        <v>2.5914168149588357E-3</v>
      </c>
      <c r="X75" s="42">
        <f t="shared" si="17"/>
        <v>1.7903884986164575E-3</v>
      </c>
      <c r="Y75" s="37">
        <f>AVERAGE(Y3:Y18)</f>
        <v>-3.1590944088771833E-4</v>
      </c>
      <c r="Z75" s="42">
        <f t="shared" si="17"/>
        <v>2.7108634287248967E-3</v>
      </c>
      <c r="AA75" s="43">
        <f t="shared" si="17"/>
        <v>1.8739816890104288E-3</v>
      </c>
    </row>
    <row r="76" spans="1:27" x14ac:dyDescent="0.2">
      <c r="B76" s="89" t="s">
        <v>47</v>
      </c>
      <c r="I76" s="15">
        <f>GEOMEAN(I19:I34)</f>
        <v>23.125531948912265</v>
      </c>
      <c r="J76" s="15">
        <f>GEOMEAN(J19:J34)</f>
        <v>40.497798467539205</v>
      </c>
      <c r="Q76" s="15">
        <f>GEOMEAN(Q19:Q34)</f>
        <v>22.547280326978214</v>
      </c>
      <c r="R76" s="15">
        <f>GEOMEAN(R19:R34)</f>
        <v>39.929823991046263</v>
      </c>
      <c r="S76" s="15">
        <f>GEOMEAN(S19:S34)</f>
        <v>0.98597517647908195</v>
      </c>
      <c r="T76" s="15">
        <f>GEOMEAN(T19:T34)</f>
        <v>0.97499509964953479</v>
      </c>
      <c r="V76" s="38">
        <f>AVERAGE(V19:V34)</f>
        <v>-3.7119793400183787E-4</v>
      </c>
      <c r="W76" s="25">
        <f t="shared" ref="W76:AA76" si="18">AVERAGE(W19:W34)</f>
        <v>-2.3605851778476517E-3</v>
      </c>
      <c r="X76" s="25">
        <f t="shared" si="18"/>
        <v>-2.0377764335199888E-3</v>
      </c>
      <c r="Y76" s="38">
        <f t="shared" si="18"/>
        <v>-3.216197827581313E-4</v>
      </c>
      <c r="Z76" s="25">
        <f t="shared" si="18"/>
        <v>-2.4323592043344056E-3</v>
      </c>
      <c r="AA76" s="50">
        <f t="shared" si="18"/>
        <v>-2.0256173363211727E-3</v>
      </c>
    </row>
    <row r="77" spans="1:27" x14ac:dyDescent="0.2">
      <c r="B77" s="89" t="s">
        <v>51</v>
      </c>
      <c r="I77" s="15">
        <f>GEOMEAN(I35:I50)</f>
        <v>8.0549494188567383</v>
      </c>
      <c r="J77" s="15">
        <f>GEOMEAN(J35:J50)</f>
        <v>12.205583891425194</v>
      </c>
      <c r="Q77" s="15">
        <f>GEOMEAN(Q35:Q50)</f>
        <v>7.9923256635712914</v>
      </c>
      <c r="R77" s="15">
        <f>GEOMEAN(R35:R50)</f>
        <v>12.129455976477372</v>
      </c>
      <c r="S77" s="15">
        <f>GEOMEAN(S35:S50)</f>
        <v>0.9937628616848635</v>
      </c>
      <c r="T77" s="15">
        <f>GEOMEAN(T35:T50)</f>
        <v>0.99222543159130894</v>
      </c>
      <c r="V77" s="38">
        <f>AVERAGE(V35:V50)</f>
        <v>-3.2206887808333695E-5</v>
      </c>
      <c r="W77" s="25">
        <f t="shared" ref="W77:AA77" si="19">AVERAGE(W35:W50)</f>
        <v>-4.3460243066284765E-3</v>
      </c>
      <c r="X77" s="25">
        <f t="shared" si="19"/>
        <v>-5.3187564389977904E-3</v>
      </c>
      <c r="Y77" s="38">
        <f t="shared" si="19"/>
        <v>-5.3762880814267611E-5</v>
      </c>
      <c r="Z77" s="25">
        <f t="shared" si="19"/>
        <v>-4.0930288677511473E-3</v>
      </c>
      <c r="AA77" s="50">
        <f t="shared" si="19"/>
        <v>5.4489695431244323E-3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15.496968195370279</v>
      </c>
      <c r="J80" s="54">
        <f xml:space="preserve"> GEOMEAN(J3:J50)</f>
        <v>24.972763047120267</v>
      </c>
      <c r="K80" s="4"/>
      <c r="L80" s="4"/>
      <c r="M80" s="4"/>
      <c r="N80" s="4"/>
      <c r="O80" s="4"/>
      <c r="P80" s="4"/>
      <c r="Q80" s="54">
        <f xml:space="preserve"> GEOMEAN(Q3:Q50)</f>
        <v>15.238554760940369</v>
      </c>
      <c r="R80" s="54">
        <f xml:space="preserve"> GEOMEAN(R3:R50)</f>
        <v>24.680720189200063</v>
      </c>
      <c r="S80" s="54">
        <f>GEOMEAN(S3:S50)</f>
        <v>0.98830554483021527</v>
      </c>
      <c r="T80" s="54">
        <f>GEOMEAN(T3:T50)</f>
        <v>0.98332490386686666</v>
      </c>
      <c r="U80" s="4"/>
      <c r="V80" s="41">
        <f>AVERAGE(V3:V50)</f>
        <v>-2.0082217260778781E-4</v>
      </c>
      <c r="W80" s="46">
        <f t="shared" ref="W80:AA80" si="23">AVERAGE(W3:W50)</f>
        <v>-1.3717308898390974E-3</v>
      </c>
      <c r="X80" s="47">
        <f t="shared" si="23"/>
        <v>-1.8553814579671073E-3</v>
      </c>
      <c r="Y80" s="46">
        <f t="shared" si="23"/>
        <v>-2.3043070148670575E-4</v>
      </c>
      <c r="Z80" s="46">
        <f t="shared" si="23"/>
        <v>-1.2715082144535521E-3</v>
      </c>
      <c r="AA80" s="47">
        <f t="shared" si="23"/>
        <v>1.7657779652712295E-3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984375" defaultRowHeight="11.4" x14ac:dyDescent="0.2"/>
  <cols>
    <col min="1" max="1" width="8.3984375" style="1" customWidth="1"/>
    <col min="2" max="2" width="14.8984375" style="1" customWidth="1"/>
    <col min="3" max="3" width="7.8984375" style="1" customWidth="1"/>
    <col min="4" max="4" width="9.8984375" style="1" customWidth="1"/>
    <col min="5" max="7" width="6.8984375" style="1" customWidth="1"/>
    <col min="8" max="10" width="8.8984375" style="1" customWidth="1"/>
    <col min="11" max="11" width="2.8984375" style="1" customWidth="1"/>
    <col min="12" max="12" width="9.8984375" style="1" customWidth="1"/>
    <col min="13" max="15" width="6.8984375" style="1" customWidth="1"/>
    <col min="16" max="18" width="8.8984375" style="1" customWidth="1"/>
    <col min="19" max="20" width="5.09765625" style="1" customWidth="1"/>
    <col min="21" max="21" width="2.8984375" style="1" customWidth="1"/>
    <col min="22" max="27" width="8.8984375" style="1" customWidth="1"/>
    <col min="28" max="16384" width="10.8984375" style="1"/>
  </cols>
  <sheetData>
    <row r="1" spans="1:27" ht="12.6" thickBot="1" x14ac:dyDescent="0.3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J288"/>
  <sheetViews>
    <sheetView topLeftCell="A139" workbookViewId="0">
      <selection activeCell="B145" sqref="B145:J192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76202.309200000003</v>
      </c>
      <c r="C1">
        <v>40.811</v>
      </c>
      <c r="D1">
        <v>49.245199999999997</v>
      </c>
      <c r="E1">
        <v>47.749400000000001</v>
      </c>
      <c r="F1">
        <v>126495.07</v>
      </c>
      <c r="G1">
        <v>24.343</v>
      </c>
      <c r="H1">
        <v>0</v>
      </c>
      <c r="I1" t="s">
        <v>565</v>
      </c>
      <c r="J1" t="s">
        <v>566</v>
      </c>
    </row>
    <row r="2" spans="1:10" x14ac:dyDescent="0.25">
      <c r="A2" s="141" t="s">
        <v>191</v>
      </c>
      <c r="B2">
        <v>41139.580499999996</v>
      </c>
      <c r="C2">
        <v>40.157699999999998</v>
      </c>
      <c r="D2">
        <v>48.549599999999998</v>
      </c>
      <c r="E2">
        <v>46.663200000000003</v>
      </c>
      <c r="F2">
        <v>70449.156000000003</v>
      </c>
      <c r="G2">
        <v>22.215</v>
      </c>
      <c r="H2">
        <v>0</v>
      </c>
      <c r="I2" t="s">
        <v>567</v>
      </c>
      <c r="J2" t="s">
        <v>568</v>
      </c>
    </row>
    <row r="3" spans="1:10" x14ac:dyDescent="0.25">
      <c r="A3" s="141" t="s">
        <v>192</v>
      </c>
      <c r="B3">
        <v>24713.215100000001</v>
      </c>
      <c r="C3">
        <v>39.433700000000002</v>
      </c>
      <c r="D3">
        <v>47.615099999999998</v>
      </c>
      <c r="E3">
        <v>45.389400000000002</v>
      </c>
      <c r="F3">
        <v>42653.370999999999</v>
      </c>
      <c r="G3">
        <v>20.670999999999999</v>
      </c>
      <c r="H3">
        <v>0</v>
      </c>
      <c r="I3" t="s">
        <v>569</v>
      </c>
      <c r="J3" t="s">
        <v>570</v>
      </c>
    </row>
    <row r="4" spans="1:10" x14ac:dyDescent="0.25">
      <c r="A4" s="141" t="s">
        <v>193</v>
      </c>
      <c r="B4">
        <v>14116.813</v>
      </c>
      <c r="C4">
        <v>38.220500000000001</v>
      </c>
      <c r="D4">
        <v>46.123199999999997</v>
      </c>
      <c r="E4">
        <v>43.593800000000002</v>
      </c>
      <c r="F4">
        <v>24508.84</v>
      </c>
      <c r="G4">
        <v>18.863</v>
      </c>
      <c r="H4">
        <v>0</v>
      </c>
      <c r="I4" t="s">
        <v>571</v>
      </c>
      <c r="J4" t="s">
        <v>572</v>
      </c>
    </row>
    <row r="5" spans="1:10" x14ac:dyDescent="0.25">
      <c r="A5" s="141" t="s">
        <v>194</v>
      </c>
      <c r="B5">
        <v>322485.86320000002</v>
      </c>
      <c r="C5">
        <v>44.758600000000001</v>
      </c>
      <c r="D5">
        <v>39.131500000000003</v>
      </c>
      <c r="E5">
        <v>39.621699999999997</v>
      </c>
      <c r="F5">
        <v>205007.59400000001</v>
      </c>
      <c r="G5">
        <v>37.497999999999998</v>
      </c>
      <c r="H5">
        <v>0</v>
      </c>
      <c r="I5" t="s">
        <v>581</v>
      </c>
      <c r="J5" t="s">
        <v>582</v>
      </c>
    </row>
    <row r="6" spans="1:10" x14ac:dyDescent="0.25">
      <c r="A6" s="141" t="s">
        <v>195</v>
      </c>
      <c r="B6">
        <v>205619.13680000001</v>
      </c>
      <c r="C6">
        <v>41.967700000000001</v>
      </c>
      <c r="D6">
        <v>36.638399999999997</v>
      </c>
      <c r="E6">
        <v>37.444800000000001</v>
      </c>
      <c r="F6">
        <v>158592.96900000001</v>
      </c>
      <c r="G6">
        <v>32.337000000000003</v>
      </c>
      <c r="H6">
        <v>0</v>
      </c>
      <c r="I6" t="s">
        <v>583</v>
      </c>
      <c r="J6" t="s">
        <v>584</v>
      </c>
    </row>
    <row r="7" spans="1:10" x14ac:dyDescent="0.25">
      <c r="A7" s="141" t="s">
        <v>196</v>
      </c>
      <c r="B7">
        <v>117444.0105</v>
      </c>
      <c r="C7">
        <v>38.709000000000003</v>
      </c>
      <c r="D7">
        <v>34.3626</v>
      </c>
      <c r="E7">
        <v>35.525500000000001</v>
      </c>
      <c r="F7">
        <v>120026.93799999999</v>
      </c>
      <c r="G7">
        <v>28.218</v>
      </c>
      <c r="H7">
        <v>0</v>
      </c>
      <c r="I7" t="s">
        <v>585</v>
      </c>
      <c r="J7" t="s">
        <v>586</v>
      </c>
    </row>
    <row r="8" spans="1:10" x14ac:dyDescent="0.25">
      <c r="A8" s="141" t="s">
        <v>197</v>
      </c>
      <c r="B8">
        <v>55569.347399999999</v>
      </c>
      <c r="C8">
        <v>35.227899999999998</v>
      </c>
      <c r="D8">
        <v>32.007800000000003</v>
      </c>
      <c r="E8">
        <v>33.7012</v>
      </c>
      <c r="F8">
        <v>79740</v>
      </c>
      <c r="G8">
        <v>23.673999999999999</v>
      </c>
      <c r="H8">
        <v>0</v>
      </c>
      <c r="I8" t="s">
        <v>587</v>
      </c>
      <c r="J8" t="s">
        <v>588</v>
      </c>
    </row>
    <row r="9" spans="1:10" x14ac:dyDescent="0.25">
      <c r="A9" s="141" t="s">
        <v>198</v>
      </c>
      <c r="B9">
        <v>124771.6042</v>
      </c>
      <c r="C9">
        <v>41.574300000000001</v>
      </c>
      <c r="D9">
        <v>44.012099999999997</v>
      </c>
      <c r="E9">
        <v>42.909799999999997</v>
      </c>
      <c r="F9">
        <v>168738.359</v>
      </c>
      <c r="G9">
        <v>31.353000000000002</v>
      </c>
      <c r="H9">
        <v>0</v>
      </c>
      <c r="I9" t="s">
        <v>573</v>
      </c>
      <c r="J9" t="s">
        <v>574</v>
      </c>
    </row>
    <row r="10" spans="1:10" x14ac:dyDescent="0.25">
      <c r="A10" s="141" t="s">
        <v>199</v>
      </c>
      <c r="B10">
        <v>55894.098899999997</v>
      </c>
      <c r="C10">
        <v>38.880299999999998</v>
      </c>
      <c r="D10">
        <v>41.386600000000001</v>
      </c>
      <c r="E10">
        <v>41.7851</v>
      </c>
      <c r="F10">
        <v>117629.117</v>
      </c>
      <c r="G10">
        <v>24.448</v>
      </c>
      <c r="H10">
        <v>0</v>
      </c>
      <c r="I10" t="s">
        <v>575</v>
      </c>
      <c r="J10" t="s">
        <v>576</v>
      </c>
    </row>
    <row r="11" spans="1:10" x14ac:dyDescent="0.25">
      <c r="A11" s="141" t="s">
        <v>200</v>
      </c>
      <c r="B11">
        <v>25285.1937</v>
      </c>
      <c r="C11">
        <v>37.308300000000003</v>
      </c>
      <c r="D11">
        <v>39.062800000000003</v>
      </c>
      <c r="E11">
        <v>40.705399999999997</v>
      </c>
      <c r="F11">
        <v>68208.858999999997</v>
      </c>
      <c r="G11">
        <v>19.984000000000002</v>
      </c>
      <c r="H11">
        <v>0</v>
      </c>
      <c r="I11" t="s">
        <v>577</v>
      </c>
      <c r="J11" t="s">
        <v>578</v>
      </c>
    </row>
    <row r="12" spans="1:10" x14ac:dyDescent="0.25">
      <c r="A12" s="141" t="s">
        <v>201</v>
      </c>
      <c r="B12">
        <v>12252.606299999999</v>
      </c>
      <c r="C12">
        <v>35.924399999999999</v>
      </c>
      <c r="D12">
        <v>36.3444</v>
      </c>
      <c r="E12">
        <v>39.223100000000002</v>
      </c>
      <c r="F12">
        <v>39994.839999999997</v>
      </c>
      <c r="G12">
        <v>17.588999999999999</v>
      </c>
      <c r="H12">
        <v>0</v>
      </c>
      <c r="I12" t="s">
        <v>579</v>
      </c>
      <c r="J12" t="s">
        <v>580</v>
      </c>
    </row>
    <row r="13" spans="1:10" x14ac:dyDescent="0.25">
      <c r="A13" s="141" t="s">
        <v>202</v>
      </c>
      <c r="B13">
        <v>177370.96419999999</v>
      </c>
      <c r="C13">
        <v>38.624200000000002</v>
      </c>
      <c r="D13">
        <v>45.659500000000001</v>
      </c>
      <c r="E13">
        <v>43.478000000000002</v>
      </c>
      <c r="F13">
        <v>200365.71900000001</v>
      </c>
      <c r="G13">
        <v>31.428999999999998</v>
      </c>
      <c r="H13">
        <v>0</v>
      </c>
      <c r="I13" t="s">
        <v>589</v>
      </c>
      <c r="J13" t="s">
        <v>590</v>
      </c>
    </row>
    <row r="14" spans="1:10" x14ac:dyDescent="0.25">
      <c r="A14" s="141" t="s">
        <v>203</v>
      </c>
      <c r="B14">
        <v>86182.433699999994</v>
      </c>
      <c r="C14">
        <v>37.677599999999998</v>
      </c>
      <c r="D14">
        <v>44.793999999999997</v>
      </c>
      <c r="E14">
        <v>42.493400000000001</v>
      </c>
      <c r="F14">
        <v>125103.82799999999</v>
      </c>
      <c r="G14">
        <v>25.501000000000001</v>
      </c>
      <c r="H14">
        <v>0</v>
      </c>
      <c r="I14" t="s">
        <v>591</v>
      </c>
      <c r="J14" t="s">
        <v>592</v>
      </c>
    </row>
    <row r="15" spans="1:10" x14ac:dyDescent="0.25">
      <c r="A15" s="141" t="s">
        <v>204</v>
      </c>
      <c r="B15">
        <v>49710.378900000003</v>
      </c>
      <c r="C15">
        <v>36.759099999999997</v>
      </c>
      <c r="D15">
        <v>43.830100000000002</v>
      </c>
      <c r="E15">
        <v>41.468299999999999</v>
      </c>
      <c r="F15">
        <v>81726.085999999996</v>
      </c>
      <c r="G15">
        <v>22.148</v>
      </c>
      <c r="H15">
        <v>0</v>
      </c>
      <c r="I15" t="s">
        <v>593</v>
      </c>
      <c r="J15" t="s">
        <v>594</v>
      </c>
    </row>
    <row r="16" spans="1:10" x14ac:dyDescent="0.25">
      <c r="A16" s="141" t="s">
        <v>205</v>
      </c>
      <c r="B16">
        <v>26284.4211</v>
      </c>
      <c r="C16">
        <v>35.2605</v>
      </c>
      <c r="D16">
        <v>42.428100000000001</v>
      </c>
      <c r="E16">
        <v>40.2164</v>
      </c>
      <c r="F16">
        <v>48011.504000000001</v>
      </c>
      <c r="G16">
        <v>19.384</v>
      </c>
      <c r="H16">
        <v>0</v>
      </c>
      <c r="I16" t="s">
        <v>595</v>
      </c>
      <c r="J16" t="s">
        <v>596</v>
      </c>
    </row>
    <row r="17" spans="1:10" x14ac:dyDescent="0.25">
      <c r="A17" s="141" t="s">
        <v>94</v>
      </c>
      <c r="B17">
        <v>67494.945999999996</v>
      </c>
      <c r="C17">
        <v>39.563000000000002</v>
      </c>
      <c r="D17">
        <v>40.538800000000002</v>
      </c>
      <c r="E17">
        <v>43.534300000000002</v>
      </c>
      <c r="F17">
        <v>87874.616999999998</v>
      </c>
      <c r="G17">
        <v>16.169</v>
      </c>
      <c r="H17">
        <v>0</v>
      </c>
      <c r="I17" t="s">
        <v>541</v>
      </c>
      <c r="J17" t="s">
        <v>542</v>
      </c>
    </row>
    <row r="18" spans="1:10" x14ac:dyDescent="0.25">
      <c r="A18" s="141" t="s">
        <v>95</v>
      </c>
      <c r="B18">
        <v>40264.393700000001</v>
      </c>
      <c r="C18">
        <v>37.929099999999998</v>
      </c>
      <c r="D18">
        <v>39.567500000000003</v>
      </c>
      <c r="E18">
        <v>42.1432</v>
      </c>
      <c r="F18">
        <v>65833.429999999993</v>
      </c>
      <c r="G18">
        <v>13.228999999999999</v>
      </c>
      <c r="H18">
        <v>0</v>
      </c>
      <c r="I18" t="s">
        <v>543</v>
      </c>
      <c r="J18" t="s">
        <v>544</v>
      </c>
    </row>
    <row r="19" spans="1:10" x14ac:dyDescent="0.25">
      <c r="A19" s="141" t="s">
        <v>96</v>
      </c>
      <c r="B19">
        <v>23215.707900000001</v>
      </c>
      <c r="C19">
        <v>36.014099999999999</v>
      </c>
      <c r="D19">
        <v>38.716099999999997</v>
      </c>
      <c r="E19">
        <v>40.761899999999997</v>
      </c>
      <c r="F19">
        <v>49034.921999999999</v>
      </c>
      <c r="G19">
        <v>11.249000000000001</v>
      </c>
      <c r="H19">
        <v>0</v>
      </c>
      <c r="I19" t="s">
        <v>545</v>
      </c>
      <c r="J19" t="s">
        <v>546</v>
      </c>
    </row>
    <row r="20" spans="1:10" x14ac:dyDescent="0.25">
      <c r="A20" s="141" t="s">
        <v>97</v>
      </c>
      <c r="B20">
        <v>11832.412700000001</v>
      </c>
      <c r="C20">
        <v>33.539200000000001</v>
      </c>
      <c r="D20">
        <v>37.526800000000001</v>
      </c>
      <c r="E20">
        <v>38.918700000000001</v>
      </c>
      <c r="F20">
        <v>33282.241999999998</v>
      </c>
      <c r="G20">
        <v>9.5489999999999995</v>
      </c>
      <c r="H20">
        <v>0</v>
      </c>
      <c r="I20" t="s">
        <v>547</v>
      </c>
      <c r="J20" t="s">
        <v>548</v>
      </c>
    </row>
    <row r="21" spans="1:10" x14ac:dyDescent="0.25">
      <c r="A21" s="141" t="s">
        <v>98</v>
      </c>
      <c r="B21">
        <v>42267.911099999998</v>
      </c>
      <c r="C21">
        <v>40.197000000000003</v>
      </c>
      <c r="D21">
        <v>44.213000000000001</v>
      </c>
      <c r="E21">
        <v>45.685099999999998</v>
      </c>
      <c r="F21">
        <v>74594.233999999997</v>
      </c>
      <c r="G21">
        <v>13.44</v>
      </c>
      <c r="H21">
        <v>0</v>
      </c>
      <c r="I21" t="s">
        <v>533</v>
      </c>
      <c r="J21" t="s">
        <v>534</v>
      </c>
    </row>
    <row r="22" spans="1:10" x14ac:dyDescent="0.25">
      <c r="A22" s="141" t="s">
        <v>99</v>
      </c>
      <c r="B22">
        <v>22922.736499999999</v>
      </c>
      <c r="C22">
        <v>38.721800000000002</v>
      </c>
      <c r="D22">
        <v>43.267299999999999</v>
      </c>
      <c r="E22">
        <v>44.241100000000003</v>
      </c>
      <c r="F22">
        <v>51717.913999999997</v>
      </c>
      <c r="G22">
        <v>11.156000000000001</v>
      </c>
      <c r="H22">
        <v>0</v>
      </c>
      <c r="I22" t="s">
        <v>535</v>
      </c>
      <c r="J22" t="s">
        <v>536</v>
      </c>
    </row>
    <row r="23" spans="1:10" x14ac:dyDescent="0.25">
      <c r="A23" s="141" t="s">
        <v>100</v>
      </c>
      <c r="B23">
        <v>12964.0762</v>
      </c>
      <c r="C23">
        <v>37.282600000000002</v>
      </c>
      <c r="D23">
        <v>42.193399999999997</v>
      </c>
      <c r="E23">
        <v>42.682499999999997</v>
      </c>
      <c r="F23">
        <v>35603.074000000001</v>
      </c>
      <c r="G23">
        <v>9.8030000000000008</v>
      </c>
      <c r="H23">
        <v>0</v>
      </c>
      <c r="I23" t="s">
        <v>537</v>
      </c>
      <c r="J23" t="s">
        <v>538</v>
      </c>
    </row>
    <row r="24" spans="1:10" x14ac:dyDescent="0.25">
      <c r="A24" s="141" t="s">
        <v>101</v>
      </c>
      <c r="B24">
        <v>6928.9396999999999</v>
      </c>
      <c r="C24">
        <v>35.361499999999999</v>
      </c>
      <c r="D24">
        <v>40.691000000000003</v>
      </c>
      <c r="E24">
        <v>40.660200000000003</v>
      </c>
      <c r="F24">
        <v>22670.300999999999</v>
      </c>
      <c r="G24">
        <v>8.6890000000000001</v>
      </c>
      <c r="H24">
        <v>0</v>
      </c>
      <c r="I24" t="s">
        <v>539</v>
      </c>
      <c r="J24" t="s">
        <v>540</v>
      </c>
    </row>
    <row r="25" spans="1:10" x14ac:dyDescent="0.25">
      <c r="A25" s="141" t="s">
        <v>206</v>
      </c>
      <c r="B25">
        <v>64671.494400000003</v>
      </c>
      <c r="C25">
        <v>41.737299999999998</v>
      </c>
      <c r="D25">
        <v>44.441200000000002</v>
      </c>
      <c r="E25">
        <v>45.163499999999999</v>
      </c>
      <c r="F25">
        <v>90834.445000000007</v>
      </c>
      <c r="G25">
        <v>16.395</v>
      </c>
      <c r="H25">
        <v>0</v>
      </c>
      <c r="I25" t="s">
        <v>549</v>
      </c>
      <c r="J25" t="s">
        <v>550</v>
      </c>
    </row>
    <row r="26" spans="1:10" x14ac:dyDescent="0.25">
      <c r="A26" s="141" t="s">
        <v>207</v>
      </c>
      <c r="B26">
        <v>41712.6656</v>
      </c>
      <c r="C26">
        <v>39.930900000000001</v>
      </c>
      <c r="D26">
        <v>43.0349</v>
      </c>
      <c r="E26">
        <v>43.9268</v>
      </c>
      <c r="F26">
        <v>69232.633000000002</v>
      </c>
      <c r="G26">
        <v>14.532</v>
      </c>
      <c r="H26">
        <v>0</v>
      </c>
      <c r="I26" t="s">
        <v>551</v>
      </c>
      <c r="J26" t="s">
        <v>552</v>
      </c>
    </row>
    <row r="27" spans="1:10" x14ac:dyDescent="0.25">
      <c r="A27" s="141" t="s">
        <v>208</v>
      </c>
      <c r="B27">
        <v>24533.356800000001</v>
      </c>
      <c r="C27">
        <v>37.703699999999998</v>
      </c>
      <c r="D27">
        <v>41.734000000000002</v>
      </c>
      <c r="E27">
        <v>42.630400000000002</v>
      </c>
      <c r="F27">
        <v>48662.48</v>
      </c>
      <c r="G27">
        <v>12.244</v>
      </c>
      <c r="H27">
        <v>0</v>
      </c>
      <c r="I27" t="s">
        <v>553</v>
      </c>
      <c r="J27" t="s">
        <v>554</v>
      </c>
    </row>
    <row r="28" spans="1:10" x14ac:dyDescent="0.25">
      <c r="A28" s="141" t="s">
        <v>209</v>
      </c>
      <c r="B28">
        <v>12379.712</v>
      </c>
      <c r="C28">
        <v>35.008899999999997</v>
      </c>
      <c r="D28">
        <v>40.169499999999999</v>
      </c>
      <c r="E28">
        <v>41.012300000000003</v>
      </c>
      <c r="F28">
        <v>31388.088</v>
      </c>
      <c r="G28">
        <v>10.683</v>
      </c>
      <c r="H28">
        <v>0</v>
      </c>
      <c r="I28" t="s">
        <v>555</v>
      </c>
      <c r="J28" t="s">
        <v>556</v>
      </c>
    </row>
    <row r="29" spans="1:10" x14ac:dyDescent="0.25">
      <c r="A29" s="141" t="s">
        <v>210</v>
      </c>
      <c r="B29">
        <v>39540.6976</v>
      </c>
      <c r="C29">
        <v>44.935200000000002</v>
      </c>
      <c r="D29">
        <v>47.607900000000001</v>
      </c>
      <c r="E29">
        <v>48.338799999999999</v>
      </c>
      <c r="F29">
        <v>62333.836000000003</v>
      </c>
      <c r="G29">
        <v>14.702</v>
      </c>
      <c r="H29">
        <v>0</v>
      </c>
      <c r="I29" t="s">
        <v>557</v>
      </c>
      <c r="J29" t="s">
        <v>558</v>
      </c>
    </row>
    <row r="30" spans="1:10" x14ac:dyDescent="0.25">
      <c r="A30" s="141" t="s">
        <v>211</v>
      </c>
      <c r="B30">
        <v>26056.460800000001</v>
      </c>
      <c r="C30">
        <v>42.767699999999998</v>
      </c>
      <c r="D30">
        <v>46.0075</v>
      </c>
      <c r="E30">
        <v>46.536099999999998</v>
      </c>
      <c r="F30">
        <v>49645.586000000003</v>
      </c>
      <c r="G30">
        <v>12.916</v>
      </c>
      <c r="H30">
        <v>0</v>
      </c>
      <c r="I30" t="s">
        <v>559</v>
      </c>
      <c r="J30" t="s">
        <v>560</v>
      </c>
    </row>
    <row r="31" spans="1:10" x14ac:dyDescent="0.25">
      <c r="A31" s="141" t="s">
        <v>212</v>
      </c>
      <c r="B31">
        <v>15441.3696</v>
      </c>
      <c r="C31">
        <v>40.0809</v>
      </c>
      <c r="D31">
        <v>44.455599999999997</v>
      </c>
      <c r="E31">
        <v>44.716099999999997</v>
      </c>
      <c r="F31">
        <v>37633.656000000003</v>
      </c>
      <c r="G31">
        <v>11.369</v>
      </c>
      <c r="H31">
        <v>0</v>
      </c>
      <c r="I31" t="s">
        <v>561</v>
      </c>
      <c r="J31" t="s">
        <v>562</v>
      </c>
    </row>
    <row r="32" spans="1:10" x14ac:dyDescent="0.25">
      <c r="A32" s="141" t="s">
        <v>213</v>
      </c>
      <c r="B32">
        <v>8055.1296000000002</v>
      </c>
      <c r="C32">
        <v>37.008699999999997</v>
      </c>
      <c r="D32">
        <v>42.448500000000003</v>
      </c>
      <c r="E32">
        <v>42.4863</v>
      </c>
      <c r="F32">
        <v>23609.035</v>
      </c>
      <c r="G32">
        <v>9.8040000000000003</v>
      </c>
      <c r="H32">
        <v>0</v>
      </c>
      <c r="I32" t="s">
        <v>563</v>
      </c>
      <c r="J32" t="s">
        <v>564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51957.457000000002</v>
      </c>
      <c r="G33">
        <v>9.4280000000000008</v>
      </c>
      <c r="H33">
        <v>0</v>
      </c>
      <c r="I33" t="s">
        <v>501</v>
      </c>
      <c r="J33" t="s">
        <v>502</v>
      </c>
    </row>
    <row r="34" spans="1:10" x14ac:dyDescent="0.25">
      <c r="A34" s="141" t="s">
        <v>103</v>
      </c>
      <c r="B34">
        <v>36759.296000000002</v>
      </c>
      <c r="C34">
        <v>38.811300000000003</v>
      </c>
      <c r="D34">
        <v>44.322299999999998</v>
      </c>
      <c r="E34">
        <v>44.660899999999998</v>
      </c>
      <c r="F34">
        <v>45086.675999999999</v>
      </c>
      <c r="G34">
        <v>8.2520000000000007</v>
      </c>
      <c r="H34">
        <v>0</v>
      </c>
      <c r="I34" t="s">
        <v>503</v>
      </c>
      <c r="J34" t="s">
        <v>504</v>
      </c>
    </row>
    <row r="35" spans="1:10" x14ac:dyDescent="0.25">
      <c r="A35" s="141" t="s">
        <v>104</v>
      </c>
      <c r="B35">
        <v>21831.2448</v>
      </c>
      <c r="C35">
        <v>35.423699999999997</v>
      </c>
      <c r="D35">
        <v>42.871499999999997</v>
      </c>
      <c r="E35">
        <v>43.200699999999998</v>
      </c>
      <c r="F35">
        <v>36714.366999999998</v>
      </c>
      <c r="G35">
        <v>7.0439999999999996</v>
      </c>
      <c r="H35">
        <v>0</v>
      </c>
      <c r="I35" t="s">
        <v>505</v>
      </c>
      <c r="J35" t="s">
        <v>506</v>
      </c>
    </row>
    <row r="36" spans="1:10" x14ac:dyDescent="0.25">
      <c r="A36" s="141" t="s">
        <v>105</v>
      </c>
      <c r="B36">
        <v>10756.2176</v>
      </c>
      <c r="C36">
        <v>31.796500000000002</v>
      </c>
      <c r="D36">
        <v>41.5002</v>
      </c>
      <c r="E36">
        <v>41.678800000000003</v>
      </c>
      <c r="F36">
        <v>26776.437999999998</v>
      </c>
      <c r="G36">
        <v>5.7489999999999997</v>
      </c>
      <c r="H36">
        <v>0</v>
      </c>
      <c r="I36" t="s">
        <v>507</v>
      </c>
      <c r="J36" t="s">
        <v>508</v>
      </c>
    </row>
    <row r="37" spans="1:10" x14ac:dyDescent="0.25">
      <c r="A37" s="141" t="s">
        <v>106</v>
      </c>
      <c r="B37">
        <v>20107.385600000001</v>
      </c>
      <c r="C37">
        <v>42.69</v>
      </c>
      <c r="D37">
        <v>45.481200000000001</v>
      </c>
      <c r="E37">
        <v>47.031799999999997</v>
      </c>
      <c r="F37">
        <v>34313.355000000003</v>
      </c>
      <c r="G37">
        <v>6.4329999999999998</v>
      </c>
      <c r="H37">
        <v>0</v>
      </c>
      <c r="I37" t="s">
        <v>509</v>
      </c>
      <c r="J37" t="s">
        <v>510</v>
      </c>
    </row>
    <row r="38" spans="1:10" x14ac:dyDescent="0.25">
      <c r="A38" s="141" t="s">
        <v>107</v>
      </c>
      <c r="B38">
        <v>11409.843199999999</v>
      </c>
      <c r="C38">
        <v>40.6663</v>
      </c>
      <c r="D38">
        <v>44.567500000000003</v>
      </c>
      <c r="E38">
        <v>45.400300000000001</v>
      </c>
      <c r="F38">
        <v>26866.423999999999</v>
      </c>
      <c r="G38">
        <v>5.6310000000000002</v>
      </c>
      <c r="H38">
        <v>0</v>
      </c>
      <c r="I38" t="s">
        <v>511</v>
      </c>
      <c r="J38" t="s">
        <v>512</v>
      </c>
    </row>
    <row r="39" spans="1:10" x14ac:dyDescent="0.25">
      <c r="A39" s="141" t="s">
        <v>108</v>
      </c>
      <c r="B39">
        <v>6331.4687999999996</v>
      </c>
      <c r="C39">
        <v>38.6648</v>
      </c>
      <c r="D39">
        <v>43.620399999999997</v>
      </c>
      <c r="E39">
        <v>43.6327</v>
      </c>
      <c r="F39">
        <v>17442.976999999999</v>
      </c>
      <c r="G39">
        <v>4.8869999999999996</v>
      </c>
      <c r="H39">
        <v>0</v>
      </c>
      <c r="I39" t="s">
        <v>513</v>
      </c>
      <c r="J39" t="s">
        <v>514</v>
      </c>
    </row>
    <row r="40" spans="1:10" x14ac:dyDescent="0.25">
      <c r="A40" s="141" t="s">
        <v>109</v>
      </c>
      <c r="B40">
        <v>3230.4895999999999</v>
      </c>
      <c r="C40">
        <v>36.290999999999997</v>
      </c>
      <c r="D40">
        <v>42.315899999999999</v>
      </c>
      <c r="E40">
        <v>41.464500000000001</v>
      </c>
      <c r="F40">
        <v>10783.253000000001</v>
      </c>
      <c r="G40">
        <v>4.2549999999999999</v>
      </c>
      <c r="H40">
        <v>0</v>
      </c>
      <c r="I40" t="s">
        <v>515</v>
      </c>
      <c r="J40" t="s">
        <v>516</v>
      </c>
    </row>
    <row r="41" spans="1:10" x14ac:dyDescent="0.25">
      <c r="A41" s="141" t="s">
        <v>110</v>
      </c>
      <c r="B41">
        <v>15114.5152</v>
      </c>
      <c r="C41">
        <v>44.225700000000003</v>
      </c>
      <c r="D41">
        <v>47.0792</v>
      </c>
      <c r="E41">
        <v>47.969700000000003</v>
      </c>
      <c r="F41">
        <v>27344.398000000001</v>
      </c>
      <c r="G41">
        <v>6.1710000000000003</v>
      </c>
      <c r="H41">
        <v>0</v>
      </c>
      <c r="I41" t="s">
        <v>517</v>
      </c>
      <c r="J41" t="s">
        <v>518</v>
      </c>
    </row>
    <row r="42" spans="1:10" x14ac:dyDescent="0.25">
      <c r="A42" s="141" t="s">
        <v>111</v>
      </c>
      <c r="B42">
        <v>10258.822399999999</v>
      </c>
      <c r="C42">
        <v>42.495899999999999</v>
      </c>
      <c r="D42">
        <v>45.927500000000002</v>
      </c>
      <c r="E42">
        <v>46.6449</v>
      </c>
      <c r="F42">
        <v>21491.921999999999</v>
      </c>
      <c r="G42">
        <v>5.5860000000000003</v>
      </c>
      <c r="H42">
        <v>0</v>
      </c>
      <c r="I42" t="s">
        <v>519</v>
      </c>
      <c r="J42" t="s">
        <v>520</v>
      </c>
    </row>
    <row r="43" spans="1:10" x14ac:dyDescent="0.25">
      <c r="A43" s="141" t="s">
        <v>112</v>
      </c>
      <c r="B43">
        <v>6478.7071999999998</v>
      </c>
      <c r="C43">
        <v>40.162300000000002</v>
      </c>
      <c r="D43">
        <v>44.5916</v>
      </c>
      <c r="E43">
        <v>45.1053</v>
      </c>
      <c r="F43">
        <v>16863.713</v>
      </c>
      <c r="G43">
        <v>5.3860000000000001</v>
      </c>
      <c r="H43">
        <v>0</v>
      </c>
      <c r="I43" t="s">
        <v>521</v>
      </c>
      <c r="J43" t="s">
        <v>522</v>
      </c>
    </row>
    <row r="44" spans="1:10" x14ac:dyDescent="0.25">
      <c r="A44" s="141" t="s">
        <v>113</v>
      </c>
      <c r="B44">
        <v>3752.7359999999999</v>
      </c>
      <c r="C44">
        <v>37.174399999999999</v>
      </c>
      <c r="D44">
        <v>42.877600000000001</v>
      </c>
      <c r="E44">
        <v>43.065100000000001</v>
      </c>
      <c r="F44">
        <v>10783.79</v>
      </c>
      <c r="G44">
        <v>4.5869999999999997</v>
      </c>
      <c r="H44">
        <v>0</v>
      </c>
      <c r="I44" t="s">
        <v>523</v>
      </c>
      <c r="J44" t="s">
        <v>524</v>
      </c>
    </row>
    <row r="45" spans="1:10" x14ac:dyDescent="0.25">
      <c r="A45" s="141" t="s">
        <v>114</v>
      </c>
      <c r="B45">
        <v>16384.947199999999</v>
      </c>
      <c r="C45">
        <v>44.169199999999996</v>
      </c>
      <c r="D45">
        <v>48.808399999999999</v>
      </c>
      <c r="E45">
        <v>48.461799999999997</v>
      </c>
      <c r="F45">
        <v>27911.768</v>
      </c>
      <c r="G45">
        <v>6.0940000000000003</v>
      </c>
      <c r="H45">
        <v>0</v>
      </c>
      <c r="I45" t="s">
        <v>525</v>
      </c>
      <c r="J45" t="s">
        <v>526</v>
      </c>
    </row>
    <row r="46" spans="1:10" x14ac:dyDescent="0.25">
      <c r="A46" s="141" t="s">
        <v>115</v>
      </c>
      <c r="B46">
        <v>11391.315199999999</v>
      </c>
      <c r="C46">
        <v>42.431699999999999</v>
      </c>
      <c r="D46">
        <v>47.805</v>
      </c>
      <c r="E46">
        <v>46.991999999999997</v>
      </c>
      <c r="F46">
        <v>21917.988000000001</v>
      </c>
      <c r="G46">
        <v>5.3049999999999997</v>
      </c>
      <c r="H46">
        <v>0</v>
      </c>
      <c r="I46" t="s">
        <v>527</v>
      </c>
      <c r="J46" t="s">
        <v>528</v>
      </c>
    </row>
    <row r="47" spans="1:10" x14ac:dyDescent="0.25">
      <c r="A47" s="141" t="s">
        <v>116</v>
      </c>
      <c r="B47">
        <v>7412.5951999999997</v>
      </c>
      <c r="C47">
        <v>40.051200000000001</v>
      </c>
      <c r="D47">
        <v>46.616399999999999</v>
      </c>
      <c r="E47">
        <v>45.3123</v>
      </c>
      <c r="F47">
        <v>16249.713</v>
      </c>
      <c r="G47">
        <v>4.8159999999999998</v>
      </c>
      <c r="H47">
        <v>0</v>
      </c>
      <c r="I47" t="s">
        <v>529</v>
      </c>
      <c r="J47" t="s">
        <v>530</v>
      </c>
    </row>
    <row r="48" spans="1:10" x14ac:dyDescent="0.25">
      <c r="A48" s="141" t="s">
        <v>117</v>
      </c>
      <c r="B48">
        <v>4304.9215999999997</v>
      </c>
      <c r="C48">
        <v>36.829799999999999</v>
      </c>
      <c r="D48">
        <v>44.759900000000002</v>
      </c>
      <c r="E48">
        <v>42.994399999999999</v>
      </c>
      <c r="F48">
        <v>11327.239</v>
      </c>
      <c r="G48">
        <v>4.0960000000000001</v>
      </c>
      <c r="H48">
        <v>0</v>
      </c>
      <c r="I48" t="s">
        <v>531</v>
      </c>
      <c r="J48" t="s">
        <v>532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14739.951999999999</v>
      </c>
      <c r="C73">
        <v>40.090600000000002</v>
      </c>
      <c r="D73">
        <v>49.065600000000003</v>
      </c>
      <c r="E73">
        <v>47.050600000000003</v>
      </c>
      <c r="F73">
        <v>369153.63500000001</v>
      </c>
      <c r="G73">
        <v>56.688000000000002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6721.8519999999999</v>
      </c>
      <c r="C74">
        <v>39.600200000000001</v>
      </c>
      <c r="D74">
        <v>48.478900000000003</v>
      </c>
      <c r="E74">
        <v>46.146099999999997</v>
      </c>
      <c r="F74">
        <v>204296.63699999999</v>
      </c>
      <c r="G74">
        <v>53.082999999999998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3646.4560000000001</v>
      </c>
      <c r="C75">
        <v>38.7605</v>
      </c>
      <c r="D75">
        <v>47.662599999999998</v>
      </c>
      <c r="E75">
        <v>44.913499999999999</v>
      </c>
      <c r="F75">
        <v>101148.323</v>
      </c>
      <c r="G75">
        <v>46.23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1927.6320000000001</v>
      </c>
      <c r="C76">
        <v>37.268500000000003</v>
      </c>
      <c r="D76">
        <v>46.2883</v>
      </c>
      <c r="E76">
        <v>43.203299999999999</v>
      </c>
      <c r="F76">
        <v>51295.05</v>
      </c>
      <c r="G76">
        <v>42.253999999999998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75668.42</v>
      </c>
      <c r="C77">
        <v>41.653500000000001</v>
      </c>
      <c r="D77">
        <v>36.4818</v>
      </c>
      <c r="E77">
        <v>37.613700000000001</v>
      </c>
      <c r="F77">
        <v>653077.83799999999</v>
      </c>
      <c r="G77">
        <v>63.898000000000003</v>
      </c>
      <c r="H77">
        <v>0</v>
      </c>
      <c r="I77" t="s">
        <v>693</v>
      </c>
      <c r="J77" t="s">
        <v>486</v>
      </c>
    </row>
    <row r="78" spans="1:10" x14ac:dyDescent="0.25">
      <c r="A78" s="141" t="s">
        <v>227</v>
      </c>
      <c r="B78">
        <v>39114.076000000001</v>
      </c>
      <c r="C78">
        <v>39.051000000000002</v>
      </c>
      <c r="D78">
        <v>34.553400000000003</v>
      </c>
      <c r="E78">
        <v>35.9604</v>
      </c>
      <c r="F78">
        <v>448544.88400000002</v>
      </c>
      <c r="G78">
        <v>56.965000000000003</v>
      </c>
      <c r="H78">
        <v>0</v>
      </c>
      <c r="I78" t="s">
        <v>487</v>
      </c>
      <c r="J78" t="s">
        <v>488</v>
      </c>
    </row>
    <row r="79" spans="1:10" x14ac:dyDescent="0.25">
      <c r="A79" s="141" t="s">
        <v>228</v>
      </c>
      <c r="B79">
        <v>18780.227999999999</v>
      </c>
      <c r="C79">
        <v>36.142899999999997</v>
      </c>
      <c r="D79">
        <v>32.922600000000003</v>
      </c>
      <c r="E79">
        <v>34.591099999999997</v>
      </c>
      <c r="F79">
        <v>282157.97899999999</v>
      </c>
      <c r="G79">
        <v>52.228999999999999</v>
      </c>
      <c r="H79">
        <v>0</v>
      </c>
      <c r="I79" t="s">
        <v>489</v>
      </c>
      <c r="J79" t="s">
        <v>490</v>
      </c>
    </row>
    <row r="80" spans="1:10" x14ac:dyDescent="0.25">
      <c r="A80" s="141" t="s">
        <v>229</v>
      </c>
      <c r="B80">
        <v>7753.7479999999996</v>
      </c>
      <c r="C80">
        <v>33.0886</v>
      </c>
      <c r="D80">
        <v>31.2621</v>
      </c>
      <c r="E80">
        <v>33.166600000000003</v>
      </c>
      <c r="F80">
        <v>159678.601</v>
      </c>
      <c r="G80">
        <v>47.451999999999998</v>
      </c>
      <c r="H80">
        <v>0</v>
      </c>
      <c r="I80" t="s">
        <v>491</v>
      </c>
      <c r="J80" t="s">
        <v>492</v>
      </c>
    </row>
    <row r="81" spans="1:10" x14ac:dyDescent="0.25">
      <c r="A81" s="141" t="s">
        <v>230</v>
      </c>
      <c r="B81">
        <v>37735.883999999998</v>
      </c>
      <c r="C81">
        <v>38.306600000000003</v>
      </c>
      <c r="D81">
        <v>40.466700000000003</v>
      </c>
      <c r="E81">
        <v>41.549399999999999</v>
      </c>
      <c r="F81">
        <v>386094.49800000002</v>
      </c>
      <c r="G81">
        <v>35.119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18415.944</v>
      </c>
      <c r="C82">
        <v>37.198799999999999</v>
      </c>
      <c r="D82">
        <v>37.919600000000003</v>
      </c>
      <c r="E82">
        <v>40.338299999999997</v>
      </c>
      <c r="F82">
        <v>235834.16399999999</v>
      </c>
      <c r="G82">
        <v>31.99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9148.2080000000005</v>
      </c>
      <c r="C83">
        <v>35.837499999999999</v>
      </c>
      <c r="D83">
        <v>35.709000000000003</v>
      </c>
      <c r="E83">
        <v>39.027099999999997</v>
      </c>
      <c r="F83">
        <v>141118.21100000001</v>
      </c>
      <c r="G83">
        <v>26.774999999999999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4625.2560000000003</v>
      </c>
      <c r="C84">
        <v>33.999000000000002</v>
      </c>
      <c r="D84">
        <v>33.811999999999998</v>
      </c>
      <c r="E84">
        <v>37.465699999999998</v>
      </c>
      <c r="F84">
        <v>80494.562999999995</v>
      </c>
      <c r="G84">
        <v>23.664999999999999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26242.991999999998</v>
      </c>
      <c r="C85">
        <v>37.639400000000002</v>
      </c>
      <c r="D85">
        <v>45.337200000000003</v>
      </c>
      <c r="E85">
        <v>43.030999999999999</v>
      </c>
      <c r="F85">
        <v>513763.04</v>
      </c>
      <c r="G85">
        <v>59.52</v>
      </c>
      <c r="H85">
        <v>0</v>
      </c>
      <c r="I85" t="s">
        <v>493</v>
      </c>
      <c r="J85" t="s">
        <v>494</v>
      </c>
    </row>
    <row r="86" spans="1:10" x14ac:dyDescent="0.25">
      <c r="A86" s="141" t="s">
        <v>235</v>
      </c>
      <c r="B86">
        <v>9141.3719999999994</v>
      </c>
      <c r="C86">
        <v>37.099299999999999</v>
      </c>
      <c r="D86">
        <v>44.749299999999998</v>
      </c>
      <c r="E86">
        <v>42.407200000000003</v>
      </c>
      <c r="F86">
        <v>281660.69799999997</v>
      </c>
      <c r="G86">
        <v>53.265000000000001</v>
      </c>
      <c r="H86">
        <v>0</v>
      </c>
      <c r="I86" t="s">
        <v>495</v>
      </c>
      <c r="J86" t="s">
        <v>496</v>
      </c>
    </row>
    <row r="87" spans="1:10" x14ac:dyDescent="0.25">
      <c r="A87" s="141" t="s">
        <v>236</v>
      </c>
      <c r="B87">
        <v>4505.7079999999996</v>
      </c>
      <c r="C87">
        <v>36.249699999999997</v>
      </c>
      <c r="D87">
        <v>43.991500000000002</v>
      </c>
      <c r="E87">
        <v>41.615000000000002</v>
      </c>
      <c r="F87">
        <v>142294.93299999999</v>
      </c>
      <c r="G87">
        <v>44.825000000000003</v>
      </c>
      <c r="H87">
        <v>0</v>
      </c>
      <c r="I87" t="s">
        <v>497</v>
      </c>
      <c r="J87" t="s">
        <v>498</v>
      </c>
    </row>
    <row r="88" spans="1:10" x14ac:dyDescent="0.25">
      <c r="A88" s="141" t="s">
        <v>237</v>
      </c>
      <c r="B88">
        <v>2179.2759999999998</v>
      </c>
      <c r="C88">
        <v>34.7941</v>
      </c>
      <c r="D88">
        <v>42.6858</v>
      </c>
      <c r="E88">
        <v>40.470999999999997</v>
      </c>
      <c r="F88">
        <v>68730.804999999993</v>
      </c>
      <c r="G88">
        <v>38.045999999999999</v>
      </c>
      <c r="H88">
        <v>0</v>
      </c>
      <c r="I88" t="s">
        <v>499</v>
      </c>
      <c r="J88" t="s">
        <v>500</v>
      </c>
    </row>
    <row r="89" spans="1:10" x14ac:dyDescent="0.25">
      <c r="A89" s="141" t="s">
        <v>118</v>
      </c>
      <c r="B89">
        <v>9764.9760000000006</v>
      </c>
      <c r="C89">
        <v>38.013300000000001</v>
      </c>
      <c r="D89">
        <v>39.849600000000002</v>
      </c>
      <c r="E89">
        <v>43.340200000000003</v>
      </c>
      <c r="F89">
        <v>117717.045</v>
      </c>
      <c r="G89">
        <v>13.173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4524.42</v>
      </c>
      <c r="C90">
        <v>36.916699999999999</v>
      </c>
      <c r="D90">
        <v>39.344099999999997</v>
      </c>
      <c r="E90">
        <v>42.2117</v>
      </c>
      <c r="F90">
        <v>71677.198000000004</v>
      </c>
      <c r="G90">
        <v>11.298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2302.904</v>
      </c>
      <c r="C91">
        <v>35.360700000000001</v>
      </c>
      <c r="D91">
        <v>38.723700000000001</v>
      </c>
      <c r="E91">
        <v>40.9499</v>
      </c>
      <c r="F91">
        <v>42218.938999999998</v>
      </c>
      <c r="G91">
        <v>10.005000000000001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1102.7719999999999</v>
      </c>
      <c r="C92">
        <v>33.169600000000003</v>
      </c>
      <c r="D92">
        <v>37.709000000000003</v>
      </c>
      <c r="E92">
        <v>39.230699999999999</v>
      </c>
      <c r="F92">
        <v>22172.383000000002</v>
      </c>
      <c r="G92">
        <v>8.548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8555.8320000000003</v>
      </c>
      <c r="C93">
        <v>38.950000000000003</v>
      </c>
      <c r="D93">
        <v>44.056800000000003</v>
      </c>
      <c r="E93">
        <v>45.222700000000003</v>
      </c>
      <c r="F93">
        <v>125762.897</v>
      </c>
      <c r="G93">
        <v>14.192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4279.62</v>
      </c>
      <c r="C94">
        <v>37.917200000000001</v>
      </c>
      <c r="D94">
        <v>43.211599999999997</v>
      </c>
      <c r="E94">
        <v>43.784999999999997</v>
      </c>
      <c r="F94">
        <v>78068.194000000003</v>
      </c>
      <c r="G94">
        <v>12.419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2189.64</v>
      </c>
      <c r="C95">
        <v>36.4251</v>
      </c>
      <c r="D95">
        <v>42.206000000000003</v>
      </c>
      <c r="E95">
        <v>42.211500000000001</v>
      </c>
      <c r="F95">
        <v>42813.464999999997</v>
      </c>
      <c r="G95">
        <v>10.571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1078.6679999999999</v>
      </c>
      <c r="C96">
        <v>34.367199999999997</v>
      </c>
      <c r="D96">
        <v>40.816699999999997</v>
      </c>
      <c r="E96">
        <v>40.311199999999999</v>
      </c>
      <c r="F96">
        <v>24134.416000000001</v>
      </c>
      <c r="G96">
        <v>9.0990000000000002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6748.7879999999996</v>
      </c>
      <c r="C97">
        <v>39.705199999999998</v>
      </c>
      <c r="D97">
        <v>43.910699999999999</v>
      </c>
      <c r="E97">
        <v>45.0471</v>
      </c>
      <c r="F97">
        <v>114747.087</v>
      </c>
      <c r="G97">
        <v>14.237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3209.6</v>
      </c>
      <c r="C98">
        <v>38.565300000000001</v>
      </c>
      <c r="D98">
        <v>43.143999999999998</v>
      </c>
      <c r="E98">
        <v>44.360999999999997</v>
      </c>
      <c r="F98">
        <v>68372.593999999997</v>
      </c>
      <c r="G98">
        <v>11.897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1542.596</v>
      </c>
      <c r="C99">
        <v>36.888199999999998</v>
      </c>
      <c r="D99">
        <v>42.277799999999999</v>
      </c>
      <c r="E99">
        <v>43.452800000000003</v>
      </c>
      <c r="F99">
        <v>36509.750999999997</v>
      </c>
      <c r="G99">
        <v>10.454000000000001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693.65200000000004</v>
      </c>
      <c r="C100">
        <v>34.6447</v>
      </c>
      <c r="D100">
        <v>41.034399999999998</v>
      </c>
      <c r="E100">
        <v>42.155299999999997</v>
      </c>
      <c r="F100">
        <v>18530.433000000001</v>
      </c>
      <c r="G100">
        <v>9.6259999999999994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5568.9679999999998</v>
      </c>
      <c r="C101">
        <v>44.888599999999997</v>
      </c>
      <c r="D101">
        <v>47.727200000000003</v>
      </c>
      <c r="E101">
        <v>48.512700000000002</v>
      </c>
      <c r="F101">
        <v>85869.476999999999</v>
      </c>
      <c r="G101">
        <v>13.670999999999999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3416.8440000000001</v>
      </c>
      <c r="C102">
        <v>42.645800000000001</v>
      </c>
      <c r="D102">
        <v>46.145200000000003</v>
      </c>
      <c r="E102">
        <v>46.719000000000001</v>
      </c>
      <c r="F102">
        <v>58980.466</v>
      </c>
      <c r="G102">
        <v>12.529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1909.204</v>
      </c>
      <c r="C103">
        <v>39.8245</v>
      </c>
      <c r="D103">
        <v>44.597900000000003</v>
      </c>
      <c r="E103">
        <v>44.924599999999998</v>
      </c>
      <c r="F103">
        <v>37323.186999999998</v>
      </c>
      <c r="G103">
        <v>11.493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971.71600000000001</v>
      </c>
      <c r="C104">
        <v>36.639200000000002</v>
      </c>
      <c r="D104">
        <v>42.776800000000001</v>
      </c>
      <c r="E104">
        <v>42.851700000000001</v>
      </c>
      <c r="F104">
        <v>20951.464</v>
      </c>
      <c r="G104">
        <v>9.4969999999999999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4094.9720000000002</v>
      </c>
      <c r="C105">
        <v>38.611499999999999</v>
      </c>
      <c r="D105">
        <v>46.229900000000001</v>
      </c>
      <c r="E105">
        <v>46.443300000000001</v>
      </c>
      <c r="F105">
        <v>55316.377999999997</v>
      </c>
      <c r="G105">
        <v>5.7380000000000004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1780.9680000000001</v>
      </c>
      <c r="C106">
        <v>37.102899999999998</v>
      </c>
      <c r="D106">
        <v>45.185099999999998</v>
      </c>
      <c r="E106">
        <v>45.397300000000001</v>
      </c>
      <c r="F106">
        <v>30249.998</v>
      </c>
      <c r="G106">
        <v>4.7770000000000001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840.65599999999995</v>
      </c>
      <c r="C107">
        <v>35.151699999999998</v>
      </c>
      <c r="D107">
        <v>43.887599999999999</v>
      </c>
      <c r="E107">
        <v>44.1434</v>
      </c>
      <c r="F107">
        <v>16534.914000000001</v>
      </c>
      <c r="G107">
        <v>4.2539999999999996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399.09199999999998</v>
      </c>
      <c r="C108">
        <v>32.479599999999998</v>
      </c>
      <c r="D108">
        <v>42.230800000000002</v>
      </c>
      <c r="E108">
        <v>42.509700000000002</v>
      </c>
      <c r="F108">
        <v>8493.6710000000003</v>
      </c>
      <c r="G108">
        <v>3.472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2420.9960000000001</v>
      </c>
      <c r="C109">
        <v>40.651800000000001</v>
      </c>
      <c r="D109">
        <v>46.147599999999997</v>
      </c>
      <c r="E109">
        <v>47.3337</v>
      </c>
      <c r="F109">
        <v>44758.591999999997</v>
      </c>
      <c r="G109">
        <v>5.8310000000000004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1087.24</v>
      </c>
      <c r="C110">
        <v>39.504600000000003</v>
      </c>
      <c r="D110">
        <v>45.573900000000002</v>
      </c>
      <c r="E110">
        <v>46.055300000000003</v>
      </c>
      <c r="F110">
        <v>24163.109</v>
      </c>
      <c r="G110">
        <v>5.0940000000000003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514.976</v>
      </c>
      <c r="C111">
        <v>37.945</v>
      </c>
      <c r="D111">
        <v>44.786299999999997</v>
      </c>
      <c r="E111">
        <v>44.479700000000001</v>
      </c>
      <c r="F111">
        <v>12594.987999999999</v>
      </c>
      <c r="G111">
        <v>4.3070000000000004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232.80799999999999</v>
      </c>
      <c r="C112">
        <v>35.855800000000002</v>
      </c>
      <c r="D112">
        <v>43.595599999999997</v>
      </c>
      <c r="E112">
        <v>42.378999999999998</v>
      </c>
      <c r="F112">
        <v>6223.0370000000003</v>
      </c>
      <c r="G112">
        <v>3.778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920.9</v>
      </c>
      <c r="C113">
        <v>43.544400000000003</v>
      </c>
      <c r="D113">
        <v>47.270600000000002</v>
      </c>
      <c r="E113">
        <v>48.276499999999999</v>
      </c>
      <c r="F113">
        <v>19332.793000000001</v>
      </c>
      <c r="G113">
        <v>4.3129999999999997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506.55599999999998</v>
      </c>
      <c r="C114">
        <v>42.264800000000001</v>
      </c>
      <c r="D114">
        <v>46.553400000000003</v>
      </c>
      <c r="E114">
        <v>47.3292</v>
      </c>
      <c r="F114">
        <v>10722.285</v>
      </c>
      <c r="G114">
        <v>4.0910000000000002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290.78399999999999</v>
      </c>
      <c r="C115">
        <v>40.492699999999999</v>
      </c>
      <c r="D115">
        <v>45.558</v>
      </c>
      <c r="E115">
        <v>46.071300000000001</v>
      </c>
      <c r="F115">
        <v>6027.1279999999997</v>
      </c>
      <c r="G115">
        <v>3.8170000000000002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163.012</v>
      </c>
      <c r="C116">
        <v>37.932099999999998</v>
      </c>
      <c r="D116">
        <v>43.880400000000002</v>
      </c>
      <c r="E116">
        <v>43.987299999999998</v>
      </c>
      <c r="F116">
        <v>3561.2020000000002</v>
      </c>
      <c r="G116">
        <v>3.7069999999999999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1284.4000000000001</v>
      </c>
      <c r="C117">
        <v>42.917999999999999</v>
      </c>
      <c r="D117">
        <v>49.037399999999998</v>
      </c>
      <c r="E117">
        <v>48.689100000000003</v>
      </c>
      <c r="F117">
        <v>22578.5</v>
      </c>
      <c r="G117">
        <v>4.266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691.46799999999996</v>
      </c>
      <c r="C118">
        <v>41.630099999999999</v>
      </c>
      <c r="D118">
        <v>48.224299999999999</v>
      </c>
      <c r="E118">
        <v>47.747300000000003</v>
      </c>
      <c r="F118">
        <v>12777.124</v>
      </c>
      <c r="G118">
        <v>4.0259999999999998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393.84800000000001</v>
      </c>
      <c r="C119">
        <v>39.775799999999997</v>
      </c>
      <c r="D119">
        <v>47.233499999999999</v>
      </c>
      <c r="E119">
        <v>46.255400000000002</v>
      </c>
      <c r="F119">
        <v>7362.8140000000003</v>
      </c>
      <c r="G119">
        <v>3.839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218.71199999999999</v>
      </c>
      <c r="C120">
        <v>37.045299999999997</v>
      </c>
      <c r="D120">
        <v>45.666600000000003</v>
      </c>
      <c r="E120">
        <v>43.997399999999999</v>
      </c>
      <c r="F120">
        <v>4278.3270000000002</v>
      </c>
      <c r="G120">
        <v>3.74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17062.216</v>
      </c>
      <c r="C145">
        <v>40.1706</v>
      </c>
      <c r="D145">
        <v>48.770099999999999</v>
      </c>
      <c r="E145">
        <v>46.6783</v>
      </c>
      <c r="F145">
        <v>211899.29699999999</v>
      </c>
      <c r="G145">
        <v>28.091000000000001</v>
      </c>
      <c r="H145">
        <v>0</v>
      </c>
      <c r="I145" t="s">
        <v>597</v>
      </c>
      <c r="J145" t="s">
        <v>598</v>
      </c>
    </row>
    <row r="146" spans="1:10" x14ac:dyDescent="0.25">
      <c r="A146" s="141" t="s">
        <v>255</v>
      </c>
      <c r="B146">
        <v>8439.9279999999999</v>
      </c>
      <c r="C146">
        <v>39.564900000000002</v>
      </c>
      <c r="D146">
        <v>47.939599999999999</v>
      </c>
      <c r="E146">
        <v>45.555300000000003</v>
      </c>
      <c r="F146">
        <v>119119.06200000001</v>
      </c>
      <c r="G146">
        <v>25.091999999999999</v>
      </c>
      <c r="H146">
        <v>0</v>
      </c>
      <c r="I146" t="s">
        <v>599</v>
      </c>
      <c r="J146" t="s">
        <v>600</v>
      </c>
    </row>
    <row r="147" spans="1:10" x14ac:dyDescent="0.25">
      <c r="A147" s="141" t="s">
        <v>256</v>
      </c>
      <c r="B147">
        <v>4595.616</v>
      </c>
      <c r="C147">
        <v>38.577199999999998</v>
      </c>
      <c r="D147">
        <v>46.936700000000002</v>
      </c>
      <c r="E147">
        <v>44.170400000000001</v>
      </c>
      <c r="F147">
        <v>62405.913999999997</v>
      </c>
      <c r="G147">
        <v>21.097000000000001</v>
      </c>
      <c r="H147">
        <v>0</v>
      </c>
      <c r="I147" t="s">
        <v>601</v>
      </c>
      <c r="J147" t="s">
        <v>602</v>
      </c>
    </row>
    <row r="148" spans="1:10" x14ac:dyDescent="0.25">
      <c r="A148" s="141" t="s">
        <v>257</v>
      </c>
      <c r="B148">
        <v>2500</v>
      </c>
      <c r="C148">
        <v>37.035299999999999</v>
      </c>
      <c r="D148">
        <v>45.613900000000001</v>
      </c>
      <c r="E148">
        <v>42.470799999999997</v>
      </c>
      <c r="F148">
        <v>32743.298999999999</v>
      </c>
      <c r="G148">
        <v>18.765999999999998</v>
      </c>
      <c r="H148">
        <v>0</v>
      </c>
      <c r="I148" t="s">
        <v>603</v>
      </c>
      <c r="J148" t="s">
        <v>604</v>
      </c>
    </row>
    <row r="149" spans="1:10" x14ac:dyDescent="0.25">
      <c r="A149" s="141" t="s">
        <v>258</v>
      </c>
      <c r="B149">
        <v>91132.528000000006</v>
      </c>
      <c r="C149">
        <v>41.736600000000003</v>
      </c>
      <c r="D149">
        <v>36.689799999999998</v>
      </c>
      <c r="E149">
        <v>37.711199999999998</v>
      </c>
      <c r="F149">
        <v>349206.375</v>
      </c>
      <c r="G149">
        <v>30.815000000000001</v>
      </c>
      <c r="H149">
        <v>0</v>
      </c>
      <c r="I149" t="s">
        <v>605</v>
      </c>
      <c r="J149" t="s">
        <v>606</v>
      </c>
    </row>
    <row r="150" spans="1:10" x14ac:dyDescent="0.25">
      <c r="A150" s="141" t="s">
        <v>259</v>
      </c>
      <c r="B150">
        <v>46623.512000000002</v>
      </c>
      <c r="C150">
        <v>38.9422</v>
      </c>
      <c r="D150">
        <v>34.4236</v>
      </c>
      <c r="E150">
        <v>35.803600000000003</v>
      </c>
      <c r="F150">
        <v>246618.75</v>
      </c>
      <c r="G150">
        <v>25.875</v>
      </c>
      <c r="H150">
        <v>0</v>
      </c>
      <c r="I150" t="s">
        <v>607</v>
      </c>
      <c r="J150" t="s">
        <v>608</v>
      </c>
    </row>
    <row r="151" spans="1:10" x14ac:dyDescent="0.25">
      <c r="A151" s="141" t="s">
        <v>260</v>
      </c>
      <c r="B151">
        <v>21678.103999999999</v>
      </c>
      <c r="C151">
        <v>35.842300000000002</v>
      </c>
      <c r="D151">
        <v>32.510899999999999</v>
      </c>
      <c r="E151">
        <v>34.195099999999996</v>
      </c>
      <c r="F151">
        <v>165853.766</v>
      </c>
      <c r="G151">
        <v>22.448</v>
      </c>
      <c r="H151">
        <v>0</v>
      </c>
      <c r="I151" t="s">
        <v>609</v>
      </c>
      <c r="J151" t="s">
        <v>610</v>
      </c>
    </row>
    <row r="152" spans="1:10" x14ac:dyDescent="0.25">
      <c r="A152" s="141" t="s">
        <v>261</v>
      </c>
      <c r="B152">
        <v>9161.6319999999996</v>
      </c>
      <c r="C152">
        <v>32.825400000000002</v>
      </c>
      <c r="D152">
        <v>30.8004</v>
      </c>
      <c r="E152">
        <v>32.8125</v>
      </c>
      <c r="F152">
        <v>92766.5</v>
      </c>
      <c r="G152">
        <v>20.405999999999999</v>
      </c>
      <c r="H152">
        <v>0</v>
      </c>
      <c r="I152" t="s">
        <v>611</v>
      </c>
      <c r="J152" t="s">
        <v>612</v>
      </c>
    </row>
    <row r="153" spans="1:10" x14ac:dyDescent="0.25">
      <c r="A153" s="141" t="s">
        <v>262</v>
      </c>
      <c r="B153">
        <v>45109</v>
      </c>
      <c r="C153">
        <v>38.879600000000003</v>
      </c>
      <c r="D153">
        <v>41.220500000000001</v>
      </c>
      <c r="E153">
        <v>41.496600000000001</v>
      </c>
      <c r="F153">
        <v>195470.641</v>
      </c>
      <c r="G153">
        <v>17.350999999999999</v>
      </c>
      <c r="H153">
        <v>0</v>
      </c>
      <c r="I153" t="s">
        <v>613</v>
      </c>
      <c r="J153" t="s">
        <v>614</v>
      </c>
    </row>
    <row r="154" spans="1:10" x14ac:dyDescent="0.25">
      <c r="A154" s="141" t="s">
        <v>263</v>
      </c>
      <c r="B154">
        <v>22146.536</v>
      </c>
      <c r="C154">
        <v>37.520200000000003</v>
      </c>
      <c r="D154">
        <v>38.652900000000002</v>
      </c>
      <c r="E154">
        <v>40.118499999999997</v>
      </c>
      <c r="F154">
        <v>115905.016</v>
      </c>
      <c r="G154">
        <v>14.101000000000001</v>
      </c>
      <c r="H154">
        <v>0</v>
      </c>
      <c r="I154" t="s">
        <v>615</v>
      </c>
      <c r="J154" t="s">
        <v>616</v>
      </c>
    </row>
    <row r="155" spans="1:10" x14ac:dyDescent="0.25">
      <c r="A155" s="141" t="s">
        <v>264</v>
      </c>
      <c r="B155">
        <v>11560.856</v>
      </c>
      <c r="C155">
        <v>35.968299999999999</v>
      </c>
      <c r="D155">
        <v>36.405900000000003</v>
      </c>
      <c r="E155">
        <v>38.681800000000003</v>
      </c>
      <c r="F155">
        <v>74235.108999999997</v>
      </c>
      <c r="G155">
        <v>12.436</v>
      </c>
      <c r="H155">
        <v>0</v>
      </c>
      <c r="I155" t="s">
        <v>617</v>
      </c>
      <c r="J155" t="s">
        <v>618</v>
      </c>
    </row>
    <row r="156" spans="1:10" x14ac:dyDescent="0.25">
      <c r="A156" s="141" t="s">
        <v>265</v>
      </c>
      <c r="B156">
        <v>5677.7920000000004</v>
      </c>
      <c r="C156">
        <v>34.052</v>
      </c>
      <c r="D156">
        <v>33.985199999999999</v>
      </c>
      <c r="E156">
        <v>36.924900000000001</v>
      </c>
      <c r="F156">
        <v>43873.902000000002</v>
      </c>
      <c r="G156">
        <v>11.1</v>
      </c>
      <c r="H156">
        <v>0</v>
      </c>
      <c r="I156" t="s">
        <v>619</v>
      </c>
      <c r="J156" t="s">
        <v>620</v>
      </c>
    </row>
    <row r="157" spans="1:10" x14ac:dyDescent="0.25">
      <c r="A157" s="141" t="s">
        <v>266</v>
      </c>
      <c r="B157">
        <v>24496.256000000001</v>
      </c>
      <c r="C157">
        <v>37.540300000000002</v>
      </c>
      <c r="D157">
        <v>45.025599999999997</v>
      </c>
      <c r="E157">
        <v>42.796999999999997</v>
      </c>
      <c r="F157">
        <v>278961</v>
      </c>
      <c r="G157">
        <v>27.361999999999998</v>
      </c>
      <c r="H157">
        <v>0</v>
      </c>
      <c r="I157" t="s">
        <v>621</v>
      </c>
      <c r="J157" t="s">
        <v>622</v>
      </c>
    </row>
    <row r="158" spans="1:10" x14ac:dyDescent="0.25">
      <c r="A158" s="141" t="s">
        <v>267</v>
      </c>
      <c r="B158">
        <v>10322.495999999999</v>
      </c>
      <c r="C158">
        <v>36.917999999999999</v>
      </c>
      <c r="D158">
        <v>44.376600000000003</v>
      </c>
      <c r="E158">
        <v>42.078499999999998</v>
      </c>
      <c r="F158">
        <v>153430.859</v>
      </c>
      <c r="G158">
        <v>23.199000000000002</v>
      </c>
      <c r="H158">
        <v>0</v>
      </c>
      <c r="I158" t="s">
        <v>623</v>
      </c>
      <c r="J158" t="s">
        <v>624</v>
      </c>
    </row>
    <row r="159" spans="1:10" x14ac:dyDescent="0.25">
      <c r="A159" s="141" t="s">
        <v>268</v>
      </c>
      <c r="B159">
        <v>5155.7759999999998</v>
      </c>
      <c r="C159">
        <v>35.906300000000002</v>
      </c>
      <c r="D159">
        <v>43.460599999999999</v>
      </c>
      <c r="E159">
        <v>41.1387</v>
      </c>
      <c r="F159">
        <v>82685.070000000007</v>
      </c>
      <c r="G159">
        <v>19.553000000000001</v>
      </c>
      <c r="H159">
        <v>0</v>
      </c>
      <c r="I159" t="s">
        <v>625</v>
      </c>
      <c r="J159" t="s">
        <v>626</v>
      </c>
    </row>
    <row r="160" spans="1:10" x14ac:dyDescent="0.25">
      <c r="A160" s="141" t="s">
        <v>269</v>
      </c>
      <c r="B160">
        <v>2561.4560000000001</v>
      </c>
      <c r="C160">
        <v>34.327199999999998</v>
      </c>
      <c r="D160">
        <v>42.158000000000001</v>
      </c>
      <c r="E160">
        <v>40.0169</v>
      </c>
      <c r="F160">
        <v>42056.258000000002</v>
      </c>
      <c r="G160">
        <v>15.09</v>
      </c>
      <c r="H160">
        <v>0</v>
      </c>
      <c r="I160" t="s">
        <v>627</v>
      </c>
      <c r="J160" t="s">
        <v>628</v>
      </c>
    </row>
    <row r="161" spans="1:10" x14ac:dyDescent="0.25">
      <c r="A161" s="141" t="s">
        <v>142</v>
      </c>
      <c r="B161">
        <v>7976.4096</v>
      </c>
      <c r="C161">
        <v>38.024999999999999</v>
      </c>
      <c r="D161">
        <v>39.7423</v>
      </c>
      <c r="E161">
        <v>42.825000000000003</v>
      </c>
      <c r="F161">
        <v>318000.5</v>
      </c>
      <c r="G161">
        <v>24.446999999999999</v>
      </c>
      <c r="H161">
        <v>0</v>
      </c>
      <c r="I161" t="s">
        <v>629</v>
      </c>
      <c r="J161" t="s">
        <v>630</v>
      </c>
    </row>
    <row r="162" spans="1:10" x14ac:dyDescent="0.25">
      <c r="A162" s="141" t="s">
        <v>143</v>
      </c>
      <c r="B162">
        <v>3762.6016</v>
      </c>
      <c r="C162">
        <v>36.682600000000001</v>
      </c>
      <c r="D162">
        <v>39.100200000000001</v>
      </c>
      <c r="E162">
        <v>41.665199999999999</v>
      </c>
      <c r="F162">
        <v>197970.375</v>
      </c>
      <c r="G162">
        <v>20.907</v>
      </c>
      <c r="H162">
        <v>0</v>
      </c>
      <c r="I162" t="s">
        <v>631</v>
      </c>
      <c r="J162" t="s">
        <v>632</v>
      </c>
    </row>
    <row r="163" spans="1:10" x14ac:dyDescent="0.25">
      <c r="A163" s="141" t="s">
        <v>144</v>
      </c>
      <c r="B163">
        <v>1844.4896000000001</v>
      </c>
      <c r="C163">
        <v>34.812199999999997</v>
      </c>
      <c r="D163">
        <v>38.270499999999998</v>
      </c>
      <c r="E163">
        <v>40.179099999999998</v>
      </c>
      <c r="F163">
        <v>118207.56200000001</v>
      </c>
      <c r="G163">
        <v>17.13</v>
      </c>
      <c r="H163">
        <v>0</v>
      </c>
      <c r="I163" t="s">
        <v>633</v>
      </c>
      <c r="J163" t="s">
        <v>634</v>
      </c>
    </row>
    <row r="164" spans="1:10" x14ac:dyDescent="0.25">
      <c r="A164" s="141" t="s">
        <v>145</v>
      </c>
      <c r="B164">
        <v>882.17600000000004</v>
      </c>
      <c r="C164">
        <v>32.499699999999997</v>
      </c>
      <c r="D164">
        <v>37.267200000000003</v>
      </c>
      <c r="E164">
        <v>38.528100000000002</v>
      </c>
      <c r="F164">
        <v>66939.016000000003</v>
      </c>
      <c r="G164">
        <v>13.933999999999999</v>
      </c>
      <c r="H164">
        <v>0</v>
      </c>
      <c r="I164" t="s">
        <v>635</v>
      </c>
      <c r="J164" t="s">
        <v>636</v>
      </c>
    </row>
    <row r="165" spans="1:10" x14ac:dyDescent="0.25">
      <c r="A165" s="141" t="s">
        <v>146</v>
      </c>
      <c r="B165">
        <v>9106.1808000000001</v>
      </c>
      <c r="C165">
        <v>38.741300000000003</v>
      </c>
      <c r="D165">
        <v>43.691699999999997</v>
      </c>
      <c r="E165">
        <v>44.622700000000002</v>
      </c>
      <c r="F165">
        <v>348038.375</v>
      </c>
      <c r="G165">
        <v>31.963999999999999</v>
      </c>
      <c r="H165">
        <v>0</v>
      </c>
      <c r="I165" t="s">
        <v>637</v>
      </c>
      <c r="J165" t="s">
        <v>638</v>
      </c>
    </row>
    <row r="166" spans="1:10" x14ac:dyDescent="0.25">
      <c r="A166" s="141" t="s">
        <v>147</v>
      </c>
      <c r="B166">
        <v>4705.6815999999999</v>
      </c>
      <c r="C166">
        <v>37.536000000000001</v>
      </c>
      <c r="D166">
        <v>42.721899999999998</v>
      </c>
      <c r="E166">
        <v>43.1203</v>
      </c>
      <c r="F166">
        <v>216279.95300000001</v>
      </c>
      <c r="G166">
        <v>26.44</v>
      </c>
      <c r="H166">
        <v>0</v>
      </c>
      <c r="I166" t="s">
        <v>639</v>
      </c>
      <c r="J166" t="s">
        <v>640</v>
      </c>
    </row>
    <row r="167" spans="1:10" x14ac:dyDescent="0.25">
      <c r="A167" s="141" t="s">
        <v>148</v>
      </c>
      <c r="B167">
        <v>2396.8496</v>
      </c>
      <c r="C167">
        <v>35.856200000000001</v>
      </c>
      <c r="D167">
        <v>41.488300000000002</v>
      </c>
      <c r="E167">
        <v>41.377499999999998</v>
      </c>
      <c r="F167">
        <v>129255.141</v>
      </c>
      <c r="G167">
        <v>22.524999999999999</v>
      </c>
      <c r="H167">
        <v>0</v>
      </c>
      <c r="I167" t="s">
        <v>641</v>
      </c>
      <c r="J167" t="s">
        <v>642</v>
      </c>
    </row>
    <row r="168" spans="1:10" x14ac:dyDescent="0.25">
      <c r="A168" s="141" t="s">
        <v>149</v>
      </c>
      <c r="B168">
        <v>1189.3456000000001</v>
      </c>
      <c r="C168">
        <v>33.767899999999997</v>
      </c>
      <c r="D168">
        <v>40.122</v>
      </c>
      <c r="E168">
        <v>39.459400000000002</v>
      </c>
      <c r="F168">
        <v>72657.625</v>
      </c>
      <c r="G168">
        <v>18.864999999999998</v>
      </c>
      <c r="H168">
        <v>0</v>
      </c>
      <c r="I168" t="s">
        <v>643</v>
      </c>
      <c r="J168" t="s">
        <v>644</v>
      </c>
    </row>
    <row r="169" spans="1:10" x14ac:dyDescent="0.25">
      <c r="A169" s="141" t="s">
        <v>270</v>
      </c>
      <c r="B169">
        <v>6360.2479999999996</v>
      </c>
      <c r="C169">
        <v>39.8339</v>
      </c>
      <c r="D169">
        <v>43.796399999999998</v>
      </c>
      <c r="E169">
        <v>44.505000000000003</v>
      </c>
      <c r="F169">
        <v>311732.875</v>
      </c>
      <c r="G169">
        <v>31.189</v>
      </c>
      <c r="H169">
        <v>0</v>
      </c>
      <c r="I169" t="s">
        <v>645</v>
      </c>
      <c r="J169" t="s">
        <v>646</v>
      </c>
    </row>
    <row r="170" spans="1:10" x14ac:dyDescent="0.25">
      <c r="A170" s="141" t="s">
        <v>271</v>
      </c>
      <c r="B170">
        <v>3029.6687999999999</v>
      </c>
      <c r="C170">
        <v>38.537399999999998</v>
      </c>
      <c r="D170">
        <v>42.933199999999999</v>
      </c>
      <c r="E170">
        <v>43.6631</v>
      </c>
      <c r="F170">
        <v>181611.5</v>
      </c>
      <c r="G170">
        <v>25.248000000000001</v>
      </c>
      <c r="H170">
        <v>0</v>
      </c>
      <c r="I170" t="s">
        <v>647</v>
      </c>
      <c r="J170" t="s">
        <v>648</v>
      </c>
    </row>
    <row r="171" spans="1:10" x14ac:dyDescent="0.25">
      <c r="A171" s="141" t="s">
        <v>272</v>
      </c>
      <c r="B171">
        <v>1460.9584</v>
      </c>
      <c r="C171">
        <v>36.724899999999998</v>
      </c>
      <c r="D171">
        <v>41.831000000000003</v>
      </c>
      <c r="E171">
        <v>42.415700000000001</v>
      </c>
      <c r="F171">
        <v>104579.18799999999</v>
      </c>
      <c r="G171">
        <v>22.902000000000001</v>
      </c>
      <c r="H171">
        <v>0</v>
      </c>
      <c r="I171" t="s">
        <v>649</v>
      </c>
      <c r="J171" t="s">
        <v>650</v>
      </c>
    </row>
    <row r="172" spans="1:10" x14ac:dyDescent="0.25">
      <c r="A172" s="141" t="s">
        <v>273</v>
      </c>
      <c r="B172">
        <v>686.63679999999999</v>
      </c>
      <c r="C172">
        <v>34.429200000000002</v>
      </c>
      <c r="D172">
        <v>40.674300000000002</v>
      </c>
      <c r="E172">
        <v>41.051299999999998</v>
      </c>
      <c r="F172">
        <v>54297.02</v>
      </c>
      <c r="G172">
        <v>17.972999999999999</v>
      </c>
      <c r="H172">
        <v>0</v>
      </c>
      <c r="I172" t="s">
        <v>651</v>
      </c>
      <c r="J172" t="s">
        <v>652</v>
      </c>
    </row>
    <row r="173" spans="1:10" x14ac:dyDescent="0.25">
      <c r="A173" s="141" t="s">
        <v>274</v>
      </c>
      <c r="B173">
        <v>6708.2640000000001</v>
      </c>
      <c r="C173">
        <v>43.389400000000002</v>
      </c>
      <c r="D173">
        <v>46.726100000000002</v>
      </c>
      <c r="E173">
        <v>47.3172</v>
      </c>
      <c r="F173">
        <v>257282.875</v>
      </c>
      <c r="G173">
        <v>32.021000000000001</v>
      </c>
      <c r="H173">
        <v>0</v>
      </c>
      <c r="I173" t="s">
        <v>653</v>
      </c>
      <c r="J173" t="s">
        <v>654</v>
      </c>
    </row>
    <row r="174" spans="1:10" x14ac:dyDescent="0.25">
      <c r="A174" s="141" t="s">
        <v>275</v>
      </c>
      <c r="B174">
        <v>4086.4160000000002</v>
      </c>
      <c r="C174">
        <v>41.075699999999998</v>
      </c>
      <c r="D174">
        <v>45.276600000000002</v>
      </c>
      <c r="E174">
        <v>45.6267</v>
      </c>
      <c r="F174">
        <v>181359.391</v>
      </c>
      <c r="G174">
        <v>28.363</v>
      </c>
      <c r="H174">
        <v>0</v>
      </c>
      <c r="I174" t="s">
        <v>655</v>
      </c>
      <c r="J174" t="s">
        <v>656</v>
      </c>
    </row>
    <row r="175" spans="1:10" x14ac:dyDescent="0.25">
      <c r="A175" s="141" t="s">
        <v>276</v>
      </c>
      <c r="B175">
        <v>2257.9520000000002</v>
      </c>
      <c r="C175">
        <v>38.2682</v>
      </c>
      <c r="D175">
        <v>43.6143</v>
      </c>
      <c r="E175">
        <v>43.777999999999999</v>
      </c>
      <c r="F175">
        <v>117341.375</v>
      </c>
      <c r="G175">
        <v>25.251000000000001</v>
      </c>
      <c r="H175">
        <v>0</v>
      </c>
      <c r="I175" t="s">
        <v>657</v>
      </c>
      <c r="J175" t="s">
        <v>658</v>
      </c>
    </row>
    <row r="176" spans="1:10" x14ac:dyDescent="0.25">
      <c r="A176" s="141" t="s">
        <v>277</v>
      </c>
      <c r="B176">
        <v>1174.0992000000001</v>
      </c>
      <c r="C176">
        <v>35.308</v>
      </c>
      <c r="D176">
        <v>41.9773</v>
      </c>
      <c r="E176">
        <v>41.888199999999998</v>
      </c>
      <c r="F176">
        <v>67215.327999999994</v>
      </c>
      <c r="G176">
        <v>20.544</v>
      </c>
      <c r="H176">
        <v>0</v>
      </c>
      <c r="I176" t="s">
        <v>659</v>
      </c>
      <c r="J176" t="s">
        <v>660</v>
      </c>
    </row>
    <row r="177" spans="1:10" x14ac:dyDescent="0.25">
      <c r="A177" s="141" t="s">
        <v>150</v>
      </c>
      <c r="B177" s="71">
        <v>4676.3711999999996</v>
      </c>
      <c r="C177" s="71">
        <v>38.456600000000002</v>
      </c>
      <c r="D177" s="71">
        <v>45.529499999999999</v>
      </c>
      <c r="E177" s="71">
        <v>45.737099999999998</v>
      </c>
      <c r="F177" s="71">
        <v>176719.42199999999</v>
      </c>
      <c r="G177" s="71">
        <v>13.958</v>
      </c>
      <c r="H177">
        <v>0</v>
      </c>
      <c r="I177" t="s">
        <v>661</v>
      </c>
      <c r="J177" t="s">
        <v>662</v>
      </c>
    </row>
    <row r="178" spans="1:10" x14ac:dyDescent="0.25">
      <c r="A178" s="141" t="s">
        <v>151</v>
      </c>
      <c r="B178" s="71">
        <v>1633.4559999999999</v>
      </c>
      <c r="C178" s="71">
        <v>36.4649</v>
      </c>
      <c r="D178" s="71">
        <v>44.539000000000001</v>
      </c>
      <c r="E178" s="71">
        <v>44.749200000000002</v>
      </c>
      <c r="F178" s="71">
        <v>90400.710999999996</v>
      </c>
      <c r="G178" s="71">
        <v>10.474</v>
      </c>
      <c r="H178">
        <v>0</v>
      </c>
      <c r="I178" t="s">
        <v>663</v>
      </c>
      <c r="J178" t="s">
        <v>664</v>
      </c>
    </row>
    <row r="179" spans="1:10" x14ac:dyDescent="0.25">
      <c r="A179" s="141" t="s">
        <v>152</v>
      </c>
      <c r="B179" s="71">
        <v>653.10239999999999</v>
      </c>
      <c r="C179" s="71">
        <v>34.035299999999999</v>
      </c>
      <c r="D179" s="71">
        <v>43.1965</v>
      </c>
      <c r="E179" s="71">
        <v>43.357100000000003</v>
      </c>
      <c r="F179" s="71">
        <v>52331.245999999999</v>
      </c>
      <c r="G179" s="71">
        <v>8.1859999999999999</v>
      </c>
      <c r="H179">
        <v>0</v>
      </c>
      <c r="I179" t="s">
        <v>665</v>
      </c>
      <c r="J179" t="s">
        <v>666</v>
      </c>
    </row>
    <row r="180" spans="1:10" x14ac:dyDescent="0.25">
      <c r="A180" s="141" t="s">
        <v>153</v>
      </c>
      <c r="B180" s="71">
        <v>273.42079999999999</v>
      </c>
      <c r="C180" s="71">
        <v>31.017800000000001</v>
      </c>
      <c r="D180" s="71">
        <v>41.906500000000001</v>
      </c>
      <c r="E180" s="71">
        <v>42.000599999999999</v>
      </c>
      <c r="F180" s="71">
        <v>29783.812000000002</v>
      </c>
      <c r="G180" s="71">
        <v>6.3810000000000002</v>
      </c>
      <c r="H180">
        <v>0</v>
      </c>
      <c r="I180" t="s">
        <v>667</v>
      </c>
      <c r="J180" t="s">
        <v>668</v>
      </c>
    </row>
    <row r="181" spans="1:10" x14ac:dyDescent="0.25">
      <c r="A181" s="141" t="s">
        <v>154</v>
      </c>
      <c r="B181" s="71">
        <v>3767.8224</v>
      </c>
      <c r="C181" s="71">
        <v>40.534300000000002</v>
      </c>
      <c r="D181" s="71">
        <v>45.2575</v>
      </c>
      <c r="E181" s="71">
        <v>46.063000000000002</v>
      </c>
      <c r="F181" s="71">
        <v>157236.609</v>
      </c>
      <c r="G181" s="71">
        <v>15.319000000000001</v>
      </c>
      <c r="H181">
        <v>0</v>
      </c>
      <c r="I181" t="s">
        <v>669</v>
      </c>
      <c r="J181" t="s">
        <v>670</v>
      </c>
    </row>
    <row r="182" spans="1:10" x14ac:dyDescent="0.25">
      <c r="A182" s="141" t="s">
        <v>155</v>
      </c>
      <c r="B182" s="71">
        <v>1702.5871999999999</v>
      </c>
      <c r="C182" s="71">
        <v>38.877299999999998</v>
      </c>
      <c r="D182" s="71">
        <v>44.440199999999997</v>
      </c>
      <c r="E182" s="71">
        <v>44.5274</v>
      </c>
      <c r="F182" s="71">
        <v>89953.952999999994</v>
      </c>
      <c r="G182" s="71">
        <v>12.452999999999999</v>
      </c>
      <c r="H182">
        <v>0</v>
      </c>
      <c r="I182" t="s">
        <v>671</v>
      </c>
      <c r="J182" t="s">
        <v>672</v>
      </c>
    </row>
    <row r="183" spans="1:10" x14ac:dyDescent="0.25">
      <c r="A183" s="141" t="s">
        <v>156</v>
      </c>
      <c r="B183" s="71">
        <v>813.76639999999998</v>
      </c>
      <c r="C183" s="71">
        <v>36.912799999999997</v>
      </c>
      <c r="D183" s="71">
        <v>43.408700000000003</v>
      </c>
      <c r="E183" s="71">
        <v>42.727200000000003</v>
      </c>
      <c r="F183" s="71">
        <v>50413.101999999999</v>
      </c>
      <c r="G183" s="71">
        <v>10.116</v>
      </c>
      <c r="H183">
        <v>0</v>
      </c>
      <c r="I183" t="s">
        <v>673</v>
      </c>
      <c r="J183" t="s">
        <v>674</v>
      </c>
    </row>
    <row r="184" spans="1:10" x14ac:dyDescent="0.25">
      <c r="A184" s="141" t="s">
        <v>157</v>
      </c>
      <c r="B184" s="71">
        <v>381.30239999999998</v>
      </c>
      <c r="C184" s="71">
        <v>34.676400000000001</v>
      </c>
      <c r="D184" s="71">
        <v>42.1325</v>
      </c>
      <c r="E184" s="71">
        <v>40.694800000000001</v>
      </c>
      <c r="F184" s="71">
        <v>26554.708999999999</v>
      </c>
      <c r="G184" s="71">
        <v>7.84</v>
      </c>
      <c r="H184">
        <v>0</v>
      </c>
      <c r="I184" t="s">
        <v>675</v>
      </c>
      <c r="J184" t="s">
        <v>676</v>
      </c>
    </row>
    <row r="185" spans="1:10" x14ac:dyDescent="0.25">
      <c r="A185" s="141" t="s">
        <v>158</v>
      </c>
      <c r="B185" s="71">
        <v>917.28959999999995</v>
      </c>
      <c r="C185" s="71">
        <v>42.974899999999998</v>
      </c>
      <c r="D185" s="71">
        <v>46.779699999999998</v>
      </c>
      <c r="E185" s="71">
        <v>47.596899999999998</v>
      </c>
      <c r="F185" s="71">
        <v>59765.476999999999</v>
      </c>
      <c r="G185" s="71">
        <v>8.0280000000000005</v>
      </c>
      <c r="H185">
        <v>0</v>
      </c>
      <c r="I185" t="s">
        <v>677</v>
      </c>
      <c r="J185" t="s">
        <v>678</v>
      </c>
    </row>
    <row r="186" spans="1:10" x14ac:dyDescent="0.25">
      <c r="A186" s="141" t="s">
        <v>159</v>
      </c>
      <c r="B186" s="71">
        <v>468.89600000000002</v>
      </c>
      <c r="C186" s="71">
        <v>41.303400000000003</v>
      </c>
      <c r="D186" s="71">
        <v>45.967799999999997</v>
      </c>
      <c r="E186" s="71">
        <v>46.5488</v>
      </c>
      <c r="F186" s="71">
        <v>35705.711000000003</v>
      </c>
      <c r="G186" s="71">
        <v>6.7009999999999996</v>
      </c>
      <c r="H186">
        <v>0</v>
      </c>
      <c r="I186" t="s">
        <v>679</v>
      </c>
      <c r="J186" t="s">
        <v>680</v>
      </c>
    </row>
    <row r="187" spans="1:10" x14ac:dyDescent="0.25">
      <c r="A187" s="141" t="s">
        <v>160</v>
      </c>
      <c r="B187" s="71">
        <v>249.4864</v>
      </c>
      <c r="C187" s="71">
        <v>39.0762</v>
      </c>
      <c r="D187" s="71">
        <v>44.75</v>
      </c>
      <c r="E187" s="71">
        <v>45.170900000000003</v>
      </c>
      <c r="F187" s="71">
        <v>20411.171999999999</v>
      </c>
      <c r="G187" s="71">
        <v>5.7320000000000002</v>
      </c>
      <c r="H187">
        <v>0</v>
      </c>
      <c r="I187" t="s">
        <v>681</v>
      </c>
      <c r="J187" t="s">
        <v>682</v>
      </c>
    </row>
    <row r="188" spans="1:10" x14ac:dyDescent="0.25">
      <c r="A188" s="141" t="s">
        <v>161</v>
      </c>
      <c r="B188" s="71">
        <v>135.82079999999999</v>
      </c>
      <c r="C188" s="71">
        <v>36.292200000000001</v>
      </c>
      <c r="D188" s="71">
        <v>43.099299999999999</v>
      </c>
      <c r="E188" s="71">
        <v>43.247100000000003</v>
      </c>
      <c r="F188" s="71">
        <v>11933.683999999999</v>
      </c>
      <c r="G188" s="71">
        <v>5.101</v>
      </c>
      <c r="H188">
        <v>0</v>
      </c>
      <c r="I188" t="s">
        <v>683</v>
      </c>
      <c r="J188" t="s">
        <v>684</v>
      </c>
    </row>
    <row r="189" spans="1:10" x14ac:dyDescent="0.25">
      <c r="A189" s="141" t="s">
        <v>162</v>
      </c>
      <c r="B189" s="71">
        <v>1255.3552</v>
      </c>
      <c r="C189" s="71">
        <v>42.682499999999997</v>
      </c>
      <c r="D189" s="71">
        <v>48.537700000000001</v>
      </c>
      <c r="E189" s="71">
        <v>47.673699999999997</v>
      </c>
      <c r="F189" s="71">
        <v>65672.327999999994</v>
      </c>
      <c r="G189" s="71">
        <v>8.8800000000000008</v>
      </c>
      <c r="H189">
        <v>0</v>
      </c>
      <c r="I189" t="s">
        <v>685</v>
      </c>
      <c r="J189" t="s">
        <v>686</v>
      </c>
    </row>
    <row r="190" spans="1:10" x14ac:dyDescent="0.25">
      <c r="A190" s="141" t="s">
        <v>163</v>
      </c>
      <c r="B190" s="71">
        <v>607.04160000000002</v>
      </c>
      <c r="C190" s="71">
        <v>40.908900000000003</v>
      </c>
      <c r="D190" s="71">
        <v>47.771500000000003</v>
      </c>
      <c r="E190" s="71">
        <v>46.862699999999997</v>
      </c>
      <c r="F190" s="71">
        <v>38928.546999999999</v>
      </c>
      <c r="G190" s="71">
        <v>6.6529999999999996</v>
      </c>
      <c r="H190">
        <v>0</v>
      </c>
      <c r="I190" t="s">
        <v>687</v>
      </c>
      <c r="J190" t="s">
        <v>688</v>
      </c>
    </row>
    <row r="191" spans="1:10" x14ac:dyDescent="0.25">
      <c r="A191" s="141" t="s">
        <v>164</v>
      </c>
      <c r="B191" s="71">
        <v>322.50560000000002</v>
      </c>
      <c r="C191" s="71">
        <v>38.5199</v>
      </c>
      <c r="D191" s="71">
        <v>46.643500000000003</v>
      </c>
      <c r="E191" s="71">
        <v>45.448599999999999</v>
      </c>
      <c r="F191" s="71">
        <v>22373.094000000001</v>
      </c>
      <c r="G191" s="71">
        <v>5.8949999999999996</v>
      </c>
      <c r="H191">
        <v>0</v>
      </c>
      <c r="I191" t="s">
        <v>689</v>
      </c>
      <c r="J191" t="s">
        <v>690</v>
      </c>
    </row>
    <row r="192" spans="1:10" x14ac:dyDescent="0.25">
      <c r="A192" s="141" t="s">
        <v>165</v>
      </c>
      <c r="B192" s="71">
        <v>176.1584</v>
      </c>
      <c r="C192" s="71">
        <v>35.426299999999998</v>
      </c>
      <c r="D192" s="71">
        <v>45.253700000000002</v>
      </c>
      <c r="E192" s="71">
        <v>43.334600000000002</v>
      </c>
      <c r="F192" s="71">
        <v>13775.691000000001</v>
      </c>
      <c r="G192" s="71">
        <v>4.9619999999999997</v>
      </c>
      <c r="H192">
        <v>0</v>
      </c>
      <c r="I192" t="s">
        <v>691</v>
      </c>
      <c r="J192" t="s">
        <v>692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374</v>
      </c>
    </row>
    <row r="274" spans="1:1" x14ac:dyDescent="0.25">
      <c r="A274" s="141" t="s">
        <v>375</v>
      </c>
    </row>
    <row r="275" spans="1:1" x14ac:dyDescent="0.25">
      <c r="A275" s="141" t="s">
        <v>376</v>
      </c>
    </row>
    <row r="276" spans="1:1" x14ac:dyDescent="0.25">
      <c r="A276" s="141" t="s">
        <v>377</v>
      </c>
    </row>
    <row r="277" spans="1:1" x14ac:dyDescent="0.25">
      <c r="A277" s="141" t="s">
        <v>378</v>
      </c>
    </row>
    <row r="278" spans="1:1" x14ac:dyDescent="0.25">
      <c r="A278" s="141" t="s">
        <v>379</v>
      </c>
    </row>
    <row r="279" spans="1:1" x14ac:dyDescent="0.25">
      <c r="A279" s="141" t="s">
        <v>380</v>
      </c>
    </row>
    <row r="280" spans="1:1" x14ac:dyDescent="0.25">
      <c r="A280" s="141" t="s">
        <v>381</v>
      </c>
    </row>
    <row r="281" spans="1:1" x14ac:dyDescent="0.25">
      <c r="A281" s="141" t="s">
        <v>382</v>
      </c>
    </row>
    <row r="282" spans="1:1" x14ac:dyDescent="0.25">
      <c r="A282" s="141" t="s">
        <v>383</v>
      </c>
    </row>
    <row r="283" spans="1:1" x14ac:dyDescent="0.25">
      <c r="A283" s="141" t="s">
        <v>384</v>
      </c>
    </row>
    <row r="284" spans="1:1" x14ac:dyDescent="0.25">
      <c r="A284" s="141" t="s">
        <v>385</v>
      </c>
    </row>
    <row r="285" spans="1:1" x14ac:dyDescent="0.25">
      <c r="A285" s="141" t="s">
        <v>386</v>
      </c>
    </row>
    <row r="286" spans="1:1" x14ac:dyDescent="0.25">
      <c r="A286" s="141" t="s">
        <v>387</v>
      </c>
    </row>
    <row r="287" spans="1:1" x14ac:dyDescent="0.25">
      <c r="A287" s="141" t="s">
        <v>388</v>
      </c>
    </row>
    <row r="288" spans="1:1" x14ac:dyDescent="0.25">
      <c r="A288" s="141" t="s">
        <v>389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288"/>
  <sheetViews>
    <sheetView topLeftCell="A64" zoomScaleNormal="100" workbookViewId="0">
      <selection activeCell="A80" sqref="A80:G80"/>
    </sheetView>
  </sheetViews>
  <sheetFormatPr defaultColWidth="9" defaultRowHeight="15.6" x14ac:dyDescent="0.25"/>
  <cols>
    <col min="1" max="1" width="25" bestFit="1" customWidth="1"/>
    <col min="6" max="6" width="14" customWidth="1"/>
  </cols>
  <sheetData>
    <row r="1" spans="1:10" x14ac:dyDescent="0.25">
      <c r="A1" s="141" t="s">
        <v>190</v>
      </c>
      <c r="B1">
        <v>76126.261599999998</v>
      </c>
      <c r="C1">
        <v>40.810099999999998</v>
      </c>
      <c r="D1">
        <v>49.241599999999998</v>
      </c>
      <c r="E1">
        <v>47.746499999999997</v>
      </c>
      <c r="F1">
        <v>125952.44500000001</v>
      </c>
      <c r="G1">
        <v>24.103000000000002</v>
      </c>
      <c r="H1">
        <v>0</v>
      </c>
      <c r="I1" t="s">
        <v>565</v>
      </c>
      <c r="J1" t="s">
        <v>566</v>
      </c>
    </row>
    <row r="2" spans="1:10" x14ac:dyDescent="0.25">
      <c r="A2" s="141" t="s">
        <v>191</v>
      </c>
      <c r="B2">
        <v>41152.164299999997</v>
      </c>
      <c r="C2">
        <v>40.157800000000002</v>
      </c>
      <c r="D2">
        <v>48.555900000000001</v>
      </c>
      <c r="E2">
        <v>46.6755</v>
      </c>
      <c r="F2">
        <v>69207.304999999993</v>
      </c>
      <c r="G2">
        <v>21.859000000000002</v>
      </c>
      <c r="H2">
        <v>0</v>
      </c>
      <c r="I2" t="s">
        <v>567</v>
      </c>
      <c r="J2" t="s">
        <v>568</v>
      </c>
    </row>
    <row r="3" spans="1:10" x14ac:dyDescent="0.25">
      <c r="A3" s="141" t="s">
        <v>192</v>
      </c>
      <c r="B3">
        <v>24699.736199999999</v>
      </c>
      <c r="C3">
        <v>39.433500000000002</v>
      </c>
      <c r="D3">
        <v>47.6233</v>
      </c>
      <c r="E3">
        <v>45.387300000000003</v>
      </c>
      <c r="F3">
        <v>43378.811999999998</v>
      </c>
      <c r="G3">
        <v>20.294</v>
      </c>
      <c r="H3">
        <v>0</v>
      </c>
      <c r="I3" t="s">
        <v>569</v>
      </c>
      <c r="J3" t="s">
        <v>570</v>
      </c>
    </row>
    <row r="4" spans="1:10" x14ac:dyDescent="0.25">
      <c r="A4" s="141" t="s">
        <v>193</v>
      </c>
      <c r="B4">
        <v>14099.571900000001</v>
      </c>
      <c r="C4">
        <v>38.2196</v>
      </c>
      <c r="D4">
        <v>46.153700000000001</v>
      </c>
      <c r="E4">
        <v>43.597299999999997</v>
      </c>
      <c r="F4">
        <v>23801.234</v>
      </c>
      <c r="G4">
        <v>18.835000000000001</v>
      </c>
      <c r="H4">
        <v>0</v>
      </c>
      <c r="I4" t="s">
        <v>571</v>
      </c>
      <c r="J4" t="s">
        <v>572</v>
      </c>
    </row>
    <row r="5" spans="1:10" x14ac:dyDescent="0.25">
      <c r="A5" s="141" t="s">
        <v>194</v>
      </c>
      <c r="B5">
        <v>322499.50530000002</v>
      </c>
      <c r="C5">
        <v>44.758899999999997</v>
      </c>
      <c r="D5">
        <v>39.129300000000001</v>
      </c>
      <c r="E5">
        <v>39.625500000000002</v>
      </c>
      <c r="F5">
        <v>196828.67199999999</v>
      </c>
      <c r="G5">
        <v>36.447000000000003</v>
      </c>
      <c r="H5">
        <v>0</v>
      </c>
      <c r="I5" t="s">
        <v>581</v>
      </c>
      <c r="J5" t="s">
        <v>582</v>
      </c>
    </row>
    <row r="6" spans="1:10" x14ac:dyDescent="0.25">
      <c r="A6" s="141" t="s">
        <v>195</v>
      </c>
      <c r="B6">
        <v>205607.4632</v>
      </c>
      <c r="C6">
        <v>41.969099999999997</v>
      </c>
      <c r="D6">
        <v>36.635899999999999</v>
      </c>
      <c r="E6">
        <v>37.4422</v>
      </c>
      <c r="F6">
        <v>158530.59400000001</v>
      </c>
      <c r="G6">
        <v>32.106999999999999</v>
      </c>
      <c r="H6">
        <v>0</v>
      </c>
      <c r="I6" t="s">
        <v>583</v>
      </c>
      <c r="J6" t="s">
        <v>584</v>
      </c>
    </row>
    <row r="7" spans="1:10" x14ac:dyDescent="0.25">
      <c r="A7" s="141" t="s">
        <v>196</v>
      </c>
      <c r="B7">
        <v>117447.5474</v>
      </c>
      <c r="C7">
        <v>38.708799999999997</v>
      </c>
      <c r="D7">
        <v>34.3598</v>
      </c>
      <c r="E7">
        <v>35.525599999999997</v>
      </c>
      <c r="F7">
        <v>120672.617</v>
      </c>
      <c r="G7">
        <v>28.352</v>
      </c>
      <c r="H7">
        <v>0</v>
      </c>
      <c r="I7" t="s">
        <v>585</v>
      </c>
      <c r="J7" t="s">
        <v>586</v>
      </c>
    </row>
    <row r="8" spans="1:10" x14ac:dyDescent="0.25">
      <c r="A8" s="141" t="s">
        <v>197</v>
      </c>
      <c r="B8">
        <v>55572.905299999999</v>
      </c>
      <c r="C8">
        <v>35.226700000000001</v>
      </c>
      <c r="D8">
        <v>32.005800000000001</v>
      </c>
      <c r="E8">
        <v>33.702199999999998</v>
      </c>
      <c r="F8">
        <v>78421.976999999999</v>
      </c>
      <c r="G8">
        <v>23.385000000000002</v>
      </c>
      <c r="H8">
        <v>0</v>
      </c>
      <c r="I8" t="s">
        <v>587</v>
      </c>
      <c r="J8" t="s">
        <v>588</v>
      </c>
    </row>
    <row r="9" spans="1:10" x14ac:dyDescent="0.25">
      <c r="A9" s="141" t="s">
        <v>198</v>
      </c>
      <c r="B9">
        <v>124797.3474</v>
      </c>
      <c r="C9">
        <v>41.574300000000001</v>
      </c>
      <c r="D9">
        <v>44.0124</v>
      </c>
      <c r="E9">
        <v>42.908000000000001</v>
      </c>
      <c r="F9">
        <v>166010.46900000001</v>
      </c>
      <c r="G9">
        <v>30.616</v>
      </c>
      <c r="H9">
        <v>0</v>
      </c>
      <c r="I9" t="s">
        <v>573</v>
      </c>
      <c r="J9" t="s">
        <v>574</v>
      </c>
    </row>
    <row r="10" spans="1:10" x14ac:dyDescent="0.25">
      <c r="A10" s="141" t="s">
        <v>199</v>
      </c>
      <c r="B10">
        <v>55876.4905</v>
      </c>
      <c r="C10">
        <v>38.8795</v>
      </c>
      <c r="D10">
        <v>41.391300000000001</v>
      </c>
      <c r="E10">
        <v>41.784599999999998</v>
      </c>
      <c r="F10">
        <v>114316.109</v>
      </c>
      <c r="G10">
        <v>23.684999999999999</v>
      </c>
      <c r="H10">
        <v>0</v>
      </c>
      <c r="I10" t="s">
        <v>575</v>
      </c>
      <c r="J10" t="s">
        <v>576</v>
      </c>
    </row>
    <row r="11" spans="1:10" x14ac:dyDescent="0.25">
      <c r="A11" s="141" t="s">
        <v>200</v>
      </c>
      <c r="B11">
        <v>25287.5684</v>
      </c>
      <c r="C11">
        <v>37.307499999999997</v>
      </c>
      <c r="D11">
        <v>39.0642</v>
      </c>
      <c r="E11">
        <v>40.706800000000001</v>
      </c>
      <c r="F11">
        <v>67025.468999999997</v>
      </c>
      <c r="G11">
        <v>19.565000000000001</v>
      </c>
      <c r="H11">
        <v>0</v>
      </c>
      <c r="I11" t="s">
        <v>577</v>
      </c>
      <c r="J11" t="s">
        <v>578</v>
      </c>
    </row>
    <row r="12" spans="1:10" x14ac:dyDescent="0.25">
      <c r="A12" s="141" t="s">
        <v>201</v>
      </c>
      <c r="B12">
        <v>12251.8737</v>
      </c>
      <c r="C12">
        <v>35.925800000000002</v>
      </c>
      <c r="D12">
        <v>36.337800000000001</v>
      </c>
      <c r="E12">
        <v>39.225000000000001</v>
      </c>
      <c r="F12">
        <v>39507.116999999998</v>
      </c>
      <c r="G12">
        <v>17.355</v>
      </c>
      <c r="H12">
        <v>0</v>
      </c>
      <c r="I12" t="s">
        <v>579</v>
      </c>
      <c r="J12" t="s">
        <v>580</v>
      </c>
    </row>
    <row r="13" spans="1:10" x14ac:dyDescent="0.25">
      <c r="A13" s="141" t="s">
        <v>202</v>
      </c>
      <c r="B13">
        <v>177353.19159999999</v>
      </c>
      <c r="C13">
        <v>38.623800000000003</v>
      </c>
      <c r="D13">
        <v>45.6629</v>
      </c>
      <c r="E13">
        <v>43.4786</v>
      </c>
      <c r="F13">
        <v>203305.34400000001</v>
      </c>
      <c r="G13">
        <v>31.914999999999999</v>
      </c>
      <c r="H13">
        <v>0</v>
      </c>
      <c r="I13" t="s">
        <v>589</v>
      </c>
      <c r="J13" t="s">
        <v>590</v>
      </c>
    </row>
    <row r="14" spans="1:10" x14ac:dyDescent="0.25">
      <c r="A14" s="141" t="s">
        <v>203</v>
      </c>
      <c r="B14">
        <v>86186.463199999998</v>
      </c>
      <c r="C14">
        <v>37.677500000000002</v>
      </c>
      <c r="D14">
        <v>44.796100000000003</v>
      </c>
      <c r="E14">
        <v>42.493400000000001</v>
      </c>
      <c r="F14">
        <v>121447.617</v>
      </c>
      <c r="G14">
        <v>24.754000000000001</v>
      </c>
      <c r="H14">
        <v>0</v>
      </c>
      <c r="I14" t="s">
        <v>591</v>
      </c>
      <c r="J14" t="s">
        <v>592</v>
      </c>
    </row>
    <row r="15" spans="1:10" x14ac:dyDescent="0.25">
      <c r="A15" s="141" t="s">
        <v>204</v>
      </c>
      <c r="B15">
        <v>49701.233699999997</v>
      </c>
      <c r="C15">
        <v>36.758899999999997</v>
      </c>
      <c r="D15">
        <v>43.833300000000001</v>
      </c>
      <c r="E15">
        <v>41.472999999999999</v>
      </c>
      <c r="F15">
        <v>78423.172000000006</v>
      </c>
      <c r="G15">
        <v>22.058</v>
      </c>
      <c r="H15">
        <v>0</v>
      </c>
      <c r="I15" t="s">
        <v>593</v>
      </c>
      <c r="J15" t="s">
        <v>594</v>
      </c>
    </row>
    <row r="16" spans="1:10" x14ac:dyDescent="0.25">
      <c r="A16" s="141" t="s">
        <v>205</v>
      </c>
      <c r="B16">
        <v>26287.2379</v>
      </c>
      <c r="C16">
        <v>35.2605</v>
      </c>
      <c r="D16">
        <v>42.415199999999999</v>
      </c>
      <c r="E16">
        <v>40.2286</v>
      </c>
      <c r="F16">
        <v>49313.940999999999</v>
      </c>
      <c r="G16">
        <v>19.742000000000001</v>
      </c>
      <c r="H16">
        <v>0</v>
      </c>
      <c r="I16" t="s">
        <v>595</v>
      </c>
      <c r="J16" t="s">
        <v>596</v>
      </c>
    </row>
    <row r="17" spans="1:10" x14ac:dyDescent="0.25">
      <c r="A17" s="141" t="s">
        <v>94</v>
      </c>
      <c r="B17">
        <v>67508.488899999997</v>
      </c>
      <c r="C17">
        <v>39.563600000000001</v>
      </c>
      <c r="D17">
        <v>40.536299999999997</v>
      </c>
      <c r="E17">
        <v>43.531599999999997</v>
      </c>
      <c r="F17">
        <v>87351.312000000005</v>
      </c>
      <c r="G17">
        <v>15.656000000000001</v>
      </c>
      <c r="H17">
        <v>0</v>
      </c>
      <c r="I17" t="s">
        <v>541</v>
      </c>
      <c r="J17" t="s">
        <v>542</v>
      </c>
    </row>
    <row r="18" spans="1:10" x14ac:dyDescent="0.25">
      <c r="A18" s="141" t="s">
        <v>95</v>
      </c>
      <c r="B18">
        <v>40277.942900000002</v>
      </c>
      <c r="C18">
        <v>37.929699999999997</v>
      </c>
      <c r="D18">
        <v>39.565399999999997</v>
      </c>
      <c r="E18">
        <v>42.151400000000002</v>
      </c>
      <c r="F18">
        <v>64489.207000000002</v>
      </c>
      <c r="G18">
        <v>12.795999999999999</v>
      </c>
      <c r="H18">
        <v>0</v>
      </c>
      <c r="I18" t="s">
        <v>543</v>
      </c>
      <c r="J18" t="s">
        <v>544</v>
      </c>
    </row>
    <row r="19" spans="1:10" x14ac:dyDescent="0.25">
      <c r="A19" s="141" t="s">
        <v>96</v>
      </c>
      <c r="B19">
        <v>23214.196800000002</v>
      </c>
      <c r="C19">
        <v>36.013800000000003</v>
      </c>
      <c r="D19">
        <v>38.716999999999999</v>
      </c>
      <c r="E19">
        <v>40.763599999999997</v>
      </c>
      <c r="F19">
        <v>47698.891000000003</v>
      </c>
      <c r="G19">
        <v>10.863</v>
      </c>
      <c r="H19">
        <v>0</v>
      </c>
      <c r="I19" t="s">
        <v>545</v>
      </c>
      <c r="J19" t="s">
        <v>546</v>
      </c>
    </row>
    <row r="20" spans="1:10" x14ac:dyDescent="0.25">
      <c r="A20" s="141" t="s">
        <v>97</v>
      </c>
      <c r="B20">
        <v>11837.5746</v>
      </c>
      <c r="C20">
        <v>33.539900000000003</v>
      </c>
      <c r="D20">
        <v>37.529499999999999</v>
      </c>
      <c r="E20">
        <v>38.922800000000002</v>
      </c>
      <c r="F20">
        <v>32056.895</v>
      </c>
      <c r="G20">
        <v>9.3719999999999999</v>
      </c>
      <c r="H20">
        <v>0</v>
      </c>
      <c r="I20" t="s">
        <v>547</v>
      </c>
      <c r="J20" t="s">
        <v>548</v>
      </c>
    </row>
    <row r="21" spans="1:10" x14ac:dyDescent="0.25">
      <c r="A21" s="141" t="s">
        <v>98</v>
      </c>
      <c r="B21">
        <v>42271.7333</v>
      </c>
      <c r="C21">
        <v>40.197099999999999</v>
      </c>
      <c r="D21">
        <v>44.214599999999997</v>
      </c>
      <c r="E21">
        <v>45.685400000000001</v>
      </c>
      <c r="F21">
        <v>75490.577999999994</v>
      </c>
      <c r="G21">
        <v>13.363</v>
      </c>
      <c r="H21">
        <v>0</v>
      </c>
      <c r="I21" t="s">
        <v>533</v>
      </c>
      <c r="J21" t="s">
        <v>534</v>
      </c>
    </row>
    <row r="22" spans="1:10" x14ac:dyDescent="0.25">
      <c r="A22" s="141" t="s">
        <v>99</v>
      </c>
      <c r="B22">
        <v>22926.019</v>
      </c>
      <c r="C22">
        <v>38.722099999999998</v>
      </c>
      <c r="D22">
        <v>43.268900000000002</v>
      </c>
      <c r="E22">
        <v>44.243600000000001</v>
      </c>
      <c r="F22">
        <v>51328.413999999997</v>
      </c>
      <c r="G22">
        <v>11.111000000000001</v>
      </c>
      <c r="H22">
        <v>0</v>
      </c>
      <c r="I22" t="s">
        <v>535</v>
      </c>
      <c r="J22" t="s">
        <v>536</v>
      </c>
    </row>
    <row r="23" spans="1:10" x14ac:dyDescent="0.25">
      <c r="A23" s="141" t="s">
        <v>100</v>
      </c>
      <c r="B23">
        <v>12952.292100000001</v>
      </c>
      <c r="C23">
        <v>37.280799999999999</v>
      </c>
      <c r="D23">
        <v>42.200800000000001</v>
      </c>
      <c r="E23">
        <v>42.674199999999999</v>
      </c>
      <c r="F23">
        <v>36287.836000000003</v>
      </c>
      <c r="G23">
        <v>9.798</v>
      </c>
      <c r="H23">
        <v>0</v>
      </c>
      <c r="I23" t="s">
        <v>537</v>
      </c>
      <c r="J23" t="s">
        <v>538</v>
      </c>
    </row>
    <row r="24" spans="1:10" x14ac:dyDescent="0.25">
      <c r="A24" s="141" t="s">
        <v>101</v>
      </c>
      <c r="B24">
        <v>6922.0190000000002</v>
      </c>
      <c r="C24">
        <v>35.357599999999998</v>
      </c>
      <c r="D24">
        <v>40.681100000000001</v>
      </c>
      <c r="E24">
        <v>40.655500000000004</v>
      </c>
      <c r="F24">
        <v>22074.98</v>
      </c>
      <c r="G24">
        <v>9.0120000000000005</v>
      </c>
      <c r="H24">
        <v>0</v>
      </c>
      <c r="I24" t="s">
        <v>539</v>
      </c>
      <c r="J24" t="s">
        <v>540</v>
      </c>
    </row>
    <row r="25" spans="1:10" x14ac:dyDescent="0.25">
      <c r="A25" s="141" t="s">
        <v>206</v>
      </c>
      <c r="B25">
        <v>64678.713600000003</v>
      </c>
      <c r="C25">
        <v>41.737200000000001</v>
      </c>
      <c r="D25">
        <v>44.442900000000002</v>
      </c>
      <c r="E25">
        <v>45.164700000000003</v>
      </c>
      <c r="F25">
        <v>91393.023000000001</v>
      </c>
      <c r="G25">
        <v>16.475999999999999</v>
      </c>
      <c r="H25">
        <v>0</v>
      </c>
      <c r="I25" t="s">
        <v>549</v>
      </c>
      <c r="J25" t="s">
        <v>550</v>
      </c>
    </row>
    <row r="26" spans="1:10" x14ac:dyDescent="0.25">
      <c r="A26" s="141" t="s">
        <v>207</v>
      </c>
      <c r="B26">
        <v>41712.351999999999</v>
      </c>
      <c r="C26">
        <v>39.930799999999998</v>
      </c>
      <c r="D26">
        <v>43.034700000000001</v>
      </c>
      <c r="E26">
        <v>43.927500000000002</v>
      </c>
      <c r="F26">
        <v>69268.437999999995</v>
      </c>
      <c r="G26">
        <v>14.407999999999999</v>
      </c>
      <c r="H26">
        <v>0</v>
      </c>
      <c r="I26" t="s">
        <v>551</v>
      </c>
      <c r="J26" t="s">
        <v>552</v>
      </c>
    </row>
    <row r="27" spans="1:10" x14ac:dyDescent="0.25">
      <c r="A27" s="141" t="s">
        <v>208</v>
      </c>
      <c r="B27">
        <v>24536.6656</v>
      </c>
      <c r="C27">
        <v>37.7042</v>
      </c>
      <c r="D27">
        <v>41.736600000000003</v>
      </c>
      <c r="E27">
        <v>42.6355</v>
      </c>
      <c r="F27">
        <v>49804.305</v>
      </c>
      <c r="G27">
        <v>12.339</v>
      </c>
      <c r="H27">
        <v>0</v>
      </c>
      <c r="I27" t="s">
        <v>553</v>
      </c>
      <c r="J27" t="s">
        <v>554</v>
      </c>
    </row>
    <row r="28" spans="1:10" x14ac:dyDescent="0.25">
      <c r="A28" s="141" t="s">
        <v>209</v>
      </c>
      <c r="B28">
        <v>12379.084800000001</v>
      </c>
      <c r="C28">
        <v>35.009099999999997</v>
      </c>
      <c r="D28">
        <v>40.167299999999997</v>
      </c>
      <c r="E28">
        <v>41.01</v>
      </c>
      <c r="F28">
        <v>32467.895</v>
      </c>
      <c r="G28">
        <v>10.801</v>
      </c>
      <c r="H28">
        <v>0</v>
      </c>
      <c r="I28" t="s">
        <v>555</v>
      </c>
      <c r="J28" t="s">
        <v>556</v>
      </c>
    </row>
    <row r="29" spans="1:10" x14ac:dyDescent="0.25">
      <c r="A29" s="141" t="s">
        <v>210</v>
      </c>
      <c r="B29">
        <v>39533.638400000003</v>
      </c>
      <c r="C29">
        <v>44.935200000000002</v>
      </c>
      <c r="D29">
        <v>47.604300000000002</v>
      </c>
      <c r="E29">
        <v>48.335599999999999</v>
      </c>
      <c r="F29">
        <v>60375.809000000001</v>
      </c>
      <c r="G29">
        <v>14.414999999999999</v>
      </c>
      <c r="H29">
        <v>0</v>
      </c>
      <c r="I29" t="s">
        <v>557</v>
      </c>
      <c r="J29" t="s">
        <v>558</v>
      </c>
    </row>
    <row r="30" spans="1:10" x14ac:dyDescent="0.25">
      <c r="A30" s="141" t="s">
        <v>211</v>
      </c>
      <c r="B30">
        <v>26053.7088</v>
      </c>
      <c r="C30">
        <v>42.766599999999997</v>
      </c>
      <c r="D30">
        <v>46.002699999999997</v>
      </c>
      <c r="E30">
        <v>46.531599999999997</v>
      </c>
      <c r="F30">
        <v>48432.464999999997</v>
      </c>
      <c r="G30">
        <v>12.772</v>
      </c>
      <c r="H30">
        <v>0</v>
      </c>
      <c r="I30" t="s">
        <v>559</v>
      </c>
      <c r="J30" t="s">
        <v>560</v>
      </c>
    </row>
    <row r="31" spans="1:10" x14ac:dyDescent="0.25">
      <c r="A31" s="141" t="s">
        <v>212</v>
      </c>
      <c r="B31">
        <v>15440.6976</v>
      </c>
      <c r="C31">
        <v>40.081299999999999</v>
      </c>
      <c r="D31">
        <v>44.474400000000003</v>
      </c>
      <c r="E31">
        <v>44.7134</v>
      </c>
      <c r="F31">
        <v>37049.18</v>
      </c>
      <c r="G31">
        <v>11.484999999999999</v>
      </c>
      <c r="H31">
        <v>0</v>
      </c>
      <c r="I31" t="s">
        <v>561</v>
      </c>
      <c r="J31" t="s">
        <v>562</v>
      </c>
    </row>
    <row r="32" spans="1:10" x14ac:dyDescent="0.25">
      <c r="A32" s="141" t="s">
        <v>213</v>
      </c>
      <c r="B32">
        <v>8060.4160000000002</v>
      </c>
      <c r="C32">
        <v>37.010100000000001</v>
      </c>
      <c r="D32">
        <v>42.451599999999999</v>
      </c>
      <c r="E32">
        <v>42.517400000000002</v>
      </c>
      <c r="F32">
        <v>24011.873</v>
      </c>
      <c r="G32">
        <v>10.068</v>
      </c>
      <c r="H32">
        <v>0</v>
      </c>
      <c r="I32" t="s">
        <v>563</v>
      </c>
      <c r="J32" t="s">
        <v>564</v>
      </c>
    </row>
    <row r="33" spans="1:10" x14ac:dyDescent="0.25">
      <c r="A33" s="141" t="s">
        <v>102</v>
      </c>
      <c r="B33">
        <v>53885.331200000001</v>
      </c>
      <c r="C33">
        <v>41.744900000000001</v>
      </c>
      <c r="D33">
        <v>46.070099999999996</v>
      </c>
      <c r="E33">
        <v>46.383099999999999</v>
      </c>
      <c r="F33">
        <v>50159.296999999999</v>
      </c>
      <c r="G33">
        <v>9.2569999999999997</v>
      </c>
      <c r="H33">
        <v>0</v>
      </c>
      <c r="I33" t="s">
        <v>501</v>
      </c>
      <c r="J33" t="s">
        <v>502</v>
      </c>
    </row>
    <row r="34" spans="1:10" x14ac:dyDescent="0.25">
      <c r="A34" s="141" t="s">
        <v>103</v>
      </c>
      <c r="B34">
        <v>36758.131200000003</v>
      </c>
      <c r="C34">
        <v>38.811199999999999</v>
      </c>
      <c r="D34">
        <v>44.325200000000002</v>
      </c>
      <c r="E34">
        <v>44.660699999999999</v>
      </c>
      <c r="F34">
        <v>44645.688000000002</v>
      </c>
      <c r="G34">
        <v>8.1620000000000008</v>
      </c>
      <c r="H34">
        <v>0</v>
      </c>
      <c r="I34" t="s">
        <v>503</v>
      </c>
      <c r="J34" t="s">
        <v>504</v>
      </c>
    </row>
    <row r="35" spans="1:10" x14ac:dyDescent="0.25">
      <c r="A35" s="141" t="s">
        <v>104</v>
      </c>
      <c r="B35">
        <v>21830.687999999998</v>
      </c>
      <c r="C35">
        <v>35.4236</v>
      </c>
      <c r="D35">
        <v>42.872100000000003</v>
      </c>
      <c r="E35">
        <v>43.201700000000002</v>
      </c>
      <c r="F35">
        <v>36387.879000000001</v>
      </c>
      <c r="G35">
        <v>7.1020000000000003</v>
      </c>
      <c r="H35">
        <v>0</v>
      </c>
      <c r="I35" t="s">
        <v>505</v>
      </c>
      <c r="J35" t="s">
        <v>506</v>
      </c>
    </row>
    <row r="36" spans="1:10" x14ac:dyDescent="0.25">
      <c r="A36" s="141" t="s">
        <v>105</v>
      </c>
      <c r="B36">
        <v>10755.910400000001</v>
      </c>
      <c r="C36">
        <v>31.796199999999999</v>
      </c>
      <c r="D36">
        <v>41.500999999999998</v>
      </c>
      <c r="E36">
        <v>41.679699999999997</v>
      </c>
      <c r="F36">
        <v>26396.096000000001</v>
      </c>
      <c r="G36">
        <v>5.8230000000000004</v>
      </c>
      <c r="H36">
        <v>0</v>
      </c>
      <c r="I36" t="s">
        <v>507</v>
      </c>
      <c r="J36" t="s">
        <v>508</v>
      </c>
    </row>
    <row r="37" spans="1:10" x14ac:dyDescent="0.25">
      <c r="A37" s="141" t="s">
        <v>106</v>
      </c>
      <c r="B37">
        <v>20102.272000000001</v>
      </c>
      <c r="C37">
        <v>42.688400000000001</v>
      </c>
      <c r="D37">
        <v>45.477699999999999</v>
      </c>
      <c r="E37">
        <v>47.034100000000002</v>
      </c>
      <c r="F37">
        <v>34298.887000000002</v>
      </c>
      <c r="G37">
        <v>6.45</v>
      </c>
      <c r="H37">
        <v>0</v>
      </c>
      <c r="I37" t="s">
        <v>509</v>
      </c>
      <c r="J37" t="s">
        <v>510</v>
      </c>
    </row>
    <row r="38" spans="1:10" x14ac:dyDescent="0.25">
      <c r="A38" s="141" t="s">
        <v>107</v>
      </c>
      <c r="B38">
        <v>11416.6656</v>
      </c>
      <c r="C38">
        <v>40.667999999999999</v>
      </c>
      <c r="D38">
        <v>44.567700000000002</v>
      </c>
      <c r="E38">
        <v>45.400799999999997</v>
      </c>
      <c r="F38">
        <v>25105.116999999998</v>
      </c>
      <c r="G38">
        <v>5.4130000000000003</v>
      </c>
      <c r="H38">
        <v>0</v>
      </c>
      <c r="I38" t="s">
        <v>511</v>
      </c>
      <c r="J38" t="s">
        <v>512</v>
      </c>
    </row>
    <row r="39" spans="1:10" x14ac:dyDescent="0.25">
      <c r="A39" s="141" t="s">
        <v>108</v>
      </c>
      <c r="B39">
        <v>6329.3760000000002</v>
      </c>
      <c r="C39">
        <v>38.663600000000002</v>
      </c>
      <c r="D39">
        <v>43.6203</v>
      </c>
      <c r="E39">
        <v>43.655099999999997</v>
      </c>
      <c r="F39">
        <v>17267.41</v>
      </c>
      <c r="G39">
        <v>4.7699999999999996</v>
      </c>
      <c r="H39">
        <v>0</v>
      </c>
      <c r="I39" t="s">
        <v>513</v>
      </c>
      <c r="J39" t="s">
        <v>514</v>
      </c>
    </row>
    <row r="40" spans="1:10" x14ac:dyDescent="0.25">
      <c r="A40" s="141" t="s">
        <v>109</v>
      </c>
      <c r="B40">
        <v>3225.2287999999999</v>
      </c>
      <c r="C40">
        <v>36.287100000000002</v>
      </c>
      <c r="D40">
        <v>42.308900000000001</v>
      </c>
      <c r="E40">
        <v>41.461300000000001</v>
      </c>
      <c r="F40">
        <v>10898.710999999999</v>
      </c>
      <c r="G40">
        <v>4.2539999999999996</v>
      </c>
      <c r="H40">
        <v>0</v>
      </c>
      <c r="I40" t="s">
        <v>515</v>
      </c>
      <c r="J40" t="s">
        <v>516</v>
      </c>
    </row>
    <row r="41" spans="1:10" x14ac:dyDescent="0.25">
      <c r="A41" s="141" t="s">
        <v>110</v>
      </c>
      <c r="B41">
        <v>15113.6</v>
      </c>
      <c r="C41">
        <v>44.225900000000003</v>
      </c>
      <c r="D41">
        <v>47.078600000000002</v>
      </c>
      <c r="E41">
        <v>47.972000000000001</v>
      </c>
      <c r="F41">
        <v>26541.796999999999</v>
      </c>
      <c r="G41">
        <v>6.0609999999999999</v>
      </c>
      <c r="H41">
        <v>0</v>
      </c>
      <c r="I41" t="s">
        <v>517</v>
      </c>
      <c r="J41" t="s">
        <v>518</v>
      </c>
    </row>
    <row r="42" spans="1:10" x14ac:dyDescent="0.25">
      <c r="A42" s="141" t="s">
        <v>111</v>
      </c>
      <c r="B42">
        <v>10258.2528</v>
      </c>
      <c r="C42">
        <v>42.497399999999999</v>
      </c>
      <c r="D42">
        <v>45.936999999999998</v>
      </c>
      <c r="E42">
        <v>46.642099999999999</v>
      </c>
      <c r="F42">
        <v>21360.561000000002</v>
      </c>
      <c r="G42">
        <v>5.5149999999999997</v>
      </c>
      <c r="H42">
        <v>0</v>
      </c>
      <c r="I42" t="s">
        <v>519</v>
      </c>
      <c r="J42" t="s">
        <v>520</v>
      </c>
    </row>
    <row r="43" spans="1:10" x14ac:dyDescent="0.25">
      <c r="A43" s="141" t="s">
        <v>112</v>
      </c>
      <c r="B43">
        <v>6482.9632000000001</v>
      </c>
      <c r="C43">
        <v>40.163899999999998</v>
      </c>
      <c r="D43">
        <v>44.606999999999999</v>
      </c>
      <c r="E43">
        <v>45.104399999999998</v>
      </c>
      <c r="F43">
        <v>15772.986999999999</v>
      </c>
      <c r="G43">
        <v>5.2229999999999999</v>
      </c>
      <c r="H43">
        <v>0</v>
      </c>
      <c r="I43" t="s">
        <v>521</v>
      </c>
      <c r="J43" t="s">
        <v>522</v>
      </c>
    </row>
    <row r="44" spans="1:10" x14ac:dyDescent="0.25">
      <c r="A44" s="141" t="s">
        <v>113</v>
      </c>
      <c r="B44">
        <v>3749.9072000000001</v>
      </c>
      <c r="C44">
        <v>37.167900000000003</v>
      </c>
      <c r="D44">
        <v>42.866199999999999</v>
      </c>
      <c r="E44">
        <v>43.095100000000002</v>
      </c>
      <c r="F44">
        <v>10957.403</v>
      </c>
      <c r="G44">
        <v>4.431</v>
      </c>
      <c r="H44">
        <v>0</v>
      </c>
      <c r="I44" t="s">
        <v>523</v>
      </c>
      <c r="J44" t="s">
        <v>524</v>
      </c>
    </row>
    <row r="45" spans="1:10" x14ac:dyDescent="0.25">
      <c r="A45" s="141" t="s">
        <v>114</v>
      </c>
      <c r="B45">
        <v>16385.792000000001</v>
      </c>
      <c r="C45">
        <v>44.1693</v>
      </c>
      <c r="D45">
        <v>48.808799999999998</v>
      </c>
      <c r="E45">
        <v>48.463299999999997</v>
      </c>
      <c r="F45">
        <v>26761.956999999999</v>
      </c>
      <c r="G45">
        <v>5.7709999999999999</v>
      </c>
      <c r="H45">
        <v>0</v>
      </c>
      <c r="I45" t="s">
        <v>525</v>
      </c>
      <c r="J45" t="s">
        <v>526</v>
      </c>
    </row>
    <row r="46" spans="1:10" x14ac:dyDescent="0.25">
      <c r="A46" s="141" t="s">
        <v>115</v>
      </c>
      <c r="B46">
        <v>11392.7232</v>
      </c>
      <c r="C46">
        <v>42.4315</v>
      </c>
      <c r="D46">
        <v>47.797199999999997</v>
      </c>
      <c r="E46">
        <v>47.000300000000003</v>
      </c>
      <c r="F46">
        <v>21970.055</v>
      </c>
      <c r="G46">
        <v>5.2519999999999998</v>
      </c>
      <c r="H46">
        <v>0</v>
      </c>
      <c r="I46" t="s">
        <v>527</v>
      </c>
      <c r="J46" t="s">
        <v>528</v>
      </c>
    </row>
    <row r="47" spans="1:10" x14ac:dyDescent="0.25">
      <c r="A47" s="141" t="s">
        <v>116</v>
      </c>
      <c r="B47">
        <v>7410.8032000000003</v>
      </c>
      <c r="C47">
        <v>40.048299999999998</v>
      </c>
      <c r="D47">
        <v>46.615499999999997</v>
      </c>
      <c r="E47">
        <v>45.326300000000003</v>
      </c>
      <c r="F47">
        <v>16557.879000000001</v>
      </c>
      <c r="G47">
        <v>4.7450000000000001</v>
      </c>
      <c r="H47">
        <v>0</v>
      </c>
      <c r="I47" t="s">
        <v>529</v>
      </c>
      <c r="J47" t="s">
        <v>530</v>
      </c>
    </row>
    <row r="48" spans="1:10" x14ac:dyDescent="0.25">
      <c r="A48" s="141" t="s">
        <v>117</v>
      </c>
      <c r="B48">
        <v>4305.2031999999999</v>
      </c>
      <c r="C48">
        <v>36.829700000000003</v>
      </c>
      <c r="D48">
        <v>44.739600000000003</v>
      </c>
      <c r="E48">
        <v>43.030299999999997</v>
      </c>
      <c r="F48">
        <v>11641.714</v>
      </c>
      <c r="G48">
        <v>4.1449999999999996</v>
      </c>
      <c r="H48">
        <v>0</v>
      </c>
      <c r="I48" t="s">
        <v>531</v>
      </c>
      <c r="J48" t="s">
        <v>532</v>
      </c>
    </row>
    <row r="49" spans="1:1" x14ac:dyDescent="0.25">
      <c r="A49" s="141" t="s">
        <v>214</v>
      </c>
    </row>
    <row r="50" spans="1:1" x14ac:dyDescent="0.25">
      <c r="A50" s="141" t="s">
        <v>215</v>
      </c>
    </row>
    <row r="51" spans="1:1" x14ac:dyDescent="0.25">
      <c r="A51" s="141" t="s">
        <v>216</v>
      </c>
    </row>
    <row r="52" spans="1:1" x14ac:dyDescent="0.25">
      <c r="A52" s="141" t="s">
        <v>217</v>
      </c>
    </row>
    <row r="53" spans="1:1" x14ac:dyDescent="0.25">
      <c r="A53" s="141" t="s">
        <v>218</v>
      </c>
    </row>
    <row r="54" spans="1:1" x14ac:dyDescent="0.25">
      <c r="A54" s="141" t="s">
        <v>219</v>
      </c>
    </row>
    <row r="55" spans="1:1" x14ac:dyDescent="0.25">
      <c r="A55" s="141" t="s">
        <v>220</v>
      </c>
    </row>
    <row r="56" spans="1:1" x14ac:dyDescent="0.25">
      <c r="A56" s="141" t="s">
        <v>221</v>
      </c>
    </row>
    <row r="57" spans="1:1" x14ac:dyDescent="0.25">
      <c r="A57" s="141" t="s">
        <v>318</v>
      </c>
    </row>
    <row r="58" spans="1:1" x14ac:dyDescent="0.25">
      <c r="A58" s="141" t="s">
        <v>319</v>
      </c>
    </row>
    <row r="59" spans="1:1" x14ac:dyDescent="0.25">
      <c r="A59" s="141" t="s">
        <v>320</v>
      </c>
    </row>
    <row r="60" spans="1:1" x14ac:dyDescent="0.25">
      <c r="A60" s="141" t="s">
        <v>321</v>
      </c>
    </row>
    <row r="61" spans="1:1" x14ac:dyDescent="0.25">
      <c r="A61" s="141" t="s">
        <v>322</v>
      </c>
    </row>
    <row r="62" spans="1:1" x14ac:dyDescent="0.25">
      <c r="A62" s="141" t="s">
        <v>323</v>
      </c>
    </row>
    <row r="63" spans="1:1" x14ac:dyDescent="0.25">
      <c r="A63" s="141" t="s">
        <v>324</v>
      </c>
    </row>
    <row r="64" spans="1:1" x14ac:dyDescent="0.25">
      <c r="A64" s="141" t="s">
        <v>325</v>
      </c>
    </row>
    <row r="65" spans="1:10" x14ac:dyDescent="0.25">
      <c r="A65" s="141" t="s">
        <v>326</v>
      </c>
    </row>
    <row r="66" spans="1:10" x14ac:dyDescent="0.25">
      <c r="A66" s="141" t="s">
        <v>327</v>
      </c>
    </row>
    <row r="67" spans="1:10" x14ac:dyDescent="0.25">
      <c r="A67" s="141" t="s">
        <v>328</v>
      </c>
    </row>
    <row r="68" spans="1:10" x14ac:dyDescent="0.25">
      <c r="A68" s="141" t="s">
        <v>329</v>
      </c>
    </row>
    <row r="69" spans="1:10" x14ac:dyDescent="0.25">
      <c r="A69" s="141" t="s">
        <v>330</v>
      </c>
    </row>
    <row r="70" spans="1:10" x14ac:dyDescent="0.25">
      <c r="A70" s="141" t="s">
        <v>331</v>
      </c>
    </row>
    <row r="71" spans="1:10" x14ac:dyDescent="0.25">
      <c r="A71" s="141" t="s">
        <v>332</v>
      </c>
    </row>
    <row r="72" spans="1:10" x14ac:dyDescent="0.25">
      <c r="A72" s="141" t="s">
        <v>333</v>
      </c>
    </row>
    <row r="73" spans="1:10" x14ac:dyDescent="0.25">
      <c r="A73" s="141" t="s">
        <v>222</v>
      </c>
      <c r="B73">
        <v>14746.856</v>
      </c>
      <c r="C73">
        <v>40.090400000000002</v>
      </c>
      <c r="D73">
        <v>49.063400000000001</v>
      </c>
      <c r="E73">
        <v>47.0503</v>
      </c>
      <c r="F73">
        <v>361961.413</v>
      </c>
      <c r="G73">
        <v>55.472000000000001</v>
      </c>
      <c r="H73">
        <v>0</v>
      </c>
      <c r="I73" t="s">
        <v>470</v>
      </c>
      <c r="J73" t="s">
        <v>471</v>
      </c>
    </row>
    <row r="74" spans="1:10" x14ac:dyDescent="0.25">
      <c r="A74" s="141" t="s">
        <v>223</v>
      </c>
      <c r="B74">
        <v>6727.1120000000001</v>
      </c>
      <c r="C74">
        <v>39.600700000000003</v>
      </c>
      <c r="D74">
        <v>48.467700000000001</v>
      </c>
      <c r="E74">
        <v>46.150100000000002</v>
      </c>
      <c r="F74">
        <v>200562.59099999999</v>
      </c>
      <c r="G74">
        <v>50.631</v>
      </c>
      <c r="H74">
        <v>0</v>
      </c>
      <c r="I74" t="s">
        <v>472</v>
      </c>
      <c r="J74" t="s">
        <v>473</v>
      </c>
    </row>
    <row r="75" spans="1:10" x14ac:dyDescent="0.25">
      <c r="A75" s="141" t="s">
        <v>224</v>
      </c>
      <c r="B75">
        <v>3645.7</v>
      </c>
      <c r="C75">
        <v>38.76</v>
      </c>
      <c r="D75">
        <v>47.635300000000001</v>
      </c>
      <c r="E75">
        <v>44.925600000000003</v>
      </c>
      <c r="F75">
        <v>100408.542</v>
      </c>
      <c r="G75">
        <v>47.031999999999996</v>
      </c>
      <c r="H75">
        <v>0</v>
      </c>
      <c r="I75" t="s">
        <v>474</v>
      </c>
      <c r="J75" t="s">
        <v>475</v>
      </c>
    </row>
    <row r="76" spans="1:10" x14ac:dyDescent="0.25">
      <c r="A76" s="141" t="s">
        <v>225</v>
      </c>
      <c r="B76">
        <v>1931.604</v>
      </c>
      <c r="C76">
        <v>37.269300000000001</v>
      </c>
      <c r="D76">
        <v>46.308599999999998</v>
      </c>
      <c r="E76">
        <v>43.193899999999999</v>
      </c>
      <c r="F76">
        <v>50303.995000000003</v>
      </c>
      <c r="G76">
        <v>41.863</v>
      </c>
      <c r="H76">
        <v>0</v>
      </c>
      <c r="I76" t="s">
        <v>476</v>
      </c>
      <c r="J76" t="s">
        <v>477</v>
      </c>
    </row>
    <row r="77" spans="1:10" x14ac:dyDescent="0.25">
      <c r="A77" s="141" t="s">
        <v>226</v>
      </c>
      <c r="B77">
        <v>75653.347999999998</v>
      </c>
      <c r="C77">
        <v>41.652999999999999</v>
      </c>
      <c r="D77">
        <v>36.478999999999999</v>
      </c>
      <c r="E77">
        <v>37.614800000000002</v>
      </c>
      <c r="F77">
        <v>652611.97100000002</v>
      </c>
      <c r="G77">
        <v>64.319999999999993</v>
      </c>
      <c r="H77">
        <v>0</v>
      </c>
      <c r="I77" t="s">
        <v>693</v>
      </c>
      <c r="J77" t="s">
        <v>486</v>
      </c>
    </row>
    <row r="78" spans="1:10" x14ac:dyDescent="0.25">
      <c r="A78" s="141" t="s">
        <v>227</v>
      </c>
      <c r="B78">
        <v>39090.076000000001</v>
      </c>
      <c r="C78">
        <v>39.049399999999999</v>
      </c>
      <c r="D78">
        <v>34.552700000000002</v>
      </c>
      <c r="E78">
        <v>35.957099999999997</v>
      </c>
      <c r="F78">
        <v>440357.17099999997</v>
      </c>
      <c r="G78">
        <v>57.296999999999997</v>
      </c>
      <c r="H78">
        <v>0</v>
      </c>
      <c r="I78" t="s">
        <v>487</v>
      </c>
      <c r="J78" t="s">
        <v>488</v>
      </c>
    </row>
    <row r="79" spans="1:10" x14ac:dyDescent="0.25">
      <c r="A79" s="141" t="s">
        <v>228</v>
      </c>
      <c r="B79">
        <v>18789.919999999998</v>
      </c>
      <c r="C79">
        <v>36.145200000000003</v>
      </c>
      <c r="D79">
        <v>32.924199999999999</v>
      </c>
      <c r="E79">
        <v>34.586500000000001</v>
      </c>
      <c r="F79">
        <v>275003.09700000001</v>
      </c>
      <c r="G79">
        <v>51.070999999999998</v>
      </c>
      <c r="H79">
        <v>0</v>
      </c>
      <c r="I79" t="s">
        <v>489</v>
      </c>
      <c r="J79" t="s">
        <v>490</v>
      </c>
    </row>
    <row r="80" spans="1:10" x14ac:dyDescent="0.25">
      <c r="A80" s="141" t="s">
        <v>229</v>
      </c>
      <c r="B80">
        <v>7756.2719999999999</v>
      </c>
      <c r="C80">
        <v>33.088200000000001</v>
      </c>
      <c r="D80">
        <v>31.26</v>
      </c>
      <c r="E80">
        <v>33.165799999999997</v>
      </c>
      <c r="F80">
        <v>157960.19500000001</v>
      </c>
      <c r="G80">
        <v>47.533999999999999</v>
      </c>
      <c r="H80">
        <v>0</v>
      </c>
      <c r="I80" t="s">
        <v>491</v>
      </c>
      <c r="J80" t="s">
        <v>492</v>
      </c>
    </row>
    <row r="81" spans="1:10" x14ac:dyDescent="0.25">
      <c r="A81" s="141" t="s">
        <v>230</v>
      </c>
      <c r="B81">
        <v>37745.603999999999</v>
      </c>
      <c r="C81">
        <v>38.306899999999999</v>
      </c>
      <c r="D81">
        <v>40.4666</v>
      </c>
      <c r="E81">
        <v>41.552900000000001</v>
      </c>
      <c r="F81">
        <v>386644.43099999998</v>
      </c>
      <c r="G81">
        <v>35.546999999999997</v>
      </c>
      <c r="H81">
        <v>0</v>
      </c>
      <c r="I81" t="s">
        <v>478</v>
      </c>
      <c r="J81" t="s">
        <v>479</v>
      </c>
    </row>
    <row r="82" spans="1:10" x14ac:dyDescent="0.25">
      <c r="A82" s="141" t="s">
        <v>231</v>
      </c>
      <c r="B82">
        <v>18408.804</v>
      </c>
      <c r="C82">
        <v>37.197899999999997</v>
      </c>
      <c r="D82">
        <v>37.920299999999997</v>
      </c>
      <c r="E82">
        <v>40.3414</v>
      </c>
      <c r="F82">
        <v>232605.15100000001</v>
      </c>
      <c r="G82">
        <v>29.963000000000001</v>
      </c>
      <c r="H82">
        <v>0</v>
      </c>
      <c r="I82" t="s">
        <v>480</v>
      </c>
      <c r="J82" t="s">
        <v>481</v>
      </c>
    </row>
    <row r="83" spans="1:10" x14ac:dyDescent="0.25">
      <c r="A83" s="141" t="s">
        <v>232</v>
      </c>
      <c r="B83">
        <v>9149.9480000000003</v>
      </c>
      <c r="C83">
        <v>35.836399999999998</v>
      </c>
      <c r="D83">
        <v>35.711799999999997</v>
      </c>
      <c r="E83">
        <v>39.020499999999998</v>
      </c>
      <c r="F83">
        <v>140276.36199999999</v>
      </c>
      <c r="G83">
        <v>26.251000000000001</v>
      </c>
      <c r="H83">
        <v>0</v>
      </c>
      <c r="I83" t="s">
        <v>482</v>
      </c>
      <c r="J83" t="s">
        <v>483</v>
      </c>
    </row>
    <row r="84" spans="1:10" x14ac:dyDescent="0.25">
      <c r="A84" s="141" t="s">
        <v>233</v>
      </c>
      <c r="B84">
        <v>4624.6480000000001</v>
      </c>
      <c r="C84">
        <v>34.000799999999998</v>
      </c>
      <c r="D84">
        <v>33.810699999999997</v>
      </c>
      <c r="E84">
        <v>37.476300000000002</v>
      </c>
      <c r="F84">
        <v>80893.921000000002</v>
      </c>
      <c r="G84">
        <v>23.561</v>
      </c>
      <c r="H84">
        <v>0</v>
      </c>
      <c r="I84" t="s">
        <v>484</v>
      </c>
      <c r="J84" t="s">
        <v>485</v>
      </c>
    </row>
    <row r="85" spans="1:10" x14ac:dyDescent="0.25">
      <c r="A85" s="141" t="s">
        <v>234</v>
      </c>
      <c r="B85">
        <v>26227.743999999999</v>
      </c>
      <c r="C85">
        <v>37.639099999999999</v>
      </c>
      <c r="D85">
        <v>45.343699999999998</v>
      </c>
      <c r="E85">
        <v>43.035699999999999</v>
      </c>
      <c r="F85">
        <v>508940.011</v>
      </c>
      <c r="G85">
        <v>60.792000000000002</v>
      </c>
      <c r="H85">
        <v>0</v>
      </c>
      <c r="I85" t="s">
        <v>493</v>
      </c>
      <c r="J85" t="s">
        <v>494</v>
      </c>
    </row>
    <row r="86" spans="1:10" x14ac:dyDescent="0.25">
      <c r="A86" s="141" t="s">
        <v>235</v>
      </c>
      <c r="B86">
        <v>9139.3719999999994</v>
      </c>
      <c r="C86">
        <v>37.098599999999998</v>
      </c>
      <c r="D86">
        <v>44.745699999999999</v>
      </c>
      <c r="E86">
        <v>42.404699999999998</v>
      </c>
      <c r="F86">
        <v>275515.68900000001</v>
      </c>
      <c r="G86">
        <v>51.438000000000002</v>
      </c>
      <c r="H86">
        <v>0</v>
      </c>
      <c r="I86" t="s">
        <v>495</v>
      </c>
      <c r="J86" t="s">
        <v>496</v>
      </c>
    </row>
    <row r="87" spans="1:10" x14ac:dyDescent="0.25">
      <c r="A87" s="141" t="s">
        <v>236</v>
      </c>
      <c r="B87">
        <v>4509.9319999999998</v>
      </c>
      <c r="C87">
        <v>36.249400000000001</v>
      </c>
      <c r="D87">
        <v>43.992600000000003</v>
      </c>
      <c r="E87">
        <v>41.616300000000003</v>
      </c>
      <c r="F87">
        <v>142756.304</v>
      </c>
      <c r="G87">
        <v>44.16</v>
      </c>
      <c r="H87">
        <v>0</v>
      </c>
      <c r="I87" t="s">
        <v>497</v>
      </c>
      <c r="J87" t="s">
        <v>498</v>
      </c>
    </row>
    <row r="88" spans="1:10" x14ac:dyDescent="0.25">
      <c r="A88" s="141" t="s">
        <v>237</v>
      </c>
      <c r="B88">
        <v>2181.0320000000002</v>
      </c>
      <c r="C88">
        <v>34.793300000000002</v>
      </c>
      <c r="D88">
        <v>42.700699999999998</v>
      </c>
      <c r="E88">
        <v>40.4696</v>
      </c>
      <c r="F88">
        <v>68718.400999999998</v>
      </c>
      <c r="G88">
        <v>37.975000000000001</v>
      </c>
      <c r="H88">
        <v>0</v>
      </c>
      <c r="I88" t="s">
        <v>499</v>
      </c>
      <c r="J88" t="s">
        <v>500</v>
      </c>
    </row>
    <row r="89" spans="1:10" x14ac:dyDescent="0.25">
      <c r="A89" s="141" t="s">
        <v>118</v>
      </c>
      <c r="B89">
        <v>9769.5400000000009</v>
      </c>
      <c r="C89">
        <v>38.013500000000001</v>
      </c>
      <c r="D89">
        <v>39.850499999999997</v>
      </c>
      <c r="E89">
        <v>43.338500000000003</v>
      </c>
      <c r="F89">
        <v>116478.53200000001</v>
      </c>
      <c r="G89">
        <v>13.01</v>
      </c>
      <c r="H89">
        <v>0</v>
      </c>
      <c r="I89" t="s">
        <v>446</v>
      </c>
      <c r="J89" t="s">
        <v>447</v>
      </c>
    </row>
    <row r="90" spans="1:10" x14ac:dyDescent="0.25">
      <c r="A90" s="141" t="s">
        <v>119</v>
      </c>
      <c r="B90">
        <v>4522.7879999999996</v>
      </c>
      <c r="C90">
        <v>36.915199999999999</v>
      </c>
      <c r="D90">
        <v>39.3446</v>
      </c>
      <c r="E90">
        <v>42.221299999999999</v>
      </c>
      <c r="F90">
        <v>70070.361999999994</v>
      </c>
      <c r="G90">
        <v>11.105</v>
      </c>
      <c r="H90">
        <v>0</v>
      </c>
      <c r="I90" t="s">
        <v>448</v>
      </c>
      <c r="J90" t="s">
        <v>449</v>
      </c>
    </row>
    <row r="91" spans="1:10" x14ac:dyDescent="0.25">
      <c r="A91" s="141" t="s">
        <v>120</v>
      </c>
      <c r="B91">
        <v>2300.7399999999998</v>
      </c>
      <c r="C91">
        <v>35.357300000000002</v>
      </c>
      <c r="D91">
        <v>38.728900000000003</v>
      </c>
      <c r="E91">
        <v>40.947000000000003</v>
      </c>
      <c r="F91">
        <v>41124.656000000003</v>
      </c>
      <c r="G91">
        <v>9.2829999999999995</v>
      </c>
      <c r="H91">
        <v>0</v>
      </c>
      <c r="I91" t="s">
        <v>450</v>
      </c>
      <c r="J91" t="s">
        <v>451</v>
      </c>
    </row>
    <row r="92" spans="1:10" x14ac:dyDescent="0.25">
      <c r="A92" s="141" t="s">
        <v>121</v>
      </c>
      <c r="B92">
        <v>1104.404</v>
      </c>
      <c r="C92">
        <v>33.1706</v>
      </c>
      <c r="D92">
        <v>37.717599999999997</v>
      </c>
      <c r="E92">
        <v>39.195799999999998</v>
      </c>
      <c r="F92">
        <v>22097.569</v>
      </c>
      <c r="G92">
        <v>8.4819999999999993</v>
      </c>
      <c r="H92">
        <v>0</v>
      </c>
      <c r="I92" t="s">
        <v>452</v>
      </c>
      <c r="J92" t="s">
        <v>453</v>
      </c>
    </row>
    <row r="93" spans="1:10" x14ac:dyDescent="0.25">
      <c r="A93" s="141" t="s">
        <v>122</v>
      </c>
      <c r="B93">
        <v>8549.0560000000005</v>
      </c>
      <c r="C93">
        <v>38.949100000000001</v>
      </c>
      <c r="D93">
        <v>44.056399999999996</v>
      </c>
      <c r="E93">
        <v>45.210999999999999</v>
      </c>
      <c r="F93">
        <v>123688.274</v>
      </c>
      <c r="G93">
        <v>13.526</v>
      </c>
      <c r="H93">
        <v>0</v>
      </c>
      <c r="I93" t="s">
        <v>438</v>
      </c>
      <c r="J93" t="s">
        <v>439</v>
      </c>
    </row>
    <row r="94" spans="1:10" x14ac:dyDescent="0.25">
      <c r="A94" s="141" t="s">
        <v>123</v>
      </c>
      <c r="B94">
        <v>4278.2240000000002</v>
      </c>
      <c r="C94">
        <v>37.919800000000002</v>
      </c>
      <c r="D94">
        <v>43.216700000000003</v>
      </c>
      <c r="E94">
        <v>43.778300000000002</v>
      </c>
      <c r="F94">
        <v>76118.082999999999</v>
      </c>
      <c r="G94">
        <v>11.832000000000001</v>
      </c>
      <c r="H94">
        <v>0</v>
      </c>
      <c r="I94" t="s">
        <v>440</v>
      </c>
      <c r="J94" t="s">
        <v>441</v>
      </c>
    </row>
    <row r="95" spans="1:10" x14ac:dyDescent="0.25">
      <c r="A95" s="141" t="s">
        <v>124</v>
      </c>
      <c r="B95">
        <v>2188.3760000000002</v>
      </c>
      <c r="C95">
        <v>36.422800000000002</v>
      </c>
      <c r="D95">
        <v>42.210299999999997</v>
      </c>
      <c r="E95">
        <v>42.208799999999997</v>
      </c>
      <c r="F95">
        <v>42611.906000000003</v>
      </c>
      <c r="G95">
        <v>10.256</v>
      </c>
      <c r="H95">
        <v>0</v>
      </c>
      <c r="I95" t="s">
        <v>442</v>
      </c>
      <c r="J95" t="s">
        <v>443</v>
      </c>
    </row>
    <row r="96" spans="1:10" x14ac:dyDescent="0.25">
      <c r="A96" s="141" t="s">
        <v>125</v>
      </c>
      <c r="B96">
        <v>1076.52</v>
      </c>
      <c r="C96">
        <v>34.360599999999998</v>
      </c>
      <c r="D96">
        <v>40.810499999999998</v>
      </c>
      <c r="E96">
        <v>40.302100000000003</v>
      </c>
      <c r="F96">
        <v>22974.420999999998</v>
      </c>
      <c r="G96">
        <v>9.17</v>
      </c>
      <c r="H96">
        <v>0</v>
      </c>
      <c r="I96" t="s">
        <v>444</v>
      </c>
      <c r="J96" t="s">
        <v>445</v>
      </c>
    </row>
    <row r="97" spans="1:10" x14ac:dyDescent="0.25">
      <c r="A97" s="141" t="s">
        <v>238</v>
      </c>
      <c r="B97">
        <v>6750.0640000000003</v>
      </c>
      <c r="C97">
        <v>39.704099999999997</v>
      </c>
      <c r="D97">
        <v>43.908299999999997</v>
      </c>
      <c r="E97">
        <v>45.055500000000002</v>
      </c>
      <c r="F97">
        <v>112165.333</v>
      </c>
      <c r="G97">
        <v>13.972</v>
      </c>
      <c r="H97">
        <v>0</v>
      </c>
      <c r="I97" t="s">
        <v>454</v>
      </c>
      <c r="J97" t="s">
        <v>455</v>
      </c>
    </row>
    <row r="98" spans="1:10" x14ac:dyDescent="0.25">
      <c r="A98" s="141" t="s">
        <v>239</v>
      </c>
      <c r="B98">
        <v>3209.3679999999999</v>
      </c>
      <c r="C98">
        <v>38.566000000000003</v>
      </c>
      <c r="D98">
        <v>43.1616</v>
      </c>
      <c r="E98">
        <v>44.373199999999997</v>
      </c>
      <c r="F98">
        <v>67784.797000000006</v>
      </c>
      <c r="G98">
        <v>11.885999999999999</v>
      </c>
      <c r="H98">
        <v>0</v>
      </c>
      <c r="I98" t="s">
        <v>456</v>
      </c>
      <c r="J98" t="s">
        <v>457</v>
      </c>
    </row>
    <row r="99" spans="1:10" x14ac:dyDescent="0.25">
      <c r="A99" s="141" t="s">
        <v>240</v>
      </c>
      <c r="B99">
        <v>1547.0640000000001</v>
      </c>
      <c r="C99">
        <v>36.889800000000001</v>
      </c>
      <c r="D99">
        <v>42.291200000000003</v>
      </c>
      <c r="E99">
        <v>43.482399999999998</v>
      </c>
      <c r="F99">
        <v>36388.29</v>
      </c>
      <c r="G99">
        <v>10.313000000000001</v>
      </c>
      <c r="H99">
        <v>0</v>
      </c>
      <c r="I99" t="s">
        <v>458</v>
      </c>
      <c r="J99" t="s">
        <v>459</v>
      </c>
    </row>
    <row r="100" spans="1:10" x14ac:dyDescent="0.25">
      <c r="A100" s="141" t="s">
        <v>241</v>
      </c>
      <c r="B100">
        <v>695.26</v>
      </c>
      <c r="C100">
        <v>34.649099999999997</v>
      </c>
      <c r="D100">
        <v>41.020600000000002</v>
      </c>
      <c r="E100">
        <v>42.147599999999997</v>
      </c>
      <c r="F100">
        <v>18341.948</v>
      </c>
      <c r="G100">
        <v>9.1630000000000003</v>
      </c>
      <c r="H100">
        <v>0</v>
      </c>
      <c r="I100" t="s">
        <v>460</v>
      </c>
      <c r="J100" t="s">
        <v>461</v>
      </c>
    </row>
    <row r="101" spans="1:10" x14ac:dyDescent="0.25">
      <c r="A101" s="141" t="s">
        <v>242</v>
      </c>
      <c r="B101">
        <v>5564.2280000000001</v>
      </c>
      <c r="C101">
        <v>44.8902</v>
      </c>
      <c r="D101">
        <v>47.724400000000003</v>
      </c>
      <c r="E101">
        <v>48.512099999999997</v>
      </c>
      <c r="F101">
        <v>85659.046000000002</v>
      </c>
      <c r="G101">
        <v>14.028</v>
      </c>
      <c r="H101">
        <v>0</v>
      </c>
      <c r="I101" t="s">
        <v>462</v>
      </c>
      <c r="J101" t="s">
        <v>463</v>
      </c>
    </row>
    <row r="102" spans="1:10" x14ac:dyDescent="0.25">
      <c r="A102" s="141" t="s">
        <v>243</v>
      </c>
      <c r="B102">
        <v>3414.5120000000002</v>
      </c>
      <c r="C102">
        <v>42.637300000000003</v>
      </c>
      <c r="D102">
        <v>46.161700000000003</v>
      </c>
      <c r="E102">
        <v>46.748100000000001</v>
      </c>
      <c r="F102">
        <v>58587.925999999999</v>
      </c>
      <c r="G102">
        <v>12.442</v>
      </c>
      <c r="H102">
        <v>0</v>
      </c>
      <c r="I102" t="s">
        <v>464</v>
      </c>
      <c r="J102" t="s">
        <v>465</v>
      </c>
    </row>
    <row r="103" spans="1:10" x14ac:dyDescent="0.25">
      <c r="A103" s="141" t="s">
        <v>244</v>
      </c>
      <c r="B103">
        <v>1909.5319999999999</v>
      </c>
      <c r="C103">
        <v>39.825000000000003</v>
      </c>
      <c r="D103">
        <v>44.602499999999999</v>
      </c>
      <c r="E103">
        <v>44.922699999999999</v>
      </c>
      <c r="F103">
        <v>36465.597999999998</v>
      </c>
      <c r="G103">
        <v>11.195</v>
      </c>
      <c r="H103">
        <v>0</v>
      </c>
      <c r="I103" t="s">
        <v>466</v>
      </c>
      <c r="J103" t="s">
        <v>467</v>
      </c>
    </row>
    <row r="104" spans="1:10" x14ac:dyDescent="0.25">
      <c r="A104" s="141" t="s">
        <v>245</v>
      </c>
      <c r="B104">
        <v>973.05600000000004</v>
      </c>
      <c r="C104">
        <v>36.649299999999997</v>
      </c>
      <c r="D104">
        <v>42.755600000000001</v>
      </c>
      <c r="E104">
        <v>42.848799999999997</v>
      </c>
      <c r="F104">
        <v>20748.210999999999</v>
      </c>
      <c r="G104">
        <v>9.9930000000000003</v>
      </c>
      <c r="H104">
        <v>0</v>
      </c>
      <c r="I104" t="s">
        <v>468</v>
      </c>
      <c r="J104" t="s">
        <v>469</v>
      </c>
    </row>
    <row r="105" spans="1:10" x14ac:dyDescent="0.25">
      <c r="A105" s="141" t="s">
        <v>126</v>
      </c>
      <c r="B105">
        <v>4096.3159999999998</v>
      </c>
      <c r="C105">
        <v>38.607999999999997</v>
      </c>
      <c r="D105">
        <v>46.225999999999999</v>
      </c>
      <c r="E105">
        <v>46.444699999999997</v>
      </c>
      <c r="F105">
        <v>54849.851000000002</v>
      </c>
      <c r="G105">
        <v>5.8849999999999998</v>
      </c>
      <c r="H105">
        <v>0</v>
      </c>
      <c r="I105" t="s">
        <v>406</v>
      </c>
      <c r="J105" t="s">
        <v>407</v>
      </c>
    </row>
    <row r="106" spans="1:10" x14ac:dyDescent="0.25">
      <c r="A106" s="141" t="s">
        <v>127</v>
      </c>
      <c r="B106">
        <v>1778.58</v>
      </c>
      <c r="C106">
        <v>37.100900000000003</v>
      </c>
      <c r="D106">
        <v>45.186</v>
      </c>
      <c r="E106">
        <v>45.399000000000001</v>
      </c>
      <c r="F106">
        <v>29831.63</v>
      </c>
      <c r="G106">
        <v>4.7990000000000004</v>
      </c>
      <c r="H106">
        <v>0</v>
      </c>
      <c r="I106" t="s">
        <v>408</v>
      </c>
      <c r="J106" t="s">
        <v>409</v>
      </c>
    </row>
    <row r="107" spans="1:10" x14ac:dyDescent="0.25">
      <c r="A107" s="141" t="s">
        <v>128</v>
      </c>
      <c r="B107">
        <v>841.00800000000004</v>
      </c>
      <c r="C107">
        <v>35.153100000000002</v>
      </c>
      <c r="D107">
        <v>43.9011</v>
      </c>
      <c r="E107">
        <v>44.165999999999997</v>
      </c>
      <c r="F107">
        <v>16009.045</v>
      </c>
      <c r="G107">
        <v>4.1859999999999999</v>
      </c>
      <c r="H107">
        <v>0</v>
      </c>
      <c r="I107" t="s">
        <v>410</v>
      </c>
      <c r="J107" t="s">
        <v>411</v>
      </c>
    </row>
    <row r="108" spans="1:10" x14ac:dyDescent="0.25">
      <c r="A108" s="141" t="s">
        <v>129</v>
      </c>
      <c r="B108">
        <v>399.32400000000001</v>
      </c>
      <c r="C108">
        <v>32.472499999999997</v>
      </c>
      <c r="D108">
        <v>42.225200000000001</v>
      </c>
      <c r="E108">
        <v>42.506599999999999</v>
      </c>
      <c r="F108">
        <v>8183.1139999999996</v>
      </c>
      <c r="G108">
        <v>3.5</v>
      </c>
      <c r="H108">
        <v>0</v>
      </c>
      <c r="I108" t="s">
        <v>412</v>
      </c>
      <c r="J108" t="s">
        <v>413</v>
      </c>
    </row>
    <row r="109" spans="1:10" x14ac:dyDescent="0.25">
      <c r="A109" s="141" t="s">
        <v>130</v>
      </c>
      <c r="B109">
        <v>2425.5479999999998</v>
      </c>
      <c r="C109">
        <v>40.652099999999997</v>
      </c>
      <c r="D109">
        <v>46.1449</v>
      </c>
      <c r="E109">
        <v>47.320099999999996</v>
      </c>
      <c r="F109">
        <v>42915.665000000001</v>
      </c>
      <c r="G109">
        <v>5.6669999999999998</v>
      </c>
      <c r="H109">
        <v>0</v>
      </c>
      <c r="I109" t="s">
        <v>414</v>
      </c>
      <c r="J109" t="s">
        <v>415</v>
      </c>
    </row>
    <row r="110" spans="1:10" x14ac:dyDescent="0.25">
      <c r="A110" s="141" t="s">
        <v>131</v>
      </c>
      <c r="B110">
        <v>1089.2280000000001</v>
      </c>
      <c r="C110">
        <v>39.5075</v>
      </c>
      <c r="D110">
        <v>45.581000000000003</v>
      </c>
      <c r="E110">
        <v>46.055799999999998</v>
      </c>
      <c r="F110">
        <v>24192.591</v>
      </c>
      <c r="G110">
        <v>5.0369999999999999</v>
      </c>
      <c r="H110">
        <v>0</v>
      </c>
      <c r="I110" t="s">
        <v>416</v>
      </c>
      <c r="J110" t="s">
        <v>417</v>
      </c>
    </row>
    <row r="111" spans="1:10" x14ac:dyDescent="0.25">
      <c r="A111" s="141" t="s">
        <v>132</v>
      </c>
      <c r="B111">
        <v>514.44000000000005</v>
      </c>
      <c r="C111">
        <v>37.943899999999999</v>
      </c>
      <c r="D111">
        <v>44.790599999999998</v>
      </c>
      <c r="E111">
        <v>44.473199999999999</v>
      </c>
      <c r="F111">
        <v>12197.918</v>
      </c>
      <c r="G111">
        <v>4.5</v>
      </c>
      <c r="H111">
        <v>0</v>
      </c>
      <c r="I111" t="s">
        <v>418</v>
      </c>
      <c r="J111" t="s">
        <v>419</v>
      </c>
    </row>
    <row r="112" spans="1:10" x14ac:dyDescent="0.25">
      <c r="A112" s="141" t="s">
        <v>133</v>
      </c>
      <c r="B112">
        <v>233.22</v>
      </c>
      <c r="C112">
        <v>35.8506</v>
      </c>
      <c r="D112">
        <v>43.648800000000001</v>
      </c>
      <c r="E112">
        <v>42.408299999999997</v>
      </c>
      <c r="F112">
        <v>5952.9660000000003</v>
      </c>
      <c r="G112">
        <v>3.774</v>
      </c>
      <c r="H112">
        <v>0</v>
      </c>
      <c r="I112" t="s">
        <v>420</v>
      </c>
      <c r="J112" t="s">
        <v>421</v>
      </c>
    </row>
    <row r="113" spans="1:10" x14ac:dyDescent="0.25">
      <c r="A113" s="141" t="s">
        <v>134</v>
      </c>
      <c r="B113">
        <v>923.35599999999999</v>
      </c>
      <c r="C113">
        <v>43.543300000000002</v>
      </c>
      <c r="D113">
        <v>47.262599999999999</v>
      </c>
      <c r="E113">
        <v>48.293300000000002</v>
      </c>
      <c r="F113">
        <v>18747.13</v>
      </c>
      <c r="G113">
        <v>4.3550000000000004</v>
      </c>
      <c r="H113">
        <v>0</v>
      </c>
      <c r="I113" t="s">
        <v>422</v>
      </c>
      <c r="J113" t="s">
        <v>423</v>
      </c>
    </row>
    <row r="114" spans="1:10" x14ac:dyDescent="0.25">
      <c r="A114" s="141" t="s">
        <v>135</v>
      </c>
      <c r="B114">
        <v>507.38</v>
      </c>
      <c r="C114">
        <v>42.272199999999998</v>
      </c>
      <c r="D114">
        <v>46.557299999999998</v>
      </c>
      <c r="E114">
        <v>47.318600000000004</v>
      </c>
      <c r="F114">
        <v>10614.416999999999</v>
      </c>
      <c r="G114">
        <v>4.109</v>
      </c>
      <c r="H114">
        <v>0</v>
      </c>
      <c r="I114" t="s">
        <v>424</v>
      </c>
      <c r="J114" t="s">
        <v>425</v>
      </c>
    </row>
    <row r="115" spans="1:10" x14ac:dyDescent="0.25">
      <c r="A115" s="141" t="s">
        <v>136</v>
      </c>
      <c r="B115">
        <v>290.42</v>
      </c>
      <c r="C115">
        <v>40.488</v>
      </c>
      <c r="D115">
        <v>45.506399999999999</v>
      </c>
      <c r="E115">
        <v>46.085599999999999</v>
      </c>
      <c r="F115">
        <v>5932.72</v>
      </c>
      <c r="G115">
        <v>3.8610000000000002</v>
      </c>
      <c r="H115">
        <v>0</v>
      </c>
      <c r="I115" t="s">
        <v>426</v>
      </c>
      <c r="J115" t="s">
        <v>427</v>
      </c>
    </row>
    <row r="116" spans="1:10" x14ac:dyDescent="0.25">
      <c r="A116" s="141" t="s">
        <v>137</v>
      </c>
      <c r="B116">
        <v>162.33199999999999</v>
      </c>
      <c r="C116">
        <v>37.926400000000001</v>
      </c>
      <c r="D116">
        <v>43.824800000000003</v>
      </c>
      <c r="E116">
        <v>44.191499999999998</v>
      </c>
      <c r="F116">
        <v>3416.3780000000002</v>
      </c>
      <c r="G116">
        <v>3.7290000000000001</v>
      </c>
      <c r="H116">
        <v>0</v>
      </c>
      <c r="I116" t="s">
        <v>428</v>
      </c>
      <c r="J116" t="s">
        <v>429</v>
      </c>
    </row>
    <row r="117" spans="1:10" x14ac:dyDescent="0.25">
      <c r="A117" s="141" t="s">
        <v>138</v>
      </c>
      <c r="B117">
        <v>1284.6679999999999</v>
      </c>
      <c r="C117">
        <v>42.911900000000003</v>
      </c>
      <c r="D117">
        <v>49.027999999999999</v>
      </c>
      <c r="E117">
        <v>48.708399999999997</v>
      </c>
      <c r="F117">
        <v>21831.419000000002</v>
      </c>
      <c r="G117">
        <v>4.2510000000000003</v>
      </c>
      <c r="H117">
        <v>0</v>
      </c>
      <c r="I117" t="s">
        <v>430</v>
      </c>
      <c r="J117" t="s">
        <v>431</v>
      </c>
    </row>
    <row r="118" spans="1:10" x14ac:dyDescent="0.25">
      <c r="A118" s="141" t="s">
        <v>139</v>
      </c>
      <c r="B118">
        <v>690.58399999999995</v>
      </c>
      <c r="C118">
        <v>41.630899999999997</v>
      </c>
      <c r="D118">
        <v>48.214799999999997</v>
      </c>
      <c r="E118">
        <v>47.700600000000001</v>
      </c>
      <c r="F118">
        <v>12410.425999999999</v>
      </c>
      <c r="G118">
        <v>3.8849999999999998</v>
      </c>
      <c r="H118">
        <v>0</v>
      </c>
      <c r="I118" t="s">
        <v>432</v>
      </c>
      <c r="J118" t="s">
        <v>433</v>
      </c>
    </row>
    <row r="119" spans="1:10" x14ac:dyDescent="0.25">
      <c r="A119" s="141" t="s">
        <v>140</v>
      </c>
      <c r="B119">
        <v>393.12400000000002</v>
      </c>
      <c r="C119">
        <v>39.759</v>
      </c>
      <c r="D119">
        <v>47.235300000000002</v>
      </c>
      <c r="E119">
        <v>46.269799999999996</v>
      </c>
      <c r="F119">
        <v>7249.3249999999998</v>
      </c>
      <c r="G119">
        <v>3.59</v>
      </c>
      <c r="H119">
        <v>0</v>
      </c>
      <c r="I119" t="s">
        <v>434</v>
      </c>
      <c r="J119" t="s">
        <v>435</v>
      </c>
    </row>
    <row r="120" spans="1:10" x14ac:dyDescent="0.25">
      <c r="A120" s="141" t="s">
        <v>141</v>
      </c>
      <c r="B120">
        <v>218.89599999999999</v>
      </c>
      <c r="C120">
        <v>37.049300000000002</v>
      </c>
      <c r="D120">
        <v>45.702399999999997</v>
      </c>
      <c r="E120">
        <v>43.949199999999998</v>
      </c>
      <c r="F120">
        <v>4233.4179999999997</v>
      </c>
      <c r="G120">
        <v>3.528</v>
      </c>
      <c r="H120">
        <v>0</v>
      </c>
      <c r="I120" t="s">
        <v>436</v>
      </c>
      <c r="J120" t="s">
        <v>437</v>
      </c>
    </row>
    <row r="121" spans="1:10" x14ac:dyDescent="0.25">
      <c r="A121" s="141" t="s">
        <v>246</v>
      </c>
    </row>
    <row r="122" spans="1:10" x14ac:dyDescent="0.25">
      <c r="A122" s="141" t="s">
        <v>247</v>
      </c>
    </row>
    <row r="123" spans="1:10" x14ac:dyDescent="0.25">
      <c r="A123" s="141" t="s">
        <v>248</v>
      </c>
    </row>
    <row r="124" spans="1:10" x14ac:dyDescent="0.25">
      <c r="A124" s="141" t="s">
        <v>249</v>
      </c>
    </row>
    <row r="125" spans="1:10" x14ac:dyDescent="0.25">
      <c r="A125" s="141" t="s">
        <v>250</v>
      </c>
    </row>
    <row r="126" spans="1:10" x14ac:dyDescent="0.25">
      <c r="A126" s="141" t="s">
        <v>251</v>
      </c>
    </row>
    <row r="127" spans="1:10" x14ac:dyDescent="0.25">
      <c r="A127" s="141" t="s">
        <v>252</v>
      </c>
    </row>
    <row r="128" spans="1:10" x14ac:dyDescent="0.25">
      <c r="A128" s="141" t="s">
        <v>253</v>
      </c>
    </row>
    <row r="129" spans="1:1" x14ac:dyDescent="0.25">
      <c r="A129" s="141" t="s">
        <v>334</v>
      </c>
    </row>
    <row r="130" spans="1:1" x14ac:dyDescent="0.25">
      <c r="A130" s="141" t="s">
        <v>335</v>
      </c>
    </row>
    <row r="131" spans="1:1" x14ac:dyDescent="0.25">
      <c r="A131" s="141" t="s">
        <v>336</v>
      </c>
    </row>
    <row r="132" spans="1:1" x14ac:dyDescent="0.25">
      <c r="A132" s="141" t="s">
        <v>337</v>
      </c>
    </row>
    <row r="133" spans="1:1" x14ac:dyDescent="0.25">
      <c r="A133" s="141" t="s">
        <v>338</v>
      </c>
    </row>
    <row r="134" spans="1:1" x14ac:dyDescent="0.25">
      <c r="A134" s="141" t="s">
        <v>339</v>
      </c>
    </row>
    <row r="135" spans="1:1" x14ac:dyDescent="0.25">
      <c r="A135" s="141" t="s">
        <v>340</v>
      </c>
    </row>
    <row r="136" spans="1:1" x14ac:dyDescent="0.25">
      <c r="A136" s="141" t="s">
        <v>341</v>
      </c>
    </row>
    <row r="137" spans="1:1" x14ac:dyDescent="0.25">
      <c r="A137" s="141" t="s">
        <v>342</v>
      </c>
    </row>
    <row r="138" spans="1:1" x14ac:dyDescent="0.25">
      <c r="A138" s="141" t="s">
        <v>343</v>
      </c>
    </row>
    <row r="139" spans="1:1" x14ac:dyDescent="0.25">
      <c r="A139" s="141" t="s">
        <v>344</v>
      </c>
    </row>
    <row r="140" spans="1:1" x14ac:dyDescent="0.25">
      <c r="A140" s="141" t="s">
        <v>345</v>
      </c>
    </row>
    <row r="141" spans="1:1" x14ac:dyDescent="0.25">
      <c r="A141" s="141" t="s">
        <v>346</v>
      </c>
    </row>
    <row r="142" spans="1:1" x14ac:dyDescent="0.25">
      <c r="A142" s="141" t="s">
        <v>347</v>
      </c>
    </row>
    <row r="143" spans="1:1" x14ac:dyDescent="0.25">
      <c r="A143" s="141" t="s">
        <v>348</v>
      </c>
    </row>
    <row r="144" spans="1:1" x14ac:dyDescent="0.25">
      <c r="A144" s="141" t="s">
        <v>349</v>
      </c>
    </row>
    <row r="145" spans="1:10" x14ac:dyDescent="0.25">
      <c r="A145" s="141" t="s">
        <v>254</v>
      </c>
      <c r="B145">
        <v>17065.16</v>
      </c>
      <c r="C145">
        <v>40.170299999999997</v>
      </c>
      <c r="D145">
        <v>48.758699999999997</v>
      </c>
      <c r="E145">
        <v>46.671999999999997</v>
      </c>
      <c r="F145">
        <v>206094.57800000001</v>
      </c>
      <c r="G145">
        <v>27.73</v>
      </c>
      <c r="H145">
        <v>0</v>
      </c>
      <c r="I145" t="s">
        <v>597</v>
      </c>
      <c r="J145" t="s">
        <v>598</v>
      </c>
    </row>
    <row r="146" spans="1:10" x14ac:dyDescent="0.25">
      <c r="A146" s="141" t="s">
        <v>255</v>
      </c>
      <c r="B146">
        <v>8439.232</v>
      </c>
      <c r="C146">
        <v>39.565899999999999</v>
      </c>
      <c r="D146">
        <v>47.935099999999998</v>
      </c>
      <c r="E146">
        <v>45.541899999999998</v>
      </c>
      <c r="F146">
        <v>114879.289</v>
      </c>
      <c r="G146">
        <v>24.234999999999999</v>
      </c>
      <c r="H146">
        <v>0</v>
      </c>
      <c r="I146" t="s">
        <v>599</v>
      </c>
      <c r="J146" t="s">
        <v>600</v>
      </c>
    </row>
    <row r="147" spans="1:10" x14ac:dyDescent="0.25">
      <c r="A147" s="141" t="s">
        <v>256</v>
      </c>
      <c r="B147">
        <v>4589.8879999999999</v>
      </c>
      <c r="C147">
        <v>38.575800000000001</v>
      </c>
      <c r="D147">
        <v>46.908999999999999</v>
      </c>
      <c r="E147">
        <v>44.166899999999998</v>
      </c>
      <c r="F147">
        <v>62212.300999999999</v>
      </c>
      <c r="G147">
        <v>21.468</v>
      </c>
      <c r="H147">
        <v>0</v>
      </c>
      <c r="I147" t="s">
        <v>601</v>
      </c>
      <c r="J147" t="s">
        <v>602</v>
      </c>
    </row>
    <row r="148" spans="1:10" x14ac:dyDescent="0.25">
      <c r="A148" s="141" t="s">
        <v>257</v>
      </c>
      <c r="B148">
        <v>2498.64</v>
      </c>
      <c r="C148">
        <v>37.035400000000003</v>
      </c>
      <c r="D148">
        <v>45.574599999999997</v>
      </c>
      <c r="E148">
        <v>42.482700000000001</v>
      </c>
      <c r="F148">
        <v>31988.74</v>
      </c>
      <c r="G148">
        <v>18.443999999999999</v>
      </c>
      <c r="H148">
        <v>0</v>
      </c>
      <c r="I148" t="s">
        <v>603</v>
      </c>
      <c r="J148" t="s">
        <v>604</v>
      </c>
    </row>
    <row r="149" spans="1:10" x14ac:dyDescent="0.25">
      <c r="A149" s="141" t="s">
        <v>258</v>
      </c>
      <c r="B149">
        <v>91093.967999999993</v>
      </c>
      <c r="C149">
        <v>41.734499999999997</v>
      </c>
      <c r="D149">
        <v>36.693899999999999</v>
      </c>
      <c r="E149">
        <v>37.711199999999998</v>
      </c>
      <c r="F149">
        <v>354431.25</v>
      </c>
      <c r="G149">
        <v>31.045999999999999</v>
      </c>
      <c r="H149">
        <v>0</v>
      </c>
      <c r="I149" t="s">
        <v>605</v>
      </c>
      <c r="J149" t="s">
        <v>606</v>
      </c>
    </row>
    <row r="150" spans="1:10" x14ac:dyDescent="0.25">
      <c r="A150" s="141" t="s">
        <v>259</v>
      </c>
      <c r="B150">
        <v>46658.696000000004</v>
      </c>
      <c r="C150">
        <v>38.942</v>
      </c>
      <c r="D150">
        <v>34.415599999999998</v>
      </c>
      <c r="E150">
        <v>35.8035</v>
      </c>
      <c r="F150">
        <v>243925.5</v>
      </c>
      <c r="G150">
        <v>26.986999999999998</v>
      </c>
      <c r="H150">
        <v>0</v>
      </c>
      <c r="I150" t="s">
        <v>607</v>
      </c>
      <c r="J150" t="s">
        <v>608</v>
      </c>
    </row>
    <row r="151" spans="1:10" x14ac:dyDescent="0.25">
      <c r="A151" s="141" t="s">
        <v>260</v>
      </c>
      <c r="B151">
        <v>21681.024000000001</v>
      </c>
      <c r="C151">
        <v>35.844099999999997</v>
      </c>
      <c r="D151">
        <v>32.514299999999999</v>
      </c>
      <c r="E151">
        <v>34.197400000000002</v>
      </c>
      <c r="F151">
        <v>160818.68799999999</v>
      </c>
      <c r="G151">
        <v>21.821000000000002</v>
      </c>
      <c r="H151">
        <v>0</v>
      </c>
      <c r="I151" t="s">
        <v>609</v>
      </c>
      <c r="J151" t="s">
        <v>610</v>
      </c>
    </row>
    <row r="152" spans="1:10" x14ac:dyDescent="0.25">
      <c r="A152" s="141" t="s">
        <v>261</v>
      </c>
      <c r="B152">
        <v>9164.6880000000001</v>
      </c>
      <c r="C152">
        <v>32.823500000000003</v>
      </c>
      <c r="D152">
        <v>30.806899999999999</v>
      </c>
      <c r="E152">
        <v>32.808399999999999</v>
      </c>
      <c r="F152">
        <v>92316.023000000001</v>
      </c>
      <c r="G152">
        <v>18.911999999999999</v>
      </c>
      <c r="H152">
        <v>0</v>
      </c>
      <c r="I152" t="s">
        <v>611</v>
      </c>
      <c r="J152" t="s">
        <v>612</v>
      </c>
    </row>
    <row r="153" spans="1:10" x14ac:dyDescent="0.25">
      <c r="A153" s="141" t="s">
        <v>262</v>
      </c>
      <c r="B153">
        <v>45169.944000000003</v>
      </c>
      <c r="C153">
        <v>38.883200000000002</v>
      </c>
      <c r="D153">
        <v>41.218600000000002</v>
      </c>
      <c r="E153">
        <v>41.493000000000002</v>
      </c>
      <c r="F153">
        <v>187888.375</v>
      </c>
      <c r="G153">
        <v>16.841000000000001</v>
      </c>
      <c r="H153">
        <v>0</v>
      </c>
      <c r="I153" t="s">
        <v>613</v>
      </c>
      <c r="J153" t="s">
        <v>614</v>
      </c>
    </row>
    <row r="154" spans="1:10" x14ac:dyDescent="0.25">
      <c r="A154" s="141" t="s">
        <v>263</v>
      </c>
      <c r="B154">
        <v>22142.824000000001</v>
      </c>
      <c r="C154">
        <v>37.521500000000003</v>
      </c>
      <c r="D154">
        <v>38.651800000000001</v>
      </c>
      <c r="E154">
        <v>40.108499999999999</v>
      </c>
      <c r="F154">
        <v>116327.234</v>
      </c>
      <c r="G154">
        <v>13.765000000000001</v>
      </c>
      <c r="H154">
        <v>0</v>
      </c>
      <c r="I154" t="s">
        <v>615</v>
      </c>
      <c r="J154" t="s">
        <v>616</v>
      </c>
    </row>
    <row r="155" spans="1:10" x14ac:dyDescent="0.25">
      <c r="A155" s="141" t="s">
        <v>264</v>
      </c>
      <c r="B155">
        <v>11574.407999999999</v>
      </c>
      <c r="C155">
        <v>35.969099999999997</v>
      </c>
      <c r="D155">
        <v>36.414299999999997</v>
      </c>
      <c r="E155">
        <v>38.676699999999997</v>
      </c>
      <c r="F155">
        <v>72236.820000000007</v>
      </c>
      <c r="G155">
        <v>11.776</v>
      </c>
      <c r="H155">
        <v>0</v>
      </c>
      <c r="I155" t="s">
        <v>617</v>
      </c>
      <c r="J155" t="s">
        <v>618</v>
      </c>
    </row>
    <row r="156" spans="1:10" x14ac:dyDescent="0.25">
      <c r="A156" s="141" t="s">
        <v>265</v>
      </c>
      <c r="B156">
        <v>5675.2079999999996</v>
      </c>
      <c r="C156">
        <v>34.052599999999998</v>
      </c>
      <c r="D156">
        <v>33.987900000000003</v>
      </c>
      <c r="E156">
        <v>36.923699999999997</v>
      </c>
      <c r="F156">
        <v>43251.391000000003</v>
      </c>
      <c r="G156">
        <v>11.115</v>
      </c>
      <c r="H156">
        <v>0</v>
      </c>
      <c r="I156" t="s">
        <v>619</v>
      </c>
      <c r="J156" t="s">
        <v>620</v>
      </c>
    </row>
    <row r="157" spans="1:10" x14ac:dyDescent="0.25">
      <c r="A157" s="141" t="s">
        <v>266</v>
      </c>
      <c r="B157">
        <v>24478.928</v>
      </c>
      <c r="C157">
        <v>37.5396</v>
      </c>
      <c r="D157">
        <v>45.035600000000002</v>
      </c>
      <c r="E157">
        <v>42.803800000000003</v>
      </c>
      <c r="F157">
        <v>272494.09399999998</v>
      </c>
      <c r="G157">
        <v>26.986999999999998</v>
      </c>
      <c r="H157">
        <v>0</v>
      </c>
      <c r="I157" t="s">
        <v>621</v>
      </c>
      <c r="J157" t="s">
        <v>622</v>
      </c>
    </row>
    <row r="158" spans="1:10" x14ac:dyDescent="0.25">
      <c r="A158" s="141" t="s">
        <v>267</v>
      </c>
      <c r="B158">
        <v>10319.128000000001</v>
      </c>
      <c r="C158">
        <v>36.916200000000003</v>
      </c>
      <c r="D158">
        <v>44.381700000000002</v>
      </c>
      <c r="E158">
        <v>42.090499999999999</v>
      </c>
      <c r="F158">
        <v>151291.25</v>
      </c>
      <c r="G158">
        <v>22.512</v>
      </c>
      <c r="H158">
        <v>0</v>
      </c>
      <c r="I158" t="s">
        <v>623</v>
      </c>
      <c r="J158" t="s">
        <v>624</v>
      </c>
    </row>
    <row r="159" spans="1:10" x14ac:dyDescent="0.25">
      <c r="A159" s="141" t="s">
        <v>268</v>
      </c>
      <c r="B159">
        <v>5152.3119999999999</v>
      </c>
      <c r="C159">
        <v>35.906999999999996</v>
      </c>
      <c r="D159">
        <v>43.449100000000001</v>
      </c>
      <c r="E159">
        <v>41.122</v>
      </c>
      <c r="F159">
        <v>82699.125</v>
      </c>
      <c r="G159">
        <v>19.317</v>
      </c>
      <c r="H159">
        <v>0</v>
      </c>
      <c r="I159" t="s">
        <v>625</v>
      </c>
      <c r="J159" t="s">
        <v>626</v>
      </c>
    </row>
    <row r="160" spans="1:10" x14ac:dyDescent="0.25">
      <c r="A160" s="141" t="s">
        <v>269</v>
      </c>
      <c r="B160">
        <v>2562.0720000000001</v>
      </c>
      <c r="C160">
        <v>34.332500000000003</v>
      </c>
      <c r="D160">
        <v>42.166499999999999</v>
      </c>
      <c r="E160">
        <v>39.999899999999997</v>
      </c>
      <c r="F160">
        <v>41995.226999999999</v>
      </c>
      <c r="G160">
        <v>14.916</v>
      </c>
      <c r="H160">
        <v>0</v>
      </c>
      <c r="I160" t="s">
        <v>627</v>
      </c>
      <c r="J160" t="s">
        <v>628</v>
      </c>
    </row>
    <row r="161" spans="1:10" x14ac:dyDescent="0.25">
      <c r="A161" s="141" t="s">
        <v>142</v>
      </c>
      <c r="B161">
        <v>7974.0640000000003</v>
      </c>
      <c r="C161">
        <v>38.024000000000001</v>
      </c>
      <c r="D161">
        <v>39.740499999999997</v>
      </c>
      <c r="E161">
        <v>42.824599999999997</v>
      </c>
      <c r="F161">
        <v>307671.09399999998</v>
      </c>
      <c r="G161">
        <v>24.260999999999999</v>
      </c>
      <c r="H161">
        <v>0</v>
      </c>
      <c r="I161" t="s">
        <v>629</v>
      </c>
      <c r="J161" t="s">
        <v>630</v>
      </c>
    </row>
    <row r="162" spans="1:10" x14ac:dyDescent="0.25">
      <c r="A162" s="141" t="s">
        <v>143</v>
      </c>
      <c r="B162">
        <v>3757.0223999999998</v>
      </c>
      <c r="C162">
        <v>36.681100000000001</v>
      </c>
      <c r="D162">
        <v>39.103000000000002</v>
      </c>
      <c r="E162">
        <v>41.668500000000002</v>
      </c>
      <c r="F162">
        <v>194177.82800000001</v>
      </c>
      <c r="G162">
        <v>20.218</v>
      </c>
      <c r="H162">
        <v>0</v>
      </c>
      <c r="I162" t="s">
        <v>631</v>
      </c>
      <c r="J162" t="s">
        <v>632</v>
      </c>
    </row>
    <row r="163" spans="1:10" x14ac:dyDescent="0.25">
      <c r="A163" s="141" t="s">
        <v>144</v>
      </c>
      <c r="B163">
        <v>1842.864</v>
      </c>
      <c r="C163">
        <v>34.8125</v>
      </c>
      <c r="D163">
        <v>38.286999999999999</v>
      </c>
      <c r="E163">
        <v>40.167400000000001</v>
      </c>
      <c r="F163">
        <v>115628.43799999999</v>
      </c>
      <c r="G163">
        <v>16.305</v>
      </c>
      <c r="H163">
        <v>0</v>
      </c>
      <c r="I163" t="s">
        <v>633</v>
      </c>
      <c r="J163" t="s">
        <v>634</v>
      </c>
    </row>
    <row r="164" spans="1:10" x14ac:dyDescent="0.25">
      <c r="A164" s="141" t="s">
        <v>145</v>
      </c>
      <c r="B164">
        <v>881.17920000000004</v>
      </c>
      <c r="C164">
        <v>32.497900000000001</v>
      </c>
      <c r="D164">
        <v>37.2562</v>
      </c>
      <c r="E164">
        <v>38.515099999999997</v>
      </c>
      <c r="F164">
        <v>67423.351999999999</v>
      </c>
      <c r="G164">
        <v>13.609</v>
      </c>
      <c r="H164">
        <v>0</v>
      </c>
      <c r="I164" t="s">
        <v>635</v>
      </c>
      <c r="J164" t="s">
        <v>636</v>
      </c>
    </row>
    <row r="165" spans="1:10" x14ac:dyDescent="0.25">
      <c r="A165" s="141" t="s">
        <v>146</v>
      </c>
      <c r="B165">
        <v>9100.0064000000002</v>
      </c>
      <c r="C165">
        <v>38.740499999999997</v>
      </c>
      <c r="D165">
        <v>43.689100000000003</v>
      </c>
      <c r="E165">
        <v>44.625900000000001</v>
      </c>
      <c r="F165">
        <v>344808.59399999998</v>
      </c>
      <c r="G165">
        <v>31.795999999999999</v>
      </c>
      <c r="H165">
        <v>0</v>
      </c>
      <c r="I165" t="s">
        <v>637</v>
      </c>
      <c r="J165" t="s">
        <v>638</v>
      </c>
    </row>
    <row r="166" spans="1:10" x14ac:dyDescent="0.25">
      <c r="A166" s="141" t="s">
        <v>147</v>
      </c>
      <c r="B166">
        <v>4701.5856000000003</v>
      </c>
      <c r="C166">
        <v>37.535200000000003</v>
      </c>
      <c r="D166">
        <v>42.711799999999997</v>
      </c>
      <c r="E166">
        <v>43.118600000000001</v>
      </c>
      <c r="F166">
        <v>216006.54699999999</v>
      </c>
      <c r="G166">
        <v>26.111000000000001</v>
      </c>
      <c r="H166">
        <v>0</v>
      </c>
      <c r="I166" t="s">
        <v>639</v>
      </c>
      <c r="J166" t="s">
        <v>640</v>
      </c>
    </row>
    <row r="167" spans="1:10" x14ac:dyDescent="0.25">
      <c r="A167" s="141" t="s">
        <v>148</v>
      </c>
      <c r="B167">
        <v>2398.8303999999998</v>
      </c>
      <c r="C167">
        <v>35.858800000000002</v>
      </c>
      <c r="D167">
        <v>41.485199999999999</v>
      </c>
      <c r="E167">
        <v>41.386899999999997</v>
      </c>
      <c r="F167">
        <v>127756.70299999999</v>
      </c>
      <c r="G167">
        <v>21.63</v>
      </c>
      <c r="H167">
        <v>0</v>
      </c>
      <c r="I167" t="s">
        <v>641</v>
      </c>
      <c r="J167" t="s">
        <v>642</v>
      </c>
    </row>
    <row r="168" spans="1:10" x14ac:dyDescent="0.25">
      <c r="A168" s="141" t="s">
        <v>149</v>
      </c>
      <c r="B168">
        <v>1188.3664000000001</v>
      </c>
      <c r="C168">
        <v>33.764400000000002</v>
      </c>
      <c r="D168">
        <v>40.105899999999998</v>
      </c>
      <c r="E168">
        <v>39.4739</v>
      </c>
      <c r="F168">
        <v>70994.008000000002</v>
      </c>
      <c r="G168">
        <v>18.248000000000001</v>
      </c>
      <c r="H168">
        <v>0</v>
      </c>
      <c r="I168" t="s">
        <v>643</v>
      </c>
      <c r="J168" t="s">
        <v>644</v>
      </c>
    </row>
    <row r="169" spans="1:10" x14ac:dyDescent="0.25">
      <c r="A169" s="141" t="s">
        <v>270</v>
      </c>
      <c r="B169">
        <v>6359.3728000000001</v>
      </c>
      <c r="C169">
        <v>39.834200000000003</v>
      </c>
      <c r="D169">
        <v>43.800400000000003</v>
      </c>
      <c r="E169">
        <v>44.509900000000002</v>
      </c>
      <c r="F169">
        <v>304111.15600000002</v>
      </c>
      <c r="G169">
        <v>31.309000000000001</v>
      </c>
      <c r="H169">
        <v>0</v>
      </c>
      <c r="I169" t="s">
        <v>645</v>
      </c>
      <c r="J169" t="s">
        <v>646</v>
      </c>
    </row>
    <row r="170" spans="1:10" x14ac:dyDescent="0.25">
      <c r="A170" s="141" t="s">
        <v>271</v>
      </c>
      <c r="B170">
        <v>3027.0576000000001</v>
      </c>
      <c r="C170">
        <v>38.536200000000001</v>
      </c>
      <c r="D170">
        <v>42.935699999999997</v>
      </c>
      <c r="E170">
        <v>43.661799999999999</v>
      </c>
      <c r="F170">
        <v>180363.125</v>
      </c>
      <c r="G170">
        <v>25.204999999999998</v>
      </c>
      <c r="H170">
        <v>0</v>
      </c>
      <c r="I170" t="s">
        <v>647</v>
      </c>
      <c r="J170" t="s">
        <v>648</v>
      </c>
    </row>
    <row r="171" spans="1:10" x14ac:dyDescent="0.25">
      <c r="A171" s="141" t="s">
        <v>272</v>
      </c>
      <c r="B171">
        <v>1460.8784000000001</v>
      </c>
      <c r="C171">
        <v>36.723500000000001</v>
      </c>
      <c r="D171">
        <v>41.8521</v>
      </c>
      <c r="E171">
        <v>42.433399999999999</v>
      </c>
      <c r="F171">
        <v>99690.766000000003</v>
      </c>
      <c r="G171">
        <v>20.553000000000001</v>
      </c>
      <c r="H171">
        <v>0</v>
      </c>
      <c r="I171" t="s">
        <v>649</v>
      </c>
      <c r="J171" t="s">
        <v>650</v>
      </c>
    </row>
    <row r="172" spans="1:10" x14ac:dyDescent="0.25">
      <c r="A172" s="141" t="s">
        <v>273</v>
      </c>
      <c r="B172">
        <v>685.92639999999994</v>
      </c>
      <c r="C172">
        <v>34.423400000000001</v>
      </c>
      <c r="D172">
        <v>40.666699999999999</v>
      </c>
      <c r="E172">
        <v>41.063800000000001</v>
      </c>
      <c r="F172">
        <v>54215.809000000001</v>
      </c>
      <c r="G172">
        <v>17.919</v>
      </c>
      <c r="H172">
        <v>0</v>
      </c>
      <c r="I172" t="s">
        <v>651</v>
      </c>
      <c r="J172" t="s">
        <v>652</v>
      </c>
    </row>
    <row r="173" spans="1:10" x14ac:dyDescent="0.25">
      <c r="A173" s="141" t="s">
        <v>274</v>
      </c>
      <c r="B173">
        <v>6706.32</v>
      </c>
      <c r="C173">
        <v>43.388300000000001</v>
      </c>
      <c r="D173">
        <v>46.719799999999999</v>
      </c>
      <c r="E173">
        <v>47.328000000000003</v>
      </c>
      <c r="F173">
        <v>258146.484</v>
      </c>
      <c r="G173">
        <v>32.554000000000002</v>
      </c>
      <c r="H173">
        <v>0</v>
      </c>
      <c r="I173" t="s">
        <v>653</v>
      </c>
      <c r="J173" t="s">
        <v>654</v>
      </c>
    </row>
    <row r="174" spans="1:10" x14ac:dyDescent="0.25">
      <c r="A174" s="141" t="s">
        <v>275</v>
      </c>
      <c r="B174">
        <v>4083.1871999999998</v>
      </c>
      <c r="C174">
        <v>41.076599999999999</v>
      </c>
      <c r="D174">
        <v>45.272799999999997</v>
      </c>
      <c r="E174">
        <v>45.637</v>
      </c>
      <c r="F174">
        <v>180995.70300000001</v>
      </c>
      <c r="G174">
        <v>27.943999999999999</v>
      </c>
      <c r="H174">
        <v>0</v>
      </c>
      <c r="I174" t="s">
        <v>655</v>
      </c>
      <c r="J174" t="s">
        <v>656</v>
      </c>
    </row>
    <row r="175" spans="1:10" x14ac:dyDescent="0.25">
      <c r="A175" s="141" t="s">
        <v>276</v>
      </c>
      <c r="B175">
        <v>2258.2303999999999</v>
      </c>
      <c r="C175">
        <v>38.271799999999999</v>
      </c>
      <c r="D175">
        <v>43.613199999999999</v>
      </c>
      <c r="E175">
        <v>43.7654</v>
      </c>
      <c r="F175">
        <v>113815.969</v>
      </c>
      <c r="G175">
        <v>23.722000000000001</v>
      </c>
      <c r="H175">
        <v>0</v>
      </c>
      <c r="I175" t="s">
        <v>657</v>
      </c>
      <c r="J175" t="s">
        <v>658</v>
      </c>
    </row>
    <row r="176" spans="1:10" x14ac:dyDescent="0.25">
      <c r="A176" s="141" t="s">
        <v>277</v>
      </c>
      <c r="B176">
        <v>1173.6768</v>
      </c>
      <c r="C176">
        <v>35.311300000000003</v>
      </c>
      <c r="D176">
        <v>41.995199999999997</v>
      </c>
      <c r="E176">
        <v>41.913800000000002</v>
      </c>
      <c r="F176">
        <v>67002.031000000003</v>
      </c>
      <c r="G176">
        <v>19.946000000000002</v>
      </c>
      <c r="H176">
        <v>0</v>
      </c>
      <c r="I176" t="s">
        <v>659</v>
      </c>
      <c r="J176" t="s">
        <v>660</v>
      </c>
    </row>
    <row r="177" spans="1:10" x14ac:dyDescent="0.25">
      <c r="A177" s="141" t="s">
        <v>150</v>
      </c>
      <c r="B177" s="71">
        <v>4672.16</v>
      </c>
      <c r="C177" s="71">
        <v>38.455300000000001</v>
      </c>
      <c r="D177" s="71">
        <v>45.5182</v>
      </c>
      <c r="E177" s="71">
        <v>45.734999999999999</v>
      </c>
      <c r="F177" s="71">
        <v>179305.96900000001</v>
      </c>
      <c r="G177" s="71">
        <v>14.041</v>
      </c>
      <c r="H177">
        <v>0</v>
      </c>
      <c r="I177" t="s">
        <v>661</v>
      </c>
      <c r="J177" t="s">
        <v>662</v>
      </c>
    </row>
    <row r="178" spans="1:10" x14ac:dyDescent="0.25">
      <c r="A178" s="141" t="s">
        <v>151</v>
      </c>
      <c r="B178" s="71">
        <v>1633.1264000000001</v>
      </c>
      <c r="C178" s="71">
        <v>36.459299999999999</v>
      </c>
      <c r="D178" s="71">
        <v>44.537500000000001</v>
      </c>
      <c r="E178" s="71">
        <v>44.762700000000002</v>
      </c>
      <c r="F178" s="71">
        <v>91523.108999999997</v>
      </c>
      <c r="G178" s="71">
        <v>10.073</v>
      </c>
      <c r="H178">
        <v>0</v>
      </c>
      <c r="I178" t="s">
        <v>663</v>
      </c>
      <c r="J178" t="s">
        <v>664</v>
      </c>
    </row>
    <row r="179" spans="1:10" x14ac:dyDescent="0.25">
      <c r="A179" s="141" t="s">
        <v>152</v>
      </c>
      <c r="B179" s="71">
        <v>653.54560000000004</v>
      </c>
      <c r="C179" s="71">
        <v>34.033000000000001</v>
      </c>
      <c r="D179" s="71">
        <v>43.206699999999998</v>
      </c>
      <c r="E179" s="71">
        <v>43.370699999999999</v>
      </c>
      <c r="F179" s="71">
        <v>51336.449000000001</v>
      </c>
      <c r="G179" s="71">
        <v>8.1140000000000008</v>
      </c>
      <c r="H179">
        <v>0</v>
      </c>
      <c r="I179" t="s">
        <v>665</v>
      </c>
      <c r="J179" t="s">
        <v>666</v>
      </c>
    </row>
    <row r="180" spans="1:10" x14ac:dyDescent="0.25">
      <c r="A180" s="141" t="s">
        <v>153</v>
      </c>
      <c r="B180" s="71">
        <v>274.15519999999998</v>
      </c>
      <c r="C180" s="71">
        <v>31.017700000000001</v>
      </c>
      <c r="D180" s="71">
        <v>41.856499999999997</v>
      </c>
      <c r="E180" s="71">
        <v>42.025799999999997</v>
      </c>
      <c r="F180" s="71">
        <v>29353.021000000001</v>
      </c>
      <c r="G180" s="71">
        <v>6.4530000000000003</v>
      </c>
      <c r="H180">
        <v>0</v>
      </c>
      <c r="I180" t="s">
        <v>667</v>
      </c>
      <c r="J180" t="s">
        <v>668</v>
      </c>
    </row>
    <row r="181" spans="1:10" x14ac:dyDescent="0.25">
      <c r="A181" s="141" t="s">
        <v>154</v>
      </c>
      <c r="B181" s="71">
        <v>3771.4207999999999</v>
      </c>
      <c r="C181" s="71">
        <v>40.531199999999998</v>
      </c>
      <c r="D181" s="71">
        <v>45.2605</v>
      </c>
      <c r="E181" s="71">
        <v>46.064100000000003</v>
      </c>
      <c r="F181" s="71">
        <v>153917.78099999999</v>
      </c>
      <c r="G181" s="71">
        <v>14.826000000000001</v>
      </c>
      <c r="H181">
        <v>0</v>
      </c>
      <c r="I181" t="s">
        <v>669</v>
      </c>
      <c r="J181" t="s">
        <v>670</v>
      </c>
    </row>
    <row r="182" spans="1:10" x14ac:dyDescent="0.25">
      <c r="A182" s="141" t="s">
        <v>155</v>
      </c>
      <c r="B182" s="71">
        <v>1704.0047999999999</v>
      </c>
      <c r="C182" s="71">
        <v>38.880699999999997</v>
      </c>
      <c r="D182" s="71">
        <v>44.443199999999997</v>
      </c>
      <c r="E182" s="71">
        <v>44.502200000000002</v>
      </c>
      <c r="F182" s="71">
        <v>90463.983999999997</v>
      </c>
      <c r="G182" s="71">
        <v>12.24</v>
      </c>
      <c r="H182">
        <v>0</v>
      </c>
      <c r="I182" t="s">
        <v>671</v>
      </c>
      <c r="J182" t="s">
        <v>672</v>
      </c>
    </row>
    <row r="183" spans="1:10" x14ac:dyDescent="0.25">
      <c r="A183" s="141" t="s">
        <v>156</v>
      </c>
      <c r="B183" s="71">
        <v>813.98720000000003</v>
      </c>
      <c r="C183" s="71">
        <v>36.9101</v>
      </c>
      <c r="D183" s="71">
        <v>43.388300000000001</v>
      </c>
      <c r="E183" s="71">
        <v>42.710099999999997</v>
      </c>
      <c r="F183" s="71">
        <v>50197.358999999997</v>
      </c>
      <c r="G183" s="71">
        <v>9.6649999999999991</v>
      </c>
      <c r="H183">
        <v>0</v>
      </c>
      <c r="I183" t="s">
        <v>673</v>
      </c>
      <c r="J183" t="s">
        <v>674</v>
      </c>
    </row>
    <row r="184" spans="1:10" x14ac:dyDescent="0.25">
      <c r="A184" s="141" t="s">
        <v>157</v>
      </c>
      <c r="B184" s="71">
        <v>381.16160000000002</v>
      </c>
      <c r="C184" s="71">
        <v>34.671700000000001</v>
      </c>
      <c r="D184" s="71">
        <v>42.1173</v>
      </c>
      <c r="E184" s="71">
        <v>40.676200000000001</v>
      </c>
      <c r="F184" s="71">
        <v>26502.773000000001</v>
      </c>
      <c r="G184" s="71">
        <v>7.8369999999999997</v>
      </c>
      <c r="H184">
        <v>0</v>
      </c>
      <c r="I184" t="s">
        <v>675</v>
      </c>
      <c r="J184" t="s">
        <v>676</v>
      </c>
    </row>
    <row r="185" spans="1:10" x14ac:dyDescent="0.25">
      <c r="A185" s="141" t="s">
        <v>158</v>
      </c>
      <c r="B185" s="71">
        <v>916.11360000000002</v>
      </c>
      <c r="C185" s="71">
        <v>42.970300000000002</v>
      </c>
      <c r="D185" s="71">
        <v>46.778199999999998</v>
      </c>
      <c r="E185" s="71">
        <v>47.613100000000003</v>
      </c>
      <c r="F185" s="71">
        <v>59843.288999999997</v>
      </c>
      <c r="G185" s="71">
        <v>7.9489999999999998</v>
      </c>
      <c r="H185">
        <v>0</v>
      </c>
      <c r="I185" t="s">
        <v>677</v>
      </c>
      <c r="J185" t="s">
        <v>678</v>
      </c>
    </row>
    <row r="186" spans="1:10" x14ac:dyDescent="0.25">
      <c r="A186" s="141" t="s">
        <v>159</v>
      </c>
      <c r="B186" s="71">
        <v>468.88</v>
      </c>
      <c r="C186" s="71">
        <v>41.299199999999999</v>
      </c>
      <c r="D186" s="71">
        <v>45.979500000000002</v>
      </c>
      <c r="E186" s="71">
        <v>46.565800000000003</v>
      </c>
      <c r="F186" s="71">
        <v>35519.434000000001</v>
      </c>
      <c r="G186" s="71">
        <v>6.5289999999999999</v>
      </c>
      <c r="H186">
        <v>0</v>
      </c>
      <c r="I186" t="s">
        <v>679</v>
      </c>
      <c r="J186" t="s">
        <v>680</v>
      </c>
    </row>
    <row r="187" spans="1:10" x14ac:dyDescent="0.25">
      <c r="A187" s="141" t="s">
        <v>160</v>
      </c>
      <c r="B187" s="71">
        <v>249.17599999999999</v>
      </c>
      <c r="C187" s="71">
        <v>39.078200000000002</v>
      </c>
      <c r="D187" s="71">
        <v>44.812899999999999</v>
      </c>
      <c r="E187" s="71">
        <v>45.180799999999998</v>
      </c>
      <c r="F187" s="71">
        <v>20380.098000000002</v>
      </c>
      <c r="G187" s="71">
        <v>5.3159999999999998</v>
      </c>
      <c r="H187">
        <v>0</v>
      </c>
      <c r="I187" t="s">
        <v>681</v>
      </c>
      <c r="J187" t="s">
        <v>682</v>
      </c>
    </row>
    <row r="188" spans="1:10" x14ac:dyDescent="0.25">
      <c r="A188" s="141" t="s">
        <v>161</v>
      </c>
      <c r="B188" s="71">
        <v>135.65280000000001</v>
      </c>
      <c r="C188" s="71">
        <v>36.315800000000003</v>
      </c>
      <c r="D188" s="71">
        <v>43.097000000000001</v>
      </c>
      <c r="E188" s="71">
        <v>43.134399999999999</v>
      </c>
      <c r="F188" s="71">
        <v>11894.49</v>
      </c>
      <c r="G188" s="71">
        <v>5.0910000000000002</v>
      </c>
      <c r="H188">
        <v>0</v>
      </c>
      <c r="I188" t="s">
        <v>683</v>
      </c>
      <c r="J188" t="s">
        <v>684</v>
      </c>
    </row>
    <row r="189" spans="1:10" x14ac:dyDescent="0.25">
      <c r="A189" s="141" t="s">
        <v>162</v>
      </c>
      <c r="B189" s="71">
        <v>1257.6079999999999</v>
      </c>
      <c r="C189" s="71">
        <v>42.679699999999997</v>
      </c>
      <c r="D189" s="71">
        <v>48.569600000000001</v>
      </c>
      <c r="E189" s="71">
        <v>47.538699999999999</v>
      </c>
      <c r="F189" s="71">
        <v>65254.336000000003</v>
      </c>
      <c r="G189" s="71">
        <v>9.0879999999999992</v>
      </c>
      <c r="H189">
        <v>0</v>
      </c>
      <c r="I189" t="s">
        <v>685</v>
      </c>
      <c r="J189" t="s">
        <v>686</v>
      </c>
    </row>
    <row r="190" spans="1:10" x14ac:dyDescent="0.25">
      <c r="A190" s="141" t="s">
        <v>163</v>
      </c>
      <c r="B190" s="71">
        <v>606.24</v>
      </c>
      <c r="C190" s="71">
        <v>40.9084</v>
      </c>
      <c r="D190" s="71">
        <v>47.789000000000001</v>
      </c>
      <c r="E190" s="71">
        <v>46.997900000000001</v>
      </c>
      <c r="F190" s="71">
        <v>37871.184000000001</v>
      </c>
      <c r="G190" s="71">
        <v>6.8639999999999999</v>
      </c>
      <c r="H190">
        <v>0</v>
      </c>
      <c r="I190" t="s">
        <v>687</v>
      </c>
      <c r="J190" t="s">
        <v>688</v>
      </c>
    </row>
    <row r="191" spans="1:10" x14ac:dyDescent="0.25">
      <c r="A191" s="141" t="s">
        <v>164</v>
      </c>
      <c r="B191" s="71">
        <v>322.63040000000001</v>
      </c>
      <c r="C191" s="71">
        <v>38.531599999999997</v>
      </c>
      <c r="D191" s="71">
        <v>46.6676</v>
      </c>
      <c r="E191" s="71">
        <v>45.469099999999997</v>
      </c>
      <c r="F191" s="71">
        <v>22093.782999999999</v>
      </c>
      <c r="G191" s="71">
        <v>5.7939999999999996</v>
      </c>
      <c r="H191">
        <v>0</v>
      </c>
      <c r="I191" t="s">
        <v>689</v>
      </c>
      <c r="J191" t="s">
        <v>690</v>
      </c>
    </row>
    <row r="192" spans="1:10" x14ac:dyDescent="0.25">
      <c r="A192" s="141" t="s">
        <v>165</v>
      </c>
      <c r="B192" s="71">
        <v>176.17439999999999</v>
      </c>
      <c r="C192" s="71">
        <v>35.439100000000003</v>
      </c>
      <c r="D192" s="71">
        <v>45.239800000000002</v>
      </c>
      <c r="E192" s="71">
        <v>43.346499999999999</v>
      </c>
      <c r="F192" s="71">
        <v>13556.214</v>
      </c>
      <c r="G192" s="71">
        <v>5.3639999999999999</v>
      </c>
      <c r="H192">
        <v>0</v>
      </c>
      <c r="I192" t="s">
        <v>691</v>
      </c>
      <c r="J192" t="s">
        <v>692</v>
      </c>
    </row>
    <row r="193" spans="1:7" x14ac:dyDescent="0.2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2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2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2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2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2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2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2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2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2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2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2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2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2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2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2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2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2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2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2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2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2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2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2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2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2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2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2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2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2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2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2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2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2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2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2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2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2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2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2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2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2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2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2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2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2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2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2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2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2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2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2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2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2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2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2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2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2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2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2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2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2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2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2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2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2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2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2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2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2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2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2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25">
      <c r="A265" s="141" t="s">
        <v>310</v>
      </c>
    </row>
    <row r="266" spans="1:7" x14ac:dyDescent="0.25">
      <c r="A266" s="141" t="s">
        <v>311</v>
      </c>
    </row>
    <row r="267" spans="1:7" x14ac:dyDescent="0.25">
      <c r="A267" s="141" t="s">
        <v>312</v>
      </c>
    </row>
    <row r="268" spans="1:7" x14ac:dyDescent="0.25">
      <c r="A268" s="141" t="s">
        <v>313</v>
      </c>
    </row>
    <row r="269" spans="1:7" x14ac:dyDescent="0.25">
      <c r="A269" s="141" t="s">
        <v>314</v>
      </c>
    </row>
    <row r="270" spans="1:7" x14ac:dyDescent="0.25">
      <c r="A270" s="141" t="s">
        <v>315</v>
      </c>
    </row>
    <row r="271" spans="1:7" x14ac:dyDescent="0.25">
      <c r="A271" s="141" t="s">
        <v>316</v>
      </c>
    </row>
    <row r="272" spans="1:7" x14ac:dyDescent="0.25">
      <c r="A272" s="141" t="s">
        <v>317</v>
      </c>
    </row>
    <row r="273" spans="1:1" x14ac:dyDescent="0.25">
      <c r="A273" s="141" t="s">
        <v>390</v>
      </c>
    </row>
    <row r="274" spans="1:1" x14ac:dyDescent="0.25">
      <c r="A274" s="141" t="s">
        <v>391</v>
      </c>
    </row>
    <row r="275" spans="1:1" x14ac:dyDescent="0.25">
      <c r="A275" s="141" t="s">
        <v>392</v>
      </c>
    </row>
    <row r="276" spans="1:1" x14ac:dyDescent="0.25">
      <c r="A276" s="141" t="s">
        <v>393</v>
      </c>
    </row>
    <row r="277" spans="1:1" x14ac:dyDescent="0.25">
      <c r="A277" s="141" t="s">
        <v>394</v>
      </c>
    </row>
    <row r="278" spans="1:1" x14ac:dyDescent="0.25">
      <c r="A278" s="141" t="s">
        <v>395</v>
      </c>
    </row>
    <row r="279" spans="1:1" x14ac:dyDescent="0.25">
      <c r="A279" s="141" t="s">
        <v>396</v>
      </c>
    </row>
    <row r="280" spans="1:1" x14ac:dyDescent="0.25">
      <c r="A280" s="141" t="s">
        <v>397</v>
      </c>
    </row>
    <row r="281" spans="1:1" x14ac:dyDescent="0.25">
      <c r="A281" s="141" t="s">
        <v>398</v>
      </c>
    </row>
    <row r="282" spans="1:1" x14ac:dyDescent="0.25">
      <c r="A282" s="141" t="s">
        <v>399</v>
      </c>
    </row>
    <row r="283" spans="1:1" x14ac:dyDescent="0.25">
      <c r="A283" s="141" t="s">
        <v>400</v>
      </c>
    </row>
    <row r="284" spans="1:1" x14ac:dyDescent="0.25">
      <c r="A284" s="141" t="s">
        <v>401</v>
      </c>
    </row>
    <row r="285" spans="1:1" x14ac:dyDescent="0.25">
      <c r="A285" s="141" t="s">
        <v>402</v>
      </c>
    </row>
    <row r="286" spans="1:1" x14ac:dyDescent="0.25">
      <c r="A286" s="141" t="s">
        <v>403</v>
      </c>
    </row>
    <row r="287" spans="1:1" x14ac:dyDescent="0.25">
      <c r="A287" s="141" t="s">
        <v>404</v>
      </c>
    </row>
    <row r="288" spans="1:1" x14ac:dyDescent="0.2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futl</cp:lastModifiedBy>
  <dcterms:created xsi:type="dcterms:W3CDTF">2011-06-30T00:09:01Z</dcterms:created>
  <dcterms:modified xsi:type="dcterms:W3CDTF">2021-12-06T11:33:48Z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